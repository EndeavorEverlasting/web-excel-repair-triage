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21E4C\EXCELCNV\f38baff9-2026-41dd-b16b-ba920df542c1\"/>
    </mc:Choice>
  </mc:AlternateContent>
  <xr:revisionPtr revIDLastSave="0" documentId="8_{88BDA89D-B9A5-4BA2-B1D2-90716F418D1B}" xr6:coauthVersionLast="47" xr6:coauthVersionMax="47" xr10:uidLastSave="{00000000-0000-0000-0000-000000000000}"/>
  <bookViews>
    <workbookView xWindow="-60" yWindow="-60" windowWidth="15480" windowHeight="11640" firstSheet="9" activeTab="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O2" i="15" l="1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<sst xmlns="http://schemas.openxmlformats.org/spreadsheetml/2006/main" count="9113" uniqueCount="2240">
  <si>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</si>
  <si>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</si>
  <si>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</si>
  <si>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</si>
  <si>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</si>
  <si>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</si>
  <si>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</si>
  <si>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</si>
  <si>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</si>
  <si>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</si>
  <si>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</si>
  <si>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</si>
  <si>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</si>
  <si>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</si>
  <si>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</si>
  <si>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</si>
  <si>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</si>
  <si>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</si>
  <si>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</si>
  <si>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</si>
  <si>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</si>
  <si>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</si>
  <si>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</si>
  <si>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</si>
  <si>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</si>
  <si>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</si>
  <si>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</si>
  <si>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</si>
  <si>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</si>
  <si>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</si>
  <si>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</si>
  <si>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</si>
  <si>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</si>
  <si>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</si>
  <si>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</si>
  <si>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</si>
  <si>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</si>
  <si>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</si>
  <si>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</si>
  <si>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</si>
  <si>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</si>
  <si>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</si>
  <si>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</si>
  <si>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</si>
  <si>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</si>
  <si>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</si>
  <si>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</si>
  <si>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</si>
  <si>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</si>
  <si>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</si>
  <si>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</si>
  <si>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</si>
  <si>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</si>
  <si>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</si>
  <si>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</si>
  <si>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</si>
  <si>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</si>
  <si>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</si>
  <si>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</si>
  <si>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</si>
  <si>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</si>
  <si>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</si>
  <si>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</si>
  <si>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</si>
  <si>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</si>
  <si>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</si>
  <si>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</si>
  <si>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</si>
  <si>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</si>
  <si>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</si>
  <si>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</si>
  <si>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</si>
  <si>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</si>
  <si>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</si>
  <si>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</si>
  <si>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</si>
  <si>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</si>
  <si>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</si>
  <si>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</si>
  <si>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</si>
  <si>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</si>
  <si>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</si>
  <si>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</si>
  <si>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</si>
  <si>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</si>
  <si>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</si>
  <si>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</si>
  <si>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</si>
  <si>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</si>
  <si>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</si>
  <si>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</si>
  <si>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</si>
  <si>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</si>
  <si>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</si>
  <si>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</si>
  <si>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</si>
  <si>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</si>
  <si>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</si>
  <si>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</si>
  <si>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</si>
  <si>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</si>
  <si>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</si>
  <si>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</si>
  <si>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</si>
  <si>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</si>
  <si>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</si>
  <si>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</si>
  <si>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</si>
  <si>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</si>
  <si>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</si>
  <si>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</si>
  <si>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</si>
  <si>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</si>
  <si>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</si>
  <si>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</si>
  <si>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</si>
  <si>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</si>
  <si>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</si>
  <si>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</si>
  <si>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</si>
  <si>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</si>
  <si>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</si>
  <si>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</si>
  <si>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</si>
  <si>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</si>
  <si>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</si>
  <si>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</si>
  <si>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</si>
  <si>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</si>
  <si>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</si>
  <si>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</si>
  <si>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</si>
  <si>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</si>
  <si>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</si>
  <si>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</si>
  <si>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</si>
  <si>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</si>
  <si>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</si>
  <si>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</si>
  <si>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</si>
  <si>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</si>
  <si>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</si>
  <si>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</si>
  <si>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</si>
  <si>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</si>
  <si>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</si>
  <si>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</si>
  <si>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</si>
  <si>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</si>
  <si>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</si>
  <si>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</si>
  <si>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</si>
  <si>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</si>
  <si>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</si>
  <si>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</si>
  <si>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</si>
  <si>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</si>
  <si>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</si>
  <si>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</si>
  <si>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</si>
  <si>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</si>
  <si>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</si>
  <si>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</si>
  <si>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</si>
  <si>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</si>
  <si>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</si>
  <si>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</si>
  <si>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</si>
  <si>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</si>
  <si>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</si>
  <si>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</si>
  <si>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</si>
  <si>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</si>
  <si>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</si>
  <si>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</si>
  <si>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</si>
  <si>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</si>
  <si>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</si>
  <si>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</si>
  <si>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</si>
  <si>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</si>
  <si>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</si>
  <si>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</si>
  <si>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</si>
  <si>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</si>
  <si>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</si>
  <si>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</si>
  <si>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</si>
  <si>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</si>
  <si>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</si>
  <si>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</si>
  <si>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</si>
  <si>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</si>
  <si>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</si>
  <si>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</si>
  <si>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</si>
  <si>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</si>
  <si>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</si>
  <si>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</si>
  <si>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</si>
  <si>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</si>
  <si>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</si>
  <si>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</si>
  <si>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</si>
  <si>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</si>
  <si>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</si>
  <si>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</si>
  <si>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</si>
  <si>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</si>
  <si>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</si>
  <si>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</si>
  <si>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</si>
  <si>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</si>
  <si>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</si>
  <si>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</si>
  <si>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</si>
  <si>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</si>
  <si>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</si>
  <si>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</si>
  <si>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</si>
  <si>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</si>
  <si>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</si>
  <si>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</si>
  <si>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</si>
  <si>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</si>
  <si>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</si>
  <si>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</si>
  <si>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</si>
  <si>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</si>
  <si>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</si>
  <si>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</si>
  <si>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</si>
  <si>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</si>
  <si>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</si>
  <si>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</si>
  <si>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</si>
  <si>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</si>
  <si>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</si>
  <si>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</si>
  <si>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</si>
  <si>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</si>
  <si>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</si>
  <si>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</si>
  <si>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</si>
  <si>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</si>
  <si>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</si>
  <si>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</si>
  <si>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</si>
  <si>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</si>
  <si>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</si>
  <si>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</si>
  <si>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</si>
  <si>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</si>
  <si>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</si>
  <si>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</si>
  <si>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</si>
  <si>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</si>
  <si>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</si>
  <si>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</si>
  <si>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</si>
  <si>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</si>
  <si>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</si>
  <si>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</si>
  <si>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</si>
  <si>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</si>
  <si>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</si>
  <si>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</si>
  <si>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</si>
  <si>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</si>
  <si>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</si>
  <si>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</si>
  <si>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</si>
  <si>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</si>
  <si>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</si>
  <si>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</si>
  <si>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</si>
  <si>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</si>
  <si>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</si>
  <si>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</si>
  <si>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</si>
  <si>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</si>
  <si>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</si>
  <si>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</si>
  <si>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</si>
  <si>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</si>
  <si>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</si>
  <si>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</si>
  <si>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</si>
  <si>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</si>
  <si>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</si>
  <si>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</si>
  <si>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</si>
  <si>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</si>
  <si>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</si>
  <si>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</si>
  <si>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</si>
  <si>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</si>
  <si>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</si>
  <si>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</si>
  <si>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</si>
  <si>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</si>
  <si>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</si>
  <si>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</si>
  <si>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</si>
  <si>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</si>
  <si>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</si>
  <si>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</si>
  <si>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</si>
  <si>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</si>
  <si>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</si>
  <si>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</si>
  <si>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</si>
  <si>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</si>
  <si>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</si>
  <si>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</si>
  <si>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</si>
  <si>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</si>
  <si>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</si>
  <si>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</si>
  <si>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</si>
  <si>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</si>
  <si>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</si>
  <si>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</si>
  <si>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</si>
  <si>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</si>
  <si>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</si>
  <si>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</si>
  <si>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</si>
  <si>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</si>
  <si>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</si>
  <si>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</si>
  <si>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</si>
  <si>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</si>
  <si>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</si>
  <si>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</si>
  <si>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</si>
  <si>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</si>
  <si>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</si>
  <si>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</si>
  <si>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</si>
  <si>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</si>
  <si>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</si>
  <si>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</si>
  <si>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</si>
  <si>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</si>
  <si>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</si>
  <si>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</si>
  <si>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</si>
  <si>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</si>
  <si>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</si>
  <si>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</si>
  <si>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</si>
  <si>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</si>
  <si>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</si>
  <si>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</si>
  <si>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</si>
  <si>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</si>
  <si>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</si>
  <si>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</si>
  <si>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</si>
  <si>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</si>
  <si>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</si>
  <si>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</si>
  <si>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</si>
  <si>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</si>
  <si>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</si>
  <si>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</si>
  <si>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</si>
  <si>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</si>
  <si>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</si>
  <si>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</si>
  <si>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</si>
  <si>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</si>
  <si>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</si>
  <si>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</si>
  <si>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</si>
  <si>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</si>
  <si>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</si>
  <si>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</si>
  <si>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</si>
  <si>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</si>
  <si>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</si>
  <si>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</si>
  <si>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</si>
  <si>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</si>
  <si>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</si>
  <si>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</si>
  <si>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</si>
  <si>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</si>
  <si>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</si>
  <si>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</si>
  <si>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</si>
  <si>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</si>
  <si>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</si>
  <si>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</si>
  <si>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</si>
  <si>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</si>
  <si>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</si>
  <si>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</si>
  <si>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</si>
  <si>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</si>
  <si>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</si>
  <si>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</si>
  <si>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</si>
  <si>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</si>
  <si>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</si>
  <si>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</si>
  <si>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</si>
  <si>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</si>
  <si>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</si>
  <si>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</si>
  <si>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</si>
  <si>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</si>
  <si>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</si>
  <si>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</si>
  <si>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</si>
  <si>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</si>
  <si>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</si>
  <si>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</si>
  <si>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</si>
  <si>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</si>
  <si>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</si>
  <si>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</si>
  <si>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</si>
  <si>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</si>
  <si>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</si>
  <si>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</si>
  <si>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</si>
  <si>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</si>
  <si>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</si>
  <si>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</si>
  <si>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</si>
  <si>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</si>
  <si>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</si>
  <si>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</si>
  <si>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</si>
  <si>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</si>
  <si>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</si>
  <si>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</si>
  <si>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</si>
  <si>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</si>
  <si>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</si>
  <si>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</si>
  <si>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</si>
  <si>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</si>
  <si>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</si>
  <si>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</si>
  <si>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</si>
  <si>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</si>
  <si>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</si>
  <si>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</si>
  <si>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</si>
  <si>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</si>
  <si>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</si>
  <si>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</si>
  <si>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</si>
  <si>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</si>
  <si>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</si>
  <si>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</si>
  <si>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</si>
  <si>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</si>
  <si>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</si>
  <si>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</si>
  <si>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</si>
  <si>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</si>
  <si>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</si>
  <si>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</si>
  <si>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</si>
  <si>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</si>
  <si>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</si>
  <si>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</si>
  <si>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</si>
  <si>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</si>
  <si>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</si>
  <si>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</si>
  <si>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</si>
  <si>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</si>
  <si>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</si>
  <si>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</si>
  <si>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</si>
  <si>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</si>
  <si>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</si>
  <si>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</si>
  <si>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</si>
  <si>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</si>
  <si>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</si>
  <si>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</si>
  <si>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</si>
  <si>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</si>
  <si>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</si>
  <si>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</si>
  <si>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</si>
  <si>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</si>
  <si>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</si>
  <si>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</si>
  <si>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</si>
  <si>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</si>
  <si>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</si>
  <si>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</si>
  <si>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</si>
  <si>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</si>
  <si>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</si>
  <si>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</si>
  <si>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</si>
  <si>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</si>
  <si>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</si>
  <si>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</si>
  <si>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</si>
  <si>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</si>
  <si>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</si>
  <si>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</si>
  <si>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</si>
  <si>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</si>
  <si>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</si>
  <si>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</si>
  <si>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</si>
  <si>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</si>
  <si>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</si>
  <si>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</si>
  <si>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</si>
  <si>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</si>
  <si>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</si>
  <si>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</si>
  <si>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</si>
  <si>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</si>
  <si>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</si>
  <si>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</si>
  <si>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</si>
  <si>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</si>
  <si>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</si>
  <si>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</si>
  <si>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</si>
  <si>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</si>
  <si>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</si>
  <si>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</si>
  <si>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</si>
  <si>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</si>
  <si>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</si>
  <si>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</si>
  <si>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</si>
  <si>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</si>
  <si>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</si>
  <si>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</si>
  <si>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</si>
  <si>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</si>
  <si>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</si>
  <si>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</si>
  <si>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</si>
  <si>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</si>
  <si>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</si>
  <si>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</si>
  <si>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</si>
  <si>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</si>
  <si>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</si>
  <si>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</si>
  <si>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</si>
  <si>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</si>
  <si>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</si>
  <si>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</si>
  <si>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</si>
  <si>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</si>
  <si>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</si>
  <si>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</si>
  <si>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</si>
  <si>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</si>
  <si>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</si>
  <si>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</si>
  <si>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</si>
  <si>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</si>
  <si>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</si>
  <si>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</si>
  <si>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</si>
  <si>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</si>
  <si>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</si>
  <si>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</si>
  <si>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</si>
  <si>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</si>
  <si>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</si>
  <si>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</si>
  <si>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</si>
  <si>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</si>
  <si>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</si>
  <si>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</si>
  <si>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</si>
  <si>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</si>
  <si>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</si>
  <si>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</si>
  <si>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</si>
  <si>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</si>
  <si>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</si>
  <si>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</si>
  <si>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</si>
  <si>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</si>
  <si>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</si>
  <si>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</si>
  <si>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</si>
  <si>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</si>
  <si>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</si>
  <si>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</si>
  <si>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</si>
  <si>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</si>
  <si>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</si>
  <si>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</si>
  <si>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</si>
  <si>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</si>
  <si>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</si>
  <si>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</si>
  <si>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</si>
  <si>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</si>
  <si>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</si>
  <si>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</si>
  <si>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</si>
  <si>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</si>
  <si>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</si>
  <si>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</si>
  <si>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</si>
  <si>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</si>
  <si>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</si>
  <si>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</si>
  <si>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</si>
  <si>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</si>
  <si>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</si>
  <si>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</si>
  <si>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</si>
  <si>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</si>
  <si>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</si>
  <si>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</si>
  <si>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</si>
  <si>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</si>
  <si>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</si>
  <si>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</si>
  <si>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</si>
  <si>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</si>
  <si>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</si>
  <si>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</si>
  <si>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</si>
  <si>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</si>
  <si>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</si>
  <si>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</si>
  <si>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</si>
  <si>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</si>
  <si>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</si>
  <si>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</si>
  <si>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</si>
  <si>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</si>
  <si>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</si>
  <si>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</si>
  <si>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</si>
  <si>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</si>
  <si>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</si>
  <si>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</si>
  <si>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</si>
  <si>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</si>
  <si>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</si>
  <si>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</si>
  <si>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</si>
  <si>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</si>
  <si>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</si>
  <si>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</si>
  <si>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</si>
  <si>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</si>
  <si>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</si>
  <si>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</si>
  <si>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</si>
  <si>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</si>
  <si>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</si>
  <si>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</si>
  <si>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</si>
  <si>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</si>
  <si>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</si>
  <si>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</si>
  <si>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</si>
  <si>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</si>
  <si>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</si>
  <si>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</si>
  <si>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</si>
  <si>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</si>
  <si>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</si>
  <si>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</si>
  <si>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</si>
  <si>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</si>
  <si>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</si>
  <si>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</si>
  <si>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</si>
  <si>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</si>
  <si>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</si>
  <si>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</si>
  <si>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</si>
  <si>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</si>
  <si>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</si>
  <si>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</si>
  <si>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</si>
  <si>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</si>
  <si>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</si>
  <si>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</si>
  <si>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</si>
  <si>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</si>
  <si>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</si>
  <si>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</si>
  <si>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</si>
  <si>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</si>
  <si>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</si>
  <si>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</si>
  <si>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</si>
  <si>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</si>
  <si>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</si>
  <si>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</si>
  <si>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</si>
  <si>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</si>
  <si>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</si>
  <si>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</si>
  <si>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</si>
  <si>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</si>
  <si>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</si>
  <si>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</si>
  <si>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</si>
  <si>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</si>
  <si>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</si>
  <si>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</si>
  <si>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</si>
  <si>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</si>
  <si>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</si>
  <si>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</si>
  <si>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</si>
  <si>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</si>
  <si>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</si>
  <si>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</si>
  <si>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</si>
  <si>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</si>
  <si>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</si>
  <si>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</si>
  <si>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</si>
  <si>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</si>
  <si>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</si>
  <si>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</si>
  <si>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</si>
  <si>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</si>
  <si>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</si>
  <si>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</si>
  <si>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</si>
  <si>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</si>
  <si>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</si>
  <si>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</si>
  <si>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</si>
  <si>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</si>
  <si>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</si>
  <si>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</si>
  <si>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</si>
  <si>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</si>
  <si>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</si>
  <si>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</si>
  <si>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</si>
  <si>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</si>
  <si>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</si>
  <si>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</si>
  <si>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</si>
  <si>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</si>
  <si>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</si>
  <si>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</si>
  <si>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</si>
  <si>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</si>
  <si>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</si>
  <si>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</si>
  <si>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</si>
  <si>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</si>
  <si>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</si>
  <si>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</si>
  <si>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</si>
  <si>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</si>
  <si>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</si>
  <si>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</si>
  <si>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</si>
  <si>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</si>
  <si>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</si>
  <si>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</si>
  <si>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</si>
  <si>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</si>
  <si>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</si>
  <si>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</si>
  <si>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</si>
  <si>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</si>
  <si>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</si>
  <si>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</si>
  <si>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</si>
  <si>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</si>
  <si>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</si>
  <si>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</si>
  <si>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</si>
  <si>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</si>
  <si>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</si>
  <si>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</si>
  <si>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</si>
  <si>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</si>
  <si>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</si>
  <si>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</si>
  <si>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</si>
  <si>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</si>
  <si>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</si>
  <si>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</si>
  <si>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</si>
  <si>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</si>
  <si>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</si>
  <si>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</si>
  <si>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</si>
  <si>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</si>
  <si>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</si>
  <si>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</si>
  <si>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</si>
  <si>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</si>
  <si>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</si>
  <si>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</si>
  <si>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</si>
  <si>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</si>
  <si>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</si>
  <si>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</si>
  <si>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</si>
  <si>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</si>
  <si>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</si>
  <si>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</si>
  <si>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</si>
  <si>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</si>
  <si>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</si>
  <si>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</si>
  <si>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</si>
  <si>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</si>
  <si>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</si>
  <si>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</si>
  <si>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</si>
  <si>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</si>
  <si>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</si>
  <si>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</si>
  <si>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</si>
  <si>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</si>
  <si>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</si>
  <si>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</si>
  <si>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</si>
  <si>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</si>
  <si>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</si>
  <si>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</si>
  <si>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</si>
  <si>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</si>
  <si>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</si>
  <si>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</si>
  <si>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</si>
  <si>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</si>
  <si>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</si>
  <si>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</si>
  <si>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</si>
  <si>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</si>
  <si>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</si>
  <si>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</si>
  <si>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</si>
  <si>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</si>
  <si>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</si>
  <si>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</si>
  <si>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</si>
  <si>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</si>
  <si>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</si>
  <si>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</si>
  <si>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</si>
  <si>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</si>
  <si>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</si>
  <si>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</si>
  <si>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</si>
  <si>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</si>
  <si>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</si>
  <si>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</si>
  <si>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</si>
  <si>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</si>
  <si>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</si>
  <si>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</si>
  <si>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</si>
  <si>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</si>
  <si>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</si>
  <si>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</si>
  <si>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</si>
  <si>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</si>
  <si>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</si>
  <si>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</si>
  <si>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</si>
  <si>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</si>
  <si>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</si>
  <si>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</si>
  <si>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</si>
  <si>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</si>
  <si>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</si>
  <si>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</si>
  <si>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</si>
  <si>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</si>
  <si>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</si>
  <si>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</si>
  <si>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</si>
  <si>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</si>
  <si>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</si>
  <si>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</si>
  <si>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</si>
  <si>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</si>
  <si>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</si>
  <si>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</si>
  <si>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</si>
  <si>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</si>
  <si>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</si>
  <si>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</si>
  <si>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</si>
  <si>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</si>
  <si>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</si>
  <si>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</si>
  <si>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</si>
  <si>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</si>
  <si>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</si>
  <si>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</si>
  <si>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</si>
  <si>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</si>
  <si>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</si>
  <si>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</si>
  <si>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</si>
  <si>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</si>
  <si>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</si>
  <si>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</si>
  <si>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</si>
  <si>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</si>
  <si>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</si>
  <si>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</si>
  <si>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</si>
  <si>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</si>
  <si>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</si>
  <si>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</si>
  <si>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</si>
  <si>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</si>
  <si>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</si>
  <si>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</si>
  <si>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</si>
  <si>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</si>
  <si>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</si>
  <si>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</si>
  <si>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</si>
  <si>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</si>
  <si>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</si>
  <si>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</si>
  <si>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</si>
  <si>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</si>
  <si>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</si>
  <si>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</si>
  <si>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</si>
  <si>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</si>
  <si>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</si>
  <si>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</si>
  <si>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</si>
  <si>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</si>
  <si>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</si>
  <si>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</si>
  <si>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</si>
  <si>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</si>
  <si>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</si>
  <si>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</si>
  <si>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</si>
  <si>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</si>
  <si>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</si>
  <si>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</si>
  <si>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</si>
  <si>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</si>
  <si>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</si>
  <si>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</si>
  <si>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</si>
  <si>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</si>
  <si>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</si>
  <si>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</si>
  <si>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</si>
  <si>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</si>
  <si>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</si>
  <si>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</si>
  <si>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</si>
  <si>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</si>
  <si>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</si>
  <si>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</si>
  <si>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</si>
  <si>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</si>
  <si>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</si>
  <si>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</si>
  <si>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</si>
  <si>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</si>
  <si>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</si>
  <si>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</si>
  <si>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</si>
  <si>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</si>
  <si>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</si>
  <si>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</si>
  <si>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</si>
  <si>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</si>
  <si>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</si>
  <si>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</si>
  <si>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</si>
  <si>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</si>
  <si>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</si>
  <si>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</si>
  <si>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</si>
  <si>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</si>
  <si>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</si>
  <si>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</si>
  <si>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</si>
  <si>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</si>
  <si>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</si>
  <si>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</si>
  <si>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</si>
  <si>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</si>
  <si>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</si>
  <si>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</si>
  <si>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</si>
  <si>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</si>
  <si>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</si>
  <si>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</si>
  <si>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</si>
  <si>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</si>
  <si>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</si>
  <si>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</si>
  <si>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</si>
  <si>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</si>
  <si>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</si>
  <si>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</si>
  <si>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</si>
  <si>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</si>
  <si>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</si>
  <si>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</si>
  <si>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</si>
  <si>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</si>
  <si>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</si>
  <si>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</si>
  <si>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</si>
  <si>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</si>
  <si>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</si>
  <si>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</si>
  <si>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</si>
  <si>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</si>
  <si>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</si>
  <si>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</si>
  <si>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</si>
  <si>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</si>
  <si>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</si>
  <si>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</si>
  <si>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</si>
  <si>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</si>
  <si>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</si>
  <si>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</si>
  <si>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</si>
  <si>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</si>
  <si>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</si>
  <si>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</si>
  <si>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</si>
  <si>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</si>
  <si>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</si>
  <si>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</si>
  <si>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</si>
  <si>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</si>
  <si>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</si>
  <si>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</si>
  <si>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</si>
  <si>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</si>
  <si>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</si>
  <si>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</si>
  <si>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</si>
  <si>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</si>
  <si>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</si>
  <si>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</si>
  <si>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</si>
  <si>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</si>
  <si>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</si>
  <si>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</si>
  <si>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</si>
  <si>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</si>
  <si>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</si>
  <si>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</si>
  <si>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</si>
  <si>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</si>
  <si>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</si>
  <si>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</si>
  <si>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</si>
  <si>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</si>
  <si>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</si>
  <si>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</si>
  <si>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</si>
  <si>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</si>
  <si>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</si>
  <si>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</si>
  <si>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</si>
  <si>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</si>
  <si>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</si>
  <si>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</si>
  <si>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</si>
  <si>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</si>
  <si>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</si>
  <si>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</si>
  <si>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</si>
  <si>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</si>
  <si>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</si>
  <si>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</si>
  <si>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</si>
  <si>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</si>
  <si>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</si>
  <si>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</si>
  <si>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</si>
  <si>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</si>
  <si>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</si>
  <si>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</si>
  <si>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</si>
  <si>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</si>
  <si>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</si>
  <si>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</si>
  <si>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</si>
  <si>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</si>
  <si>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</si>
  <si>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</si>
  <si>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</si>
  <si>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</si>
  <si>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</si>
  <si>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</si>
  <si>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</si>
  <si>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</si>
  <si>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</si>
  <si>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</si>
  <si>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</si>
  <si>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</si>
  <si>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</si>
  <si>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</si>
  <si>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</si>
  <si>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</si>
  <si>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</si>
  <si>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</si>
  <si>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</si>
  <si>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</si>
  <si>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</si>
  <si>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</si>
  <si>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</si>
  <si>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</si>
  <si>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</si>
  <si>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</si>
  <si>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</si>
  <si>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</si>
  <si>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</si>
  <si>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</si>
  <si>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</si>
  <si>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</si>
  <si>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</si>
  <si>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</si>
  <si>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</si>
  <si>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</si>
  <si>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</si>
  <si>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</si>
  <si>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</si>
  <si>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</si>
  <si>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</si>
  <si>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</si>
  <si>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</si>
  <si>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</si>
  <si>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</si>
  <si>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</si>
  <si>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</si>
  <si>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</si>
  <si>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</si>
  <si>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</si>
  <si>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</si>
  <si>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</si>
  <si>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</si>
  <si>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</si>
  <si>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</si>
  <si>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</si>
  <si>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</si>
  <si>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</si>
  <si>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</si>
  <si>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</si>
  <si>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</si>
  <si>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</si>
  <si>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</si>
  <si>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</si>
  <si>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Device Type</t>
  </si>
  <si>
    <t>Deployed</t>
  </si>
  <si>
    <t>Installed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</si>
  <si>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</si>
  <si>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</si>
  <si>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</si>
  <si>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</si>
  <si>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</si>
  <si>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</si>
  <si>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</si>
  <si>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</si>
  <si>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</si>
  <si>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</si>
  <si>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</si>
  <si>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</si>
  <si>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</si>
  <si>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</si>
  <si>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Cybernet Hostname</t>
  </si>
  <si>
    <t>Neuron Hostname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</si>
  <si>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</si>
  <si>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</si>
  <si>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</si>
  <si>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</si>
  <si>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</si>
  <si>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</si>
  <si>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</si>
  <si>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</si>
  <si>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</si>
  <si>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</si>
  <si>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</si>
  <si>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</si>
  <si>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</si>
  <si>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</si>
  <si>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</si>
  <si>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</si>
  <si>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</si>
  <si>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</si>
  <si>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</si>
  <si>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</si>
  <si>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</si>
  <si>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</si>
  <si>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</si>
  <si>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</si>
  <si>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</si>
  <si>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</si>
  <si>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</si>
  <si>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</si>
  <si>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</si>
  <si>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</si>
  <si>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</si>
  <si>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</si>
  <si>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</si>
  <si>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</si>
  <si>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</si>
  <si>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</si>
  <si>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</si>
  <si>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</si>
  <si>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</si>
  <si>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</si>
  <si>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Software List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</si>
  <si>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</si>
  <si>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</si>
  <si>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</si>
  <si>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</si>
  <si>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</si>
  <si>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</si>
  <si>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</si>
  <si>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</si>
  <si>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</si>
  <si>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</si>
  <si>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</si>
  <si>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</si>
  <si>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</si>
  <si>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</si>
  <si>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</si>
  <si>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</si>
  <si>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</si>
  <si>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</si>
  <si>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</si>
  <si>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</si>
  <si>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</si>
  <si>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</si>
  <si>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</si>
  <si>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</si>
  <si>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</si>
  <si>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</si>
  <si>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</si>
  <si>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</si>
  <si>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</si>
  <si>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</si>
  <si>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</si>
  <si>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</si>
  <si>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</si>
  <si>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</si>
  <si>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</si>
  <si>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</si>
  <si>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</si>
  <si>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</si>
  <si>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</si>
  <si>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</si>
  <si>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</si>
  <si>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</si>
  <si>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</si>
  <si>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</si>
  <si>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</si>
  <si>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</si>
  <si>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</si>
  <si>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</si>
  <si>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</si>
  <si>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</si>
  <si>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</si>
  <si>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</si>
  <si>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</si>
  <si>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</si>
  <si>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</si>
  <si>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</si>
  <si>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</si>
  <si>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</si>
  <si>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</si>
  <si>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</si>
  <si>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</si>
  <si>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</si>
  <si>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</si>
  <si>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</si>
  <si>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</si>
  <si>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</si>
  <si>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</si>
  <si>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</si>
  <si>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</si>
  <si>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</si>
  <si>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</si>
  <si>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</si>
  <si>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</si>
  <si>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</si>
  <si>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</si>
  <si>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</si>
  <si>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</si>
  <si>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</si>
  <si>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</si>
  <si>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</si>
  <si>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</si>
  <si>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</si>
  <si>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</si>
  <si>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</si>
  <si>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</si>
  <si>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</si>
  <si>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</si>
  <si>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</si>
  <si>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</si>
  <si>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</si>
  <si>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</si>
  <si>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</si>
  <si>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</si>
  <si>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</si>
  <si>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</si>
  <si>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</si>
  <si>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</si>
  <si>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</si>
  <si>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</si>
  <si>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</si>
  <si>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</si>
  <si>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</si>
  <si>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</si>
  <si>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</si>
  <si>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</si>
  <si>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</si>
  <si>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</si>
  <si>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</si>
  <si>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</si>
  <si>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</si>
  <si>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</si>
  <si>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</si>
  <si>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</si>
  <si>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</si>
  <si>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</si>
  <si>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</si>
  <si>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</si>
  <si>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</si>
  <si>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</si>
  <si>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</si>
  <si>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</si>
  <si>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</si>
  <si>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</si>
  <si>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</si>
  <si>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</si>
  <si>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</si>
  <si>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</si>
  <si>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</si>
  <si>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</si>
  <si>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</si>
  <si>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</si>
  <si>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</si>
  <si>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</si>
  <si>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</si>
  <si>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</si>
  <si>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</si>
  <si>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</si>
  <si>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</si>
  <si>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</si>
  <si>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</si>
  <si>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</si>
  <si>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</si>
  <si>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</si>
  <si>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</si>
  <si>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</si>
  <si>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</si>
  <si>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</si>
  <si>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</si>
  <si>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</si>
  <si>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</si>
  <si>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</si>
  <si>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</si>
  <si>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</si>
  <si>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</si>
  <si>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</si>
  <si>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</si>
  <si>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</si>
  <si>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</si>
  <si>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</si>
  <si>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</si>
  <si>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</si>
  <si>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</si>
  <si>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</si>
  <si>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</si>
  <si>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</si>
  <si>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</si>
  <si>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</si>
  <si>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</si>
  <si>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</si>
  <si>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</si>
  <si>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</si>
  <si>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</si>
  <si>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</si>
  <si>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</si>
  <si>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</si>
  <si>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</si>
  <si>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</si>
  <si>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</si>
  <si>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</si>
  <si>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</si>
  <si>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</si>
  <si>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</si>
  <si>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</si>
  <si>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</si>
  <si>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</si>
  <si>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</si>
  <si>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</si>
  <si>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</si>
  <si>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</si>
  <si>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</si>
  <si>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</si>
  <si>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</si>
  <si>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</si>
  <si>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</si>
  <si>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</si>
  <si>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</si>
  <si>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</si>
  <si>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</si>
  <si>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</si>
  <si>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</si>
  <si>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</si>
  <si>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</si>
  <si>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</si>
  <si>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</si>
  <si>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</si>
  <si>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</si>
  <si>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</si>
  <si>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</si>
  <si>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</si>
  <si>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</si>
  <si>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</si>
  <si>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</si>
  <si>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</si>
  <si>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</si>
  <si>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</si>
  <si>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</si>
  <si>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</si>
  <si>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</si>
  <si>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</si>
  <si>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</si>
  <si>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</si>
  <si>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</si>
  <si>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</si>
  <si>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</si>
  <si>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</si>
  <si>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</si>
  <si>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</si>
  <si>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</si>
  <si>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</si>
  <si>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</si>
  <si>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</si>
  <si>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</si>
  <si>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</si>
  <si>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</si>
  <si>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</si>
  <si>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</si>
  <si>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</si>
  <si>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</si>
  <si>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</si>
  <si>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</si>
  <si>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</si>
  <si>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</si>
  <si>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</si>
  <si>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</si>
  <si>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</si>
  <si>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</si>
  <si>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</si>
  <si>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</si>
  <si>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</si>
  <si>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</si>
  <si>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</si>
  <si>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</si>
  <si>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</si>
  <si>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</si>
  <si>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</si>
  <si>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</si>
  <si>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</si>
  <si>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</si>
  <si>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</si>
  <si>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</si>
  <si>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</si>
  <si>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</si>
  <si>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</si>
  <si>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</si>
  <si>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</si>
  <si>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</si>
  <si>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</si>
  <si>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</si>
  <si>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</si>
  <si>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</si>
  <si>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</si>
  <si>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</si>
  <si>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</si>
  <si>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</si>
  <si>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</si>
  <si>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</si>
  <si>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</si>
  <si>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</si>
  <si>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</si>
  <si>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</si>
  <si>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</si>
  <si>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</si>
  <si>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</si>
  <si>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</si>
  <si>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</si>
  <si>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</si>
  <si>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</si>
  <si>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</si>
  <si>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</si>
  <si>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</si>
  <si>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</si>
  <si>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</si>
  <si>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</si>
  <si>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</si>
  <si>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</si>
  <si>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</si>
  <si>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</si>
  <si>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</si>
  <si>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</si>
  <si>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</si>
  <si>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</si>
  <si>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</si>
  <si>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</si>
  <si>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</si>
  <si>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</si>
  <si>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</si>
  <si>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</si>
  <si>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</si>
  <si>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</si>
  <si>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</si>
  <si>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</si>
  <si>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</si>
  <si>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</si>
  <si>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</si>
  <si>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</si>
  <si>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</si>
  <si>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</si>
  <si>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</si>
  <si>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</si>
  <si>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</si>
  <si>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</si>
  <si>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</si>
  <si>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</si>
  <si>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</si>
  <si>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</si>
  <si>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</si>
  <si>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</si>
  <si>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</si>
  <si>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</si>
  <si>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</si>
  <si>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</si>
  <si>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</si>
  <si>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</si>
  <si>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</si>
  <si>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</si>
  <si>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</si>
  <si>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</si>
  <si>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</si>
  <si>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</si>
  <si>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</si>
  <si>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</si>
  <si>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</si>
  <si>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</si>
  <si>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</si>
  <si>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</si>
  <si>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</si>
  <si>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</si>
  <si>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</si>
  <si>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</si>
  <si>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</si>
  <si>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</si>
  <si>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</si>
  <si>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</si>
  <si>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</si>
  <si>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</si>
  <si>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</si>
  <si>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</si>
  <si>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</si>
  <si>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</si>
  <si>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</si>
  <si>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</si>
  <si>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</si>
  <si>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</si>
  <si>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</si>
  <si>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</si>
  <si>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</si>
  <si>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</si>
  <si>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</si>
  <si>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</si>
  <si>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</si>
  <si>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</si>
  <si>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</si>
  <si>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</si>
  <si>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</si>
  <si>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</si>
  <si>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</si>
  <si>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</si>
  <si>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</si>
  <si>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</si>
  <si>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</si>
  <si>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</si>
  <si>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</si>
  <si>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</si>
  <si>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</si>
  <si>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</si>
  <si>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</si>
  <si>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</si>
  <si>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</si>
  <si>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</si>
  <si>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</si>
  <si>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</si>
  <si>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</si>
  <si>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</si>
  <si>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</si>
  <si>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</si>
  <si>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</si>
  <si>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</si>
  <si>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</si>
  <si>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</si>
  <si>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</si>
  <si>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</si>
  <si>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</si>
  <si>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</si>
  <si>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</si>
  <si>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</si>
  <si>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</si>
  <si>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</si>
  <si>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</si>
  <si>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</si>
  <si>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</si>
  <si>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</si>
  <si>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</si>
  <si>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</si>
  <si>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</si>
  <si>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</si>
  <si>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</si>
  <si>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</si>
  <si>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</si>
  <si>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</si>
  <si>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</si>
  <si>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</si>
  <si>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</si>
  <si>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</si>
  <si>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</si>
  <si>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</si>
  <si>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</si>
  <si>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</si>
  <si>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</si>
  <si>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</si>
  <si>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</si>
  <si>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</si>
  <si>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</si>
  <si>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</si>
  <si>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</si>
  <si>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</si>
  <si>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</si>
  <si>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</si>
  <si>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</si>
  <si>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</si>
  <si>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</si>
  <si>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</si>
  <si>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</si>
  <si>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</si>
  <si>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</si>
  <si>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</si>
  <si>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</si>
  <si>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</si>
  <si>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</si>
  <si>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</si>
  <si>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</si>
  <si>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</si>
  <si>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</si>
  <si>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</si>
  <si>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</si>
  <si>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</si>
  <si>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</si>
  <si>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</si>
  <si>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</si>
  <si>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</si>
  <si>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</si>
  <si>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</si>
  <si>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</si>
  <si>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</si>
  <si>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</si>
  <si>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</si>
  <si>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</si>
  <si>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</si>
  <si>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</si>
  <si>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</si>
  <si>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</si>
  <si>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</si>
  <si>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</si>
  <si>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</si>
  <si>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</si>
  <si>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</si>
  <si>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</si>
  <si>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</si>
  <si>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</si>
  <si>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</si>
  <si>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</si>
  <si>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</si>
  <si>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</si>
  <si>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</si>
  <si>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</si>
  <si>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</si>
  <si>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</si>
  <si>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</si>
  <si>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</si>
  <si>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</si>
  <si>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</si>
  <si>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</si>
  <si>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</si>
  <si>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</si>
  <si>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</si>
  <si>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</si>
  <si>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</si>
  <si>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</si>
  <si>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</si>
  <si>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</si>
  <si>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</si>
  <si>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</si>
  <si>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</si>
  <si>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</si>
  <si>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</si>
  <si>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</si>
  <si>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</si>
  <si>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</si>
  <si>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</si>
  <si>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</si>
  <si>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</si>
  <si>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</si>
  <si>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</si>
  <si>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</si>
  <si>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</si>
  <si>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</si>
  <si>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</si>
  <si>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</si>
  <si>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</si>
  <si>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</si>
  <si>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</si>
  <si>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</si>
  <si>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</si>
  <si>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</si>
  <si>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</si>
  <si>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</si>
  <si>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</si>
  <si>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</si>
  <si>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</si>
  <si>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</si>
  <si>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</si>
  <si>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</si>
  <si>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</si>
  <si>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</si>
  <si>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</si>
  <si>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</si>
  <si>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</si>
  <si>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</si>
  <si>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</si>
  <si>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</si>
  <si>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</si>
  <si>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</si>
  <si>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</si>
  <si>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</si>
  <si>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</si>
  <si>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</si>
  <si>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</si>
  <si>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</si>
  <si>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</si>
  <si>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</si>
  <si>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</si>
  <si>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</si>
  <si>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</si>
  <si>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</si>
  <si>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</si>
  <si>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</si>
  <si>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</si>
  <si>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</si>
  <si>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</si>
  <si>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</si>
  <si>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</si>
  <si>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</si>
  <si>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</si>
  <si>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</si>
  <si>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</si>
  <si>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</si>
  <si>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</si>
  <si>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</si>
  <si>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</si>
  <si>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</si>
  <si>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</si>
  <si>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</si>
  <si>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</si>
  <si>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</si>
  <si>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</si>
  <si>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</si>
  <si>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</si>
  <si>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</si>
  <si>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</si>
  <si>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</si>
  <si>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</si>
  <si>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</si>
  <si>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</si>
  <si>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</si>
  <si>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</si>
  <si>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</si>
  <si>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</si>
  <si>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</si>
  <si>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</si>
  <si>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</si>
  <si>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</si>
  <si>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</si>
  <si>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</si>
  <si>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</si>
  <si>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</si>
  <si>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</si>
  <si>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</si>
  <si>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</si>
  <si>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</si>
  <si>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</si>
  <si>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</si>
  <si>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</si>
  <si>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</si>
  <si>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</si>
  <si>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</si>
  <si>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</si>
  <si>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</si>
  <si>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</si>
  <si>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</si>
  <si>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</si>
  <si>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</si>
  <si>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</si>
  <si>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</si>
  <si>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</si>
  <si>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</si>
  <si>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</si>
  <si>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</si>
  <si>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</si>
  <si>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</si>
  <si>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</si>
  <si>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</si>
  <si>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</si>
  <si>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</si>
  <si>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</si>
  <si>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</si>
  <si>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</si>
  <si>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</si>
  <si>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</si>
  <si>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</si>
  <si>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</si>
  <si>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</si>
  <si>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</si>
  <si>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</si>
  <si>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</si>
  <si>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</si>
  <si>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</si>
  <si>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</si>
  <si>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</si>
  <si>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</si>
  <si>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</si>
  <si>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</si>
  <si>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</si>
  <si>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</si>
  <si>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</si>
  <si>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</si>
  <si>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</si>
  <si>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</si>
  <si>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</si>
  <si>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</si>
  <si>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</si>
  <si>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</si>
  <si>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</si>
  <si>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</si>
  <si>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</si>
  <si>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</si>
  <si>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</si>
  <si>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</si>
  <si>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</si>
  <si>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</si>
  <si>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</si>
  <si>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</si>
  <si>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</si>
  <si>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</si>
  <si>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</si>
  <si>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</si>
  <si>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</si>
  <si>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</si>
  <si>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</si>
  <si>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</si>
  <si>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</si>
  <si>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</si>
  <si>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</si>
  <si>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</si>
  <si>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</si>
  <si>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</si>
  <si>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</si>
  <si>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</si>
  <si>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</si>
  <si>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</si>
  <si>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</si>
  <si>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</si>
  <si>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</si>
  <si>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</si>
  <si>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</si>
  <si>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</si>
  <si>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</si>
  <si>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</si>
  <si>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</si>
  <si>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</si>
  <si>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</si>
  <si>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</si>
  <si>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</si>
  <si>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</si>
  <si>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</si>
  <si>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</si>
  <si>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</si>
  <si>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</si>
  <si>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</si>
  <si>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</si>
  <si>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</si>
  <si>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</si>
  <si>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</si>
  <si>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</si>
  <si>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</si>
  <si>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</si>
  <si>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</si>
  <si>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</si>
  <si>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</si>
  <si>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</si>
  <si>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</si>
  <si>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</si>
  <si>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</si>
  <si>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</si>
  <si>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</si>
  <si>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</si>
  <si>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</si>
  <si>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</si>
  <si>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</si>
  <si>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</si>
  <si>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</si>
  <si>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</si>
  <si>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</si>
  <si>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</si>
  <si>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</si>
  <si>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</si>
  <si>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</si>
  <si>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</si>
  <si>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</si>
  <si>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</si>
  <si>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</si>
  <si>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</si>
  <si>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</si>
  <si>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</si>
  <si>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</si>
  <si>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</si>
  <si>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</si>
  <si>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</si>
  <si>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</si>
  <si>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</si>
  <si>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</si>
  <si>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</si>
  <si>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</si>
  <si>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</si>
  <si>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</si>
  <si>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</si>
  <si>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</si>
  <si>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</si>
  <si>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</si>
  <si>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</si>
  <si>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</si>
  <si>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</si>
  <si>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</si>
  <si>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</si>
  <si>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</si>
  <si>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</si>
  <si>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</si>
  <si>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</si>
  <si>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</si>
  <si>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</si>
  <si>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</si>
  <si>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</si>
  <si>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</si>
  <si>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</si>
  <si>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</si>
  <si>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</si>
  <si>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</si>
  <si>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</si>
  <si>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</si>
  <si>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</si>
  <si>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</si>
  <si>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</si>
  <si>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</si>
  <si>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</si>
  <si>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</si>
  <si>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</si>
  <si>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</si>
  <si>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</si>
  <si>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</si>
  <si>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</si>
  <si>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</si>
  <si>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</si>
  <si>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</si>
  <si>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</si>
  <si>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</si>
  <si>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</si>
  <si>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</si>
  <si>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</si>
  <si>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</si>
  <si>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</si>
  <si>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</si>
  <si>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</si>
  <si>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</si>
  <si>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</si>
  <si>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</si>
  <si>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</si>
  <si>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</si>
  <si>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</si>
  <si>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</si>
  <si>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</si>
  <si>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</si>
  <si>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</si>
  <si>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</si>
  <si>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</si>
  <si>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</si>
  <si>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</si>
  <si>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</si>
  <si>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</si>
  <si>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</si>
  <si>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</si>
  <si>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</si>
  <si>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</si>
  <si>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</si>
  <si>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</si>
  <si>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</si>
  <si>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</si>
  <si>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</si>
  <si>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</si>
  <si>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</si>
  <si>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</si>
  <si>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</si>
  <si>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</si>
  <si>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</si>
  <si>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</si>
  <si>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</si>
  <si>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</si>
  <si>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</si>
  <si>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</si>
  <si>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</si>
  <si>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</si>
  <si>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</si>
  <si>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</si>
  <si>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</si>
  <si>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</si>
  <si>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</si>
  <si>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</si>
  <si>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</si>
  <si>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</si>
  <si>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</si>
  <si>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</si>
  <si>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</si>
  <si>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</si>
  <si>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</si>
  <si>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</si>
  <si>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</si>
  <si>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</si>
  <si>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</si>
  <si>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</si>
  <si>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</si>
  <si>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</si>
  <si>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</si>
  <si>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</si>
  <si>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</si>
  <si>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</si>
  <si>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</si>
  <si>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</si>
  <si>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</si>
  <si>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</si>
  <si>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</si>
  <si>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</si>
  <si>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</si>
  <si>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</si>
  <si>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</si>
  <si>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</si>
  <si>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</si>
  <si>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</si>
  <si>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</si>
  <si>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</si>
  <si>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</si>
  <si>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</si>
  <si>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</si>
  <si>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</si>
  <si>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</si>
  <si>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</si>
  <si>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</si>
  <si>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</si>
  <si>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</si>
  <si>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</si>
  <si>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</si>
  <si>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</si>
  <si>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</si>
  <si>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</si>
  <si>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</si>
  <si>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</si>
  <si>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</si>
  <si>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</si>
  <si>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</si>
  <si>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</si>
  <si>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</si>
  <si>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</si>
  <si>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</si>
  <si>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</si>
  <si>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</si>
  <si>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</si>
  <si>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</si>
  <si>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</si>
  <si>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</si>
  <si>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</si>
  <si>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</si>
  <si>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</si>
  <si>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</si>
  <si>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</si>
  <si>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</si>
  <si>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</si>
  <si>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</si>
  <si>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</si>
  <si>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</si>
  <si>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</si>
  <si>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</si>
  <si>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</si>
  <si>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</si>
  <si>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</si>
  <si>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</si>
  <si>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</si>
  <si>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</si>
  <si>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</si>
  <si>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</si>
  <si>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</si>
  <si>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</si>
  <si>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</si>
  <si>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</si>
  <si>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</si>
  <si>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</si>
  <si>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</si>
  <si>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</si>
  <si>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</si>
  <si>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</si>
  <si>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</si>
  <si>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</si>
  <si>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</si>
  <si>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</si>
  <si>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Example Locations</t>
  </si>
  <si>
    <t>Formula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</si>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</sst>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0" fillId="6" borderId="0" xfId="0" applyFont="1" applyFill="1"/>
    <xf numFmtId="0" fontId="10" fillId="6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6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</row>
    <row r="2" spans="1:26" ht="45.75" customHeight="1">
      <c r="A2" s="4" t="s">
        <v>26</v>
      </c>
      <c r="B2" s="24" t="s">
        <v>27</v>
      </c>
      <c r="C2" t="s">
        <v>28</v>
      </c>
      <c r="D2" t="str">
        <f>IF($C2="","",IFERROR(LOOKUP(2,1/('03_Warehouse_Movements'!$C$2:$C$500=$A2),'03_Warehouse_Movements'!$E$2:$E$500),$C2))</f>
        <v>ACTIVE</v>
      </c>
      <c r="E2" t="s">
        <v>29</v>
      </c>
      <c r="F2" t="s">
        <v>30</v>
      </c>
      <c r="G2" s="25">
        <v>7</v>
      </c>
      <c r="H2" s="3" t="str">
        <f t="shared" ref="H2:H65" si="0">IF(AND($F2="TEMP",$G2&gt;0,$M2&lt;&gt;""),$M2+$G2,"")</f>
        <v/>
      </c>
      <c r="I2" s="3" t="s">
        <v>31</v>
      </c>
      <c r="J2" s="4" t="s">
        <v>32</v>
      </c>
      <c r="K2" s="3">
        <v>46053</v>
      </c>
      <c r="L2" s="4" t="s">
        <v>33</v>
      </c>
      <c r="M2" s="48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49">
        <v>46284</v>
      </c>
      <c r="Q2" s="50">
        <v>144180</v>
      </c>
      <c r="R2" s="26"/>
      <c r="V2" t="s">
        <v>34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35</v>
      </c>
      <c r="B3" s="24"/>
      <c r="C3" t="s">
        <v>36</v>
      </c>
      <c r="D3" t="str">
        <f>IF($C3="","",IFERROR(LOOKUP(2,1/('03_Warehouse_Movements'!$C$2:$C$500=$A3),'03_Warehouse_Movements'!$E$2:$E$500),$C3))</f>
        <v>STAGED</v>
      </c>
      <c r="E3" t="s">
        <v>37</v>
      </c>
      <c r="F3" t="s">
        <v>38</v>
      </c>
      <c r="G3" s="25"/>
      <c r="H3" s="3" t="str">
        <f t="shared" si="0"/>
        <v/>
      </c>
      <c r="I3" s="3" t="s">
        <v>39</v>
      </c>
      <c r="J3" s="4" t="s">
        <v>40</v>
      </c>
      <c r="K3" s="3">
        <v>46052</v>
      </c>
      <c r="L3" s="4" t="s">
        <v>41</v>
      </c>
      <c r="M3" s="48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42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43</v>
      </c>
      <c r="B4" s="4" t="s">
        <v>44</v>
      </c>
      <c r="C4" t="s">
        <v>45</v>
      </c>
      <c r="D4" t="str">
        <f>IF($C4="","",IFERROR(LOOKUP(2,1/('03_Warehouse_Movements'!$C$2:$C$500=$A4),'03_Warehouse_Movements'!$E$2:$E$500),$C4))</f>
        <v>UNSAFE</v>
      </c>
      <c r="E4" t="s">
        <v>29</v>
      </c>
      <c r="F4" t="s">
        <v>46</v>
      </c>
      <c r="G4" s="25"/>
      <c r="H4" s="3" t="str">
        <f t="shared" si="0"/>
        <v/>
      </c>
      <c r="I4" s="3" t="s">
        <v>47</v>
      </c>
      <c r="J4" s="4" t="s">
        <v>48</v>
      </c>
      <c r="K4" s="3">
        <v>46046</v>
      </c>
      <c r="L4" s="4" t="s">
        <v>33</v>
      </c>
      <c r="M4" s="48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0">
        <v>46046</v>
      </c>
      <c r="V4" t="s">
        <v>49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50</v>
      </c>
      <c r="B5" s="4" t="s">
        <v>51</v>
      </c>
      <c r="C5" t="s">
        <v>51</v>
      </c>
      <c r="D5" t="str">
        <f>IF($C5="","",IFERROR(LOOKUP(2,1/('03_Warehouse_Movements'!$C$2:$C$500=$A5),'03_Warehouse_Movements'!$E$2:$E$500),$C5))</f>
        <v>48x T24i-30</v>
      </c>
      <c r="E5" t="s">
        <v>29</v>
      </c>
      <c r="F5" t="s">
        <v>38</v>
      </c>
      <c r="G5" s="25"/>
      <c r="H5" s="3" t="str">
        <f t="shared" si="0"/>
        <v/>
      </c>
      <c r="I5" s="3" t="s">
        <v>52</v>
      </c>
      <c r="J5" s="4" t="s">
        <v>40</v>
      </c>
      <c r="K5" s="3">
        <v>46051</v>
      </c>
      <c r="L5" s="4" t="s">
        <v>53</v>
      </c>
      <c r="M5" s="48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0">
        <v>46051</v>
      </c>
      <c r="V5" t="s">
        <v>54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55</v>
      </c>
      <c r="B6" s="4" t="s">
        <v>56</v>
      </c>
      <c r="C6" t="s">
        <v>57</v>
      </c>
      <c r="D6" t="str">
        <f>IF($C6="","",IFERROR(LOOKUP(2,1/('03_Warehouse_Movements'!$C$2:$C$500=$A6),'03_Warehouse_Movements'!$E$2:$E$500),$C6))</f>
        <v>capsule &amp; GCX</v>
      </c>
      <c r="E6" t="s">
        <v>29</v>
      </c>
      <c r="F6" t="s">
        <v>38</v>
      </c>
      <c r="G6" s="25"/>
      <c r="H6" s="3" t="str">
        <f t="shared" si="0"/>
        <v/>
      </c>
      <c r="I6" s="3" t="s">
        <v>58</v>
      </c>
      <c r="J6" s="4" t="s">
        <v>59</v>
      </c>
      <c r="K6" s="3">
        <v>46059</v>
      </c>
      <c r="L6" s="4" t="s">
        <v>60</v>
      </c>
      <c r="M6" s="48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61</v>
      </c>
      <c r="B7" s="4"/>
      <c r="C7" t="s">
        <v>62</v>
      </c>
      <c r="D7" t="str">
        <f>IF($C7="","",IFERROR(LOOKUP(2,1/('03_Warehouse_Movements'!$C$2:$C$500=$A7),'03_Warehouse_Movements'!$E$2:$E$500),$C7))</f>
        <v>19x T24 Thinkvision Monitor 63CFMAR1US</v>
      </c>
      <c r="E7" t="s">
        <v>37</v>
      </c>
      <c r="F7" t="s">
        <v>38</v>
      </c>
      <c r="G7" s="25"/>
      <c r="H7" s="3" t="str">
        <f t="shared" si="0"/>
        <v/>
      </c>
      <c r="I7" s="4" t="s">
        <v>63</v>
      </c>
      <c r="K7" s="3">
        <v>46052</v>
      </c>
      <c r="L7" s="4" t="s">
        <v>53</v>
      </c>
      <c r="M7" s="48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64</v>
      </c>
      <c r="B8" s="4"/>
      <c r="C8" t="s">
        <v>65</v>
      </c>
      <c r="D8" t="str">
        <f>IF($C8="","",IFERROR(LOOKUP(2,1/('03_Warehouse_Movements'!$C$2:$C$500=$A8),'03_Warehouse_Movements'!$E$2:$E$500),$C8))</f>
        <v>TEMP</v>
      </c>
      <c r="E8" t="s">
        <v>37</v>
      </c>
      <c r="F8" t="s">
        <v>66</v>
      </c>
      <c r="G8" s="25">
        <v>14</v>
      </c>
      <c r="H8" s="3" t="str">
        <f t="shared" si="0"/>
        <v/>
      </c>
      <c r="I8" s="3" t="s">
        <v>52</v>
      </c>
      <c r="J8" s="4" t="s">
        <v>40</v>
      </c>
      <c r="K8" s="3">
        <v>46052</v>
      </c>
      <c r="L8" s="4" t="s">
        <v>53</v>
      </c>
      <c r="M8" s="48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67</v>
      </c>
      <c r="B9" s="4" t="s">
        <v>68</v>
      </c>
      <c r="C9" t="s">
        <v>69</v>
      </c>
      <c r="D9" t="str">
        <f>IF($C9="","",IFERROR(LOOKUP(2,1/('03_Warehouse_Movements'!$C$2:$C$500=$A9),'03_Warehouse_Movements'!$E$2:$E$500),$C9))</f>
        <v>SAMPLE: Power Supplies</v>
      </c>
      <c r="E9" t="s">
        <v>29</v>
      </c>
      <c r="F9" t="s">
        <v>38</v>
      </c>
      <c r="G9" s="25"/>
      <c r="H9" s="3" t="str">
        <f t="shared" si="0"/>
        <v/>
      </c>
      <c r="I9" s="3" t="s">
        <v>70</v>
      </c>
      <c r="J9" s="4" t="s">
        <v>40</v>
      </c>
      <c r="K9" s="3">
        <v>46052</v>
      </c>
      <c r="L9" s="4" t="s">
        <v>41</v>
      </c>
      <c r="M9" s="48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71</v>
      </c>
      <c r="B10" s="4"/>
      <c r="C10" t="s">
        <v>72</v>
      </c>
      <c r="D10" t="str">
        <f>IF($C10="","",IFERROR(LOOKUP(2,1/('03_Warehouse_Movements'!$C$2:$C$500=$A10),'03_Warehouse_Movements'!$E$2:$E$500),$C10))</f>
        <v>SAMPLE: Imaging Equipment</v>
      </c>
      <c r="E10" t="s">
        <v>29</v>
      </c>
      <c r="F10" t="s">
        <v>38</v>
      </c>
      <c r="G10" s="25"/>
      <c r="H10" s="3" t="str">
        <f t="shared" si="0"/>
        <v/>
      </c>
      <c r="I10" s="3" t="s">
        <v>73</v>
      </c>
      <c r="J10" s="4" t="s">
        <v>40</v>
      </c>
      <c r="K10" s="3">
        <v>46052</v>
      </c>
      <c r="L10" s="4" t="s">
        <v>41</v>
      </c>
      <c r="M10" s="48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74</v>
      </c>
      <c r="B11" s="4"/>
      <c r="C11" t="s">
        <v>75</v>
      </c>
      <c r="D11" t="str">
        <f>IF($C11="","",IFERROR(LOOKUP(2,1/('03_Warehouse_Movements'!$C$2:$C$500=$A11),'03_Warehouse_Movements'!$E$2:$E$500),$C11))</f>
        <v>SAMPLE: Misc Hardware</v>
      </c>
      <c r="E11" t="s">
        <v>29</v>
      </c>
      <c r="F11" t="s">
        <v>38</v>
      </c>
      <c r="G11" s="25"/>
      <c r="H11" s="3" t="str">
        <f t="shared" si="0"/>
        <v/>
      </c>
      <c r="I11" s="3" t="s">
        <v>76</v>
      </c>
      <c r="J11" s="4" t="s">
        <v>40</v>
      </c>
      <c r="K11" s="3">
        <v>46052</v>
      </c>
      <c r="L11" s="4" t="s">
        <v>41</v>
      </c>
      <c r="M11" s="48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77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78</v>
      </c>
      <c r="B12" s="4"/>
      <c r="C12" t="s">
        <v>79</v>
      </c>
      <c r="D12" t="str">
        <f>IF($C12="","",IFERROR(LOOKUP(2,1/('03_Warehouse_Movements'!$C$2:$C$500=$A12),'03_Warehouse_Movements'!$E$2:$E$500),$C12))</f>
        <v>SAMPLE: Dell Devices</v>
      </c>
      <c r="E12" t="s">
        <v>29</v>
      </c>
      <c r="F12" t="s">
        <v>38</v>
      </c>
      <c r="G12" s="25"/>
      <c r="H12" s="3" t="str">
        <f t="shared" si="0"/>
        <v/>
      </c>
      <c r="I12" s="3" t="s">
        <v>80</v>
      </c>
      <c r="J12" s="4" t="s">
        <v>40</v>
      </c>
      <c r="K12" s="3">
        <v>46052</v>
      </c>
      <c r="L12" s="4" t="s">
        <v>41</v>
      </c>
      <c r="M12" s="48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81</v>
      </c>
      <c r="B13" s="4"/>
      <c r="C13" t="s">
        <v>82</v>
      </c>
      <c r="D13" t="str">
        <f>IF($C13="","",IFERROR(LOOKUP(2,1/('03_Warehouse_Movements'!$C$2:$C$500=$A13),'03_Warehouse_Movements'!$E$2:$E$500),$C13))</f>
        <v>PAL-0000013</v>
      </c>
      <c r="E13" t="s">
        <v>29</v>
      </c>
      <c r="F13" t="s">
        <v>38</v>
      </c>
      <c r="G13" s="25"/>
      <c r="H13" s="3" t="str">
        <f t="shared" si="0"/>
        <v/>
      </c>
      <c r="I13" s="3" t="s">
        <v>39</v>
      </c>
      <c r="J13" s="4" t="s">
        <v>40</v>
      </c>
      <c r="K13" s="3">
        <v>46052</v>
      </c>
      <c r="L13" s="4" t="s">
        <v>41</v>
      </c>
      <c r="M13" s="48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83</v>
      </c>
      <c r="B14" s="4"/>
      <c r="C14" t="s">
        <v>84</v>
      </c>
      <c r="D14" t="str">
        <f>IF($C14="","",IFERROR(LOOKUP(2,1/('03_Warehouse_Movements'!$C$2:$C$500=$A14),'03_Warehouse_Movements'!$E$2:$E$500),$C14))</f>
        <v>SAMPLE: Cables &amp; Adapters</v>
      </c>
      <c r="E14" t="s">
        <v>29</v>
      </c>
      <c r="F14" t="s">
        <v>66</v>
      </c>
      <c r="G14" s="25">
        <v>14</v>
      </c>
      <c r="H14" s="3" t="str">
        <f t="shared" si="0"/>
        <v/>
      </c>
      <c r="I14" s="3" t="s">
        <v>85</v>
      </c>
      <c r="J14" s="4" t="s">
        <v>40</v>
      </c>
      <c r="K14" s="3">
        <v>46052</v>
      </c>
      <c r="L14" s="4" t="s">
        <v>41</v>
      </c>
      <c r="M14" s="48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86</v>
      </c>
      <c r="B15" s="4"/>
      <c r="C15" t="s">
        <v>87</v>
      </c>
      <c r="D15" t="str">
        <f>IF($C15="","",IFERROR(LOOKUP(2,1/('03_Warehouse_Movements'!$C$2:$C$500=$A15),'03_Warehouse_Movements'!$E$2:$E$500),$C15))</f>
        <v>SAMPLE: Racks &amp; Rails</v>
      </c>
      <c r="E15" t="s">
        <v>29</v>
      </c>
      <c r="F15" t="s">
        <v>38</v>
      </c>
      <c r="G15" s="25"/>
      <c r="H15" s="3" t="str">
        <f t="shared" si="0"/>
        <v/>
      </c>
      <c r="I15" s="3" t="s">
        <v>88</v>
      </c>
      <c r="J15" s="4" t="s">
        <v>40</v>
      </c>
      <c r="K15" s="3">
        <v>46052</v>
      </c>
      <c r="L15" s="4" t="s">
        <v>41</v>
      </c>
      <c r="M15" s="48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89</v>
      </c>
      <c r="B16" s="4" t="s">
        <v>90</v>
      </c>
      <c r="C16" t="s">
        <v>91</v>
      </c>
      <c r="D16" t="str">
        <f>IF($C16="","",IFERROR(LOOKUP(2,1/('03_Warehouse_Movements'!$C$2:$C$500=$A16),'03_Warehouse_Movements'!$E$2:$E$500),$C16))</f>
        <v>SAMPLE: Networking Gear</v>
      </c>
      <c r="E16" t="s">
        <v>29</v>
      </c>
      <c r="F16" t="s">
        <v>38</v>
      </c>
      <c r="G16" s="25"/>
      <c r="H16" s="3" t="str">
        <f t="shared" si="0"/>
        <v/>
      </c>
      <c r="I16" s="3" t="s">
        <v>92</v>
      </c>
      <c r="J16" s="4" t="s">
        <v>40</v>
      </c>
      <c r="K16" s="3">
        <v>46052</v>
      </c>
      <c r="L16" s="4" t="s">
        <v>41</v>
      </c>
      <c r="M16" s="48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93</v>
      </c>
      <c r="B17" s="4"/>
      <c r="C17" t="s">
        <v>94</v>
      </c>
      <c r="D17" t="str">
        <f>IF($C17="","",IFERROR(LOOKUP(2,1/('03_Warehouse_Movements'!$C$2:$C$500=$A17),'03_Warehouse_Movements'!$E$2:$E$500),$C17))</f>
        <v>SAMPLE: Keyboards &amp; Mice</v>
      </c>
      <c r="E17" t="s">
        <v>29</v>
      </c>
      <c r="F17" t="s">
        <v>38</v>
      </c>
      <c r="G17" s="25"/>
      <c r="H17" s="3" t="str">
        <f t="shared" si="0"/>
        <v/>
      </c>
      <c r="I17" s="3" t="s">
        <v>95</v>
      </c>
      <c r="J17" s="4" t="s">
        <v>40</v>
      </c>
      <c r="K17" s="3">
        <v>46052</v>
      </c>
      <c r="L17" s="4" t="s">
        <v>41</v>
      </c>
      <c r="M17" s="48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96</v>
      </c>
      <c r="B18" s="4"/>
      <c r="C18" t="s">
        <v>97</v>
      </c>
      <c r="D18" t="str">
        <f>IF($C18="","",IFERROR(LOOKUP(2,1/('03_Warehouse_Movements'!$C$2:$C$500=$A18),'03_Warehouse_Movements'!$E$2:$E$500),$C18))</f>
        <v>SAMPLE: Spare Parts</v>
      </c>
      <c r="E18" t="s">
        <v>29</v>
      </c>
      <c r="F18" t="s">
        <v>38</v>
      </c>
      <c r="G18" s="25"/>
      <c r="H18" s="3" t="str">
        <f t="shared" si="0"/>
        <v/>
      </c>
      <c r="I18" s="3" t="s">
        <v>98</v>
      </c>
      <c r="J18" s="4" t="s">
        <v>40</v>
      </c>
      <c r="K18" s="3">
        <v>46052</v>
      </c>
      <c r="L18" s="4" t="s">
        <v>41</v>
      </c>
      <c r="M18" s="48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99</v>
      </c>
      <c r="B19" s="4"/>
      <c r="C19" t="s">
        <v>100</v>
      </c>
      <c r="D19" t="str">
        <f>IF($C19="","",IFERROR(LOOKUP(2,1/('03_Warehouse_Movements'!$C$2:$C$500=$A19),'03_Warehouse_Movements'!$E$2:$E$500),$C19))</f>
        <v>PAL-0000019</v>
      </c>
      <c r="E19" t="s">
        <v>29</v>
      </c>
      <c r="F19" t="s">
        <v>38</v>
      </c>
      <c r="G19" s="25"/>
      <c r="H19" s="3" t="str">
        <f t="shared" si="0"/>
        <v/>
      </c>
      <c r="I19" s="3" t="s">
        <v>70</v>
      </c>
      <c r="J19" s="4" t="s">
        <v>40</v>
      </c>
      <c r="K19" s="3">
        <v>46052</v>
      </c>
      <c r="L19" s="4" t="s">
        <v>41</v>
      </c>
      <c r="M19" s="48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101</v>
      </c>
      <c r="B20" s="4"/>
      <c r="C20" t="s">
        <v>102</v>
      </c>
      <c r="D20" t="str">
        <f>IF($C20="","",IFERROR(LOOKUP(2,1/('03_Warehouse_Movements'!$C$2:$C$500=$A20),'03_Warehouse_Movements'!$E$2:$E$500),$C20))</f>
        <v>PAL-0000020</v>
      </c>
      <c r="E20" t="s">
        <v>29</v>
      </c>
      <c r="F20" t="s">
        <v>66</v>
      </c>
      <c r="G20" s="25">
        <v>14</v>
      </c>
      <c r="H20" s="3" t="str">
        <f t="shared" si="0"/>
        <v/>
      </c>
      <c r="I20" s="3" t="s">
        <v>73</v>
      </c>
      <c r="J20" s="4" t="s">
        <v>40</v>
      </c>
      <c r="K20" s="3">
        <v>46052</v>
      </c>
      <c r="L20" s="4" t="s">
        <v>41</v>
      </c>
      <c r="M20" s="48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103</v>
      </c>
      <c r="B21" s="4"/>
      <c r="C21" t="s">
        <v>104</v>
      </c>
      <c r="D21" t="str">
        <f>IF($C21="","",IFERROR(LOOKUP(2,1/('03_Warehouse_Movements'!$C$2:$C$500=$A21),'03_Warehouse_Movements'!$E$2:$E$500),$C21))</f>
        <v>PAL-0000021</v>
      </c>
      <c r="E21" t="s">
        <v>29</v>
      </c>
      <c r="F21" t="s">
        <v>38</v>
      </c>
      <c r="G21" s="25"/>
      <c r="H21" s="3" t="str">
        <f t="shared" si="0"/>
        <v/>
      </c>
      <c r="I21" s="3" t="s">
        <v>76</v>
      </c>
      <c r="J21" s="4" t="s">
        <v>40</v>
      </c>
      <c r="K21" s="3">
        <v>46052</v>
      </c>
      <c r="L21" s="4" t="s">
        <v>41</v>
      </c>
      <c r="M21" s="48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105</v>
      </c>
      <c r="B22" s="4"/>
      <c r="C22" t="s">
        <v>106</v>
      </c>
      <c r="D22" t="str">
        <f>IF($C22="","",IFERROR(LOOKUP(2,1/('03_Warehouse_Movements'!$C$2:$C$500=$A22),'03_Warehouse_Movements'!$E$2:$E$500),$C22))</f>
        <v>PAL-0000022</v>
      </c>
      <c r="E22" t="s">
        <v>29</v>
      </c>
      <c r="F22" t="s">
        <v>38</v>
      </c>
      <c r="G22" s="25"/>
      <c r="H22" s="3" t="str">
        <f t="shared" si="0"/>
        <v/>
      </c>
      <c r="I22" s="3" t="s">
        <v>80</v>
      </c>
      <c r="J22" s="4" t="s">
        <v>40</v>
      </c>
      <c r="K22" s="3">
        <v>46052</v>
      </c>
      <c r="L22" s="4" t="s">
        <v>41</v>
      </c>
      <c r="M22" s="48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107</v>
      </c>
      <c r="B23" s="4" t="s">
        <v>108</v>
      </c>
      <c r="C23" t="s">
        <v>109</v>
      </c>
      <c r="D23" t="str">
        <f>IF($C23="","",IFERROR(LOOKUP(2,1/('03_Warehouse_Movements'!$C$2:$C$500=$A23),'03_Warehouse_Movements'!$E$2:$E$500),$C23))</f>
        <v>PAL-0000023</v>
      </c>
      <c r="E23" t="s">
        <v>29</v>
      </c>
      <c r="F23" t="s">
        <v>38</v>
      </c>
      <c r="G23" s="25"/>
      <c r="H23" s="3" t="str">
        <f t="shared" si="0"/>
        <v/>
      </c>
      <c r="I23" s="3" t="s">
        <v>39</v>
      </c>
      <c r="J23" s="4" t="s">
        <v>40</v>
      </c>
      <c r="K23" s="3">
        <v>46052</v>
      </c>
      <c r="L23" s="4" t="s">
        <v>41</v>
      </c>
      <c r="M23" s="48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110</v>
      </c>
      <c r="B24" s="4"/>
      <c r="C24" t="s">
        <v>111</v>
      </c>
      <c r="D24" t="str">
        <f>IF($C24="","",IFERROR(LOOKUP(2,1/('03_Warehouse_Movements'!$C$2:$C$500=$A24),'03_Warehouse_Movements'!$E$2:$E$500),$C24))</f>
        <v>PAL-0000024</v>
      </c>
      <c r="E24" t="s">
        <v>29</v>
      </c>
      <c r="F24" t="s">
        <v>38</v>
      </c>
      <c r="G24" s="25"/>
      <c r="H24" s="3" t="str">
        <f t="shared" si="0"/>
        <v/>
      </c>
      <c r="I24" s="3" t="s">
        <v>85</v>
      </c>
      <c r="J24" s="4" t="s">
        <v>40</v>
      </c>
      <c r="K24" s="3">
        <v>46052</v>
      </c>
      <c r="L24" s="4" t="s">
        <v>41</v>
      </c>
      <c r="M24" s="48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112</v>
      </c>
      <c r="B25" s="4"/>
      <c r="C25" t="s">
        <v>113</v>
      </c>
      <c r="D25" t="str">
        <f>IF($C25="","",IFERROR(LOOKUP(2,1/('03_Warehouse_Movements'!$C$2:$C$500=$A25),'03_Warehouse_Movements'!$E$2:$E$500),$C25))</f>
        <v>PAL-0000025</v>
      </c>
      <c r="E25" t="s">
        <v>29</v>
      </c>
      <c r="F25" t="s">
        <v>38</v>
      </c>
      <c r="G25" s="25"/>
      <c r="H25" s="3" t="str">
        <f t="shared" si="0"/>
        <v/>
      </c>
      <c r="I25" s="3" t="s">
        <v>88</v>
      </c>
      <c r="J25" s="4" t="s">
        <v>40</v>
      </c>
      <c r="K25" s="3">
        <v>46052</v>
      </c>
      <c r="L25" s="4" t="s">
        <v>41</v>
      </c>
      <c r="M25" s="48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114</v>
      </c>
      <c r="B26" s="4"/>
      <c r="C26" t="s">
        <v>115</v>
      </c>
      <c r="D26" t="str">
        <f>IF($C26="","",IFERROR(LOOKUP(2,1/('03_Warehouse_Movements'!$C$2:$C$500=$A26),'03_Warehouse_Movements'!$E$2:$E$500),$C26))</f>
        <v>PAL-0000026</v>
      </c>
      <c r="E26" t="s">
        <v>29</v>
      </c>
      <c r="F26" t="s">
        <v>66</v>
      </c>
      <c r="G26" s="25">
        <v>14</v>
      </c>
      <c r="H26" s="3" t="str">
        <f t="shared" si="0"/>
        <v/>
      </c>
      <c r="I26" s="3" t="s">
        <v>92</v>
      </c>
      <c r="J26" s="4" t="s">
        <v>40</v>
      </c>
      <c r="K26" s="3">
        <v>46052</v>
      </c>
      <c r="L26" s="4" t="s">
        <v>41</v>
      </c>
      <c r="M26" s="48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116</v>
      </c>
      <c r="B27" s="4"/>
      <c r="C27" t="s">
        <v>117</v>
      </c>
      <c r="D27" t="str">
        <f>IF($C27="","",IFERROR(LOOKUP(2,1/('03_Warehouse_Movements'!$C$2:$C$500=$A27),'03_Warehouse_Movements'!$E$2:$E$500),$C27))</f>
        <v>PAL-0000027</v>
      </c>
      <c r="E27" t="s">
        <v>29</v>
      </c>
      <c r="F27" t="s">
        <v>38</v>
      </c>
      <c r="G27" s="25"/>
      <c r="H27" s="3" t="str">
        <f t="shared" si="0"/>
        <v/>
      </c>
      <c r="I27" s="3" t="s">
        <v>95</v>
      </c>
      <c r="J27" s="4" t="s">
        <v>40</v>
      </c>
      <c r="K27" s="3">
        <v>46052</v>
      </c>
      <c r="L27" s="4" t="s">
        <v>41</v>
      </c>
      <c r="M27" s="48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118</v>
      </c>
      <c r="B28" s="4"/>
      <c r="C28" t="s">
        <v>119</v>
      </c>
      <c r="D28" t="str">
        <f>IF($C28="","",IFERROR(LOOKUP(2,1/('03_Warehouse_Movements'!$C$2:$C$500=$A28),'03_Warehouse_Movements'!$E$2:$E$500),$C28))</f>
        <v>PAL-0000028</v>
      </c>
      <c r="E28" t="s">
        <v>29</v>
      </c>
      <c r="F28" t="s">
        <v>38</v>
      </c>
      <c r="G28" s="25"/>
      <c r="H28" s="3" t="str">
        <f t="shared" si="0"/>
        <v/>
      </c>
      <c r="I28" s="3" t="s">
        <v>98</v>
      </c>
      <c r="J28" s="4" t="s">
        <v>40</v>
      </c>
      <c r="K28" s="3">
        <v>46052</v>
      </c>
      <c r="L28" s="4" t="s">
        <v>41</v>
      </c>
      <c r="M28" s="48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120</v>
      </c>
      <c r="B29" s="4"/>
      <c r="C29" t="s">
        <v>121</v>
      </c>
      <c r="D29" t="str">
        <f>IF($C29="","",IFERROR(LOOKUP(2,1/('03_Warehouse_Movements'!$C$2:$C$500=$A29),'03_Warehouse_Movements'!$E$2:$E$500),$C29))</f>
        <v>PAL-0000029</v>
      </c>
      <c r="E29" t="s">
        <v>29</v>
      </c>
      <c r="F29" t="s">
        <v>38</v>
      </c>
      <c r="G29" s="25"/>
      <c r="H29" s="3" t="str">
        <f t="shared" si="0"/>
        <v/>
      </c>
      <c r="I29" s="3" t="s">
        <v>70</v>
      </c>
      <c r="J29" s="4" t="s">
        <v>40</v>
      </c>
      <c r="K29" s="3">
        <v>46052</v>
      </c>
      <c r="L29" s="4" t="s">
        <v>41</v>
      </c>
      <c r="M29" s="48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122</v>
      </c>
      <c r="B30" s="4" t="s">
        <v>123</v>
      </c>
      <c r="C30" t="s">
        <v>124</v>
      </c>
      <c r="D30" t="str">
        <f>IF($C30="","",IFERROR(LOOKUP(2,1/('03_Warehouse_Movements'!$C$2:$C$500=$A30),'03_Warehouse_Movements'!$E$2:$E$500),$C30))</f>
        <v>PAL-0000030</v>
      </c>
      <c r="E30" t="s">
        <v>29</v>
      </c>
      <c r="F30" t="s">
        <v>38</v>
      </c>
      <c r="G30" s="25"/>
      <c r="H30" s="3" t="str">
        <f t="shared" si="0"/>
        <v/>
      </c>
      <c r="I30" s="3" t="s">
        <v>73</v>
      </c>
      <c r="J30" s="4" t="s">
        <v>40</v>
      </c>
      <c r="K30" s="3">
        <v>46052</v>
      </c>
      <c r="L30" s="4" t="s">
        <v>41</v>
      </c>
      <c r="M30" s="48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125</v>
      </c>
      <c r="B31" s="4"/>
      <c r="C31" t="s">
        <v>126</v>
      </c>
      <c r="D31" t="str">
        <f>IF($C31="","",IFERROR(LOOKUP(2,1/('03_Warehouse_Movements'!$C$2:$C$500=$A31),'03_Warehouse_Movements'!$E$2:$E$500),$C31))</f>
        <v>PAL-0000031</v>
      </c>
      <c r="E31" t="s">
        <v>29</v>
      </c>
      <c r="F31" t="s">
        <v>38</v>
      </c>
      <c r="G31" s="25"/>
      <c r="H31" s="3" t="str">
        <f t="shared" si="0"/>
        <v/>
      </c>
      <c r="I31" s="3" t="s">
        <v>76</v>
      </c>
      <c r="J31" s="4" t="s">
        <v>40</v>
      </c>
      <c r="K31" s="3">
        <v>46052</v>
      </c>
      <c r="L31" s="4" t="s">
        <v>41</v>
      </c>
      <c r="M31" s="48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127</v>
      </c>
      <c r="B32" s="4"/>
      <c r="C32" t="s">
        <v>128</v>
      </c>
      <c r="D32" t="str">
        <f>IF($C32="","",IFERROR(LOOKUP(2,1/('03_Warehouse_Movements'!$C$2:$C$500=$A32),'03_Warehouse_Movements'!$E$2:$E$500),$C32))</f>
        <v>PAL-0000032</v>
      </c>
      <c r="E32" t="s">
        <v>29</v>
      </c>
      <c r="F32" t="s">
        <v>66</v>
      </c>
      <c r="G32" s="25">
        <v>14</v>
      </c>
      <c r="H32" s="3" t="str">
        <f t="shared" si="0"/>
        <v/>
      </c>
      <c r="I32" s="3" t="s">
        <v>80</v>
      </c>
      <c r="J32" s="4" t="s">
        <v>40</v>
      </c>
      <c r="K32" s="3">
        <v>46052</v>
      </c>
      <c r="L32" s="4" t="s">
        <v>41</v>
      </c>
      <c r="M32" s="48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129</v>
      </c>
      <c r="B33" s="4"/>
      <c r="C33" t="s">
        <v>130</v>
      </c>
      <c r="D33" t="str">
        <f>IF($C33="","",IFERROR(LOOKUP(2,1/('03_Warehouse_Movements'!$C$2:$C$500=$A33),'03_Warehouse_Movements'!$E$2:$E$500),$C33))</f>
        <v>PAL-0000033</v>
      </c>
      <c r="E33" t="s">
        <v>29</v>
      </c>
      <c r="F33" t="s">
        <v>38</v>
      </c>
      <c r="G33" s="25"/>
      <c r="H33" s="3" t="str">
        <f t="shared" si="0"/>
        <v/>
      </c>
      <c r="I33" s="3" t="s">
        <v>39</v>
      </c>
      <c r="J33" s="4" t="s">
        <v>40</v>
      </c>
      <c r="K33" s="3">
        <v>46052</v>
      </c>
      <c r="L33" s="4" t="s">
        <v>41</v>
      </c>
      <c r="M33" s="48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131</v>
      </c>
      <c r="B34" s="4"/>
      <c r="C34" t="s">
        <v>132</v>
      </c>
      <c r="D34" t="str">
        <f>IF($C34="","",IFERROR(LOOKUP(2,1/('03_Warehouse_Movements'!$C$2:$C$500=$A34),'03_Warehouse_Movements'!$E$2:$E$500),$C34))</f>
        <v>PAL-0000034</v>
      </c>
      <c r="E34" t="s">
        <v>29</v>
      </c>
      <c r="F34" t="s">
        <v>38</v>
      </c>
      <c r="G34" s="25"/>
      <c r="H34" s="3" t="str">
        <f t="shared" si="0"/>
        <v/>
      </c>
      <c r="I34" s="3" t="s">
        <v>85</v>
      </c>
      <c r="J34" s="4" t="s">
        <v>40</v>
      </c>
      <c r="K34" s="3">
        <v>46052</v>
      </c>
      <c r="L34" s="4" t="s">
        <v>41</v>
      </c>
      <c r="M34" s="48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133</v>
      </c>
      <c r="B35" s="4"/>
      <c r="C35" t="s">
        <v>134</v>
      </c>
      <c r="D35" t="str">
        <f>IF($C35="","",IFERROR(LOOKUP(2,1/('03_Warehouse_Movements'!$C$2:$C$500=$A35),'03_Warehouse_Movements'!$E$2:$E$500),$C35))</f>
        <v>PAL-0000035</v>
      </c>
      <c r="E35" t="s">
        <v>29</v>
      </c>
      <c r="F35" t="s">
        <v>38</v>
      </c>
      <c r="G35" s="25"/>
      <c r="H35" s="3" t="str">
        <f t="shared" si="0"/>
        <v/>
      </c>
      <c r="I35" s="3" t="s">
        <v>88</v>
      </c>
      <c r="J35" s="4" t="s">
        <v>40</v>
      </c>
      <c r="K35" s="3">
        <v>46052</v>
      </c>
      <c r="L35" s="4" t="s">
        <v>41</v>
      </c>
      <c r="M35" s="48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135</v>
      </c>
      <c r="B36" s="4"/>
      <c r="C36" t="s">
        <v>136</v>
      </c>
      <c r="D36" t="str">
        <f>IF($C36="","",IFERROR(LOOKUP(2,1/('03_Warehouse_Movements'!$C$2:$C$500=$A36),'03_Warehouse_Movements'!$E$2:$E$500),$C36))</f>
        <v>PAL-0000036</v>
      </c>
      <c r="E36" t="s">
        <v>29</v>
      </c>
      <c r="F36" t="s">
        <v>38</v>
      </c>
      <c r="G36" s="25"/>
      <c r="H36" s="3" t="str">
        <f t="shared" si="0"/>
        <v/>
      </c>
      <c r="I36" s="3" t="s">
        <v>92</v>
      </c>
      <c r="J36" s="4" t="s">
        <v>40</v>
      </c>
      <c r="K36" s="3">
        <v>46052</v>
      </c>
      <c r="L36" s="4" t="s">
        <v>41</v>
      </c>
      <c r="M36" s="48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137</v>
      </c>
      <c r="B37" s="4" t="s">
        <v>138</v>
      </c>
      <c r="C37" t="s">
        <v>139</v>
      </c>
      <c r="D37" t="str">
        <f>IF($C37="","",IFERROR(LOOKUP(2,1/('03_Warehouse_Movements'!$C$2:$C$500=$A37),'03_Warehouse_Movements'!$E$2:$E$500),$C37))</f>
        <v>PAL-0000037</v>
      </c>
      <c r="E37" t="s">
        <v>29</v>
      </c>
      <c r="F37" t="s">
        <v>38</v>
      </c>
      <c r="G37" s="25"/>
      <c r="H37" s="3" t="str">
        <f t="shared" si="0"/>
        <v/>
      </c>
      <c r="I37" s="3" t="s">
        <v>95</v>
      </c>
      <c r="J37" s="4" t="s">
        <v>40</v>
      </c>
      <c r="K37" s="3">
        <v>46052</v>
      </c>
      <c r="L37" s="4" t="s">
        <v>41</v>
      </c>
      <c r="M37" s="48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140</v>
      </c>
      <c r="B38" s="4"/>
      <c r="C38" t="s">
        <v>141</v>
      </c>
      <c r="D38" t="str">
        <f>IF($C38="","",IFERROR(LOOKUP(2,1/('03_Warehouse_Movements'!$C$2:$C$500=$A38),'03_Warehouse_Movements'!$E$2:$E$500),$C38))</f>
        <v>PAL-0000038</v>
      </c>
      <c r="E38" t="s">
        <v>29</v>
      </c>
      <c r="F38" t="s">
        <v>66</v>
      </c>
      <c r="G38" s="25">
        <v>14</v>
      </c>
      <c r="H38" s="3" t="str">
        <f t="shared" si="0"/>
        <v/>
      </c>
      <c r="I38" s="3" t="s">
        <v>98</v>
      </c>
      <c r="J38" s="4" t="s">
        <v>40</v>
      </c>
      <c r="K38" s="3">
        <v>46052</v>
      </c>
      <c r="L38" s="4" t="s">
        <v>41</v>
      </c>
      <c r="M38" s="48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142</v>
      </c>
      <c r="B39" s="4"/>
      <c r="C39" t="s">
        <v>143</v>
      </c>
      <c r="D39" t="str">
        <f>IF($C39="","",IFERROR(LOOKUP(2,1/('03_Warehouse_Movements'!$C$2:$C$500=$A39),'03_Warehouse_Movements'!$E$2:$E$500),$C39))</f>
        <v>PAL-0000039</v>
      </c>
      <c r="E39" t="s">
        <v>29</v>
      </c>
      <c r="F39" t="s">
        <v>38</v>
      </c>
      <c r="G39" s="25"/>
      <c r="H39" s="3" t="str">
        <f t="shared" si="0"/>
        <v/>
      </c>
      <c r="I39" s="3" t="s">
        <v>70</v>
      </c>
      <c r="J39" s="4" t="s">
        <v>40</v>
      </c>
      <c r="K39" s="3">
        <v>46052</v>
      </c>
      <c r="L39" s="4" t="s">
        <v>41</v>
      </c>
      <c r="M39" s="48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144</v>
      </c>
      <c r="B40" s="4"/>
      <c r="C40" t="s">
        <v>145</v>
      </c>
      <c r="D40" t="str">
        <f>IF($C40="","",IFERROR(LOOKUP(2,1/('03_Warehouse_Movements'!$C$2:$C$500=$A40),'03_Warehouse_Movements'!$E$2:$E$500),$C40))</f>
        <v>PAL-0000040</v>
      </c>
      <c r="E40" t="s">
        <v>29</v>
      </c>
      <c r="F40" t="s">
        <v>38</v>
      </c>
      <c r="G40" s="25"/>
      <c r="H40" s="3" t="str">
        <f t="shared" si="0"/>
        <v/>
      </c>
      <c r="I40" s="3" t="s">
        <v>73</v>
      </c>
      <c r="J40" s="4" t="s">
        <v>40</v>
      </c>
      <c r="K40" s="3">
        <v>46052</v>
      </c>
      <c r="L40" s="4" t="s">
        <v>41</v>
      </c>
      <c r="M40" s="48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146</v>
      </c>
      <c r="B41" s="4"/>
      <c r="C41" t="s">
        <v>147</v>
      </c>
      <c r="D41" t="str">
        <f>IF($C41="","",IFERROR(LOOKUP(2,1/('03_Warehouse_Movements'!$C$2:$C$500=$A41),'03_Warehouse_Movements'!$E$2:$E$500),$C41))</f>
        <v>PAL-0000041</v>
      </c>
      <c r="E41" t="s">
        <v>29</v>
      </c>
      <c r="F41" t="s">
        <v>38</v>
      </c>
      <c r="G41" s="25"/>
      <c r="H41" s="3" t="str">
        <f t="shared" si="0"/>
        <v/>
      </c>
      <c r="I41" s="3" t="s">
        <v>76</v>
      </c>
      <c r="J41" s="4" t="s">
        <v>40</v>
      </c>
      <c r="K41" s="3">
        <v>46052</v>
      </c>
      <c r="L41" s="4" t="s">
        <v>41</v>
      </c>
      <c r="M41" s="48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148</v>
      </c>
      <c r="B42" s="4"/>
      <c r="C42" t="s">
        <v>149</v>
      </c>
      <c r="D42" t="str">
        <f>IF($C42="","",IFERROR(LOOKUP(2,1/('03_Warehouse_Movements'!$C$2:$C$500=$A42),'03_Warehouse_Movements'!$E$2:$E$500),$C42))</f>
        <v>PAL-0000042</v>
      </c>
      <c r="E42" t="s">
        <v>29</v>
      </c>
      <c r="F42" t="s">
        <v>38</v>
      </c>
      <c r="G42" s="25"/>
      <c r="H42" s="3" t="str">
        <f t="shared" si="0"/>
        <v/>
      </c>
      <c r="I42" s="3" t="s">
        <v>80</v>
      </c>
      <c r="J42" s="4" t="s">
        <v>40</v>
      </c>
      <c r="K42" s="3">
        <v>46052</v>
      </c>
      <c r="L42" s="4" t="s">
        <v>41</v>
      </c>
      <c r="M42" s="48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150</v>
      </c>
      <c r="B43" s="4"/>
      <c r="C43" t="s">
        <v>151</v>
      </c>
      <c r="D43" t="str">
        <f>IF($C43="","",IFERROR(LOOKUP(2,1/('03_Warehouse_Movements'!$C$2:$C$500=$A43),'03_Warehouse_Movements'!$E$2:$E$500),$C43))</f>
        <v>PAL-0000043</v>
      </c>
      <c r="E43" t="s">
        <v>29</v>
      </c>
      <c r="F43" t="s">
        <v>38</v>
      </c>
      <c r="G43" s="25"/>
      <c r="H43" s="3" t="str">
        <f t="shared" si="0"/>
        <v/>
      </c>
      <c r="I43" s="3" t="s">
        <v>39</v>
      </c>
      <c r="J43" s="4" t="s">
        <v>40</v>
      </c>
      <c r="K43" s="3">
        <v>46052</v>
      </c>
      <c r="L43" s="4" t="s">
        <v>41</v>
      </c>
      <c r="M43" s="48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152</v>
      </c>
      <c r="B44" s="4" t="s">
        <v>153</v>
      </c>
      <c r="C44" t="s">
        <v>154</v>
      </c>
      <c r="D44" t="str">
        <f>IF($C44="","",IFERROR(LOOKUP(2,1/('03_Warehouse_Movements'!$C$2:$C$500=$A44),'03_Warehouse_Movements'!$E$2:$E$500),$C44))</f>
        <v>PAL-0000044</v>
      </c>
      <c r="E44" t="s">
        <v>29</v>
      </c>
      <c r="F44" t="s">
        <v>66</v>
      </c>
      <c r="G44" s="25">
        <v>14</v>
      </c>
      <c r="H44" s="3" t="str">
        <f t="shared" si="0"/>
        <v/>
      </c>
      <c r="I44" s="3" t="s">
        <v>85</v>
      </c>
      <c r="J44" s="4" t="s">
        <v>40</v>
      </c>
      <c r="K44" s="3">
        <v>46052</v>
      </c>
      <c r="L44" s="4" t="s">
        <v>41</v>
      </c>
      <c r="M44" s="48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155</v>
      </c>
      <c r="B45" s="4"/>
      <c r="C45" t="s">
        <v>156</v>
      </c>
      <c r="D45" t="str">
        <f>IF($C45="","",IFERROR(LOOKUP(2,1/('03_Warehouse_Movements'!$C$2:$C$500=$A45),'03_Warehouse_Movements'!$E$2:$E$500),$C45))</f>
        <v>PAL-0000045</v>
      </c>
      <c r="E45" t="s">
        <v>29</v>
      </c>
      <c r="F45" t="s">
        <v>38</v>
      </c>
      <c r="G45" s="25"/>
      <c r="H45" s="3" t="str">
        <f t="shared" si="0"/>
        <v/>
      </c>
      <c r="I45" s="3" t="s">
        <v>88</v>
      </c>
      <c r="J45" s="4" t="s">
        <v>40</v>
      </c>
      <c r="K45" s="3">
        <v>46052</v>
      </c>
      <c r="L45" s="4" t="s">
        <v>41</v>
      </c>
      <c r="M45" s="48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157</v>
      </c>
      <c r="B46" s="4"/>
      <c r="C46" t="s">
        <v>158</v>
      </c>
      <c r="D46" t="str">
        <f>IF($C46="","",IFERROR(LOOKUP(2,1/('03_Warehouse_Movements'!$C$2:$C$500=$A46),'03_Warehouse_Movements'!$E$2:$E$500),$C46))</f>
        <v>PAL-0000046</v>
      </c>
      <c r="E46" t="s">
        <v>29</v>
      </c>
      <c r="F46" t="s">
        <v>38</v>
      </c>
      <c r="G46" s="25"/>
      <c r="H46" s="3" t="str">
        <f t="shared" si="0"/>
        <v/>
      </c>
      <c r="I46" s="3" t="s">
        <v>92</v>
      </c>
      <c r="J46" s="4" t="s">
        <v>40</v>
      </c>
      <c r="K46" s="3">
        <v>46052</v>
      </c>
      <c r="L46" s="4" t="s">
        <v>41</v>
      </c>
      <c r="M46" s="48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159</v>
      </c>
      <c r="B47" s="4"/>
      <c r="C47" t="s">
        <v>160</v>
      </c>
      <c r="D47" t="str">
        <f>IF($C47="","",IFERROR(LOOKUP(2,1/('03_Warehouse_Movements'!$C$2:$C$500=$A47),'03_Warehouse_Movements'!$E$2:$E$500),$C47))</f>
        <v>PAL-0000047</v>
      </c>
      <c r="E47" t="s">
        <v>29</v>
      </c>
      <c r="F47" t="s">
        <v>38</v>
      </c>
      <c r="G47" s="25"/>
      <c r="H47" s="3" t="str">
        <f t="shared" si="0"/>
        <v/>
      </c>
      <c r="I47" s="3" t="s">
        <v>95</v>
      </c>
      <c r="J47" s="4" t="s">
        <v>40</v>
      </c>
      <c r="K47" s="3">
        <v>46052</v>
      </c>
      <c r="L47" s="4" t="s">
        <v>41</v>
      </c>
      <c r="M47" s="48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161</v>
      </c>
      <c r="B48" s="4"/>
      <c r="C48" t="s">
        <v>162</v>
      </c>
      <c r="D48" t="str">
        <f>IF($C48="","",IFERROR(LOOKUP(2,1/('03_Warehouse_Movements'!$C$2:$C$500=$A48),'03_Warehouse_Movements'!$E$2:$E$500),$C48))</f>
        <v>PAL-0000048</v>
      </c>
      <c r="E48" t="s">
        <v>29</v>
      </c>
      <c r="F48" t="s">
        <v>38</v>
      </c>
      <c r="G48" s="25"/>
      <c r="H48" s="3" t="str">
        <f t="shared" si="0"/>
        <v/>
      </c>
      <c r="I48" s="3" t="s">
        <v>98</v>
      </c>
      <c r="J48" s="4" t="s">
        <v>40</v>
      </c>
      <c r="K48" s="3">
        <v>46052</v>
      </c>
      <c r="L48" s="4" t="s">
        <v>41</v>
      </c>
      <c r="M48" s="48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163</v>
      </c>
      <c r="B49" s="4"/>
      <c r="C49" t="s">
        <v>164</v>
      </c>
      <c r="D49" t="str">
        <f>IF($C49="","",IFERROR(LOOKUP(2,1/('03_Warehouse_Movements'!$C$2:$C$500=$A49),'03_Warehouse_Movements'!$E$2:$E$500),$C49))</f>
        <v>PAL-0000049</v>
      </c>
      <c r="E49" t="s">
        <v>29</v>
      </c>
      <c r="F49" t="s">
        <v>38</v>
      </c>
      <c r="G49" s="25"/>
      <c r="H49" s="3" t="str">
        <f t="shared" si="0"/>
        <v/>
      </c>
      <c r="I49" s="3" t="s">
        <v>70</v>
      </c>
      <c r="J49" s="4" t="s">
        <v>40</v>
      </c>
      <c r="K49" s="3">
        <v>46052</v>
      </c>
      <c r="L49" s="4" t="s">
        <v>41</v>
      </c>
      <c r="M49" s="48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165</v>
      </c>
      <c r="B50" s="4"/>
      <c r="C50" t="s">
        <v>166</v>
      </c>
      <c r="D50" t="str">
        <f>IF($C50="","",IFERROR(LOOKUP(2,1/('03_Warehouse_Movements'!$C$2:$C$500=$A50),'03_Warehouse_Movements'!$E$2:$E$500),$C50))</f>
        <v>PAL-0000050</v>
      </c>
      <c r="E50" t="s">
        <v>29</v>
      </c>
      <c r="F50" t="s">
        <v>66</v>
      </c>
      <c r="G50" s="25">
        <v>14</v>
      </c>
      <c r="H50" s="3" t="str">
        <f t="shared" si="0"/>
        <v/>
      </c>
      <c r="I50" s="3" t="s">
        <v>73</v>
      </c>
      <c r="J50" s="4" t="s">
        <v>40</v>
      </c>
      <c r="K50" s="3">
        <v>46052</v>
      </c>
      <c r="L50" s="4" t="s">
        <v>41</v>
      </c>
      <c r="M50" s="48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167</v>
      </c>
      <c r="B51" s="4" t="s">
        <v>168</v>
      </c>
      <c r="C51" t="s">
        <v>169</v>
      </c>
      <c r="D51" t="str">
        <f>IF($C51="","",IFERROR(LOOKUP(2,1/('03_Warehouse_Movements'!$C$2:$C$500=$A51),'03_Warehouse_Movements'!$E$2:$E$500),$C51))</f>
        <v>RETIRED</v>
      </c>
      <c r="E51" t="s">
        <v>170</v>
      </c>
      <c r="F51" t="s">
        <v>38</v>
      </c>
      <c r="G51" s="25"/>
      <c r="H51" s="3" t="str">
        <f t="shared" si="0"/>
        <v/>
      </c>
      <c r="I51" s="3" t="s">
        <v>76</v>
      </c>
      <c r="J51" s="4" t="s">
        <v>40</v>
      </c>
      <c r="K51" s="3">
        <v>46052</v>
      </c>
      <c r="L51" s="4" t="s">
        <v>41</v>
      </c>
      <c r="M51" s="48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171</v>
      </c>
      <c r="B52" s="4"/>
      <c r="C52" t="s">
        <v>172</v>
      </c>
      <c r="D52" t="str">
        <f>IF($C52="","",IFERROR(LOOKUP(2,1/('03_Warehouse_Movements'!$C$2:$C$500=$A52),'03_Warehouse_Movements'!$E$2:$E$500),$C52))</f>
        <v>PAL-0000052</v>
      </c>
      <c r="E52" t="s">
        <v>170</v>
      </c>
      <c r="F52" t="s">
        <v>38</v>
      </c>
      <c r="G52" s="25"/>
      <c r="H52" s="3" t="str">
        <f t="shared" si="0"/>
        <v/>
      </c>
      <c r="I52" s="3" t="s">
        <v>80</v>
      </c>
      <c r="J52" s="4" t="s">
        <v>40</v>
      </c>
      <c r="K52" s="3">
        <v>46052</v>
      </c>
      <c r="L52" s="4" t="s">
        <v>41</v>
      </c>
      <c r="M52" s="48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173</v>
      </c>
      <c r="B53" s="4"/>
      <c r="C53" t="s">
        <v>174</v>
      </c>
      <c r="D53" t="str">
        <f>IF($C53="","",IFERROR(LOOKUP(2,1/('03_Warehouse_Movements'!$C$2:$C$500=$A53),'03_Warehouse_Movements'!$E$2:$E$500),$C53))</f>
        <v>PAL-0000053</v>
      </c>
      <c r="E53" t="s">
        <v>29</v>
      </c>
      <c r="F53" t="s">
        <v>38</v>
      </c>
      <c r="G53" s="25"/>
      <c r="H53" s="3" t="str">
        <f t="shared" si="0"/>
        <v/>
      </c>
      <c r="I53" s="3" t="s">
        <v>39</v>
      </c>
      <c r="J53" s="4" t="s">
        <v>40</v>
      </c>
      <c r="K53" s="3">
        <v>46052</v>
      </c>
      <c r="L53" s="4" t="s">
        <v>41</v>
      </c>
      <c r="M53" s="48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175</v>
      </c>
      <c r="B54" s="4"/>
      <c r="C54" t="s">
        <v>176</v>
      </c>
      <c r="D54" t="str">
        <f>IF($C54="","",IFERROR(LOOKUP(2,1/('03_Warehouse_Movements'!$C$2:$C$500=$A54),'03_Warehouse_Movements'!$E$2:$E$500),$C54))</f>
        <v>PAL-0000054</v>
      </c>
      <c r="E54" t="s">
        <v>29</v>
      </c>
      <c r="F54" t="s">
        <v>38</v>
      </c>
      <c r="G54" s="25"/>
      <c r="H54" s="3" t="str">
        <f t="shared" si="0"/>
        <v/>
      </c>
      <c r="I54" s="3" t="s">
        <v>85</v>
      </c>
      <c r="J54" s="4" t="s">
        <v>40</v>
      </c>
      <c r="K54" s="3">
        <v>46052</v>
      </c>
      <c r="L54" s="4" t="s">
        <v>41</v>
      </c>
      <c r="M54" s="48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177</v>
      </c>
      <c r="B55" s="4"/>
      <c r="C55" t="s">
        <v>178</v>
      </c>
      <c r="D55" t="str">
        <f>IF($C55="","",IFERROR(LOOKUP(2,1/('03_Warehouse_Movements'!$C$2:$C$500=$A55),'03_Warehouse_Movements'!$E$2:$E$500),$C55))</f>
        <v>PAL-0000055</v>
      </c>
      <c r="E55" t="s">
        <v>29</v>
      </c>
      <c r="F55" t="s">
        <v>38</v>
      </c>
      <c r="G55" s="25"/>
      <c r="H55" s="3" t="str">
        <f t="shared" si="0"/>
        <v/>
      </c>
      <c r="I55" s="3" t="s">
        <v>88</v>
      </c>
      <c r="J55" s="4" t="s">
        <v>40</v>
      </c>
      <c r="K55" s="3">
        <v>46052</v>
      </c>
      <c r="L55" s="4" t="s">
        <v>41</v>
      </c>
      <c r="M55" s="48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179</v>
      </c>
      <c r="B56" s="4"/>
      <c r="C56" t="s">
        <v>180</v>
      </c>
      <c r="D56" t="str">
        <f>IF($C56="","",IFERROR(LOOKUP(2,1/('03_Warehouse_Movements'!$C$2:$C$500=$A56),'03_Warehouse_Movements'!$E$2:$E$500),$C56))</f>
        <v>PAL-0000056</v>
      </c>
      <c r="E56" t="s">
        <v>29</v>
      </c>
      <c r="F56" t="s">
        <v>66</v>
      </c>
      <c r="G56" s="25">
        <v>14</v>
      </c>
      <c r="H56" s="3" t="str">
        <f t="shared" si="0"/>
        <v/>
      </c>
      <c r="I56" s="3" t="s">
        <v>92</v>
      </c>
      <c r="J56" s="4" t="s">
        <v>40</v>
      </c>
      <c r="K56" s="3">
        <v>46052</v>
      </c>
      <c r="L56" s="4" t="s">
        <v>41</v>
      </c>
      <c r="M56" s="48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181</v>
      </c>
      <c r="B57" s="4"/>
      <c r="C57" t="s">
        <v>182</v>
      </c>
      <c r="D57" t="str">
        <f>IF($C57="","",IFERROR(LOOKUP(2,1/('03_Warehouse_Movements'!$C$2:$C$500=$A57),'03_Warehouse_Movements'!$E$2:$E$500),$C57))</f>
        <v>PAL-0000057</v>
      </c>
      <c r="E57" t="s">
        <v>29</v>
      </c>
      <c r="F57" t="s">
        <v>38</v>
      </c>
      <c r="G57" s="25"/>
      <c r="H57" s="3" t="str">
        <f t="shared" si="0"/>
        <v/>
      </c>
      <c r="I57" s="3" t="s">
        <v>95</v>
      </c>
      <c r="J57" s="4" t="s">
        <v>40</v>
      </c>
      <c r="K57" s="3">
        <v>46052</v>
      </c>
      <c r="L57" s="4" t="s">
        <v>41</v>
      </c>
      <c r="M57" s="48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183</v>
      </c>
      <c r="B58" s="4" t="s">
        <v>184</v>
      </c>
      <c r="C58" t="s">
        <v>185</v>
      </c>
      <c r="D58" t="str">
        <f>IF($C58="","",IFERROR(LOOKUP(2,1/('03_Warehouse_Movements'!$C$2:$C$500=$A58),'03_Warehouse_Movements'!$E$2:$E$500),$C58))</f>
        <v>PAL-0000058</v>
      </c>
      <c r="E58" t="s">
        <v>29</v>
      </c>
      <c r="F58" t="s">
        <v>38</v>
      </c>
      <c r="G58" s="25"/>
      <c r="H58" s="3" t="str">
        <f t="shared" si="0"/>
        <v/>
      </c>
      <c r="I58" s="3" t="s">
        <v>98</v>
      </c>
      <c r="J58" s="4" t="s">
        <v>40</v>
      </c>
      <c r="K58" s="3">
        <v>46052</v>
      </c>
      <c r="L58" s="4" t="s">
        <v>41</v>
      </c>
      <c r="M58" s="48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186</v>
      </c>
      <c r="B59" s="4"/>
      <c r="C59" t="s">
        <v>187</v>
      </c>
      <c r="D59" t="str">
        <f>IF($C59="","",IFERROR(LOOKUP(2,1/('03_Warehouse_Movements'!$C$2:$C$500=$A59),'03_Warehouse_Movements'!$E$2:$E$500),$C59))</f>
        <v>PAL-0000059</v>
      </c>
      <c r="E59" t="s">
        <v>29</v>
      </c>
      <c r="F59" t="s">
        <v>38</v>
      </c>
      <c r="G59" s="25"/>
      <c r="H59" s="3" t="str">
        <f t="shared" si="0"/>
        <v/>
      </c>
      <c r="I59" s="3" t="s">
        <v>70</v>
      </c>
      <c r="J59" s="4" t="s">
        <v>40</v>
      </c>
      <c r="K59" s="3">
        <v>46052</v>
      </c>
      <c r="L59" s="4" t="s">
        <v>41</v>
      </c>
      <c r="M59" s="48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188</v>
      </c>
      <c r="B60" s="4"/>
      <c r="C60" t="s">
        <v>189</v>
      </c>
      <c r="D60" t="str">
        <f>IF($C60="","",IFERROR(LOOKUP(2,1/('03_Warehouse_Movements'!$C$2:$C$500=$A60),'03_Warehouse_Movements'!$E$2:$E$500),$C60))</f>
        <v>PAL-0000060</v>
      </c>
      <c r="E60" t="s">
        <v>29</v>
      </c>
      <c r="F60" t="s">
        <v>38</v>
      </c>
      <c r="G60" s="25"/>
      <c r="H60" s="3" t="str">
        <f t="shared" si="0"/>
        <v/>
      </c>
      <c r="I60" s="3" t="s">
        <v>73</v>
      </c>
      <c r="J60" s="4" t="s">
        <v>40</v>
      </c>
      <c r="K60" s="3">
        <v>46052</v>
      </c>
      <c r="L60" s="4" t="s">
        <v>41</v>
      </c>
      <c r="M60" s="48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190</v>
      </c>
      <c r="B61" s="4"/>
      <c r="C61" t="s">
        <v>191</v>
      </c>
      <c r="D61" t="str">
        <f>IF($C61="","",IFERROR(LOOKUP(2,1/('03_Warehouse_Movements'!$C$2:$C$500=$A61),'03_Warehouse_Movements'!$E$2:$E$500),$C61))</f>
        <v>PAL-0000061</v>
      </c>
      <c r="E61" t="s">
        <v>29</v>
      </c>
      <c r="F61" t="s">
        <v>38</v>
      </c>
      <c r="G61" s="25"/>
      <c r="H61" s="3" t="str">
        <f t="shared" si="0"/>
        <v/>
      </c>
      <c r="I61" s="3" t="s">
        <v>76</v>
      </c>
      <c r="J61" s="4" t="s">
        <v>40</v>
      </c>
      <c r="K61" s="3">
        <v>46052</v>
      </c>
      <c r="L61" s="4" t="s">
        <v>41</v>
      </c>
      <c r="M61" s="48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192</v>
      </c>
      <c r="B62" s="4"/>
      <c r="D62" t="str">
        <f>IF($C62="","",IFERROR(LOOKUP(2,1/('03_Warehouse_Movements'!$C$2:$C$500=$A62),'03_Warehouse_Movements'!$E$2:$E$500),$C62))</f>
        <v/>
      </c>
      <c r="E62" t="s">
        <v>29</v>
      </c>
      <c r="G62" s="25"/>
      <c r="H62" s="3" t="str">
        <f t="shared" si="0"/>
        <v/>
      </c>
      <c r="I62" s="3"/>
      <c r="J62" s="4"/>
      <c r="K62" s="3"/>
      <c r="L62" s="4"/>
      <c r="M62" s="48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193</v>
      </c>
      <c r="B63" s="4"/>
      <c r="D63" t="str">
        <f>IF($C63="","",IFERROR(LOOKUP(2,1/('03_Warehouse_Movements'!$C$2:$C$500=$A63),'03_Warehouse_Movements'!$E$2:$E$500),$C63))</f>
        <v/>
      </c>
      <c r="E63" t="s">
        <v>29</v>
      </c>
      <c r="G63" s="25"/>
      <c r="H63" s="3" t="str">
        <f t="shared" si="0"/>
        <v/>
      </c>
      <c r="I63" s="3"/>
      <c r="J63" s="4"/>
      <c r="K63" s="3"/>
      <c r="L63" s="4"/>
      <c r="M63" s="48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194</v>
      </c>
      <c r="B64" s="4"/>
      <c r="D64" t="str">
        <f>IF($C64="","",IFERROR(LOOKUP(2,1/('03_Warehouse_Movements'!$C$2:$C$500=$A64),'03_Warehouse_Movements'!$E$2:$E$500),$C64))</f>
        <v/>
      </c>
      <c r="E64" t="s">
        <v>29</v>
      </c>
      <c r="G64" s="25"/>
      <c r="H64" s="3" t="str">
        <f t="shared" si="0"/>
        <v/>
      </c>
      <c r="I64" s="3"/>
      <c r="J64" s="4"/>
      <c r="K64" s="3"/>
      <c r="L64" s="4"/>
      <c r="M64" s="48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195</v>
      </c>
      <c r="B65" s="4"/>
      <c r="D65" t="str">
        <f>IF($C65="","",IFERROR(LOOKUP(2,1/('03_Warehouse_Movements'!$C$2:$C$500=$A65),'03_Warehouse_Movements'!$E$2:$E$500),$C65))</f>
        <v/>
      </c>
      <c r="E65" t="s">
        <v>29</v>
      </c>
      <c r="G65" s="25"/>
      <c r="H65" s="3" t="str">
        <f t="shared" si="0"/>
        <v/>
      </c>
      <c r="I65" s="3"/>
      <c r="J65" s="4"/>
      <c r="K65" s="3"/>
      <c r="L65" s="4"/>
      <c r="M65" s="48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196</v>
      </c>
      <c r="B66" s="4"/>
      <c r="D66" t="str">
        <f>IF($C66="","",IFERROR(LOOKUP(2,1/('03_Warehouse_Movements'!$C$2:$C$500=$A66),'03_Warehouse_Movements'!$E$2:$E$500),$C66))</f>
        <v/>
      </c>
      <c r="E66" t="s">
        <v>29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48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197</v>
      </c>
      <c r="B67" s="4"/>
      <c r="D67" t="str">
        <f>IF($C67="","",IFERROR(LOOKUP(2,1/('03_Warehouse_Movements'!$C$2:$C$500=$A67),'03_Warehouse_Movements'!$E$2:$E$500),$C67))</f>
        <v/>
      </c>
      <c r="E67" t="s">
        <v>29</v>
      </c>
      <c r="G67" s="25"/>
      <c r="H67" s="3" t="str">
        <f t="shared" si="2"/>
        <v/>
      </c>
      <c r="I67" s="3"/>
      <c r="J67" s="4"/>
      <c r="K67" s="3"/>
      <c r="L67" s="4"/>
      <c r="M67" s="48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198</v>
      </c>
      <c r="B68" s="4"/>
      <c r="D68" t="str">
        <f>IF($C68="","",IFERROR(LOOKUP(2,1/('03_Warehouse_Movements'!$C$2:$C$500=$A68),'03_Warehouse_Movements'!$E$2:$E$500),$C68))</f>
        <v/>
      </c>
      <c r="E68" t="s">
        <v>29</v>
      </c>
      <c r="G68" s="25"/>
      <c r="H68" s="3" t="str">
        <f t="shared" si="2"/>
        <v/>
      </c>
      <c r="I68" s="3"/>
      <c r="J68" s="4"/>
      <c r="K68" s="3"/>
      <c r="L68" s="4"/>
      <c r="M68" s="48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199</v>
      </c>
      <c r="B69" s="4"/>
      <c r="D69" t="str">
        <f>IF($C69="","",IFERROR(LOOKUP(2,1/('03_Warehouse_Movements'!$C$2:$C$500=$A69),'03_Warehouse_Movements'!$E$2:$E$500),$C69))</f>
        <v/>
      </c>
      <c r="E69" t="s">
        <v>29</v>
      </c>
      <c r="G69" s="25"/>
      <c r="H69" s="3" t="str">
        <f t="shared" si="2"/>
        <v/>
      </c>
      <c r="I69" s="3"/>
      <c r="J69" s="4"/>
      <c r="K69" s="3"/>
      <c r="L69" s="4"/>
      <c r="M69" s="48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200</v>
      </c>
      <c r="B70" s="4"/>
      <c r="D70" t="str">
        <f>IF($C70="","",IFERROR(LOOKUP(2,1/('03_Warehouse_Movements'!$C$2:$C$500=$A70),'03_Warehouse_Movements'!$E$2:$E$500),$C70))</f>
        <v/>
      </c>
      <c r="E70" t="s">
        <v>29</v>
      </c>
      <c r="G70" s="25"/>
      <c r="H70" s="3" t="str">
        <f t="shared" si="2"/>
        <v/>
      </c>
      <c r="I70" s="3"/>
      <c r="J70" s="4"/>
      <c r="K70" s="3"/>
      <c r="L70" s="4"/>
      <c r="M70" s="48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201</v>
      </c>
      <c r="B71" s="4"/>
      <c r="D71" t="str">
        <f>IF($C71="","",IFERROR(LOOKUP(2,1/('03_Warehouse_Movements'!$C$2:$C$500=$A71),'03_Warehouse_Movements'!$E$2:$E$500),$C71))</f>
        <v/>
      </c>
      <c r="E71" t="s">
        <v>29</v>
      </c>
      <c r="G71" s="25"/>
      <c r="H71" s="3" t="str">
        <f t="shared" si="2"/>
        <v/>
      </c>
      <c r="I71" s="3"/>
      <c r="J71" s="4"/>
      <c r="K71" s="3"/>
      <c r="L71" s="4"/>
      <c r="M71" s="48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202</v>
      </c>
      <c r="B72" s="4"/>
      <c r="D72" t="str">
        <f>IF($C72="","",IFERROR(LOOKUP(2,1/('03_Warehouse_Movements'!$C$2:$C$500=$A72),'03_Warehouse_Movements'!$E$2:$E$500),$C72))</f>
        <v/>
      </c>
      <c r="E72" t="s">
        <v>29</v>
      </c>
      <c r="G72" s="25"/>
      <c r="H72" s="3" t="str">
        <f t="shared" si="2"/>
        <v/>
      </c>
      <c r="I72" s="3"/>
      <c r="J72" s="4"/>
      <c r="K72" s="3"/>
      <c r="L72" s="4"/>
      <c r="M72" s="48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203</v>
      </c>
      <c r="B73" s="4"/>
      <c r="D73" t="str">
        <f>IF($C73="","",IFERROR(LOOKUP(2,1/('03_Warehouse_Movements'!$C$2:$C$500=$A73),'03_Warehouse_Movements'!$E$2:$E$500),$C73))</f>
        <v/>
      </c>
      <c r="E73" t="s">
        <v>29</v>
      </c>
      <c r="G73" s="25"/>
      <c r="H73" s="3" t="str">
        <f t="shared" si="2"/>
        <v/>
      </c>
      <c r="I73" s="3"/>
      <c r="J73" s="4"/>
      <c r="K73" s="3"/>
      <c r="L73" s="4"/>
      <c r="M73" s="48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204</v>
      </c>
      <c r="B74" s="4"/>
      <c r="D74" t="str">
        <f>IF($C74="","",IFERROR(LOOKUP(2,1/('03_Warehouse_Movements'!$C$2:$C$500=$A74),'03_Warehouse_Movements'!$E$2:$E$500),$C74))</f>
        <v/>
      </c>
      <c r="E74" t="s">
        <v>29</v>
      </c>
      <c r="G74" s="25"/>
      <c r="H74" s="3" t="str">
        <f t="shared" si="2"/>
        <v/>
      </c>
      <c r="I74" s="3"/>
      <c r="J74" s="4"/>
      <c r="K74" s="3"/>
      <c r="L74" s="4"/>
      <c r="M74" s="48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205</v>
      </c>
      <c r="B75" s="4"/>
      <c r="D75" t="str">
        <f>IF($C75="","",IFERROR(LOOKUP(2,1/('03_Warehouse_Movements'!$C$2:$C$500=$A75),'03_Warehouse_Movements'!$E$2:$E$500),$C75))</f>
        <v/>
      </c>
      <c r="E75" t="s">
        <v>29</v>
      </c>
      <c r="G75" s="25"/>
      <c r="H75" s="3" t="str">
        <f t="shared" si="2"/>
        <v/>
      </c>
      <c r="I75" s="3"/>
      <c r="J75" s="4"/>
      <c r="K75" s="3"/>
      <c r="L75" s="4"/>
      <c r="M75" s="48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206</v>
      </c>
      <c r="B76" s="4"/>
      <c r="D76" t="str">
        <f>IF($C76="","",IFERROR(LOOKUP(2,1/('03_Warehouse_Movements'!$C$2:$C$500=$A76),'03_Warehouse_Movements'!$E$2:$E$500),$C76))</f>
        <v/>
      </c>
      <c r="E76" t="s">
        <v>29</v>
      </c>
      <c r="G76" s="25"/>
      <c r="H76" s="3" t="str">
        <f t="shared" si="2"/>
        <v/>
      </c>
      <c r="I76" s="3"/>
      <c r="J76" s="4"/>
      <c r="K76" s="3"/>
      <c r="L76" s="4"/>
      <c r="M76" s="48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207</v>
      </c>
      <c r="B77" s="4"/>
      <c r="D77" t="str">
        <f>IF($C77="","",IFERROR(LOOKUP(2,1/('03_Warehouse_Movements'!$C$2:$C$500=$A77),'03_Warehouse_Movements'!$E$2:$E$500),$C77))</f>
        <v/>
      </c>
      <c r="E77" t="s">
        <v>29</v>
      </c>
      <c r="G77" s="25"/>
      <c r="H77" s="3" t="str">
        <f t="shared" si="2"/>
        <v/>
      </c>
      <c r="I77" s="3"/>
      <c r="J77" s="4"/>
      <c r="K77" s="3"/>
      <c r="L77" s="4"/>
      <c r="M77" s="48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208</v>
      </c>
      <c r="B78" s="4"/>
      <c r="D78" t="str">
        <f>IF($C78="","",IFERROR(LOOKUP(2,1/('03_Warehouse_Movements'!$C$2:$C$500=$A78),'03_Warehouse_Movements'!$E$2:$E$500),$C78))</f>
        <v/>
      </c>
      <c r="E78" t="s">
        <v>29</v>
      </c>
      <c r="G78" s="25"/>
      <c r="H78" s="3" t="str">
        <f t="shared" si="2"/>
        <v/>
      </c>
      <c r="I78" s="3"/>
      <c r="J78" s="4"/>
      <c r="K78" s="3"/>
      <c r="L78" s="4"/>
      <c r="M78" s="48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209</v>
      </c>
      <c r="B79" s="4"/>
      <c r="D79" t="str">
        <f>IF($C79="","",IFERROR(LOOKUP(2,1/('03_Warehouse_Movements'!$C$2:$C$500=$A79),'03_Warehouse_Movements'!$E$2:$E$500),$C79))</f>
        <v/>
      </c>
      <c r="E79" t="s">
        <v>29</v>
      </c>
      <c r="G79" s="25"/>
      <c r="H79" s="3" t="str">
        <f t="shared" si="2"/>
        <v/>
      </c>
      <c r="I79" s="3"/>
      <c r="J79" s="4"/>
      <c r="K79" s="3"/>
      <c r="L79" s="4"/>
      <c r="M79" s="48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210</v>
      </c>
      <c r="B80" s="4"/>
      <c r="D80" t="str">
        <f>IF($C80="","",IFERROR(LOOKUP(2,1/('03_Warehouse_Movements'!$C$2:$C$500=$A80),'03_Warehouse_Movements'!$E$2:$E$500),$C80))</f>
        <v/>
      </c>
      <c r="E80" t="s">
        <v>29</v>
      </c>
      <c r="G80" s="25"/>
      <c r="H80" s="3" t="str">
        <f t="shared" si="2"/>
        <v/>
      </c>
      <c r="I80" s="3"/>
      <c r="J80" s="4"/>
      <c r="K80" s="3"/>
      <c r="L80" s="4"/>
      <c r="M80" s="48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211</v>
      </c>
      <c r="B81" s="4"/>
      <c r="D81" t="str">
        <f>IF($C81="","",IFERROR(LOOKUP(2,1/('03_Warehouse_Movements'!$C$2:$C$500=$A81),'03_Warehouse_Movements'!$E$2:$E$500),$C81))</f>
        <v/>
      </c>
      <c r="E81" t="s">
        <v>29</v>
      </c>
      <c r="G81" s="25"/>
      <c r="H81" s="3" t="str">
        <f t="shared" si="2"/>
        <v/>
      </c>
      <c r="I81" s="3"/>
      <c r="J81" s="4"/>
      <c r="K81" s="3"/>
      <c r="L81" s="4"/>
      <c r="M81" s="48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212</v>
      </c>
      <c r="B82" s="4"/>
      <c r="D82" t="str">
        <f>IF($C82="","",IFERROR(LOOKUP(2,1/('03_Warehouse_Movements'!$C$2:$C$500=$A82),'03_Warehouse_Movements'!$E$2:$E$500),$C82))</f>
        <v/>
      </c>
      <c r="E82" t="s">
        <v>29</v>
      </c>
      <c r="G82" s="25"/>
      <c r="H82" s="3" t="str">
        <f t="shared" si="2"/>
        <v/>
      </c>
      <c r="I82" s="3"/>
      <c r="J82" s="4"/>
      <c r="K82" s="3"/>
      <c r="L82" s="4"/>
      <c r="M82" s="48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213</v>
      </c>
      <c r="B83" s="4"/>
      <c r="D83" t="str">
        <f>IF($C83="","",IFERROR(LOOKUP(2,1/('03_Warehouse_Movements'!$C$2:$C$500=$A83),'03_Warehouse_Movements'!$E$2:$E$500),$C83))</f>
        <v/>
      </c>
      <c r="E83" t="s">
        <v>29</v>
      </c>
      <c r="G83" s="25"/>
      <c r="H83" s="3" t="str">
        <f t="shared" si="2"/>
        <v/>
      </c>
      <c r="I83" s="3"/>
      <c r="J83" s="4"/>
      <c r="K83" s="3"/>
      <c r="L83" s="4"/>
      <c r="M83" s="48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214</v>
      </c>
      <c r="B84" s="4"/>
      <c r="D84" t="str">
        <f>IF($C84="","",IFERROR(LOOKUP(2,1/('03_Warehouse_Movements'!$C$2:$C$500=$A84),'03_Warehouse_Movements'!$E$2:$E$500),$C84))</f>
        <v/>
      </c>
      <c r="E84" t="s">
        <v>29</v>
      </c>
      <c r="G84" s="25"/>
      <c r="H84" s="3" t="str">
        <f t="shared" si="2"/>
        <v/>
      </c>
      <c r="I84" s="3"/>
      <c r="J84" s="4"/>
      <c r="K84" s="3"/>
      <c r="L84" s="4"/>
      <c r="M84" s="48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215</v>
      </c>
      <c r="B85" s="4"/>
      <c r="D85" t="str">
        <f>IF($C85="","",IFERROR(LOOKUP(2,1/('03_Warehouse_Movements'!$C$2:$C$500=$A85),'03_Warehouse_Movements'!$E$2:$E$500),$C85))</f>
        <v/>
      </c>
      <c r="E85" t="s">
        <v>29</v>
      </c>
      <c r="G85" s="25"/>
      <c r="H85" s="3" t="str">
        <f t="shared" si="2"/>
        <v/>
      </c>
      <c r="I85" s="3"/>
      <c r="J85" s="4"/>
      <c r="K85" s="3"/>
      <c r="L85" s="4"/>
      <c r="M85" s="48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216</v>
      </c>
      <c r="B86" s="4"/>
      <c r="D86" t="str">
        <f>IF($C86="","",IFERROR(LOOKUP(2,1/('03_Warehouse_Movements'!$C$2:$C$500=$A86),'03_Warehouse_Movements'!$E$2:$E$500),$C86))</f>
        <v/>
      </c>
      <c r="E86" t="s">
        <v>29</v>
      </c>
      <c r="G86" s="25"/>
      <c r="H86" s="3" t="str">
        <f t="shared" si="2"/>
        <v/>
      </c>
      <c r="I86" s="3"/>
      <c r="J86" s="4"/>
      <c r="K86" s="3"/>
      <c r="L86" s="4"/>
      <c r="M86" s="48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217</v>
      </c>
      <c r="B87" s="4"/>
      <c r="D87" t="str">
        <f>IF($C87="","",IFERROR(LOOKUP(2,1/('03_Warehouse_Movements'!$C$2:$C$500=$A87),'03_Warehouse_Movements'!$E$2:$E$500),$C87))</f>
        <v/>
      </c>
      <c r="E87" t="s">
        <v>29</v>
      </c>
      <c r="G87" s="25"/>
      <c r="H87" s="3" t="str">
        <f t="shared" si="2"/>
        <v/>
      </c>
      <c r="I87" s="3"/>
      <c r="J87" s="4"/>
      <c r="K87" s="3"/>
      <c r="L87" s="4"/>
      <c r="M87" s="48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218</v>
      </c>
      <c r="B88" s="4"/>
      <c r="D88" t="str">
        <f>IF($C88="","",IFERROR(LOOKUP(2,1/('03_Warehouse_Movements'!$C$2:$C$500=$A88),'03_Warehouse_Movements'!$E$2:$E$500),$C88))</f>
        <v/>
      </c>
      <c r="E88" t="s">
        <v>29</v>
      </c>
      <c r="G88" s="25"/>
      <c r="H88" s="3" t="str">
        <f t="shared" si="2"/>
        <v/>
      </c>
      <c r="I88" s="3"/>
      <c r="J88" s="4"/>
      <c r="K88" s="3"/>
      <c r="L88" s="4"/>
      <c r="M88" s="48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219</v>
      </c>
      <c r="B89" s="4"/>
      <c r="D89" t="str">
        <f>IF($C89="","",IFERROR(LOOKUP(2,1/('03_Warehouse_Movements'!$C$2:$C$500=$A89),'03_Warehouse_Movements'!$E$2:$E$500),$C89))</f>
        <v/>
      </c>
      <c r="E89" t="s">
        <v>29</v>
      </c>
      <c r="G89" s="25"/>
      <c r="H89" s="3" t="str">
        <f t="shared" si="2"/>
        <v/>
      </c>
      <c r="I89" s="3"/>
      <c r="J89" s="4"/>
      <c r="K89" s="3"/>
      <c r="L89" s="4"/>
      <c r="M89" s="48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220</v>
      </c>
      <c r="B90" s="4"/>
      <c r="D90" t="str">
        <f>IF($C90="","",IFERROR(LOOKUP(2,1/('03_Warehouse_Movements'!$C$2:$C$500=$A90),'03_Warehouse_Movements'!$E$2:$E$500),$C90))</f>
        <v/>
      </c>
      <c r="E90" t="s">
        <v>29</v>
      </c>
      <c r="G90" s="25"/>
      <c r="H90" s="3" t="str">
        <f t="shared" si="2"/>
        <v/>
      </c>
      <c r="I90" s="3"/>
      <c r="J90" s="4"/>
      <c r="K90" s="3"/>
      <c r="L90" s="4"/>
      <c r="M90" s="48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221</v>
      </c>
      <c r="B91" s="4"/>
      <c r="D91" t="str">
        <f>IF($C91="","",IFERROR(LOOKUP(2,1/('03_Warehouse_Movements'!$C$2:$C$500=$A91),'03_Warehouse_Movements'!$E$2:$E$500),$C91))</f>
        <v/>
      </c>
      <c r="E91" t="s">
        <v>29</v>
      </c>
      <c r="G91" s="25"/>
      <c r="H91" s="3" t="str">
        <f t="shared" si="2"/>
        <v/>
      </c>
      <c r="I91" s="3"/>
      <c r="J91" s="4"/>
      <c r="K91" s="3"/>
      <c r="L91" s="4"/>
      <c r="M91" s="48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222</v>
      </c>
      <c r="B92" s="4"/>
      <c r="D92" t="str">
        <f>IF($C92="","",IFERROR(LOOKUP(2,1/('03_Warehouse_Movements'!$C$2:$C$500=$A92),'03_Warehouse_Movements'!$E$2:$E$500),$C92))</f>
        <v/>
      </c>
      <c r="E92" t="s">
        <v>29</v>
      </c>
      <c r="G92" s="25"/>
      <c r="H92" s="3" t="str">
        <f t="shared" si="2"/>
        <v/>
      </c>
      <c r="I92" s="3"/>
      <c r="J92" s="4"/>
      <c r="K92" s="3"/>
      <c r="L92" s="4"/>
      <c r="M92" s="48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223</v>
      </c>
      <c r="B93" s="4"/>
      <c r="D93" t="str">
        <f>IF($C93="","",IFERROR(LOOKUP(2,1/('03_Warehouse_Movements'!$C$2:$C$500=$A93),'03_Warehouse_Movements'!$E$2:$E$500),$C93))</f>
        <v/>
      </c>
      <c r="E93" t="s">
        <v>29</v>
      </c>
      <c r="G93" s="25"/>
      <c r="H93" s="3" t="str">
        <f t="shared" si="2"/>
        <v/>
      </c>
      <c r="I93" s="3"/>
      <c r="J93" s="4"/>
      <c r="K93" s="3"/>
      <c r="L93" s="4"/>
      <c r="M93" s="48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224</v>
      </c>
      <c r="B94" s="4"/>
      <c r="D94" t="str">
        <f>IF($C94="","",IFERROR(LOOKUP(2,1/('03_Warehouse_Movements'!$C$2:$C$500=$A94),'03_Warehouse_Movements'!$E$2:$E$500),$C94))</f>
        <v/>
      </c>
      <c r="E94" t="s">
        <v>29</v>
      </c>
      <c r="G94" s="25"/>
      <c r="H94" s="3" t="str">
        <f t="shared" si="2"/>
        <v/>
      </c>
      <c r="I94" s="3"/>
      <c r="J94" s="4"/>
      <c r="K94" s="3"/>
      <c r="L94" s="4"/>
      <c r="M94" s="48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225</v>
      </c>
      <c r="B95" s="4"/>
      <c r="D95" t="str">
        <f>IF($C95="","",IFERROR(LOOKUP(2,1/('03_Warehouse_Movements'!$C$2:$C$500=$A95),'03_Warehouse_Movements'!$E$2:$E$500),$C95))</f>
        <v/>
      </c>
      <c r="E95" t="s">
        <v>29</v>
      </c>
      <c r="G95" s="25"/>
      <c r="H95" s="3" t="str">
        <f t="shared" si="2"/>
        <v/>
      </c>
      <c r="I95" s="3"/>
      <c r="J95" s="4"/>
      <c r="K95" s="3"/>
      <c r="L95" s="4"/>
      <c r="M95" s="48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226</v>
      </c>
      <c r="B96" s="4"/>
      <c r="D96" t="str">
        <f>IF($C96="","",IFERROR(LOOKUP(2,1/('03_Warehouse_Movements'!$C$2:$C$500=$A96),'03_Warehouse_Movements'!$E$2:$E$500),$C96))</f>
        <v/>
      </c>
      <c r="E96" t="s">
        <v>29</v>
      </c>
      <c r="G96" s="25"/>
      <c r="H96" s="3" t="str">
        <f t="shared" si="2"/>
        <v/>
      </c>
      <c r="I96" s="3"/>
      <c r="J96" s="4"/>
      <c r="K96" s="3"/>
      <c r="L96" s="4"/>
      <c r="M96" s="48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227</v>
      </c>
      <c r="B97" s="4"/>
      <c r="D97" t="str">
        <f>IF($C97="","",IFERROR(LOOKUP(2,1/('03_Warehouse_Movements'!$C$2:$C$500=$A97),'03_Warehouse_Movements'!$E$2:$E$500),$C97))</f>
        <v/>
      </c>
      <c r="E97" t="s">
        <v>29</v>
      </c>
      <c r="G97" s="25"/>
      <c r="H97" s="3" t="str">
        <f t="shared" si="2"/>
        <v/>
      </c>
      <c r="I97" s="3"/>
      <c r="J97" s="4"/>
      <c r="K97" s="3"/>
      <c r="L97" s="4"/>
      <c r="M97" s="48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228</v>
      </c>
      <c r="B98" s="4"/>
      <c r="D98" t="str">
        <f>IF($C98="","",IFERROR(LOOKUP(2,1/('03_Warehouse_Movements'!$C$2:$C$500=$A98),'03_Warehouse_Movements'!$E$2:$E$500),$C98))</f>
        <v/>
      </c>
      <c r="E98" t="s">
        <v>29</v>
      </c>
      <c r="G98" s="25"/>
      <c r="H98" s="3" t="str">
        <f t="shared" si="2"/>
        <v/>
      </c>
      <c r="I98" s="3"/>
      <c r="J98" s="4"/>
      <c r="K98" s="3"/>
      <c r="L98" s="4"/>
      <c r="M98" s="48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229</v>
      </c>
      <c r="B99" s="4"/>
      <c r="D99" t="str">
        <f>IF($C99="","",IFERROR(LOOKUP(2,1/('03_Warehouse_Movements'!$C$2:$C$500=$A99),'03_Warehouse_Movements'!$E$2:$E$500),$C99))</f>
        <v/>
      </c>
      <c r="E99" t="s">
        <v>29</v>
      </c>
      <c r="G99" s="25"/>
      <c r="H99" s="3" t="str">
        <f t="shared" si="2"/>
        <v/>
      </c>
      <c r="I99" s="3"/>
      <c r="J99" s="4"/>
      <c r="K99" s="3"/>
      <c r="L99" s="4"/>
      <c r="M99" s="48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230</v>
      </c>
      <c r="B100" s="4"/>
      <c r="D100" t="str">
        <f>IF($C100="","",IFERROR(LOOKUP(2,1/('03_Warehouse_Movements'!$C$2:$C$500=$A100),'03_Warehouse_Movements'!$E$2:$E$500),$C100))</f>
        <v/>
      </c>
      <c r="E100" t="s">
        <v>29</v>
      </c>
      <c r="G100" s="25"/>
      <c r="H100" s="3" t="str">
        <f t="shared" si="2"/>
        <v/>
      </c>
      <c r="I100" s="3"/>
      <c r="J100" s="4"/>
      <c r="K100" s="3"/>
      <c r="L100" s="4"/>
      <c r="M100" s="48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231</v>
      </c>
      <c r="B101" s="4"/>
      <c r="D101" t="str">
        <f>IF($C101="","",IFERROR(LOOKUP(2,1/('03_Warehouse_Movements'!$C$2:$C$500=$A101),'03_Warehouse_Movements'!$E$2:$E$500),$C101))</f>
        <v/>
      </c>
      <c r="E101" t="s">
        <v>29</v>
      </c>
      <c r="G101" s="25"/>
      <c r="H101" s="3" t="str">
        <f t="shared" si="2"/>
        <v/>
      </c>
      <c r="I101" s="3"/>
      <c r="J101" s="4"/>
      <c r="K101" s="3"/>
      <c r="L101" s="4"/>
      <c r="M101" s="48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232</v>
      </c>
      <c r="B102" s="4"/>
      <c r="D102" t="str">
        <f>IF($C102="","",IFERROR(LOOKUP(2,1/('03_Warehouse_Movements'!$C$2:$C$500=$A102),'03_Warehouse_Movements'!$E$2:$E$500),$C102))</f>
        <v/>
      </c>
      <c r="E102" t="s">
        <v>29</v>
      </c>
      <c r="G102" s="25"/>
      <c r="H102" s="3" t="str">
        <f t="shared" si="2"/>
        <v/>
      </c>
      <c r="I102" s="3"/>
      <c r="J102" s="4"/>
      <c r="K102" s="3"/>
      <c r="L102" s="4"/>
      <c r="M102" s="48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233</v>
      </c>
      <c r="B103" s="4"/>
      <c r="D103" t="str">
        <f>IF($C103="","",IFERROR(LOOKUP(2,1/('03_Warehouse_Movements'!$C$2:$C$500=$A103),'03_Warehouse_Movements'!$E$2:$E$500),$C103))</f>
        <v/>
      </c>
      <c r="E103" t="s">
        <v>29</v>
      </c>
      <c r="G103" s="25"/>
      <c r="H103" s="3" t="str">
        <f t="shared" si="2"/>
        <v/>
      </c>
      <c r="I103" s="3"/>
      <c r="J103" s="4"/>
      <c r="K103" s="3"/>
      <c r="L103" s="4"/>
      <c r="M103" s="48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234</v>
      </c>
      <c r="B104" s="4"/>
      <c r="D104" t="str">
        <f>IF($C104="","",IFERROR(LOOKUP(2,1/('03_Warehouse_Movements'!$C$2:$C$500=$A104),'03_Warehouse_Movements'!$E$2:$E$500),$C104))</f>
        <v/>
      </c>
      <c r="E104" t="s">
        <v>29</v>
      </c>
      <c r="G104" s="25"/>
      <c r="H104" s="3" t="str">
        <f t="shared" si="2"/>
        <v/>
      </c>
      <c r="I104" s="3"/>
      <c r="J104" s="4"/>
      <c r="K104" s="3"/>
      <c r="L104" s="4"/>
      <c r="M104" s="48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235</v>
      </c>
      <c r="B105" s="4"/>
      <c r="D105" t="str">
        <f>IF($C105="","",IFERROR(LOOKUP(2,1/('03_Warehouse_Movements'!$C$2:$C$500=$A105),'03_Warehouse_Movements'!$E$2:$E$500),$C105))</f>
        <v/>
      </c>
      <c r="E105" t="s">
        <v>29</v>
      </c>
      <c r="G105" s="25"/>
      <c r="H105" s="3" t="str">
        <f t="shared" si="2"/>
        <v/>
      </c>
      <c r="I105" s="3"/>
      <c r="J105" s="4"/>
      <c r="K105" s="3"/>
      <c r="L105" s="4"/>
      <c r="M105" s="48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236</v>
      </c>
      <c r="B106" s="4"/>
      <c r="D106" t="str">
        <f>IF($C106="","",IFERROR(LOOKUP(2,1/('03_Warehouse_Movements'!$C$2:$C$500=$A106),'03_Warehouse_Movements'!$E$2:$E$500),$C106))</f>
        <v/>
      </c>
      <c r="E106" t="s">
        <v>29</v>
      </c>
      <c r="G106" s="25"/>
      <c r="H106" s="3" t="str">
        <f t="shared" si="2"/>
        <v/>
      </c>
      <c r="I106" s="3"/>
      <c r="J106" s="4"/>
      <c r="K106" s="3"/>
      <c r="L106" s="4"/>
      <c r="M106" s="48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237</v>
      </c>
      <c r="B107" s="4"/>
      <c r="D107" t="str">
        <f>IF($C107="","",IFERROR(LOOKUP(2,1/('03_Warehouse_Movements'!$C$2:$C$500=$A107),'03_Warehouse_Movements'!$E$2:$E$500),$C107))</f>
        <v/>
      </c>
      <c r="E107" t="s">
        <v>29</v>
      </c>
      <c r="G107" s="25"/>
      <c r="H107" s="3" t="str">
        <f t="shared" si="2"/>
        <v/>
      </c>
      <c r="I107" s="3"/>
      <c r="J107" s="4"/>
      <c r="K107" s="3"/>
      <c r="L107" s="4"/>
      <c r="M107" s="48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238</v>
      </c>
      <c r="B108" s="4"/>
      <c r="D108" t="str">
        <f>IF($C108="","",IFERROR(LOOKUP(2,1/('03_Warehouse_Movements'!$C$2:$C$500=$A108),'03_Warehouse_Movements'!$E$2:$E$500),$C108))</f>
        <v/>
      </c>
      <c r="E108" t="s">
        <v>29</v>
      </c>
      <c r="G108" s="25"/>
      <c r="H108" s="3" t="str">
        <f t="shared" si="2"/>
        <v/>
      </c>
      <c r="I108" s="3"/>
      <c r="J108" s="4"/>
      <c r="K108" s="3"/>
      <c r="L108" s="4"/>
      <c r="M108" s="48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239</v>
      </c>
      <c r="B109" s="4"/>
      <c r="D109" t="str">
        <f>IF($C109="","",IFERROR(LOOKUP(2,1/('03_Warehouse_Movements'!$C$2:$C$500=$A109),'03_Warehouse_Movements'!$E$2:$E$500),$C109))</f>
        <v/>
      </c>
      <c r="E109" t="s">
        <v>29</v>
      </c>
      <c r="G109" s="25"/>
      <c r="H109" s="3" t="str">
        <f t="shared" si="2"/>
        <v/>
      </c>
      <c r="I109" s="3"/>
      <c r="J109" s="4"/>
      <c r="K109" s="3"/>
      <c r="L109" s="4"/>
      <c r="M109" s="48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240</v>
      </c>
      <c r="B110" s="4"/>
      <c r="D110" t="str">
        <f>IF($C110="","",IFERROR(LOOKUP(2,1/('03_Warehouse_Movements'!$C$2:$C$500=$A110),'03_Warehouse_Movements'!$E$2:$E$500),$C110))</f>
        <v/>
      </c>
      <c r="E110" t="s">
        <v>29</v>
      </c>
      <c r="G110" s="25"/>
      <c r="H110" s="3" t="str">
        <f t="shared" si="2"/>
        <v/>
      </c>
      <c r="I110" s="3"/>
      <c r="J110" s="4"/>
      <c r="K110" s="3"/>
      <c r="L110" s="4"/>
      <c r="M110" s="48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241</v>
      </c>
      <c r="B111" s="4"/>
      <c r="D111" t="str">
        <f>IF($C111="","",IFERROR(LOOKUP(2,1/('03_Warehouse_Movements'!$C$2:$C$500=$A111),'03_Warehouse_Movements'!$E$2:$E$500),$C111))</f>
        <v/>
      </c>
      <c r="E111" t="s">
        <v>29</v>
      </c>
      <c r="G111" s="25"/>
      <c r="H111" s="3" t="str">
        <f t="shared" si="2"/>
        <v/>
      </c>
      <c r="I111" s="3"/>
      <c r="J111" s="4"/>
      <c r="K111" s="3"/>
      <c r="L111" s="4"/>
      <c r="M111" s="48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242</v>
      </c>
      <c r="B112" s="4"/>
      <c r="D112" t="str">
        <f>IF($C112="","",IFERROR(LOOKUP(2,1/('03_Warehouse_Movements'!$C$2:$C$500=$A112),'03_Warehouse_Movements'!$E$2:$E$500),$C112))</f>
        <v/>
      </c>
      <c r="E112" t="s">
        <v>29</v>
      </c>
      <c r="G112" s="25"/>
      <c r="H112" s="3" t="str">
        <f t="shared" si="2"/>
        <v/>
      </c>
      <c r="I112" s="3"/>
      <c r="J112" s="4"/>
      <c r="K112" s="3"/>
      <c r="L112" s="4"/>
      <c r="M112" s="48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243</v>
      </c>
      <c r="B113" s="4"/>
      <c r="D113" t="str">
        <f>IF($C113="","",IFERROR(LOOKUP(2,1/('03_Warehouse_Movements'!$C$2:$C$500=$A113),'03_Warehouse_Movements'!$E$2:$E$500),$C113))</f>
        <v/>
      </c>
      <c r="E113" t="s">
        <v>29</v>
      </c>
      <c r="G113" s="25"/>
      <c r="H113" s="3" t="str">
        <f t="shared" si="2"/>
        <v/>
      </c>
      <c r="I113" s="3"/>
      <c r="J113" s="4"/>
      <c r="K113" s="3"/>
      <c r="L113" s="4"/>
      <c r="M113" s="48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244</v>
      </c>
      <c r="B114" s="4"/>
      <c r="D114" t="str">
        <f>IF($C114="","",IFERROR(LOOKUP(2,1/('03_Warehouse_Movements'!$C$2:$C$500=$A114),'03_Warehouse_Movements'!$E$2:$E$500),$C114))</f>
        <v/>
      </c>
      <c r="E114" t="s">
        <v>29</v>
      </c>
      <c r="G114" s="25"/>
      <c r="H114" s="3" t="str">
        <f t="shared" si="2"/>
        <v/>
      </c>
      <c r="I114" s="3"/>
      <c r="J114" s="4"/>
      <c r="K114" s="3"/>
      <c r="L114" s="4"/>
      <c r="M114" s="48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245</v>
      </c>
      <c r="B115" s="4"/>
      <c r="D115" t="str">
        <f>IF($C115="","",IFERROR(LOOKUP(2,1/('03_Warehouse_Movements'!$C$2:$C$500=$A115),'03_Warehouse_Movements'!$E$2:$E$500),$C115))</f>
        <v/>
      </c>
      <c r="E115" t="s">
        <v>29</v>
      </c>
      <c r="G115" s="25"/>
      <c r="H115" s="3" t="str">
        <f t="shared" si="2"/>
        <v/>
      </c>
      <c r="I115" s="3"/>
      <c r="J115" s="4"/>
      <c r="K115" s="3"/>
      <c r="L115" s="4"/>
      <c r="M115" s="48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246</v>
      </c>
      <c r="B116" s="4"/>
      <c r="D116" t="str">
        <f>IF($C116="","",IFERROR(LOOKUP(2,1/('03_Warehouse_Movements'!$C$2:$C$500=$A116),'03_Warehouse_Movements'!$E$2:$E$500),$C116))</f>
        <v/>
      </c>
      <c r="E116" t="s">
        <v>29</v>
      </c>
      <c r="G116" s="25"/>
      <c r="H116" s="3" t="str">
        <f t="shared" si="2"/>
        <v/>
      </c>
      <c r="I116" s="3"/>
      <c r="J116" s="4"/>
      <c r="K116" s="3"/>
      <c r="L116" s="4"/>
      <c r="M116" s="48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247</v>
      </c>
      <c r="B117" s="4"/>
      <c r="D117" t="str">
        <f>IF($C117="","",IFERROR(LOOKUP(2,1/('03_Warehouse_Movements'!$C$2:$C$500=$A117),'03_Warehouse_Movements'!$E$2:$E$500),$C117))</f>
        <v/>
      </c>
      <c r="E117" t="s">
        <v>29</v>
      </c>
      <c r="G117" s="25"/>
      <c r="H117" s="3" t="str">
        <f t="shared" si="2"/>
        <v/>
      </c>
      <c r="I117" s="3"/>
      <c r="J117" s="4"/>
      <c r="K117" s="3"/>
      <c r="L117" s="4"/>
      <c r="M117" s="48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248</v>
      </c>
      <c r="B118" s="4"/>
      <c r="D118" t="str">
        <f>IF($C118="","",IFERROR(LOOKUP(2,1/('03_Warehouse_Movements'!$C$2:$C$500=$A118),'03_Warehouse_Movements'!$E$2:$E$500),$C118))</f>
        <v/>
      </c>
      <c r="E118" t="s">
        <v>29</v>
      </c>
      <c r="G118" s="25"/>
      <c r="H118" s="3" t="str">
        <f t="shared" si="2"/>
        <v/>
      </c>
      <c r="I118" s="3"/>
      <c r="J118" s="4"/>
      <c r="K118" s="3"/>
      <c r="L118" s="4"/>
      <c r="M118" s="48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249</v>
      </c>
      <c r="B119" s="4"/>
      <c r="D119" t="str">
        <f>IF($C119="","",IFERROR(LOOKUP(2,1/('03_Warehouse_Movements'!$C$2:$C$500=$A119),'03_Warehouse_Movements'!$E$2:$E$500),$C119))</f>
        <v/>
      </c>
      <c r="E119" t="s">
        <v>29</v>
      </c>
      <c r="G119" s="25"/>
      <c r="H119" s="3" t="str">
        <f t="shared" si="2"/>
        <v/>
      </c>
      <c r="I119" s="3"/>
      <c r="J119" s="4"/>
      <c r="K119" s="3"/>
      <c r="L119" s="4"/>
      <c r="M119" s="48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250</v>
      </c>
      <c r="B120" s="4"/>
      <c r="D120" t="str">
        <f>IF($C120="","",IFERROR(LOOKUP(2,1/('03_Warehouse_Movements'!$C$2:$C$500=$A120),'03_Warehouse_Movements'!$E$2:$E$500),$C120))</f>
        <v/>
      </c>
      <c r="E120" t="s">
        <v>29</v>
      </c>
      <c r="G120" s="25"/>
      <c r="H120" s="3" t="str">
        <f t="shared" si="2"/>
        <v/>
      </c>
      <c r="I120" s="3"/>
      <c r="J120" s="4"/>
      <c r="K120" s="3"/>
      <c r="L120" s="4"/>
      <c r="M120" s="48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251</v>
      </c>
      <c r="B121" s="4"/>
      <c r="D121" t="str">
        <f>IF($C121="","",IFERROR(LOOKUP(2,1/('03_Warehouse_Movements'!$C$2:$C$500=$A121),'03_Warehouse_Movements'!$E$2:$E$500),$C121))</f>
        <v/>
      </c>
      <c r="E121" t="s">
        <v>29</v>
      </c>
      <c r="G121" s="25"/>
      <c r="H121" s="3" t="str">
        <f t="shared" si="2"/>
        <v/>
      </c>
      <c r="I121" s="3"/>
      <c r="J121" s="4"/>
      <c r="K121" s="3"/>
      <c r="L121" s="4"/>
      <c r="M121" s="48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252</v>
      </c>
      <c r="B122" s="4"/>
      <c r="D122" t="str">
        <f>IF($C122="","",IFERROR(LOOKUP(2,1/('03_Warehouse_Movements'!$C$2:$C$500=$A122),'03_Warehouse_Movements'!$E$2:$E$500),$C122))</f>
        <v/>
      </c>
      <c r="E122" t="s">
        <v>29</v>
      </c>
      <c r="G122" s="25"/>
      <c r="H122" s="3" t="str">
        <f t="shared" si="2"/>
        <v/>
      </c>
      <c r="I122" s="3"/>
      <c r="J122" s="4"/>
      <c r="K122" s="3"/>
      <c r="L122" s="4"/>
      <c r="M122" s="48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253</v>
      </c>
      <c r="B123" s="4"/>
      <c r="D123" t="str">
        <f>IF($C123="","",IFERROR(LOOKUP(2,1/('03_Warehouse_Movements'!$C$2:$C$500=$A123),'03_Warehouse_Movements'!$E$2:$E$500),$C123))</f>
        <v/>
      </c>
      <c r="E123" t="s">
        <v>29</v>
      </c>
      <c r="G123" s="25"/>
      <c r="H123" s="3" t="str">
        <f t="shared" si="2"/>
        <v/>
      </c>
      <c r="I123" s="3"/>
      <c r="J123" s="4"/>
      <c r="K123" s="3"/>
      <c r="L123" s="4"/>
      <c r="M123" s="48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254</v>
      </c>
      <c r="B124" s="4"/>
      <c r="D124" t="str">
        <f>IF($C124="","",IFERROR(LOOKUP(2,1/('03_Warehouse_Movements'!$C$2:$C$500=$A124),'03_Warehouse_Movements'!$E$2:$E$500),$C124))</f>
        <v/>
      </c>
      <c r="E124" t="s">
        <v>29</v>
      </c>
      <c r="G124" s="25"/>
      <c r="H124" s="3" t="str">
        <f t="shared" si="2"/>
        <v/>
      </c>
      <c r="I124" s="3"/>
      <c r="J124" s="4"/>
      <c r="K124" s="3"/>
      <c r="L124" s="4"/>
      <c r="M124" s="48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255</v>
      </c>
      <c r="B125" s="4"/>
      <c r="D125" t="str">
        <f>IF($C125="","",IFERROR(LOOKUP(2,1/('03_Warehouse_Movements'!$C$2:$C$500=$A125),'03_Warehouse_Movements'!$E$2:$E$500),$C125))</f>
        <v/>
      </c>
      <c r="E125" t="s">
        <v>29</v>
      </c>
      <c r="G125" s="25"/>
      <c r="H125" s="3" t="str">
        <f t="shared" si="2"/>
        <v/>
      </c>
      <c r="I125" s="3"/>
      <c r="J125" s="4"/>
      <c r="K125" s="3"/>
      <c r="L125" s="4"/>
      <c r="M125" s="48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256</v>
      </c>
      <c r="B126" s="4"/>
      <c r="D126" t="str">
        <f>IF($C126="","",IFERROR(LOOKUP(2,1/('03_Warehouse_Movements'!$C$2:$C$500=$A126),'03_Warehouse_Movements'!$E$2:$E$500),$C126))</f>
        <v/>
      </c>
      <c r="E126" t="s">
        <v>29</v>
      </c>
      <c r="G126" s="25"/>
      <c r="H126" s="3" t="str">
        <f t="shared" si="2"/>
        <v/>
      </c>
      <c r="I126" s="3"/>
      <c r="J126" s="4"/>
      <c r="K126" s="3"/>
      <c r="L126" s="4"/>
      <c r="M126" s="48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257</v>
      </c>
      <c r="B127" s="4"/>
      <c r="D127" t="str">
        <f>IF($C127="","",IFERROR(LOOKUP(2,1/('03_Warehouse_Movements'!$C$2:$C$500=$A127),'03_Warehouse_Movements'!$E$2:$E$500),$C127))</f>
        <v/>
      </c>
      <c r="E127" t="s">
        <v>29</v>
      </c>
      <c r="G127" s="25"/>
      <c r="H127" s="3" t="str">
        <f t="shared" si="2"/>
        <v/>
      </c>
      <c r="I127" s="3"/>
      <c r="J127" s="4"/>
      <c r="K127" s="3"/>
      <c r="L127" s="4"/>
      <c r="M127" s="48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258</v>
      </c>
      <c r="B128" s="4"/>
      <c r="D128" t="str">
        <f>IF($C128="","",IFERROR(LOOKUP(2,1/('03_Warehouse_Movements'!$C$2:$C$500=$A128),'03_Warehouse_Movements'!$E$2:$E$500),$C128))</f>
        <v/>
      </c>
      <c r="E128" t="s">
        <v>29</v>
      </c>
      <c r="G128" s="25"/>
      <c r="H128" s="3" t="str">
        <f t="shared" si="2"/>
        <v/>
      </c>
      <c r="I128" s="3"/>
      <c r="J128" s="4"/>
      <c r="K128" s="3"/>
      <c r="L128" s="4"/>
      <c r="M128" s="48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259</v>
      </c>
      <c r="B129" s="4"/>
      <c r="D129" t="str">
        <f>IF($C129="","",IFERROR(LOOKUP(2,1/('03_Warehouse_Movements'!$C$2:$C$500=$A129),'03_Warehouse_Movements'!$E$2:$E$500),$C129))</f>
        <v/>
      </c>
      <c r="E129" t="s">
        <v>29</v>
      </c>
      <c r="G129" s="25"/>
      <c r="H129" s="3" t="str">
        <f t="shared" si="2"/>
        <v/>
      </c>
      <c r="I129" s="3"/>
      <c r="J129" s="4"/>
      <c r="K129" s="3"/>
      <c r="L129" s="4"/>
      <c r="M129" s="48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260</v>
      </c>
      <c r="B130" s="4"/>
      <c r="D130" t="str">
        <f>IF($C130="","",IFERROR(LOOKUP(2,1/('03_Warehouse_Movements'!$C$2:$C$500=$A130),'03_Warehouse_Movements'!$E$2:$E$500),$C130))</f>
        <v/>
      </c>
      <c r="E130" t="s">
        <v>29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48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261</v>
      </c>
      <c r="B131" s="4"/>
      <c r="D131" t="str">
        <f>IF($C131="","",IFERROR(LOOKUP(2,1/('03_Warehouse_Movements'!$C$2:$C$500=$A131),'03_Warehouse_Movements'!$E$2:$E$500),$C131))</f>
        <v/>
      </c>
      <c r="E131" t="s">
        <v>29</v>
      </c>
      <c r="G131" s="25"/>
      <c r="H131" s="3" t="str">
        <f t="shared" si="4"/>
        <v/>
      </c>
      <c r="I131" s="3"/>
      <c r="J131" s="4"/>
      <c r="K131" s="3"/>
      <c r="L131" s="4"/>
      <c r="M131" s="48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262</v>
      </c>
      <c r="B132" s="4"/>
      <c r="D132" t="str">
        <f>IF($C132="","",IFERROR(LOOKUP(2,1/('03_Warehouse_Movements'!$C$2:$C$500=$A132),'03_Warehouse_Movements'!$E$2:$E$500),$C132))</f>
        <v/>
      </c>
      <c r="E132" t="s">
        <v>29</v>
      </c>
      <c r="G132" s="25"/>
      <c r="H132" s="3" t="str">
        <f t="shared" si="4"/>
        <v/>
      </c>
      <c r="I132" s="3"/>
      <c r="J132" s="4"/>
      <c r="K132" s="3"/>
      <c r="L132" s="4"/>
      <c r="M132" s="48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263</v>
      </c>
      <c r="B133" s="4"/>
      <c r="D133" t="str">
        <f>IF($C133="","",IFERROR(LOOKUP(2,1/('03_Warehouse_Movements'!$C$2:$C$500=$A133),'03_Warehouse_Movements'!$E$2:$E$500),$C133))</f>
        <v/>
      </c>
      <c r="E133" t="s">
        <v>29</v>
      </c>
      <c r="G133" s="25"/>
      <c r="H133" s="3" t="str">
        <f t="shared" si="4"/>
        <v/>
      </c>
      <c r="I133" s="3"/>
      <c r="J133" s="4"/>
      <c r="K133" s="3"/>
      <c r="L133" s="4"/>
      <c r="M133" s="48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264</v>
      </c>
      <c r="B134" s="4"/>
      <c r="D134" t="str">
        <f>IF($C134="","",IFERROR(LOOKUP(2,1/('03_Warehouse_Movements'!$C$2:$C$500=$A134),'03_Warehouse_Movements'!$E$2:$E$500),$C134))</f>
        <v/>
      </c>
      <c r="E134" t="s">
        <v>29</v>
      </c>
      <c r="G134" s="25"/>
      <c r="H134" s="3" t="str">
        <f t="shared" si="4"/>
        <v/>
      </c>
      <c r="I134" s="3"/>
      <c r="J134" s="4"/>
      <c r="K134" s="3"/>
      <c r="L134" s="4"/>
      <c r="M134" s="48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265</v>
      </c>
      <c r="B135" s="4"/>
      <c r="D135" t="str">
        <f>IF($C135="","",IFERROR(LOOKUP(2,1/('03_Warehouse_Movements'!$C$2:$C$500=$A135),'03_Warehouse_Movements'!$E$2:$E$500),$C135))</f>
        <v/>
      </c>
      <c r="E135" t="s">
        <v>29</v>
      </c>
      <c r="G135" s="25"/>
      <c r="H135" s="3" t="str">
        <f t="shared" si="4"/>
        <v/>
      </c>
      <c r="I135" s="3"/>
      <c r="J135" s="4"/>
      <c r="K135" s="3"/>
      <c r="L135" s="4"/>
      <c r="M135" s="48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266</v>
      </c>
      <c r="B136" s="4"/>
      <c r="D136" t="str">
        <f>IF($C136="","",IFERROR(LOOKUP(2,1/('03_Warehouse_Movements'!$C$2:$C$500=$A136),'03_Warehouse_Movements'!$E$2:$E$500),$C136))</f>
        <v/>
      </c>
      <c r="E136" t="s">
        <v>29</v>
      </c>
      <c r="G136" s="25"/>
      <c r="H136" s="3" t="str">
        <f t="shared" si="4"/>
        <v/>
      </c>
      <c r="I136" s="3"/>
      <c r="J136" s="4"/>
      <c r="K136" s="3"/>
      <c r="L136" s="4"/>
      <c r="M136" s="48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267</v>
      </c>
      <c r="B137" s="4"/>
      <c r="D137" t="str">
        <f>IF($C137="","",IFERROR(LOOKUP(2,1/('03_Warehouse_Movements'!$C$2:$C$500=$A137),'03_Warehouse_Movements'!$E$2:$E$500),$C137))</f>
        <v/>
      </c>
      <c r="E137" t="s">
        <v>29</v>
      </c>
      <c r="G137" s="25"/>
      <c r="H137" s="3" t="str">
        <f t="shared" si="4"/>
        <v/>
      </c>
      <c r="I137" s="3"/>
      <c r="J137" s="4"/>
      <c r="K137" s="3"/>
      <c r="L137" s="4"/>
      <c r="M137" s="48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268</v>
      </c>
      <c r="B138" s="4"/>
      <c r="D138" t="str">
        <f>IF($C138="","",IFERROR(LOOKUP(2,1/('03_Warehouse_Movements'!$C$2:$C$500=$A138),'03_Warehouse_Movements'!$E$2:$E$500),$C138))</f>
        <v/>
      </c>
      <c r="E138" t="s">
        <v>29</v>
      </c>
      <c r="G138" s="25"/>
      <c r="H138" s="3" t="str">
        <f t="shared" si="4"/>
        <v/>
      </c>
      <c r="I138" s="3"/>
      <c r="J138" s="4"/>
      <c r="K138" s="3"/>
      <c r="L138" s="4"/>
      <c r="M138" s="48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269</v>
      </c>
      <c r="B139" s="4"/>
      <c r="D139" t="str">
        <f>IF($C139="","",IFERROR(LOOKUP(2,1/('03_Warehouse_Movements'!$C$2:$C$500=$A139),'03_Warehouse_Movements'!$E$2:$E$500),$C139))</f>
        <v/>
      </c>
      <c r="E139" t="s">
        <v>29</v>
      </c>
      <c r="G139" s="25"/>
      <c r="H139" s="3" t="str">
        <f t="shared" si="4"/>
        <v/>
      </c>
      <c r="I139" s="3"/>
      <c r="J139" s="4"/>
      <c r="K139" s="3"/>
      <c r="L139" s="4"/>
      <c r="M139" s="48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270</v>
      </c>
      <c r="B140" s="4"/>
      <c r="D140" t="str">
        <f>IF($C140="","",IFERROR(LOOKUP(2,1/('03_Warehouse_Movements'!$C$2:$C$500=$A140),'03_Warehouse_Movements'!$E$2:$E$500),$C140))</f>
        <v/>
      </c>
      <c r="E140" t="s">
        <v>29</v>
      </c>
      <c r="G140" s="25"/>
      <c r="H140" s="3" t="str">
        <f t="shared" si="4"/>
        <v/>
      </c>
      <c r="I140" s="3"/>
      <c r="J140" s="4"/>
      <c r="K140" s="3"/>
      <c r="L140" s="4"/>
      <c r="M140" s="48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271</v>
      </c>
      <c r="B141" s="4"/>
      <c r="D141" t="str">
        <f>IF($C141="","",IFERROR(LOOKUP(2,1/('03_Warehouse_Movements'!$C$2:$C$500=$A141),'03_Warehouse_Movements'!$E$2:$E$500),$C141))</f>
        <v/>
      </c>
      <c r="E141" t="s">
        <v>29</v>
      </c>
      <c r="G141" s="25"/>
      <c r="H141" s="3" t="str">
        <f t="shared" si="4"/>
        <v/>
      </c>
      <c r="I141" s="3"/>
      <c r="J141" s="4"/>
      <c r="K141" s="3"/>
      <c r="L141" s="4"/>
      <c r="M141" s="48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272</v>
      </c>
      <c r="B142" s="4"/>
      <c r="D142" t="str">
        <f>IF($C142="","",IFERROR(LOOKUP(2,1/('03_Warehouse_Movements'!$C$2:$C$500=$A142),'03_Warehouse_Movements'!$E$2:$E$500),$C142))</f>
        <v/>
      </c>
      <c r="E142" t="s">
        <v>29</v>
      </c>
      <c r="G142" s="25"/>
      <c r="H142" s="3" t="str">
        <f t="shared" si="4"/>
        <v/>
      </c>
      <c r="I142" s="3"/>
      <c r="J142" s="4"/>
      <c r="K142" s="3"/>
      <c r="L142" s="4"/>
      <c r="M142" s="48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273</v>
      </c>
      <c r="B143" s="4"/>
      <c r="D143" t="str">
        <f>IF($C143="","",IFERROR(LOOKUP(2,1/('03_Warehouse_Movements'!$C$2:$C$500=$A143),'03_Warehouse_Movements'!$E$2:$E$500),$C143))</f>
        <v/>
      </c>
      <c r="E143" t="s">
        <v>29</v>
      </c>
      <c r="G143" s="25"/>
      <c r="H143" s="3" t="str">
        <f t="shared" si="4"/>
        <v/>
      </c>
      <c r="I143" s="3"/>
      <c r="J143" s="4"/>
      <c r="K143" s="3"/>
      <c r="L143" s="4"/>
      <c r="M143" s="48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274</v>
      </c>
      <c r="B144" s="4"/>
      <c r="D144" t="str">
        <f>IF($C144="","",IFERROR(LOOKUP(2,1/('03_Warehouse_Movements'!$C$2:$C$500=$A144),'03_Warehouse_Movements'!$E$2:$E$500),$C144))</f>
        <v/>
      </c>
      <c r="E144" t="s">
        <v>29</v>
      </c>
      <c r="G144" s="25"/>
      <c r="H144" s="3" t="str">
        <f t="shared" si="4"/>
        <v/>
      </c>
      <c r="I144" s="3"/>
      <c r="J144" s="4"/>
      <c r="K144" s="3"/>
      <c r="L144" s="4"/>
      <c r="M144" s="48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275</v>
      </c>
      <c r="B145" s="4"/>
      <c r="D145" t="str">
        <f>IF($C145="","",IFERROR(LOOKUP(2,1/('03_Warehouse_Movements'!$C$2:$C$500=$A145),'03_Warehouse_Movements'!$E$2:$E$500),$C145))</f>
        <v/>
      </c>
      <c r="E145" t="s">
        <v>29</v>
      </c>
      <c r="G145" s="25"/>
      <c r="H145" s="3" t="str">
        <f t="shared" si="4"/>
        <v/>
      </c>
      <c r="I145" s="3"/>
      <c r="J145" s="4"/>
      <c r="K145" s="3"/>
      <c r="L145" s="4"/>
      <c r="M145" s="48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276</v>
      </c>
      <c r="B146" s="4"/>
      <c r="D146" t="str">
        <f>IF($C146="","",IFERROR(LOOKUP(2,1/('03_Warehouse_Movements'!$C$2:$C$500=$A146),'03_Warehouse_Movements'!$E$2:$E$500),$C146))</f>
        <v/>
      </c>
      <c r="E146" t="s">
        <v>29</v>
      </c>
      <c r="G146" s="25"/>
      <c r="H146" s="3" t="str">
        <f t="shared" si="4"/>
        <v/>
      </c>
      <c r="I146" s="3"/>
      <c r="J146" s="4"/>
      <c r="K146" s="3"/>
      <c r="L146" s="4"/>
      <c r="M146" s="48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277</v>
      </c>
      <c r="B147" s="4"/>
      <c r="D147" t="str">
        <f>IF($C147="","",IFERROR(LOOKUP(2,1/('03_Warehouse_Movements'!$C$2:$C$500=$A147),'03_Warehouse_Movements'!$E$2:$E$500),$C147))</f>
        <v/>
      </c>
      <c r="E147" t="s">
        <v>29</v>
      </c>
      <c r="G147" s="25"/>
      <c r="H147" s="3" t="str">
        <f t="shared" si="4"/>
        <v/>
      </c>
      <c r="I147" s="3"/>
      <c r="J147" s="4"/>
      <c r="K147" s="3"/>
      <c r="L147" s="4"/>
      <c r="M147" s="48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278</v>
      </c>
      <c r="B148" s="4"/>
      <c r="D148" t="str">
        <f>IF($C148="","",IFERROR(LOOKUP(2,1/('03_Warehouse_Movements'!$C$2:$C$500=$A148),'03_Warehouse_Movements'!$E$2:$E$500),$C148))</f>
        <v/>
      </c>
      <c r="E148" t="s">
        <v>29</v>
      </c>
      <c r="G148" s="25"/>
      <c r="H148" s="3" t="str">
        <f t="shared" si="4"/>
        <v/>
      </c>
      <c r="I148" s="3"/>
      <c r="J148" s="4"/>
      <c r="K148" s="3"/>
      <c r="L148" s="4"/>
      <c r="M148" s="48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279</v>
      </c>
      <c r="B149" s="4"/>
      <c r="D149" t="str">
        <f>IF($C149="","",IFERROR(LOOKUP(2,1/('03_Warehouse_Movements'!$C$2:$C$500=$A149),'03_Warehouse_Movements'!$E$2:$E$500),$C149))</f>
        <v/>
      </c>
      <c r="E149" t="s">
        <v>29</v>
      </c>
      <c r="G149" s="25"/>
      <c r="H149" s="3" t="str">
        <f t="shared" si="4"/>
        <v/>
      </c>
      <c r="I149" s="3"/>
      <c r="J149" s="4"/>
      <c r="K149" s="3"/>
      <c r="L149" s="4"/>
      <c r="M149" s="48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280</v>
      </c>
      <c r="B150" s="4"/>
      <c r="D150" t="str">
        <f>IF($C150="","",IFERROR(LOOKUP(2,1/('03_Warehouse_Movements'!$C$2:$C$500=$A150),'03_Warehouse_Movements'!$E$2:$E$500),$C150))</f>
        <v/>
      </c>
      <c r="E150" t="s">
        <v>29</v>
      </c>
      <c r="G150" s="25"/>
      <c r="H150" s="3" t="str">
        <f t="shared" si="4"/>
        <v/>
      </c>
      <c r="I150" s="3"/>
      <c r="J150" s="4"/>
      <c r="K150" s="3"/>
      <c r="L150" s="4"/>
      <c r="M150" s="48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281</v>
      </c>
      <c r="B151" s="4"/>
      <c r="D151" t="str">
        <f>IF($C151="","",IFERROR(LOOKUP(2,1/('03_Warehouse_Movements'!$C$2:$C$500=$A151),'03_Warehouse_Movements'!$E$2:$E$500),$C151))</f>
        <v/>
      </c>
      <c r="E151" t="s">
        <v>29</v>
      </c>
      <c r="G151" s="25"/>
      <c r="H151" s="3" t="str">
        <f t="shared" si="4"/>
        <v/>
      </c>
      <c r="I151" s="3"/>
      <c r="J151" s="4"/>
      <c r="K151" s="3"/>
      <c r="L151" s="4"/>
      <c r="M151" s="48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282</v>
      </c>
      <c r="B152" s="4"/>
      <c r="D152" t="str">
        <f>IF($C152="","",IFERROR(LOOKUP(2,1/('03_Warehouse_Movements'!$C$2:$C$500=$A152),'03_Warehouse_Movements'!$E$2:$E$500),$C152))</f>
        <v/>
      </c>
      <c r="E152" t="s">
        <v>29</v>
      </c>
      <c r="G152" s="25"/>
      <c r="H152" s="3" t="str">
        <f t="shared" si="4"/>
        <v/>
      </c>
      <c r="I152" s="3"/>
      <c r="J152" s="4"/>
      <c r="K152" s="3"/>
      <c r="L152" s="4"/>
      <c r="M152" s="48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283</v>
      </c>
      <c r="B153" s="4"/>
      <c r="D153" t="str">
        <f>IF($C153="","",IFERROR(LOOKUP(2,1/('03_Warehouse_Movements'!$C$2:$C$500=$A153),'03_Warehouse_Movements'!$E$2:$E$500),$C153))</f>
        <v/>
      </c>
      <c r="E153" t="s">
        <v>29</v>
      </c>
      <c r="G153" s="25"/>
      <c r="H153" s="3" t="str">
        <f t="shared" si="4"/>
        <v/>
      </c>
      <c r="I153" s="3"/>
      <c r="J153" s="4"/>
      <c r="K153" s="3"/>
      <c r="L153" s="4"/>
      <c r="M153" s="48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284</v>
      </c>
      <c r="B154" s="4"/>
      <c r="D154" t="str">
        <f>IF($C154="","",IFERROR(LOOKUP(2,1/('03_Warehouse_Movements'!$C$2:$C$500=$A154),'03_Warehouse_Movements'!$E$2:$E$500),$C154))</f>
        <v/>
      </c>
      <c r="E154" t="s">
        <v>29</v>
      </c>
      <c r="G154" s="25"/>
      <c r="H154" s="3" t="str">
        <f t="shared" si="4"/>
        <v/>
      </c>
      <c r="I154" s="3"/>
      <c r="J154" s="4"/>
      <c r="K154" s="3"/>
      <c r="L154" s="4"/>
      <c r="M154" s="48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285</v>
      </c>
      <c r="B155" s="4"/>
      <c r="D155" t="str">
        <f>IF($C155="","",IFERROR(LOOKUP(2,1/('03_Warehouse_Movements'!$C$2:$C$500=$A155),'03_Warehouse_Movements'!$E$2:$E$500),$C155))</f>
        <v/>
      </c>
      <c r="E155" t="s">
        <v>29</v>
      </c>
      <c r="G155" s="25"/>
      <c r="H155" s="3" t="str">
        <f t="shared" si="4"/>
        <v/>
      </c>
      <c r="I155" s="3"/>
      <c r="J155" s="4"/>
      <c r="K155" s="3"/>
      <c r="L155" s="4"/>
      <c r="M155" s="48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286</v>
      </c>
      <c r="B156" s="4"/>
      <c r="D156" t="str">
        <f>IF($C156="","",IFERROR(LOOKUP(2,1/('03_Warehouse_Movements'!$C$2:$C$500=$A156),'03_Warehouse_Movements'!$E$2:$E$500),$C156))</f>
        <v/>
      </c>
      <c r="E156" t="s">
        <v>29</v>
      </c>
      <c r="G156" s="25"/>
      <c r="H156" s="3" t="str">
        <f t="shared" si="4"/>
        <v/>
      </c>
      <c r="I156" s="3"/>
      <c r="J156" s="4"/>
      <c r="K156" s="3"/>
      <c r="L156" s="4"/>
      <c r="M156" s="48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287</v>
      </c>
      <c r="B157" s="4"/>
      <c r="D157" t="str">
        <f>IF($C157="","",IFERROR(LOOKUP(2,1/('03_Warehouse_Movements'!$C$2:$C$500=$A157),'03_Warehouse_Movements'!$E$2:$E$500),$C157))</f>
        <v/>
      </c>
      <c r="E157" t="s">
        <v>29</v>
      </c>
      <c r="G157" s="25"/>
      <c r="H157" s="3" t="str">
        <f t="shared" si="4"/>
        <v/>
      </c>
      <c r="I157" s="3"/>
      <c r="J157" s="4"/>
      <c r="K157" s="3"/>
      <c r="L157" s="4"/>
      <c r="M157" s="48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288</v>
      </c>
      <c r="B158" s="4"/>
      <c r="D158" t="str">
        <f>IF($C158="","",IFERROR(LOOKUP(2,1/('03_Warehouse_Movements'!$C$2:$C$500=$A158),'03_Warehouse_Movements'!$E$2:$E$500),$C158))</f>
        <v/>
      </c>
      <c r="E158" t="s">
        <v>29</v>
      </c>
      <c r="G158" s="25"/>
      <c r="H158" s="3" t="str">
        <f t="shared" si="4"/>
        <v/>
      </c>
      <c r="I158" s="3"/>
      <c r="J158" s="4"/>
      <c r="K158" s="3"/>
      <c r="L158" s="4"/>
      <c r="M158" s="48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289</v>
      </c>
      <c r="B159" s="4"/>
      <c r="D159" t="str">
        <f>IF($C159="","",IFERROR(LOOKUP(2,1/('03_Warehouse_Movements'!$C$2:$C$500=$A159),'03_Warehouse_Movements'!$E$2:$E$500),$C159))</f>
        <v/>
      </c>
      <c r="E159" t="s">
        <v>29</v>
      </c>
      <c r="G159" s="25"/>
      <c r="H159" s="3" t="str">
        <f t="shared" si="4"/>
        <v/>
      </c>
      <c r="I159" s="3"/>
      <c r="J159" s="4"/>
      <c r="K159" s="3"/>
      <c r="L159" s="4"/>
      <c r="M159" s="48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290</v>
      </c>
      <c r="B160" s="4"/>
      <c r="D160" t="str">
        <f>IF($C160="","",IFERROR(LOOKUP(2,1/('03_Warehouse_Movements'!$C$2:$C$500=$A160),'03_Warehouse_Movements'!$E$2:$E$500),$C160))</f>
        <v/>
      </c>
      <c r="E160" t="s">
        <v>29</v>
      </c>
      <c r="G160" s="25"/>
      <c r="H160" s="3" t="str">
        <f t="shared" si="4"/>
        <v/>
      </c>
      <c r="I160" s="3"/>
      <c r="J160" s="4"/>
      <c r="K160" s="3"/>
      <c r="L160" s="4"/>
      <c r="M160" s="48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291</v>
      </c>
      <c r="B161" s="4"/>
      <c r="D161" t="str">
        <f>IF($C161="","",IFERROR(LOOKUP(2,1/('03_Warehouse_Movements'!$C$2:$C$500=$A161),'03_Warehouse_Movements'!$E$2:$E$500),$C161))</f>
        <v/>
      </c>
      <c r="E161" t="s">
        <v>29</v>
      </c>
      <c r="G161" s="25"/>
      <c r="H161" s="3" t="str">
        <f t="shared" si="4"/>
        <v/>
      </c>
      <c r="I161" s="3"/>
      <c r="J161" s="4"/>
      <c r="K161" s="3"/>
      <c r="L161" s="4"/>
      <c r="M161" s="48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292</v>
      </c>
      <c r="B162" s="4"/>
      <c r="D162" t="str">
        <f>IF($C162="","",IFERROR(LOOKUP(2,1/('03_Warehouse_Movements'!$C$2:$C$500=$A162),'03_Warehouse_Movements'!$E$2:$E$500),$C162))</f>
        <v/>
      </c>
      <c r="E162" t="s">
        <v>29</v>
      </c>
      <c r="G162" s="25"/>
      <c r="H162" s="3" t="str">
        <f t="shared" si="4"/>
        <v/>
      </c>
      <c r="I162" s="3"/>
      <c r="J162" s="4"/>
      <c r="K162" s="3"/>
      <c r="L162" s="4"/>
      <c r="M162" s="48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293</v>
      </c>
      <c r="B163" s="4"/>
      <c r="D163" t="str">
        <f>IF($C163="","",IFERROR(LOOKUP(2,1/('03_Warehouse_Movements'!$C$2:$C$500=$A163),'03_Warehouse_Movements'!$E$2:$E$500),$C163))</f>
        <v/>
      </c>
      <c r="E163" t="s">
        <v>29</v>
      </c>
      <c r="G163" s="25"/>
      <c r="H163" s="3" t="str">
        <f t="shared" si="4"/>
        <v/>
      </c>
      <c r="I163" s="3"/>
      <c r="J163" s="4"/>
      <c r="K163" s="3"/>
      <c r="L163" s="4"/>
      <c r="M163" s="48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294</v>
      </c>
      <c r="B164" s="4"/>
      <c r="D164" t="str">
        <f>IF($C164="","",IFERROR(LOOKUP(2,1/('03_Warehouse_Movements'!$C$2:$C$500=$A164),'03_Warehouse_Movements'!$E$2:$E$500),$C164))</f>
        <v/>
      </c>
      <c r="E164" t="s">
        <v>29</v>
      </c>
      <c r="G164" s="25"/>
      <c r="H164" s="3" t="str">
        <f t="shared" si="4"/>
        <v/>
      </c>
      <c r="I164" s="3"/>
      <c r="J164" s="4"/>
      <c r="K164" s="3"/>
      <c r="L164" s="4"/>
      <c r="M164" s="48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295</v>
      </c>
      <c r="B165" s="4"/>
      <c r="D165" t="str">
        <f>IF($C165="","",IFERROR(LOOKUP(2,1/('03_Warehouse_Movements'!$C$2:$C$500=$A165),'03_Warehouse_Movements'!$E$2:$E$500),$C165))</f>
        <v/>
      </c>
      <c r="E165" t="s">
        <v>29</v>
      </c>
      <c r="G165" s="25"/>
      <c r="H165" s="3" t="str">
        <f t="shared" si="4"/>
        <v/>
      </c>
      <c r="I165" s="3"/>
      <c r="J165" s="4"/>
      <c r="K165" s="3"/>
      <c r="L165" s="4"/>
      <c r="M165" s="48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296</v>
      </c>
      <c r="B166" s="4"/>
      <c r="D166" t="str">
        <f>IF($C166="","",IFERROR(LOOKUP(2,1/('03_Warehouse_Movements'!$C$2:$C$500=$A166),'03_Warehouse_Movements'!$E$2:$E$500),$C166))</f>
        <v/>
      </c>
      <c r="E166" t="s">
        <v>29</v>
      </c>
      <c r="G166" s="25"/>
      <c r="H166" s="3" t="str">
        <f t="shared" si="4"/>
        <v/>
      </c>
      <c r="I166" s="3"/>
      <c r="J166" s="4"/>
      <c r="K166" s="3"/>
      <c r="L166" s="4"/>
      <c r="M166" s="48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297</v>
      </c>
      <c r="B167" s="4"/>
      <c r="D167" t="str">
        <f>IF($C167="","",IFERROR(LOOKUP(2,1/('03_Warehouse_Movements'!$C$2:$C$500=$A167),'03_Warehouse_Movements'!$E$2:$E$500),$C167))</f>
        <v/>
      </c>
      <c r="E167" t="s">
        <v>29</v>
      </c>
      <c r="G167" s="25"/>
      <c r="H167" s="3" t="str">
        <f t="shared" si="4"/>
        <v/>
      </c>
      <c r="I167" s="3"/>
      <c r="J167" s="4"/>
      <c r="K167" s="3"/>
      <c r="L167" s="4"/>
      <c r="M167" s="48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298</v>
      </c>
      <c r="B168" s="4"/>
      <c r="D168" t="str">
        <f>IF($C168="","",IFERROR(LOOKUP(2,1/('03_Warehouse_Movements'!$C$2:$C$500=$A168),'03_Warehouse_Movements'!$E$2:$E$500),$C168))</f>
        <v/>
      </c>
      <c r="E168" t="s">
        <v>29</v>
      </c>
      <c r="G168" s="25"/>
      <c r="H168" s="3" t="str">
        <f t="shared" si="4"/>
        <v/>
      </c>
      <c r="I168" s="3"/>
      <c r="J168" s="4"/>
      <c r="K168" s="3"/>
      <c r="L168" s="4"/>
      <c r="M168" s="48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299</v>
      </c>
      <c r="B169" s="4"/>
      <c r="D169" t="str">
        <f>IF($C169="","",IFERROR(LOOKUP(2,1/('03_Warehouse_Movements'!$C$2:$C$500=$A169),'03_Warehouse_Movements'!$E$2:$E$500),$C169))</f>
        <v/>
      </c>
      <c r="E169" t="s">
        <v>29</v>
      </c>
      <c r="G169" s="25"/>
      <c r="H169" s="3" t="str">
        <f t="shared" si="4"/>
        <v/>
      </c>
      <c r="I169" s="3"/>
      <c r="J169" s="4"/>
      <c r="K169" s="3"/>
      <c r="L169" s="4"/>
      <c r="M169" s="48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300</v>
      </c>
      <c r="B170" s="4"/>
      <c r="D170" t="str">
        <f>IF($C170="","",IFERROR(LOOKUP(2,1/('03_Warehouse_Movements'!$C$2:$C$500=$A170),'03_Warehouse_Movements'!$E$2:$E$500),$C170))</f>
        <v/>
      </c>
      <c r="E170" t="s">
        <v>29</v>
      </c>
      <c r="G170" s="25"/>
      <c r="H170" s="3" t="str">
        <f t="shared" si="4"/>
        <v/>
      </c>
      <c r="I170" s="3"/>
      <c r="J170" s="4"/>
      <c r="K170" s="3"/>
      <c r="L170" s="4"/>
      <c r="M170" s="48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301</v>
      </c>
      <c r="B171" s="4"/>
      <c r="D171" t="str">
        <f>IF($C171="","",IFERROR(LOOKUP(2,1/('03_Warehouse_Movements'!$C$2:$C$500=$A171),'03_Warehouse_Movements'!$E$2:$E$500),$C171))</f>
        <v/>
      </c>
      <c r="E171" t="s">
        <v>29</v>
      </c>
      <c r="G171" s="25"/>
      <c r="H171" s="3" t="str">
        <f t="shared" si="4"/>
        <v/>
      </c>
      <c r="I171" s="3"/>
      <c r="J171" s="4"/>
      <c r="K171" s="3"/>
      <c r="L171" s="4"/>
      <c r="M171" s="48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302</v>
      </c>
      <c r="B172" s="4"/>
      <c r="D172" t="str">
        <f>IF($C172="","",IFERROR(LOOKUP(2,1/('03_Warehouse_Movements'!$C$2:$C$500=$A172),'03_Warehouse_Movements'!$E$2:$E$500),$C172))</f>
        <v/>
      </c>
      <c r="E172" t="s">
        <v>29</v>
      </c>
      <c r="G172" s="25"/>
      <c r="H172" s="3" t="str">
        <f t="shared" si="4"/>
        <v/>
      </c>
      <c r="I172" s="3"/>
      <c r="J172" s="4"/>
      <c r="K172" s="3"/>
      <c r="L172" s="4"/>
      <c r="M172" s="48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303</v>
      </c>
      <c r="B173" s="4"/>
      <c r="D173" t="str">
        <f>IF($C173="","",IFERROR(LOOKUP(2,1/('03_Warehouse_Movements'!$C$2:$C$500=$A173),'03_Warehouse_Movements'!$E$2:$E$500),$C173))</f>
        <v/>
      </c>
      <c r="E173" t="s">
        <v>29</v>
      </c>
      <c r="G173" s="25"/>
      <c r="H173" s="3" t="str">
        <f t="shared" si="4"/>
        <v/>
      </c>
      <c r="I173" s="3"/>
      <c r="J173" s="4"/>
      <c r="K173" s="3"/>
      <c r="L173" s="4"/>
      <c r="M173" s="48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304</v>
      </c>
      <c r="B174" s="4"/>
      <c r="D174" t="str">
        <f>IF($C174="","",IFERROR(LOOKUP(2,1/('03_Warehouse_Movements'!$C$2:$C$500=$A174),'03_Warehouse_Movements'!$E$2:$E$500),$C174))</f>
        <v/>
      </c>
      <c r="E174" t="s">
        <v>29</v>
      </c>
      <c r="G174" s="25"/>
      <c r="H174" s="3" t="str">
        <f t="shared" si="4"/>
        <v/>
      </c>
      <c r="I174" s="3"/>
      <c r="J174" s="4"/>
      <c r="K174" s="3"/>
      <c r="L174" s="4"/>
      <c r="M174" s="48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305</v>
      </c>
      <c r="B175" s="4"/>
      <c r="D175" t="str">
        <f>IF($C175="","",IFERROR(LOOKUP(2,1/('03_Warehouse_Movements'!$C$2:$C$500=$A175),'03_Warehouse_Movements'!$E$2:$E$500),$C175))</f>
        <v/>
      </c>
      <c r="E175" t="s">
        <v>29</v>
      </c>
      <c r="G175" s="25"/>
      <c r="H175" s="3" t="str">
        <f t="shared" si="4"/>
        <v/>
      </c>
      <c r="I175" s="3"/>
      <c r="J175" s="4"/>
      <c r="K175" s="3"/>
      <c r="L175" s="4"/>
      <c r="M175" s="48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306</v>
      </c>
      <c r="B176" s="4"/>
      <c r="D176" t="str">
        <f>IF($C176="","",IFERROR(LOOKUP(2,1/('03_Warehouse_Movements'!$C$2:$C$500=$A176),'03_Warehouse_Movements'!$E$2:$E$500),$C176))</f>
        <v/>
      </c>
      <c r="E176" t="s">
        <v>29</v>
      </c>
      <c r="G176" s="25"/>
      <c r="H176" s="3" t="str">
        <f t="shared" si="4"/>
        <v/>
      </c>
      <c r="I176" s="3"/>
      <c r="J176" s="4"/>
      <c r="K176" s="3"/>
      <c r="L176" s="4"/>
      <c r="M176" s="48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307</v>
      </c>
      <c r="B177" s="4"/>
      <c r="D177" t="str">
        <f>IF($C177="","",IFERROR(LOOKUP(2,1/('03_Warehouse_Movements'!$C$2:$C$500=$A177),'03_Warehouse_Movements'!$E$2:$E$500),$C177))</f>
        <v/>
      </c>
      <c r="E177" t="s">
        <v>29</v>
      </c>
      <c r="G177" s="25"/>
      <c r="H177" s="3" t="str">
        <f t="shared" si="4"/>
        <v/>
      </c>
      <c r="I177" s="3"/>
      <c r="J177" s="4"/>
      <c r="K177" s="3"/>
      <c r="L177" s="4"/>
      <c r="M177" s="48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308</v>
      </c>
      <c r="B178" s="4"/>
      <c r="D178" t="str">
        <f>IF($C178="","",IFERROR(LOOKUP(2,1/('03_Warehouse_Movements'!$C$2:$C$500=$A178),'03_Warehouse_Movements'!$E$2:$E$500),$C178))</f>
        <v/>
      </c>
      <c r="E178" t="s">
        <v>29</v>
      </c>
      <c r="G178" s="25"/>
      <c r="H178" s="3" t="str">
        <f t="shared" si="4"/>
        <v/>
      </c>
      <c r="I178" s="3"/>
      <c r="J178" s="4"/>
      <c r="K178" s="3"/>
      <c r="L178" s="4"/>
      <c r="M178" s="48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309</v>
      </c>
      <c r="B179" s="4"/>
      <c r="D179" t="str">
        <f>IF($C179="","",IFERROR(LOOKUP(2,1/('03_Warehouse_Movements'!$C$2:$C$500=$A179),'03_Warehouse_Movements'!$E$2:$E$500),$C179))</f>
        <v/>
      </c>
      <c r="E179" t="s">
        <v>29</v>
      </c>
      <c r="G179" s="25"/>
      <c r="H179" s="3" t="str">
        <f t="shared" si="4"/>
        <v/>
      </c>
      <c r="I179" s="3"/>
      <c r="J179" s="4"/>
      <c r="K179" s="3"/>
      <c r="L179" s="4"/>
      <c r="M179" s="48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310</v>
      </c>
      <c r="B180" s="4"/>
      <c r="D180" t="str">
        <f>IF($C180="","",IFERROR(LOOKUP(2,1/('03_Warehouse_Movements'!$C$2:$C$500=$A180),'03_Warehouse_Movements'!$E$2:$E$500),$C180))</f>
        <v/>
      </c>
      <c r="E180" t="s">
        <v>29</v>
      </c>
      <c r="G180" s="25"/>
      <c r="H180" s="3" t="str">
        <f t="shared" si="4"/>
        <v/>
      </c>
      <c r="I180" s="3"/>
      <c r="J180" s="4"/>
      <c r="K180" s="3"/>
      <c r="L180" s="4"/>
      <c r="M180" s="48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311</v>
      </c>
      <c r="B181" s="4"/>
      <c r="D181" t="str">
        <f>IF($C181="","",IFERROR(LOOKUP(2,1/('03_Warehouse_Movements'!$C$2:$C$500=$A181),'03_Warehouse_Movements'!$E$2:$E$500),$C181))</f>
        <v/>
      </c>
      <c r="E181" t="s">
        <v>29</v>
      </c>
      <c r="G181" s="25"/>
      <c r="H181" s="3" t="str">
        <f t="shared" si="4"/>
        <v/>
      </c>
      <c r="I181" s="3"/>
      <c r="J181" s="4"/>
      <c r="K181" s="3"/>
      <c r="L181" s="4"/>
      <c r="M181" s="48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312</v>
      </c>
      <c r="B182" s="4"/>
      <c r="D182" t="str">
        <f>IF($C182="","",IFERROR(LOOKUP(2,1/('03_Warehouse_Movements'!$C$2:$C$500=$A182),'03_Warehouse_Movements'!$E$2:$E$500),$C182))</f>
        <v/>
      </c>
      <c r="E182" t="s">
        <v>29</v>
      </c>
      <c r="G182" s="25"/>
      <c r="H182" s="3" t="str">
        <f t="shared" si="4"/>
        <v/>
      </c>
      <c r="I182" s="3"/>
      <c r="J182" s="4"/>
      <c r="K182" s="3"/>
      <c r="L182" s="4"/>
      <c r="M182" s="48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313</v>
      </c>
      <c r="B183" s="4"/>
      <c r="D183" t="str">
        <f>IF($C183="","",IFERROR(LOOKUP(2,1/('03_Warehouse_Movements'!$C$2:$C$500=$A183),'03_Warehouse_Movements'!$E$2:$E$500),$C183))</f>
        <v/>
      </c>
      <c r="E183" t="s">
        <v>29</v>
      </c>
      <c r="G183" s="25"/>
      <c r="H183" s="3" t="str">
        <f t="shared" si="4"/>
        <v/>
      </c>
      <c r="I183" s="3"/>
      <c r="J183" s="4"/>
      <c r="K183" s="3"/>
      <c r="L183" s="4"/>
      <c r="M183" s="48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314</v>
      </c>
      <c r="B184" s="4"/>
      <c r="D184" t="str">
        <f>IF($C184="","",IFERROR(LOOKUP(2,1/('03_Warehouse_Movements'!$C$2:$C$500=$A184),'03_Warehouse_Movements'!$E$2:$E$500),$C184))</f>
        <v/>
      </c>
      <c r="E184" t="s">
        <v>29</v>
      </c>
      <c r="G184" s="25"/>
      <c r="H184" s="3" t="str">
        <f t="shared" si="4"/>
        <v/>
      </c>
      <c r="I184" s="3"/>
      <c r="J184" s="4"/>
      <c r="K184" s="3"/>
      <c r="L184" s="4"/>
      <c r="M184" s="48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315</v>
      </c>
      <c r="B185" s="4"/>
      <c r="D185" t="str">
        <f>IF($C185="","",IFERROR(LOOKUP(2,1/('03_Warehouse_Movements'!$C$2:$C$500=$A185),'03_Warehouse_Movements'!$E$2:$E$500),$C185))</f>
        <v/>
      </c>
      <c r="E185" t="s">
        <v>29</v>
      </c>
      <c r="G185" s="25"/>
      <c r="H185" s="3" t="str">
        <f t="shared" si="4"/>
        <v/>
      </c>
      <c r="I185" s="3"/>
      <c r="J185" s="4"/>
      <c r="K185" s="3"/>
      <c r="L185" s="4"/>
      <c r="M185" s="48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316</v>
      </c>
      <c r="B186" s="4"/>
      <c r="D186" t="str">
        <f>IF($C186="","",IFERROR(LOOKUP(2,1/('03_Warehouse_Movements'!$C$2:$C$500=$A186),'03_Warehouse_Movements'!$E$2:$E$500),$C186))</f>
        <v/>
      </c>
      <c r="E186" t="s">
        <v>29</v>
      </c>
      <c r="G186" s="25"/>
      <c r="H186" s="3" t="str">
        <f t="shared" si="4"/>
        <v/>
      </c>
      <c r="I186" s="3"/>
      <c r="J186" s="4"/>
      <c r="K186" s="3"/>
      <c r="L186" s="4"/>
      <c r="M186" s="48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317</v>
      </c>
      <c r="B187" s="4"/>
      <c r="D187" t="str">
        <f>IF($C187="","",IFERROR(LOOKUP(2,1/('03_Warehouse_Movements'!$C$2:$C$500=$A187),'03_Warehouse_Movements'!$E$2:$E$500),$C187))</f>
        <v/>
      </c>
      <c r="E187" t="s">
        <v>29</v>
      </c>
      <c r="G187" s="25"/>
      <c r="H187" s="3" t="str">
        <f t="shared" si="4"/>
        <v/>
      </c>
      <c r="I187" s="3"/>
      <c r="J187" s="4"/>
      <c r="K187" s="3"/>
      <c r="L187" s="4"/>
      <c r="M187" s="48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318</v>
      </c>
      <c r="B188" s="4"/>
      <c r="D188" t="str">
        <f>IF($C188="","",IFERROR(LOOKUP(2,1/('03_Warehouse_Movements'!$C$2:$C$500=$A188),'03_Warehouse_Movements'!$E$2:$E$500),$C188))</f>
        <v/>
      </c>
      <c r="E188" t="s">
        <v>29</v>
      </c>
      <c r="G188" s="25"/>
      <c r="H188" s="3" t="str">
        <f t="shared" si="4"/>
        <v/>
      </c>
      <c r="I188" s="3"/>
      <c r="J188" s="4"/>
      <c r="K188" s="3"/>
      <c r="L188" s="4"/>
      <c r="M188" s="48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319</v>
      </c>
      <c r="B189" s="4"/>
      <c r="D189" t="str">
        <f>IF($C189="","",IFERROR(LOOKUP(2,1/('03_Warehouse_Movements'!$C$2:$C$500=$A189),'03_Warehouse_Movements'!$E$2:$E$500),$C189))</f>
        <v/>
      </c>
      <c r="E189" t="s">
        <v>29</v>
      </c>
      <c r="G189" s="25"/>
      <c r="H189" s="3" t="str">
        <f t="shared" si="4"/>
        <v/>
      </c>
      <c r="I189" s="3"/>
      <c r="J189" s="4"/>
      <c r="K189" s="3"/>
      <c r="L189" s="4"/>
      <c r="M189" s="48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320</v>
      </c>
      <c r="B190" s="4"/>
      <c r="D190" t="str">
        <f>IF($C190="","",IFERROR(LOOKUP(2,1/('03_Warehouse_Movements'!$C$2:$C$500=$A190),'03_Warehouse_Movements'!$E$2:$E$500),$C190))</f>
        <v/>
      </c>
      <c r="E190" t="s">
        <v>29</v>
      </c>
      <c r="G190" s="25"/>
      <c r="H190" s="3" t="str">
        <f t="shared" si="4"/>
        <v/>
      </c>
      <c r="I190" s="3"/>
      <c r="J190" s="4"/>
      <c r="K190" s="3"/>
      <c r="L190" s="4"/>
      <c r="M190" s="48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321</v>
      </c>
      <c r="B191" s="4"/>
      <c r="D191" t="str">
        <f>IF($C191="","",IFERROR(LOOKUP(2,1/('03_Warehouse_Movements'!$C$2:$C$500=$A191),'03_Warehouse_Movements'!$E$2:$E$500),$C191))</f>
        <v/>
      </c>
      <c r="E191" t="s">
        <v>29</v>
      </c>
      <c r="G191" s="25"/>
      <c r="H191" s="3" t="str">
        <f t="shared" si="4"/>
        <v/>
      </c>
      <c r="I191" s="3"/>
      <c r="J191" s="4"/>
      <c r="K191" s="3"/>
      <c r="L191" s="4"/>
      <c r="M191" s="48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322</v>
      </c>
      <c r="B192" s="4"/>
      <c r="D192" t="str">
        <f>IF($C192="","",IFERROR(LOOKUP(2,1/('03_Warehouse_Movements'!$C$2:$C$500=$A192),'03_Warehouse_Movements'!$E$2:$E$500),$C192))</f>
        <v/>
      </c>
      <c r="E192" t="s">
        <v>29</v>
      </c>
      <c r="G192" s="25"/>
      <c r="H192" s="3" t="str">
        <f t="shared" si="4"/>
        <v/>
      </c>
      <c r="I192" s="3"/>
      <c r="J192" s="4"/>
      <c r="K192" s="3"/>
      <c r="L192" s="4"/>
      <c r="M192" s="48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323</v>
      </c>
      <c r="B193" s="4"/>
      <c r="D193" t="str">
        <f>IF($C193="","",IFERROR(LOOKUP(2,1/('03_Warehouse_Movements'!$C$2:$C$500=$A193),'03_Warehouse_Movements'!$E$2:$E$500),$C193))</f>
        <v/>
      </c>
      <c r="E193" t="s">
        <v>29</v>
      </c>
      <c r="G193" s="25"/>
      <c r="H193" s="3" t="str">
        <f t="shared" si="4"/>
        <v/>
      </c>
      <c r="I193" s="3"/>
      <c r="J193" s="4"/>
      <c r="K193" s="3"/>
      <c r="L193" s="4"/>
      <c r="M193" s="48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324</v>
      </c>
      <c r="B194" s="4"/>
      <c r="D194" t="str">
        <f>IF($C194="","",IFERROR(LOOKUP(2,1/('03_Warehouse_Movements'!$C$2:$C$500=$A194),'03_Warehouse_Movements'!$E$2:$E$500),$C194))</f>
        <v/>
      </c>
      <c r="E194" t="s">
        <v>29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48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325</v>
      </c>
      <c r="B195" s="4"/>
      <c r="D195" t="str">
        <f>IF($C195="","",IFERROR(LOOKUP(2,1/('03_Warehouse_Movements'!$C$2:$C$500=$A195),'03_Warehouse_Movements'!$E$2:$E$500),$C195))</f>
        <v/>
      </c>
      <c r="E195" t="s">
        <v>29</v>
      </c>
      <c r="G195" s="25"/>
      <c r="H195" s="3" t="str">
        <f t="shared" si="6"/>
        <v/>
      </c>
      <c r="I195" s="3"/>
      <c r="J195" s="4"/>
      <c r="K195" s="3"/>
      <c r="L195" s="4"/>
      <c r="M195" s="48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326</v>
      </c>
      <c r="B196" s="4"/>
      <c r="D196" t="str">
        <f>IF($C196="","",IFERROR(LOOKUP(2,1/('03_Warehouse_Movements'!$C$2:$C$500=$A196),'03_Warehouse_Movements'!$E$2:$E$500),$C196))</f>
        <v/>
      </c>
      <c r="E196" t="s">
        <v>29</v>
      </c>
      <c r="G196" s="25"/>
      <c r="H196" s="3" t="str">
        <f t="shared" si="6"/>
        <v/>
      </c>
      <c r="I196" s="3"/>
      <c r="J196" s="4"/>
      <c r="K196" s="3"/>
      <c r="L196" s="4"/>
      <c r="M196" s="48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327</v>
      </c>
      <c r="B197" s="4"/>
      <c r="D197" t="str">
        <f>IF($C197="","",IFERROR(LOOKUP(2,1/('03_Warehouse_Movements'!$C$2:$C$500=$A197),'03_Warehouse_Movements'!$E$2:$E$500),$C197))</f>
        <v/>
      </c>
      <c r="E197" t="s">
        <v>29</v>
      </c>
      <c r="G197" s="25"/>
      <c r="H197" s="3" t="str">
        <f t="shared" si="6"/>
        <v/>
      </c>
      <c r="I197" s="3"/>
      <c r="J197" s="4"/>
      <c r="K197" s="3"/>
      <c r="L197" s="4"/>
      <c r="M197" s="48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328</v>
      </c>
      <c r="B198" s="4"/>
      <c r="D198" t="str">
        <f>IF($C198="","",IFERROR(LOOKUP(2,1/('03_Warehouse_Movements'!$C$2:$C$500=$A198),'03_Warehouse_Movements'!$E$2:$E$500),$C198))</f>
        <v/>
      </c>
      <c r="E198" t="s">
        <v>29</v>
      </c>
      <c r="G198" s="25"/>
      <c r="H198" s="3" t="str">
        <f t="shared" si="6"/>
        <v/>
      </c>
      <c r="I198" s="3"/>
      <c r="J198" s="4"/>
      <c r="K198" s="3"/>
      <c r="L198" s="4"/>
      <c r="M198" s="48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329</v>
      </c>
      <c r="B199" s="4"/>
      <c r="D199" t="str">
        <f>IF($C199="","",IFERROR(LOOKUP(2,1/('03_Warehouse_Movements'!$C$2:$C$500=$A199),'03_Warehouse_Movements'!$E$2:$E$500),$C199))</f>
        <v/>
      </c>
      <c r="E199" t="s">
        <v>29</v>
      </c>
      <c r="G199" s="25"/>
      <c r="H199" s="3" t="str">
        <f t="shared" si="6"/>
        <v/>
      </c>
      <c r="I199" s="3"/>
      <c r="J199" s="4"/>
      <c r="K199" s="3"/>
      <c r="L199" s="4"/>
      <c r="M199" s="48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330</v>
      </c>
      <c r="B200" s="24"/>
      <c r="D200" t="str">
        <f>IF($C200="","",IFERROR(LOOKUP(2,1/('03_Warehouse_Movements'!$C$2:$C$500=$A200),'03_Warehouse_Movements'!$E$2:$E$500),$C200))</f>
        <v/>
      </c>
      <c r="E200" t="s">
        <v>29</v>
      </c>
      <c r="G200" s="27"/>
      <c r="H200" s="26" t="str">
        <f t="shared" si="6"/>
        <v/>
      </c>
      <c r="I200" s="24"/>
      <c r="J200" s="24"/>
      <c r="K200" s="26"/>
      <c r="M200" s="49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331</v>
      </c>
      <c r="B201" s="24"/>
      <c r="D201" t="str">
        <f>IF($C201="","",IFERROR(LOOKUP(2,1/('03_Warehouse_Movements'!$C$2:$C$500=$A201),'03_Warehouse_Movements'!$E$2:$E$500),$C201))</f>
        <v/>
      </c>
      <c r="E201" t="s">
        <v>29</v>
      </c>
      <c r="G201" s="27"/>
      <c r="H201" s="26" t="str">
        <f t="shared" si="6"/>
        <v/>
      </c>
      <c r="I201" s="24"/>
      <c r="J201" s="24"/>
      <c r="K201" s="26"/>
      <c r="M201" s="49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332</v>
      </c>
      <c r="B202" s="24"/>
      <c r="D202" t="str">
        <f>IF($C202="","",IFERROR(LOOKUP(2,1/('03_Warehouse_Movements'!$C$2:$C$500=$A202),'03_Warehouse_Movements'!$E$2:$E$500),$C202))</f>
        <v/>
      </c>
      <c r="E202" t="s">
        <v>29</v>
      </c>
      <c r="G202" s="27"/>
      <c r="H202" s="26" t="str">
        <f t="shared" si="6"/>
        <v/>
      </c>
      <c r="I202" s="24"/>
      <c r="J202" s="24"/>
      <c r="K202" s="26"/>
      <c r="M202" s="49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333</v>
      </c>
      <c r="B203" s="24"/>
      <c r="D203" t="str">
        <f>IF($C203="","",IFERROR(LOOKUP(2,1/('03_Warehouse_Movements'!$C$2:$C$500=$A203),'03_Warehouse_Movements'!$E$2:$E$500),$C203))</f>
        <v/>
      </c>
      <c r="E203" t="s">
        <v>29</v>
      </c>
      <c r="G203" s="27"/>
      <c r="H203" s="26" t="str">
        <f t="shared" si="6"/>
        <v/>
      </c>
      <c r="I203" s="24"/>
      <c r="J203" s="24"/>
      <c r="K203" s="26"/>
      <c r="M203" s="49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334</v>
      </c>
      <c r="B204" s="24"/>
      <c r="D204" t="str">
        <f>IF($C204="","",IFERROR(LOOKUP(2,1/('03_Warehouse_Movements'!$C$2:$C$500=$A204),'03_Warehouse_Movements'!$E$2:$E$500),$C204))</f>
        <v/>
      </c>
      <c r="E204" t="s">
        <v>29</v>
      </c>
      <c r="G204" s="27"/>
      <c r="H204" s="26" t="str">
        <f t="shared" si="6"/>
        <v/>
      </c>
      <c r="I204" s="24"/>
      <c r="J204" s="24"/>
      <c r="K204" s="26"/>
      <c r="M204" s="49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335</v>
      </c>
      <c r="B205" s="24"/>
      <c r="D205" t="str">
        <f>IF($C205="","",IFERROR(LOOKUP(2,1/('03_Warehouse_Movements'!$C$2:$C$500=$A205),'03_Warehouse_Movements'!$E$2:$E$500),$C205))</f>
        <v/>
      </c>
      <c r="E205" t="s">
        <v>29</v>
      </c>
      <c r="G205" s="27"/>
      <c r="H205" s="26" t="str">
        <f t="shared" si="6"/>
        <v/>
      </c>
      <c r="I205" s="24"/>
      <c r="J205" s="24"/>
      <c r="K205" s="26"/>
      <c r="M205" s="49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336</v>
      </c>
      <c r="B206" s="24"/>
      <c r="D206" t="str">
        <f>IF($C206="","",IFERROR(LOOKUP(2,1/('03_Warehouse_Movements'!$C$2:$C$500=$A206),'03_Warehouse_Movements'!$E$2:$E$500),$C206))</f>
        <v/>
      </c>
      <c r="E206" t="s">
        <v>29</v>
      </c>
      <c r="G206" s="27"/>
      <c r="H206" s="26" t="str">
        <f t="shared" si="6"/>
        <v/>
      </c>
      <c r="I206" s="24"/>
      <c r="J206" s="24"/>
      <c r="K206" s="26"/>
      <c r="M206" s="49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337</v>
      </c>
      <c r="B207" s="24"/>
      <c r="D207" t="str">
        <f>IF($C207="","",IFERROR(LOOKUP(2,1/('03_Warehouse_Movements'!$C$2:$C$500=$A207),'03_Warehouse_Movements'!$E$2:$E$500),$C207))</f>
        <v/>
      </c>
      <c r="E207" t="s">
        <v>29</v>
      </c>
      <c r="G207" s="27"/>
      <c r="H207" s="26" t="str">
        <f t="shared" si="6"/>
        <v/>
      </c>
      <c r="I207" s="24"/>
      <c r="J207" s="24"/>
      <c r="K207" s="26"/>
      <c r="M207" s="49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338</v>
      </c>
      <c r="B208" s="24"/>
      <c r="D208" t="str">
        <f>IF($C208="","",IFERROR(LOOKUP(2,1/('03_Warehouse_Movements'!$C$2:$C$500=$A208),'03_Warehouse_Movements'!$E$2:$E$500),$C208))</f>
        <v/>
      </c>
      <c r="E208" t="s">
        <v>29</v>
      </c>
      <c r="G208" s="27"/>
      <c r="H208" s="26" t="str">
        <f t="shared" si="6"/>
        <v/>
      </c>
      <c r="I208" s="24"/>
      <c r="J208" s="24"/>
      <c r="K208" s="26"/>
      <c r="M208" s="49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339</v>
      </c>
      <c r="B209" s="24"/>
      <c r="D209" t="str">
        <f>IF($C209="","",IFERROR(LOOKUP(2,1/('03_Warehouse_Movements'!$C$2:$C$500=$A209),'03_Warehouse_Movements'!$E$2:$E$500),$C209))</f>
        <v/>
      </c>
      <c r="E209" t="s">
        <v>29</v>
      </c>
      <c r="G209" s="27"/>
      <c r="H209" s="26" t="str">
        <f t="shared" si="6"/>
        <v/>
      </c>
      <c r="I209" s="24"/>
      <c r="J209" s="24"/>
      <c r="K209" s="26"/>
      <c r="M209" s="49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340</v>
      </c>
      <c r="B210" s="24"/>
      <c r="D210" t="str">
        <f>IF($C210="","",IFERROR(LOOKUP(2,1/('03_Warehouse_Movements'!$C$2:$C$500=$A210),'03_Warehouse_Movements'!$E$2:$E$500),$C210))</f>
        <v/>
      </c>
      <c r="E210" t="s">
        <v>29</v>
      </c>
      <c r="G210" s="27"/>
      <c r="H210" s="26" t="str">
        <f t="shared" si="6"/>
        <v/>
      </c>
      <c r="I210" s="24"/>
      <c r="J210" s="24"/>
      <c r="K210" s="26"/>
      <c r="M210" s="49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341</v>
      </c>
      <c r="B211" s="24"/>
      <c r="D211" t="str">
        <f>IF($C211="","",IFERROR(LOOKUP(2,1/('03_Warehouse_Movements'!$C$2:$C$500=$A211),'03_Warehouse_Movements'!$E$2:$E$500),$C211))</f>
        <v/>
      </c>
      <c r="E211" t="s">
        <v>29</v>
      </c>
      <c r="G211" s="27"/>
      <c r="H211" s="26" t="str">
        <f t="shared" si="6"/>
        <v/>
      </c>
      <c r="I211" s="24"/>
      <c r="J211" s="24"/>
      <c r="K211" s="26"/>
      <c r="M211" s="49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342</v>
      </c>
      <c r="B212" s="24"/>
      <c r="D212" t="str">
        <f>IF($C212="","",IFERROR(LOOKUP(2,1/('03_Warehouse_Movements'!$C$2:$C$500=$A212),'03_Warehouse_Movements'!$E$2:$E$500),$C212))</f>
        <v/>
      </c>
      <c r="E212" t="s">
        <v>29</v>
      </c>
      <c r="G212" s="27"/>
      <c r="H212" s="26" t="str">
        <f t="shared" si="6"/>
        <v/>
      </c>
      <c r="I212" s="24"/>
      <c r="J212" s="24"/>
      <c r="K212" s="26"/>
      <c r="M212" s="49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343</v>
      </c>
      <c r="B213" s="24"/>
      <c r="D213" t="str">
        <f>IF($C213="","",IFERROR(LOOKUP(2,1/('03_Warehouse_Movements'!$C$2:$C$500=$A213),'03_Warehouse_Movements'!$E$2:$E$500),$C213))</f>
        <v/>
      </c>
      <c r="E213" t="s">
        <v>29</v>
      </c>
      <c r="G213" s="27"/>
      <c r="H213" s="26" t="str">
        <f t="shared" si="6"/>
        <v/>
      </c>
      <c r="I213" s="24"/>
      <c r="J213" s="24"/>
      <c r="K213" s="26"/>
      <c r="M213" s="49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344</v>
      </c>
      <c r="B214" s="24"/>
      <c r="D214" t="str">
        <f>IF($C214="","",IFERROR(LOOKUP(2,1/('03_Warehouse_Movements'!$C$2:$C$500=$A214),'03_Warehouse_Movements'!$E$2:$E$500),$C214))</f>
        <v/>
      </c>
      <c r="E214" t="s">
        <v>29</v>
      </c>
      <c r="G214" s="27"/>
      <c r="H214" s="26" t="str">
        <f t="shared" si="6"/>
        <v/>
      </c>
      <c r="I214" s="24"/>
      <c r="J214" s="24"/>
      <c r="K214" s="26"/>
      <c r="M214" s="49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345</v>
      </c>
      <c r="B215" s="24"/>
      <c r="D215" t="str">
        <f>IF($C215="","",IFERROR(LOOKUP(2,1/('03_Warehouse_Movements'!$C$2:$C$500=$A215),'03_Warehouse_Movements'!$E$2:$E$500),$C215))</f>
        <v/>
      </c>
      <c r="E215" t="s">
        <v>29</v>
      </c>
      <c r="G215" s="27"/>
      <c r="H215" s="26" t="str">
        <f t="shared" si="6"/>
        <v/>
      </c>
      <c r="I215" s="24"/>
      <c r="J215" s="24"/>
      <c r="K215" s="26"/>
      <c r="M215" s="49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346</v>
      </c>
      <c r="B216" s="24"/>
      <c r="D216" t="str">
        <f>IF($C216="","",IFERROR(LOOKUP(2,1/('03_Warehouse_Movements'!$C$2:$C$500=$A216),'03_Warehouse_Movements'!$E$2:$E$500),$C216))</f>
        <v/>
      </c>
      <c r="E216" t="s">
        <v>29</v>
      </c>
      <c r="G216" s="27"/>
      <c r="H216" s="26" t="str">
        <f t="shared" si="6"/>
        <v/>
      </c>
      <c r="I216" s="24"/>
      <c r="J216" s="24"/>
      <c r="K216" s="26"/>
      <c r="M216" s="49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347</v>
      </c>
      <c r="B217" s="24"/>
      <c r="D217" t="str">
        <f>IF($C217="","",IFERROR(LOOKUP(2,1/('03_Warehouse_Movements'!$C$2:$C$500=$A217),'03_Warehouse_Movements'!$E$2:$E$500),$C217))</f>
        <v/>
      </c>
      <c r="E217" t="s">
        <v>29</v>
      </c>
      <c r="G217" s="27"/>
      <c r="H217" s="26" t="str">
        <f t="shared" si="6"/>
        <v/>
      </c>
      <c r="I217" s="24"/>
      <c r="J217" s="24"/>
      <c r="K217" s="26"/>
      <c r="M217" s="49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348</v>
      </c>
      <c r="B218" s="24"/>
      <c r="D218" t="str">
        <f>IF($C218="","",IFERROR(LOOKUP(2,1/('03_Warehouse_Movements'!$C$2:$C$500=$A218),'03_Warehouse_Movements'!$E$2:$E$500),$C218))</f>
        <v/>
      </c>
      <c r="E218" t="s">
        <v>29</v>
      </c>
      <c r="G218" s="27"/>
      <c r="H218" s="26" t="str">
        <f t="shared" si="6"/>
        <v/>
      </c>
      <c r="I218" s="24"/>
      <c r="J218" s="24"/>
      <c r="K218" s="26"/>
      <c r="M218" s="49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349</v>
      </c>
      <c r="B219" s="24"/>
      <c r="D219" t="str">
        <f>IF($C219="","",IFERROR(LOOKUP(2,1/('03_Warehouse_Movements'!$C$2:$C$500=$A219),'03_Warehouse_Movements'!$E$2:$E$500),$C219))</f>
        <v/>
      </c>
      <c r="E219" t="s">
        <v>29</v>
      </c>
      <c r="G219" s="27"/>
      <c r="H219" s="26" t="str">
        <f t="shared" si="6"/>
        <v/>
      </c>
      <c r="I219" s="24"/>
      <c r="J219" s="24"/>
      <c r="K219" s="26"/>
      <c r="M219" s="49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350</v>
      </c>
      <c r="B220" s="24"/>
      <c r="D220" t="str">
        <f>IF($C220="","",IFERROR(LOOKUP(2,1/('03_Warehouse_Movements'!$C$2:$C$500=$A220),'03_Warehouse_Movements'!$E$2:$E$500),$C220))</f>
        <v/>
      </c>
      <c r="E220" t="s">
        <v>29</v>
      </c>
      <c r="G220" s="27"/>
      <c r="H220" s="26" t="str">
        <f t="shared" si="6"/>
        <v/>
      </c>
      <c r="I220" s="24"/>
      <c r="J220" s="24"/>
      <c r="K220" s="26"/>
      <c r="M220" s="49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351</v>
      </c>
      <c r="B221" s="24"/>
      <c r="D221" t="str">
        <f>IF($C221="","",IFERROR(LOOKUP(2,1/('03_Warehouse_Movements'!$C$2:$C$500=$A221),'03_Warehouse_Movements'!$E$2:$E$500),$C221))</f>
        <v/>
      </c>
      <c r="E221" t="s">
        <v>29</v>
      </c>
      <c r="G221" s="27"/>
      <c r="H221" s="26" t="str">
        <f t="shared" si="6"/>
        <v/>
      </c>
      <c r="I221" s="24"/>
      <c r="J221" s="24"/>
      <c r="K221" s="26"/>
      <c r="M221" s="49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352</v>
      </c>
      <c r="B222" s="24"/>
      <c r="D222" t="str">
        <f>IF($C222="","",IFERROR(LOOKUP(2,1/('03_Warehouse_Movements'!$C$2:$C$500=$A222),'03_Warehouse_Movements'!$E$2:$E$500),$C222))</f>
        <v/>
      </c>
      <c r="E222" t="s">
        <v>29</v>
      </c>
      <c r="G222" s="27"/>
      <c r="H222" s="26" t="str">
        <f t="shared" si="6"/>
        <v/>
      </c>
      <c r="I222" s="24"/>
      <c r="J222" s="24"/>
      <c r="K222" s="26"/>
      <c r="M222" s="49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353</v>
      </c>
      <c r="B223" s="24"/>
      <c r="D223" t="str">
        <f>IF($C223="","",IFERROR(LOOKUP(2,1/('03_Warehouse_Movements'!$C$2:$C$500=$A223),'03_Warehouse_Movements'!$E$2:$E$500),$C223))</f>
        <v/>
      </c>
      <c r="E223" t="s">
        <v>29</v>
      </c>
      <c r="G223" s="27"/>
      <c r="H223" s="26" t="str">
        <f t="shared" si="6"/>
        <v/>
      </c>
      <c r="I223" s="24"/>
      <c r="J223" s="24"/>
      <c r="K223" s="26"/>
      <c r="M223" s="49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354</v>
      </c>
      <c r="B224" s="24"/>
      <c r="D224" t="str">
        <f>IF($C224="","",IFERROR(LOOKUP(2,1/('03_Warehouse_Movements'!$C$2:$C$500=$A224),'03_Warehouse_Movements'!$E$2:$E$500),$C224))</f>
        <v/>
      </c>
      <c r="E224" t="s">
        <v>29</v>
      </c>
      <c r="G224" s="27"/>
      <c r="H224" s="26" t="str">
        <f t="shared" si="6"/>
        <v/>
      </c>
      <c r="I224" s="24"/>
      <c r="J224" s="24"/>
      <c r="K224" s="26"/>
      <c r="M224" s="49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355</v>
      </c>
      <c r="B225" s="24"/>
      <c r="D225" t="str">
        <f>IF($C225="","",IFERROR(LOOKUP(2,1/('03_Warehouse_Movements'!$C$2:$C$500=$A225),'03_Warehouse_Movements'!$E$2:$E$500),$C225))</f>
        <v/>
      </c>
      <c r="E225" t="s">
        <v>29</v>
      </c>
      <c r="G225" s="27"/>
      <c r="H225" s="26" t="str">
        <f t="shared" si="6"/>
        <v/>
      </c>
      <c r="I225" s="24"/>
      <c r="J225" s="24"/>
      <c r="K225" s="26"/>
      <c r="M225" s="49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356</v>
      </c>
      <c r="B226" s="24"/>
      <c r="D226" t="str">
        <f>IF($C226="","",IFERROR(LOOKUP(2,1/('03_Warehouse_Movements'!$C$2:$C$500=$A226),'03_Warehouse_Movements'!$E$2:$E$500),$C226))</f>
        <v/>
      </c>
      <c r="E226" t="s">
        <v>29</v>
      </c>
      <c r="G226" s="27"/>
      <c r="H226" s="26" t="str">
        <f t="shared" si="6"/>
        <v/>
      </c>
      <c r="I226" s="24"/>
      <c r="J226" s="24"/>
      <c r="K226" s="26"/>
      <c r="M226" s="49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357</v>
      </c>
      <c r="B227" s="24"/>
      <c r="D227" t="str">
        <f>IF($C227="","",IFERROR(LOOKUP(2,1/('03_Warehouse_Movements'!$C$2:$C$500=$A227),'03_Warehouse_Movements'!$E$2:$E$500),$C227))</f>
        <v/>
      </c>
      <c r="E227" t="s">
        <v>29</v>
      </c>
      <c r="G227" s="27"/>
      <c r="H227" s="26" t="str">
        <f t="shared" si="6"/>
        <v/>
      </c>
      <c r="I227" s="24"/>
      <c r="J227" s="24"/>
      <c r="K227" s="26"/>
      <c r="M227" s="49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358</v>
      </c>
      <c r="B228" s="24"/>
      <c r="D228" t="str">
        <f>IF($C228="","",IFERROR(LOOKUP(2,1/('03_Warehouse_Movements'!$C$2:$C$500=$A228),'03_Warehouse_Movements'!$E$2:$E$500),$C228))</f>
        <v/>
      </c>
      <c r="E228" t="s">
        <v>29</v>
      </c>
      <c r="G228" s="27"/>
      <c r="H228" s="26" t="str">
        <f t="shared" si="6"/>
        <v/>
      </c>
      <c r="I228" s="24"/>
      <c r="J228" s="24"/>
      <c r="K228" s="26"/>
      <c r="M228" s="49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359</v>
      </c>
      <c r="B229" s="24"/>
      <c r="D229" t="str">
        <f>IF($C229="","",IFERROR(LOOKUP(2,1/('03_Warehouse_Movements'!$C$2:$C$500=$A229),'03_Warehouse_Movements'!$E$2:$E$500),$C229))</f>
        <v/>
      </c>
      <c r="E229" t="s">
        <v>29</v>
      </c>
      <c r="G229" s="27"/>
      <c r="H229" s="26" t="str">
        <f t="shared" si="6"/>
        <v/>
      </c>
      <c r="I229" s="24"/>
      <c r="J229" s="24"/>
      <c r="K229" s="26"/>
      <c r="M229" s="49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360</v>
      </c>
      <c r="B230" s="24"/>
      <c r="D230" t="str">
        <f>IF($C230="","",IFERROR(LOOKUP(2,1/('03_Warehouse_Movements'!$C$2:$C$500=$A230),'03_Warehouse_Movements'!$E$2:$E$500),$C230))</f>
        <v/>
      </c>
      <c r="E230" t="s">
        <v>29</v>
      </c>
      <c r="G230" s="27"/>
      <c r="H230" s="26" t="str">
        <f t="shared" si="6"/>
        <v/>
      </c>
      <c r="I230" s="24"/>
      <c r="J230" s="24"/>
      <c r="K230" s="26"/>
      <c r="M230" s="49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361</v>
      </c>
      <c r="B231" s="24"/>
      <c r="D231" t="str">
        <f>IF($C231="","",IFERROR(LOOKUP(2,1/('03_Warehouse_Movements'!$C$2:$C$500=$A231),'03_Warehouse_Movements'!$E$2:$E$500),$C231))</f>
        <v/>
      </c>
      <c r="E231" t="s">
        <v>29</v>
      </c>
      <c r="G231" s="27"/>
      <c r="H231" s="26" t="str">
        <f t="shared" si="6"/>
        <v/>
      </c>
      <c r="I231" s="24"/>
      <c r="J231" s="24"/>
      <c r="K231" s="26"/>
      <c r="M231" s="49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362</v>
      </c>
      <c r="B232" s="24"/>
      <c r="D232" t="str">
        <f>IF($C232="","",IFERROR(LOOKUP(2,1/('03_Warehouse_Movements'!$C$2:$C$500=$A232),'03_Warehouse_Movements'!$E$2:$E$500),$C232))</f>
        <v/>
      </c>
      <c r="E232" t="s">
        <v>29</v>
      </c>
      <c r="G232" s="27"/>
      <c r="H232" s="26" t="str">
        <f t="shared" si="6"/>
        <v/>
      </c>
      <c r="I232" s="24"/>
      <c r="J232" s="24"/>
      <c r="K232" s="26"/>
      <c r="M232" s="49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363</v>
      </c>
      <c r="B233" s="24"/>
      <c r="D233" t="str">
        <f>IF($C233="","",IFERROR(LOOKUP(2,1/('03_Warehouse_Movements'!$C$2:$C$500=$A233),'03_Warehouse_Movements'!$E$2:$E$500),$C233))</f>
        <v/>
      </c>
      <c r="E233" t="s">
        <v>29</v>
      </c>
      <c r="G233" s="27"/>
      <c r="H233" s="26" t="str">
        <f t="shared" si="6"/>
        <v/>
      </c>
      <c r="I233" s="24"/>
      <c r="J233" s="24"/>
      <c r="K233" s="26"/>
      <c r="M233" s="49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364</v>
      </c>
      <c r="B234" s="24"/>
      <c r="D234" t="str">
        <f>IF($C234="","",IFERROR(LOOKUP(2,1/('03_Warehouse_Movements'!$C$2:$C$500=$A234),'03_Warehouse_Movements'!$E$2:$E$500),$C234))</f>
        <v/>
      </c>
      <c r="E234" t="s">
        <v>29</v>
      </c>
      <c r="G234" s="27"/>
      <c r="H234" s="26" t="str">
        <f t="shared" si="6"/>
        <v/>
      </c>
      <c r="I234" s="24"/>
      <c r="J234" s="24"/>
      <c r="K234" s="26"/>
      <c r="M234" s="49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365</v>
      </c>
      <c r="B235" s="24"/>
      <c r="D235" t="str">
        <f>IF($C235="","",IFERROR(LOOKUP(2,1/('03_Warehouse_Movements'!$C$2:$C$500=$A235),'03_Warehouse_Movements'!$E$2:$E$500),$C235))</f>
        <v/>
      </c>
      <c r="E235" t="s">
        <v>29</v>
      </c>
      <c r="G235" s="27"/>
      <c r="H235" s="26" t="str">
        <f t="shared" si="6"/>
        <v/>
      </c>
      <c r="I235" s="24"/>
      <c r="J235" s="24"/>
      <c r="K235" s="26"/>
      <c r="M235" s="49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366</v>
      </c>
      <c r="B236" s="24"/>
      <c r="D236" t="str">
        <f>IF($C236="","",IFERROR(LOOKUP(2,1/('03_Warehouse_Movements'!$C$2:$C$500=$A236),'03_Warehouse_Movements'!$E$2:$E$500),$C236))</f>
        <v/>
      </c>
      <c r="E236" t="s">
        <v>29</v>
      </c>
      <c r="G236" s="27"/>
      <c r="H236" s="26" t="str">
        <f t="shared" si="6"/>
        <v/>
      </c>
      <c r="I236" s="24"/>
      <c r="J236" s="24"/>
      <c r="K236" s="26"/>
      <c r="M236" s="49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367</v>
      </c>
      <c r="B237" s="24"/>
      <c r="D237" t="str">
        <f>IF($C237="","",IFERROR(LOOKUP(2,1/('03_Warehouse_Movements'!$C$2:$C$500=$A237),'03_Warehouse_Movements'!$E$2:$E$500),$C237))</f>
        <v/>
      </c>
      <c r="E237" t="s">
        <v>29</v>
      </c>
      <c r="G237" s="27"/>
      <c r="H237" s="26" t="str">
        <f t="shared" si="6"/>
        <v/>
      </c>
      <c r="I237" s="24"/>
      <c r="J237" s="24"/>
      <c r="K237" s="26"/>
      <c r="M237" s="49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368</v>
      </c>
      <c r="B238" s="24"/>
      <c r="D238" t="str">
        <f>IF($C238="","",IFERROR(LOOKUP(2,1/('03_Warehouse_Movements'!$C$2:$C$500=$A238),'03_Warehouse_Movements'!$E$2:$E$500),$C238))</f>
        <v/>
      </c>
      <c r="E238" t="s">
        <v>29</v>
      </c>
      <c r="G238" s="27"/>
      <c r="H238" s="26" t="str">
        <f t="shared" si="6"/>
        <v/>
      </c>
      <c r="I238" s="24"/>
      <c r="J238" s="24"/>
      <c r="K238" s="26"/>
      <c r="M238" s="49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369</v>
      </c>
      <c r="B239" s="24"/>
      <c r="D239" t="str">
        <f>IF($C239="","",IFERROR(LOOKUP(2,1/('03_Warehouse_Movements'!$C$2:$C$500=$A239),'03_Warehouse_Movements'!$E$2:$E$500),$C239))</f>
        <v/>
      </c>
      <c r="E239" t="s">
        <v>29</v>
      </c>
      <c r="G239" s="27"/>
      <c r="H239" s="26" t="str">
        <f t="shared" si="6"/>
        <v/>
      </c>
      <c r="I239" s="24"/>
      <c r="J239" s="24"/>
      <c r="K239" s="26"/>
      <c r="M239" s="49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370</v>
      </c>
      <c r="B240" s="24"/>
      <c r="D240" t="str">
        <f>IF($C240="","",IFERROR(LOOKUP(2,1/('03_Warehouse_Movements'!$C$2:$C$500=$A240),'03_Warehouse_Movements'!$E$2:$E$500),$C240))</f>
        <v/>
      </c>
      <c r="E240" t="s">
        <v>29</v>
      </c>
      <c r="G240" s="27"/>
      <c r="H240" s="26" t="str">
        <f t="shared" si="6"/>
        <v/>
      </c>
      <c r="I240" s="24"/>
      <c r="J240" s="24"/>
      <c r="K240" s="26"/>
      <c r="M240" s="49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371</v>
      </c>
      <c r="B241" s="24"/>
      <c r="D241" t="str">
        <f>IF($C241="","",IFERROR(LOOKUP(2,1/('03_Warehouse_Movements'!$C$2:$C$500=$A241),'03_Warehouse_Movements'!$E$2:$E$500),$C241))</f>
        <v/>
      </c>
      <c r="E241" t="s">
        <v>29</v>
      </c>
      <c r="G241" s="27"/>
      <c r="H241" s="26" t="str">
        <f t="shared" si="6"/>
        <v/>
      </c>
      <c r="I241" s="24"/>
      <c r="J241" s="24"/>
      <c r="K241" s="26"/>
      <c r="M241" s="49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372</v>
      </c>
      <c r="B242" s="24"/>
      <c r="D242" t="str">
        <f>IF($C242="","",IFERROR(LOOKUP(2,1/('03_Warehouse_Movements'!$C$2:$C$500=$A242),'03_Warehouse_Movements'!$E$2:$E$500),$C242))</f>
        <v/>
      </c>
      <c r="E242" t="s">
        <v>29</v>
      </c>
      <c r="G242" s="27"/>
      <c r="H242" s="26" t="str">
        <f t="shared" si="6"/>
        <v/>
      </c>
      <c r="I242" s="24"/>
      <c r="J242" s="24"/>
      <c r="K242" s="26"/>
      <c r="M242" s="49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373</v>
      </c>
      <c r="B243" s="24"/>
      <c r="D243" t="str">
        <f>IF($C243="","",IFERROR(LOOKUP(2,1/('03_Warehouse_Movements'!$C$2:$C$500=$A243),'03_Warehouse_Movements'!$E$2:$E$500),$C243))</f>
        <v/>
      </c>
      <c r="E243" t="s">
        <v>29</v>
      </c>
      <c r="G243" s="27"/>
      <c r="H243" s="26" t="str">
        <f t="shared" si="6"/>
        <v/>
      </c>
      <c r="I243" s="24"/>
      <c r="J243" s="24"/>
      <c r="K243" s="26"/>
      <c r="M243" s="49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374</v>
      </c>
      <c r="B244" s="24"/>
      <c r="D244" t="str">
        <f>IF($C244="","",IFERROR(LOOKUP(2,1/('03_Warehouse_Movements'!$C$2:$C$500=$A244),'03_Warehouse_Movements'!$E$2:$E$500),$C244))</f>
        <v/>
      </c>
      <c r="E244" t="s">
        <v>29</v>
      </c>
      <c r="G244" s="27"/>
      <c r="H244" s="26" t="str">
        <f t="shared" si="6"/>
        <v/>
      </c>
      <c r="I244" s="24"/>
      <c r="J244" s="24"/>
      <c r="K244" s="26"/>
      <c r="M244" s="49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375</v>
      </c>
      <c r="B245" s="24"/>
      <c r="D245" t="str">
        <f>IF($C245="","",IFERROR(LOOKUP(2,1/('03_Warehouse_Movements'!$C$2:$C$500=$A245),'03_Warehouse_Movements'!$E$2:$E$500),$C245))</f>
        <v/>
      </c>
      <c r="E245" t="s">
        <v>29</v>
      </c>
      <c r="G245" s="27"/>
      <c r="H245" s="26" t="str">
        <f t="shared" si="6"/>
        <v/>
      </c>
      <c r="I245" s="24"/>
      <c r="J245" s="24"/>
      <c r="K245" s="26"/>
      <c r="M245" s="49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376</v>
      </c>
      <c r="B246" s="24"/>
      <c r="D246" t="str">
        <f>IF($C246="","",IFERROR(LOOKUP(2,1/('03_Warehouse_Movements'!$C$2:$C$500=$A246),'03_Warehouse_Movements'!$E$2:$E$500),$C246))</f>
        <v/>
      </c>
      <c r="E246" t="s">
        <v>29</v>
      </c>
      <c r="G246" s="27"/>
      <c r="H246" s="26" t="str">
        <f t="shared" si="6"/>
        <v/>
      </c>
      <c r="I246" s="24"/>
      <c r="J246" s="24"/>
      <c r="K246" s="26"/>
      <c r="M246" s="49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377</v>
      </c>
      <c r="B247" s="24"/>
      <c r="D247" t="str">
        <f>IF($C247="","",IFERROR(LOOKUP(2,1/('03_Warehouse_Movements'!$C$2:$C$500=$A247),'03_Warehouse_Movements'!$E$2:$E$500),$C247))</f>
        <v/>
      </c>
      <c r="E247" t="s">
        <v>29</v>
      </c>
      <c r="G247" s="27"/>
      <c r="H247" s="26" t="str">
        <f t="shared" si="6"/>
        <v/>
      </c>
      <c r="I247" s="24"/>
      <c r="J247" s="24"/>
      <c r="K247" s="26"/>
      <c r="M247" s="49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378</v>
      </c>
      <c r="B248" s="24"/>
      <c r="D248" t="str">
        <f>IF($C248="","",IFERROR(LOOKUP(2,1/('03_Warehouse_Movements'!$C$2:$C$500=$A248),'03_Warehouse_Movements'!$E$2:$E$500),$C248))</f>
        <v/>
      </c>
      <c r="E248" t="s">
        <v>29</v>
      </c>
      <c r="G248" s="27"/>
      <c r="H248" s="26" t="str">
        <f t="shared" si="6"/>
        <v/>
      </c>
      <c r="I248" s="24"/>
      <c r="J248" s="24"/>
      <c r="K248" s="26"/>
      <c r="M248" s="49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379</v>
      </c>
      <c r="B249" s="24"/>
      <c r="D249" t="str">
        <f>IF($C249="","",IFERROR(LOOKUP(2,1/('03_Warehouse_Movements'!$C$2:$C$500=$A249),'03_Warehouse_Movements'!$E$2:$E$500),$C249))</f>
        <v/>
      </c>
      <c r="E249" t="s">
        <v>29</v>
      </c>
      <c r="G249" s="27"/>
      <c r="H249" s="26" t="str">
        <f t="shared" si="6"/>
        <v/>
      </c>
      <c r="I249" s="24"/>
      <c r="J249" s="24"/>
      <c r="K249" s="26"/>
      <c r="M249" s="49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380</v>
      </c>
      <c r="B250" s="24"/>
      <c r="D250" t="str">
        <f>IF($C250="","",IFERROR(LOOKUP(2,1/('03_Warehouse_Movements'!$C$2:$C$500=$A250),'03_Warehouse_Movements'!$E$2:$E$500),$C250))</f>
        <v/>
      </c>
      <c r="E250" t="s">
        <v>29</v>
      </c>
      <c r="G250" s="27"/>
      <c r="H250" s="26" t="str">
        <f t="shared" si="6"/>
        <v/>
      </c>
      <c r="I250" s="24"/>
      <c r="J250" s="24"/>
      <c r="K250" s="26"/>
      <c r="M250" s="49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381</v>
      </c>
      <c r="B251" s="24"/>
      <c r="D251" t="str">
        <f>IF($C251="","",IFERROR(LOOKUP(2,1/('03_Warehouse_Movements'!$C$2:$C$500=$A251),'03_Warehouse_Movements'!$E$2:$E$500),$C251))</f>
        <v/>
      </c>
      <c r="E251" t="s">
        <v>29</v>
      </c>
      <c r="G251" s="27"/>
      <c r="H251" s="26" t="str">
        <f t="shared" si="6"/>
        <v/>
      </c>
      <c r="I251" s="24"/>
      <c r="J251" s="24"/>
      <c r="K251" s="26"/>
      <c r="M251" s="49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382</v>
      </c>
      <c r="B252" s="24"/>
      <c r="D252" t="str">
        <f>IF($C252="","",IFERROR(LOOKUP(2,1/('03_Warehouse_Movements'!$C$2:$C$500=$A252),'03_Warehouse_Movements'!$E$2:$E$500),$C252))</f>
        <v/>
      </c>
      <c r="E252" t="s">
        <v>29</v>
      </c>
      <c r="G252" s="27"/>
      <c r="H252" s="26" t="str">
        <f t="shared" si="6"/>
        <v/>
      </c>
      <c r="I252" s="24"/>
      <c r="J252" s="24"/>
      <c r="K252" s="26"/>
      <c r="M252" s="49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383</v>
      </c>
      <c r="B253" s="24"/>
      <c r="D253" t="str">
        <f>IF($C253="","",IFERROR(LOOKUP(2,1/('03_Warehouse_Movements'!$C$2:$C$500=$A253),'03_Warehouse_Movements'!$E$2:$E$500),$C253))</f>
        <v/>
      </c>
      <c r="E253" t="s">
        <v>29</v>
      </c>
      <c r="G253" s="27"/>
      <c r="H253" s="26" t="str">
        <f t="shared" si="6"/>
        <v/>
      </c>
      <c r="I253" s="24"/>
      <c r="J253" s="24"/>
      <c r="K253" s="26"/>
      <c r="M253" s="49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384</v>
      </c>
      <c r="B254" s="24"/>
      <c r="D254" t="str">
        <f>IF($C254="","",IFERROR(LOOKUP(2,1/('03_Warehouse_Movements'!$C$2:$C$500=$A254),'03_Warehouse_Movements'!$E$2:$E$500),$C254))</f>
        <v/>
      </c>
      <c r="E254" t="s">
        <v>29</v>
      </c>
      <c r="G254" s="27"/>
      <c r="H254" s="26" t="str">
        <f t="shared" si="6"/>
        <v/>
      </c>
      <c r="I254" s="24"/>
      <c r="J254" s="24"/>
      <c r="K254" s="26"/>
      <c r="M254" s="49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385</v>
      </c>
      <c r="B255" s="24"/>
      <c r="D255" t="str">
        <f>IF($C255="","",IFERROR(LOOKUP(2,1/('03_Warehouse_Movements'!$C$2:$C$500=$A255),'03_Warehouse_Movements'!$E$2:$E$500),$C255))</f>
        <v/>
      </c>
      <c r="E255" t="s">
        <v>29</v>
      </c>
      <c r="G255" s="27"/>
      <c r="H255" s="26" t="str">
        <f t="shared" si="6"/>
        <v/>
      </c>
      <c r="I255" s="24"/>
      <c r="J255" s="24"/>
      <c r="K255" s="26"/>
      <c r="M255" s="49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386</v>
      </c>
      <c r="B256" s="24"/>
      <c r="D256" t="str">
        <f>IF($C256="","",IFERROR(LOOKUP(2,1/('03_Warehouse_Movements'!$C$2:$C$500=$A256),'03_Warehouse_Movements'!$E$2:$E$500),$C256))</f>
        <v/>
      </c>
      <c r="E256" t="s">
        <v>29</v>
      </c>
      <c r="G256" s="27"/>
      <c r="H256" s="26" t="str">
        <f t="shared" si="6"/>
        <v/>
      </c>
      <c r="I256" s="24"/>
      <c r="J256" s="24"/>
      <c r="K256" s="26"/>
      <c r="M256" s="49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387</v>
      </c>
      <c r="B257" s="24"/>
      <c r="D257" t="str">
        <f>IF($C257="","",IFERROR(LOOKUP(2,1/('03_Warehouse_Movements'!$C$2:$C$500=$A257),'03_Warehouse_Movements'!$E$2:$E$500),$C257))</f>
        <v/>
      </c>
      <c r="E257" t="s">
        <v>29</v>
      </c>
      <c r="G257" s="27"/>
      <c r="H257" s="26" t="str">
        <f t="shared" si="6"/>
        <v/>
      </c>
      <c r="I257" s="24"/>
      <c r="J257" s="24"/>
      <c r="K257" s="26"/>
      <c r="M257" s="49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388</v>
      </c>
      <c r="B258" s="24"/>
      <c r="D258" t="str">
        <f>IF($C258="","",IFERROR(LOOKUP(2,1/('03_Warehouse_Movements'!$C$2:$C$500=$A258),'03_Warehouse_Movements'!$E$2:$E$500),$C258))</f>
        <v/>
      </c>
      <c r="E258" t="s">
        <v>29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49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389</v>
      </c>
      <c r="B259" s="24"/>
      <c r="D259" t="str">
        <f>IF($C259="","",IFERROR(LOOKUP(2,1/('03_Warehouse_Movements'!$C$2:$C$500=$A259),'03_Warehouse_Movements'!$E$2:$E$500),$C259))</f>
        <v/>
      </c>
      <c r="E259" t="s">
        <v>29</v>
      </c>
      <c r="G259" s="27"/>
      <c r="H259" s="26" t="str">
        <f t="shared" si="8"/>
        <v/>
      </c>
      <c r="I259" s="24"/>
      <c r="J259" s="24"/>
      <c r="K259" s="26"/>
      <c r="M259" s="49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390</v>
      </c>
      <c r="B260" s="24"/>
      <c r="D260" t="str">
        <f>IF($C260="","",IFERROR(LOOKUP(2,1/('03_Warehouse_Movements'!$C$2:$C$500=$A260),'03_Warehouse_Movements'!$E$2:$E$500),$C260))</f>
        <v/>
      </c>
      <c r="E260" t="s">
        <v>29</v>
      </c>
      <c r="G260" s="27"/>
      <c r="H260" s="26" t="str">
        <f t="shared" si="8"/>
        <v/>
      </c>
      <c r="I260" s="24"/>
      <c r="J260" s="24"/>
      <c r="K260" s="26"/>
      <c r="M260" s="49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391</v>
      </c>
      <c r="B261" s="24"/>
      <c r="D261" t="str">
        <f>IF($C261="","",IFERROR(LOOKUP(2,1/('03_Warehouse_Movements'!$C$2:$C$500=$A261),'03_Warehouse_Movements'!$E$2:$E$500),$C261))</f>
        <v/>
      </c>
      <c r="E261" t="s">
        <v>29</v>
      </c>
      <c r="G261" s="27"/>
      <c r="H261" s="26" t="str">
        <f t="shared" si="8"/>
        <v/>
      </c>
      <c r="I261" s="24"/>
      <c r="J261" s="24"/>
      <c r="K261" s="26"/>
      <c r="M261" s="49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392</v>
      </c>
      <c r="B262" s="24"/>
      <c r="D262" t="str">
        <f>IF($C262="","",IFERROR(LOOKUP(2,1/('03_Warehouse_Movements'!$C$2:$C$500=$A262),'03_Warehouse_Movements'!$E$2:$E$500),$C262))</f>
        <v/>
      </c>
      <c r="E262" t="s">
        <v>29</v>
      </c>
      <c r="G262" s="27"/>
      <c r="H262" s="26" t="str">
        <f t="shared" si="8"/>
        <v/>
      </c>
      <c r="I262" s="24"/>
      <c r="J262" s="24"/>
      <c r="K262" s="26"/>
      <c r="M262" s="49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393</v>
      </c>
      <c r="B263" s="24"/>
      <c r="D263" t="str">
        <f>IF($C263="","",IFERROR(LOOKUP(2,1/('03_Warehouse_Movements'!$C$2:$C$500=$A263),'03_Warehouse_Movements'!$E$2:$E$500),$C263))</f>
        <v/>
      </c>
      <c r="E263" t="s">
        <v>29</v>
      </c>
      <c r="G263" s="27"/>
      <c r="H263" s="26" t="str">
        <f t="shared" si="8"/>
        <v/>
      </c>
      <c r="I263" s="24"/>
      <c r="J263" s="24"/>
      <c r="K263" s="26"/>
      <c r="M263" s="49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394</v>
      </c>
      <c r="B264" s="24"/>
      <c r="D264" t="str">
        <f>IF($C264="","",IFERROR(LOOKUP(2,1/('03_Warehouse_Movements'!$C$2:$C$500=$A264),'03_Warehouse_Movements'!$E$2:$E$500),$C264))</f>
        <v/>
      </c>
      <c r="E264" t="s">
        <v>29</v>
      </c>
      <c r="G264" s="27"/>
      <c r="H264" s="26" t="str">
        <f t="shared" si="8"/>
        <v/>
      </c>
      <c r="I264" s="24"/>
      <c r="J264" s="24"/>
      <c r="K264" s="26"/>
      <c r="M264" s="49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395</v>
      </c>
      <c r="B265" s="24"/>
      <c r="D265" t="str">
        <f>IF($C265="","",IFERROR(LOOKUP(2,1/('03_Warehouse_Movements'!$C$2:$C$500=$A265),'03_Warehouse_Movements'!$E$2:$E$500),$C265))</f>
        <v/>
      </c>
      <c r="E265" t="s">
        <v>29</v>
      </c>
      <c r="G265" s="27"/>
      <c r="H265" s="26" t="str">
        <f t="shared" si="8"/>
        <v/>
      </c>
      <c r="I265" s="24"/>
      <c r="J265" s="24"/>
      <c r="K265" s="26"/>
      <c r="M265" s="49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396</v>
      </c>
      <c r="B266" s="24"/>
      <c r="D266" t="str">
        <f>IF($C266="","",IFERROR(LOOKUP(2,1/('03_Warehouse_Movements'!$C$2:$C$500=$A266),'03_Warehouse_Movements'!$E$2:$E$500),$C266))</f>
        <v/>
      </c>
      <c r="E266" t="s">
        <v>29</v>
      </c>
      <c r="G266" s="27"/>
      <c r="H266" s="26" t="str">
        <f t="shared" si="8"/>
        <v/>
      </c>
      <c r="I266" s="24"/>
      <c r="J266" s="24"/>
      <c r="K266" s="26"/>
      <c r="M266" s="49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397</v>
      </c>
      <c r="B267" s="24"/>
      <c r="D267" t="str">
        <f>IF($C267="","",IFERROR(LOOKUP(2,1/('03_Warehouse_Movements'!$C$2:$C$500=$A267),'03_Warehouse_Movements'!$E$2:$E$500),$C267))</f>
        <v/>
      </c>
      <c r="E267" t="s">
        <v>29</v>
      </c>
      <c r="G267" s="27"/>
      <c r="H267" s="26" t="str">
        <f t="shared" si="8"/>
        <v/>
      </c>
      <c r="I267" s="24"/>
      <c r="J267" s="24"/>
      <c r="K267" s="26"/>
      <c r="M267" s="49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398</v>
      </c>
      <c r="B268" s="24"/>
      <c r="D268" t="str">
        <f>IF($C268="","",IFERROR(LOOKUP(2,1/('03_Warehouse_Movements'!$C$2:$C$500=$A268),'03_Warehouse_Movements'!$E$2:$E$500),$C268))</f>
        <v/>
      </c>
      <c r="E268" t="s">
        <v>29</v>
      </c>
      <c r="G268" s="27"/>
      <c r="H268" s="26" t="str">
        <f t="shared" si="8"/>
        <v/>
      </c>
      <c r="I268" s="24"/>
      <c r="J268" s="24"/>
      <c r="K268" s="26"/>
      <c r="M268" s="49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399</v>
      </c>
      <c r="B269" s="24"/>
      <c r="D269" t="str">
        <f>IF($C269="","",IFERROR(LOOKUP(2,1/('03_Warehouse_Movements'!$C$2:$C$500=$A269),'03_Warehouse_Movements'!$E$2:$E$500),$C269))</f>
        <v/>
      </c>
      <c r="E269" t="s">
        <v>29</v>
      </c>
      <c r="G269" s="27"/>
      <c r="H269" s="26" t="str">
        <f t="shared" si="8"/>
        <v/>
      </c>
      <c r="I269" s="24"/>
      <c r="J269" s="24"/>
      <c r="K269" s="26"/>
      <c r="M269" s="49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400</v>
      </c>
      <c r="B270" s="24"/>
      <c r="D270" t="str">
        <f>IF($C270="","",IFERROR(LOOKUP(2,1/('03_Warehouse_Movements'!$C$2:$C$500=$A270),'03_Warehouse_Movements'!$E$2:$E$500),$C270))</f>
        <v/>
      </c>
      <c r="E270" t="s">
        <v>29</v>
      </c>
      <c r="G270" s="27"/>
      <c r="H270" s="26" t="str">
        <f t="shared" si="8"/>
        <v/>
      </c>
      <c r="I270" s="24"/>
      <c r="J270" s="24"/>
      <c r="K270" s="26"/>
      <c r="M270" s="49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401</v>
      </c>
      <c r="B271" s="24"/>
      <c r="D271" t="str">
        <f>IF($C271="","",IFERROR(LOOKUP(2,1/('03_Warehouse_Movements'!$C$2:$C$500=$A271),'03_Warehouse_Movements'!$E$2:$E$500),$C271))</f>
        <v/>
      </c>
      <c r="E271" t="s">
        <v>29</v>
      </c>
      <c r="G271" s="27"/>
      <c r="H271" s="26" t="str">
        <f t="shared" si="8"/>
        <v/>
      </c>
      <c r="I271" s="24"/>
      <c r="J271" s="24"/>
      <c r="K271" s="26"/>
      <c r="M271" s="49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402</v>
      </c>
      <c r="B272" s="24"/>
      <c r="D272" t="str">
        <f>IF($C272="","",IFERROR(LOOKUP(2,1/('03_Warehouse_Movements'!$C$2:$C$500=$A272),'03_Warehouse_Movements'!$E$2:$E$500),$C272))</f>
        <v/>
      </c>
      <c r="E272" t="s">
        <v>29</v>
      </c>
      <c r="G272" s="27"/>
      <c r="H272" s="26" t="str">
        <f t="shared" si="8"/>
        <v/>
      </c>
      <c r="I272" s="24"/>
      <c r="J272" s="24"/>
      <c r="K272" s="26"/>
      <c r="M272" s="49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403</v>
      </c>
      <c r="B273" s="24"/>
      <c r="D273" t="str">
        <f>IF($C273="","",IFERROR(LOOKUP(2,1/('03_Warehouse_Movements'!$C$2:$C$500=$A273),'03_Warehouse_Movements'!$E$2:$E$500),$C273))</f>
        <v/>
      </c>
      <c r="E273" t="s">
        <v>29</v>
      </c>
      <c r="G273" s="27"/>
      <c r="H273" s="26" t="str">
        <f t="shared" si="8"/>
        <v/>
      </c>
      <c r="I273" s="24"/>
      <c r="J273" s="24"/>
      <c r="K273" s="26"/>
      <c r="M273" s="49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404</v>
      </c>
      <c r="B274" s="24"/>
      <c r="D274" t="str">
        <f>IF($C274="","",IFERROR(LOOKUP(2,1/('03_Warehouse_Movements'!$C$2:$C$500=$A274),'03_Warehouse_Movements'!$E$2:$E$500),$C274))</f>
        <v/>
      </c>
      <c r="E274" t="s">
        <v>29</v>
      </c>
      <c r="G274" s="27"/>
      <c r="H274" s="26" t="str">
        <f t="shared" si="8"/>
        <v/>
      </c>
      <c r="I274" s="24"/>
      <c r="J274" s="24"/>
      <c r="K274" s="26"/>
      <c r="M274" s="49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405</v>
      </c>
      <c r="B275" s="24"/>
      <c r="D275" t="str">
        <f>IF($C275="","",IFERROR(LOOKUP(2,1/('03_Warehouse_Movements'!$C$2:$C$500=$A275),'03_Warehouse_Movements'!$E$2:$E$500),$C275))</f>
        <v/>
      </c>
      <c r="E275" t="s">
        <v>29</v>
      </c>
      <c r="G275" s="27"/>
      <c r="H275" s="26" t="str">
        <f t="shared" si="8"/>
        <v/>
      </c>
      <c r="I275" s="24"/>
      <c r="J275" s="24"/>
      <c r="K275" s="26"/>
      <c r="M275" s="49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406</v>
      </c>
      <c r="B276" s="24"/>
      <c r="D276" t="str">
        <f>IF($C276="","",IFERROR(LOOKUP(2,1/('03_Warehouse_Movements'!$C$2:$C$500=$A276),'03_Warehouse_Movements'!$E$2:$E$500),$C276))</f>
        <v/>
      </c>
      <c r="E276" t="s">
        <v>29</v>
      </c>
      <c r="G276" s="27"/>
      <c r="H276" s="26" t="str">
        <f t="shared" si="8"/>
        <v/>
      </c>
      <c r="I276" s="24"/>
      <c r="J276" s="24"/>
      <c r="K276" s="26"/>
      <c r="M276" s="49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407</v>
      </c>
      <c r="B277" s="24"/>
      <c r="D277" t="str">
        <f>IF($C277="","",IFERROR(LOOKUP(2,1/('03_Warehouse_Movements'!$C$2:$C$500=$A277),'03_Warehouse_Movements'!$E$2:$E$500),$C277))</f>
        <v/>
      </c>
      <c r="E277" t="s">
        <v>29</v>
      </c>
      <c r="G277" s="27"/>
      <c r="H277" s="26" t="str">
        <f t="shared" si="8"/>
        <v/>
      </c>
      <c r="I277" s="24"/>
      <c r="J277" s="24"/>
      <c r="K277" s="26"/>
      <c r="M277" s="49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408</v>
      </c>
      <c r="B278" s="24"/>
      <c r="D278" t="str">
        <f>IF($C278="","",IFERROR(LOOKUP(2,1/('03_Warehouse_Movements'!$C$2:$C$500=$A278),'03_Warehouse_Movements'!$E$2:$E$500),$C278))</f>
        <v/>
      </c>
      <c r="E278" t="s">
        <v>29</v>
      </c>
      <c r="G278" s="27"/>
      <c r="H278" s="26" t="str">
        <f t="shared" si="8"/>
        <v/>
      </c>
      <c r="I278" s="24"/>
      <c r="J278" s="24"/>
      <c r="K278" s="26"/>
      <c r="M278" s="49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409</v>
      </c>
      <c r="B279" s="24"/>
      <c r="D279" t="str">
        <f>IF($C279="","",IFERROR(LOOKUP(2,1/('03_Warehouse_Movements'!$C$2:$C$500=$A279),'03_Warehouse_Movements'!$E$2:$E$500),$C279))</f>
        <v/>
      </c>
      <c r="E279" t="s">
        <v>29</v>
      </c>
      <c r="G279" s="27"/>
      <c r="H279" s="26" t="str">
        <f t="shared" si="8"/>
        <v/>
      </c>
      <c r="I279" s="24"/>
      <c r="J279" s="24"/>
      <c r="K279" s="26"/>
      <c r="M279" s="49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410</v>
      </c>
      <c r="B280" s="24"/>
      <c r="D280" t="str">
        <f>IF($C280="","",IFERROR(LOOKUP(2,1/('03_Warehouse_Movements'!$C$2:$C$500=$A280),'03_Warehouse_Movements'!$E$2:$E$500),$C280))</f>
        <v/>
      </c>
      <c r="E280" t="s">
        <v>29</v>
      </c>
      <c r="G280" s="27"/>
      <c r="H280" s="26" t="str">
        <f t="shared" si="8"/>
        <v/>
      </c>
      <c r="I280" s="24"/>
      <c r="J280" s="24"/>
      <c r="K280" s="26"/>
      <c r="M280" s="49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411</v>
      </c>
      <c r="B281" s="24"/>
      <c r="D281" t="str">
        <f>IF($C281="","",IFERROR(LOOKUP(2,1/('03_Warehouse_Movements'!$C$2:$C$500=$A281),'03_Warehouse_Movements'!$E$2:$E$500),$C281))</f>
        <v/>
      </c>
      <c r="E281" t="s">
        <v>29</v>
      </c>
      <c r="G281" s="27"/>
      <c r="H281" s="26" t="str">
        <f t="shared" si="8"/>
        <v/>
      </c>
      <c r="I281" s="24"/>
      <c r="J281" s="24"/>
      <c r="K281" s="26"/>
      <c r="M281" s="49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412</v>
      </c>
      <c r="B282" s="24"/>
      <c r="D282" t="str">
        <f>IF($C282="","",IFERROR(LOOKUP(2,1/('03_Warehouse_Movements'!$C$2:$C$500=$A282),'03_Warehouse_Movements'!$E$2:$E$500),$C282))</f>
        <v/>
      </c>
      <c r="E282" t="s">
        <v>29</v>
      </c>
      <c r="G282" s="27"/>
      <c r="H282" s="26" t="str">
        <f t="shared" si="8"/>
        <v/>
      </c>
      <c r="I282" s="24"/>
      <c r="J282" s="24"/>
      <c r="K282" s="26"/>
      <c r="M282" s="49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413</v>
      </c>
      <c r="B283" s="24"/>
      <c r="D283" t="str">
        <f>IF($C283="","",IFERROR(LOOKUP(2,1/('03_Warehouse_Movements'!$C$2:$C$500=$A283),'03_Warehouse_Movements'!$E$2:$E$500),$C283))</f>
        <v/>
      </c>
      <c r="E283" t="s">
        <v>29</v>
      </c>
      <c r="G283" s="27"/>
      <c r="H283" s="26" t="str">
        <f t="shared" si="8"/>
        <v/>
      </c>
      <c r="I283" s="24"/>
      <c r="J283" s="24"/>
      <c r="K283" s="26"/>
      <c r="M283" s="49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414</v>
      </c>
      <c r="B284" s="24"/>
      <c r="D284" t="str">
        <f>IF($C284="","",IFERROR(LOOKUP(2,1/('03_Warehouse_Movements'!$C$2:$C$500=$A284),'03_Warehouse_Movements'!$E$2:$E$500),$C284))</f>
        <v/>
      </c>
      <c r="E284" t="s">
        <v>29</v>
      </c>
      <c r="G284" s="27"/>
      <c r="H284" s="26" t="str">
        <f t="shared" si="8"/>
        <v/>
      </c>
      <c r="I284" s="24"/>
      <c r="J284" s="24"/>
      <c r="K284" s="26"/>
      <c r="M284" s="49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415</v>
      </c>
      <c r="B285" s="24"/>
      <c r="D285" t="str">
        <f>IF($C285="","",IFERROR(LOOKUP(2,1/('03_Warehouse_Movements'!$C$2:$C$500=$A285),'03_Warehouse_Movements'!$E$2:$E$500),$C285))</f>
        <v/>
      </c>
      <c r="E285" t="s">
        <v>29</v>
      </c>
      <c r="G285" s="27"/>
      <c r="H285" s="26" t="str">
        <f t="shared" si="8"/>
        <v/>
      </c>
      <c r="I285" s="24"/>
      <c r="J285" s="24"/>
      <c r="K285" s="26"/>
      <c r="M285" s="49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416</v>
      </c>
      <c r="B286" s="24"/>
      <c r="D286" t="str">
        <f>IF($C286="","",IFERROR(LOOKUP(2,1/('03_Warehouse_Movements'!$C$2:$C$500=$A286),'03_Warehouse_Movements'!$E$2:$E$500),$C286))</f>
        <v/>
      </c>
      <c r="E286" t="s">
        <v>29</v>
      </c>
      <c r="G286" s="27"/>
      <c r="H286" s="26" t="str">
        <f t="shared" si="8"/>
        <v/>
      </c>
      <c r="I286" s="24"/>
      <c r="J286" s="24"/>
      <c r="K286" s="26"/>
      <c r="M286" s="49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417</v>
      </c>
      <c r="B287" s="24"/>
      <c r="D287" t="str">
        <f>IF($C287="","",IFERROR(LOOKUP(2,1/('03_Warehouse_Movements'!$C$2:$C$500=$A287),'03_Warehouse_Movements'!$E$2:$E$500),$C287))</f>
        <v/>
      </c>
      <c r="E287" t="s">
        <v>29</v>
      </c>
      <c r="G287" s="27"/>
      <c r="H287" s="26" t="str">
        <f t="shared" si="8"/>
        <v/>
      </c>
      <c r="I287" s="24"/>
      <c r="J287" s="24"/>
      <c r="K287" s="26"/>
      <c r="M287" s="49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418</v>
      </c>
      <c r="B288" s="24"/>
      <c r="D288" t="str">
        <f>IF($C288="","",IFERROR(LOOKUP(2,1/('03_Warehouse_Movements'!$C$2:$C$500=$A288),'03_Warehouse_Movements'!$E$2:$E$500),$C288))</f>
        <v/>
      </c>
      <c r="E288" t="s">
        <v>29</v>
      </c>
      <c r="G288" s="27"/>
      <c r="H288" s="26" t="str">
        <f t="shared" si="8"/>
        <v/>
      </c>
      <c r="I288" s="24"/>
      <c r="J288" s="24"/>
      <c r="K288" s="26"/>
      <c r="M288" s="49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419</v>
      </c>
      <c r="B289" s="24"/>
      <c r="D289" t="str">
        <f>IF($C289="","",IFERROR(LOOKUP(2,1/('03_Warehouse_Movements'!$C$2:$C$500=$A289),'03_Warehouse_Movements'!$E$2:$E$500),$C289))</f>
        <v/>
      </c>
      <c r="E289" t="s">
        <v>29</v>
      </c>
      <c r="G289" s="27"/>
      <c r="H289" s="26" t="str">
        <f t="shared" si="8"/>
        <v/>
      </c>
      <c r="I289" s="24"/>
      <c r="J289" s="24"/>
      <c r="K289" s="26"/>
      <c r="M289" s="49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420</v>
      </c>
      <c r="B290" s="24"/>
      <c r="D290" t="str">
        <f>IF($C290="","",IFERROR(LOOKUP(2,1/('03_Warehouse_Movements'!$C$2:$C$500=$A290),'03_Warehouse_Movements'!$E$2:$E$500),$C290))</f>
        <v/>
      </c>
      <c r="E290" t="s">
        <v>29</v>
      </c>
      <c r="G290" s="27"/>
      <c r="H290" s="26" t="str">
        <f t="shared" si="8"/>
        <v/>
      </c>
      <c r="I290" s="24"/>
      <c r="J290" s="24"/>
      <c r="K290" s="26"/>
      <c r="M290" s="49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421</v>
      </c>
      <c r="B291" s="24"/>
      <c r="D291" t="str">
        <f>IF($C291="","",IFERROR(LOOKUP(2,1/('03_Warehouse_Movements'!$C$2:$C$500=$A291),'03_Warehouse_Movements'!$E$2:$E$500),$C291))</f>
        <v/>
      </c>
      <c r="E291" t="s">
        <v>29</v>
      </c>
      <c r="G291" s="27"/>
      <c r="H291" s="26" t="str">
        <f t="shared" si="8"/>
        <v/>
      </c>
      <c r="I291" s="24"/>
      <c r="J291" s="24"/>
      <c r="K291" s="26"/>
      <c r="M291" s="49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422</v>
      </c>
      <c r="B292" s="24"/>
      <c r="D292" t="str">
        <f>IF($C292="","",IFERROR(LOOKUP(2,1/('03_Warehouse_Movements'!$C$2:$C$500=$A292),'03_Warehouse_Movements'!$E$2:$E$500),$C292))</f>
        <v/>
      </c>
      <c r="E292" t="s">
        <v>29</v>
      </c>
      <c r="G292" s="27"/>
      <c r="H292" s="26" t="str">
        <f t="shared" si="8"/>
        <v/>
      </c>
      <c r="I292" s="24"/>
      <c r="J292" s="24"/>
      <c r="K292" s="26"/>
      <c r="M292" s="49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423</v>
      </c>
      <c r="B293" s="24"/>
      <c r="D293" t="str">
        <f>IF($C293="","",IFERROR(LOOKUP(2,1/('03_Warehouse_Movements'!$C$2:$C$500=$A293),'03_Warehouse_Movements'!$E$2:$E$500),$C293))</f>
        <v/>
      </c>
      <c r="E293" t="s">
        <v>29</v>
      </c>
      <c r="G293" s="27"/>
      <c r="H293" s="26" t="str">
        <f t="shared" si="8"/>
        <v/>
      </c>
      <c r="I293" s="24"/>
      <c r="J293" s="24"/>
      <c r="K293" s="26"/>
      <c r="M293" s="49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424</v>
      </c>
      <c r="B294" s="24"/>
      <c r="D294" t="str">
        <f>IF($C294="","",IFERROR(LOOKUP(2,1/('03_Warehouse_Movements'!$C$2:$C$500=$A294),'03_Warehouse_Movements'!$E$2:$E$500),$C294))</f>
        <v/>
      </c>
      <c r="E294" t="s">
        <v>29</v>
      </c>
      <c r="G294" s="27"/>
      <c r="H294" s="26" t="str">
        <f t="shared" si="8"/>
        <v/>
      </c>
      <c r="I294" s="24"/>
      <c r="J294" s="24"/>
      <c r="K294" s="26"/>
      <c r="M294" s="49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425</v>
      </c>
      <c r="B295" s="24"/>
      <c r="D295" t="str">
        <f>IF($C295="","",IFERROR(LOOKUP(2,1/('03_Warehouse_Movements'!$C$2:$C$500=$A295),'03_Warehouse_Movements'!$E$2:$E$500),$C295))</f>
        <v/>
      </c>
      <c r="E295" t="s">
        <v>29</v>
      </c>
      <c r="G295" s="27"/>
      <c r="H295" s="26" t="str">
        <f t="shared" si="8"/>
        <v/>
      </c>
      <c r="I295" s="24"/>
      <c r="J295" s="24"/>
      <c r="K295" s="26"/>
      <c r="M295" s="49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426</v>
      </c>
      <c r="B296" s="24"/>
      <c r="D296" t="str">
        <f>IF($C296="","",IFERROR(LOOKUP(2,1/('03_Warehouse_Movements'!$C$2:$C$500=$A296),'03_Warehouse_Movements'!$E$2:$E$500),$C296))</f>
        <v/>
      </c>
      <c r="E296" t="s">
        <v>29</v>
      </c>
      <c r="G296" s="27"/>
      <c r="H296" s="26" t="str">
        <f t="shared" si="8"/>
        <v/>
      </c>
      <c r="I296" s="24"/>
      <c r="J296" s="24"/>
      <c r="K296" s="26"/>
      <c r="M296" s="49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427</v>
      </c>
      <c r="B297" s="24"/>
      <c r="D297" t="str">
        <f>IF($C297="","",IFERROR(LOOKUP(2,1/('03_Warehouse_Movements'!$C$2:$C$500=$A297),'03_Warehouse_Movements'!$E$2:$E$500),$C297))</f>
        <v/>
      </c>
      <c r="E297" t="s">
        <v>29</v>
      </c>
      <c r="G297" s="27"/>
      <c r="H297" s="26" t="str">
        <f t="shared" si="8"/>
        <v/>
      </c>
      <c r="I297" s="24"/>
      <c r="J297" s="24"/>
      <c r="K297" s="26"/>
      <c r="M297" s="49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428</v>
      </c>
      <c r="B298" s="24"/>
      <c r="D298" t="str">
        <f>IF($C298="","",IFERROR(LOOKUP(2,1/('03_Warehouse_Movements'!$C$2:$C$500=$A298),'03_Warehouse_Movements'!$E$2:$E$500),$C298))</f>
        <v/>
      </c>
      <c r="E298" t="s">
        <v>29</v>
      </c>
      <c r="G298" s="27"/>
      <c r="H298" s="26" t="str">
        <f t="shared" si="8"/>
        <v/>
      </c>
      <c r="I298" s="24"/>
      <c r="J298" s="24"/>
      <c r="K298" s="26"/>
      <c r="M298" s="49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429</v>
      </c>
      <c r="B299" s="24"/>
      <c r="D299" t="str">
        <f>IF($C299="","",IFERROR(LOOKUP(2,1/('03_Warehouse_Movements'!$C$2:$C$500=$A299),'03_Warehouse_Movements'!$E$2:$E$500),$C299))</f>
        <v/>
      </c>
      <c r="E299" t="s">
        <v>29</v>
      </c>
      <c r="G299" s="27"/>
      <c r="H299" s="26" t="str">
        <f t="shared" si="8"/>
        <v/>
      </c>
      <c r="I299" s="24"/>
      <c r="J299" s="24"/>
      <c r="K299" s="26"/>
      <c r="M299" s="49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430</v>
      </c>
      <c r="B300" s="24"/>
      <c r="D300" t="str">
        <f>IF($C300="","",IFERROR(LOOKUP(2,1/('03_Warehouse_Movements'!$C$2:$C$500=$A300),'03_Warehouse_Movements'!$E$2:$E$500),$C300))</f>
        <v/>
      </c>
      <c r="E300" t="s">
        <v>29</v>
      </c>
      <c r="G300" s="27"/>
      <c r="H300" s="26" t="str">
        <f t="shared" si="8"/>
        <v/>
      </c>
      <c r="I300" s="24"/>
      <c r="J300" s="24"/>
      <c r="K300" s="26"/>
      <c r="M300" s="49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431</v>
      </c>
      <c r="B301" s="24"/>
      <c r="D301" t="str">
        <f>IF($C301="","",IFERROR(LOOKUP(2,1/('03_Warehouse_Movements'!$C$2:$C$500=$A301),'03_Warehouse_Movements'!$E$2:$E$500),$C301))</f>
        <v/>
      </c>
      <c r="E301" t="s">
        <v>29</v>
      </c>
      <c r="G301" s="27"/>
      <c r="H301" s="26" t="str">
        <f t="shared" si="8"/>
        <v/>
      </c>
      <c r="I301" s="24"/>
      <c r="J301" s="24"/>
      <c r="K301" s="26"/>
      <c r="M301" s="49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432</v>
      </c>
      <c r="B302" s="24"/>
      <c r="D302" t="str">
        <f>IF($C302="","",IFERROR(LOOKUP(2,1/('03_Warehouse_Movements'!$C$2:$C$500=$A302),'03_Warehouse_Movements'!$E$2:$E$500),$C302))</f>
        <v/>
      </c>
      <c r="E302" t="s">
        <v>29</v>
      </c>
      <c r="G302" s="27"/>
      <c r="H302" s="26" t="str">
        <f t="shared" si="8"/>
        <v/>
      </c>
      <c r="I302" s="24"/>
      <c r="J302" s="24"/>
      <c r="K302" s="26"/>
      <c r="M302" s="49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433</v>
      </c>
      <c r="B303" s="24"/>
      <c r="D303" t="str">
        <f>IF($C303="","",IFERROR(LOOKUP(2,1/('03_Warehouse_Movements'!$C$2:$C$500=$A303),'03_Warehouse_Movements'!$E$2:$E$500),$C303))</f>
        <v/>
      </c>
      <c r="E303" t="s">
        <v>29</v>
      </c>
      <c r="G303" s="27"/>
      <c r="H303" s="26" t="str">
        <f t="shared" si="8"/>
        <v/>
      </c>
      <c r="I303" s="24"/>
      <c r="J303" s="24"/>
      <c r="K303" s="26"/>
      <c r="M303" s="49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434</v>
      </c>
      <c r="B304" s="24"/>
      <c r="D304" t="str">
        <f>IF($C304="","",IFERROR(LOOKUP(2,1/('03_Warehouse_Movements'!$C$2:$C$500=$A304),'03_Warehouse_Movements'!$E$2:$E$500),$C304))</f>
        <v/>
      </c>
      <c r="E304" t="s">
        <v>29</v>
      </c>
      <c r="G304" s="27"/>
      <c r="H304" s="26" t="str">
        <f t="shared" si="8"/>
        <v/>
      </c>
      <c r="I304" s="24"/>
      <c r="J304" s="24"/>
      <c r="K304" s="26"/>
      <c r="M304" s="49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435</v>
      </c>
      <c r="B305" s="24"/>
      <c r="D305" t="str">
        <f>IF($C305="","",IFERROR(LOOKUP(2,1/('03_Warehouse_Movements'!$C$2:$C$500=$A305),'03_Warehouse_Movements'!$E$2:$E$500),$C305))</f>
        <v/>
      </c>
      <c r="E305" t="s">
        <v>29</v>
      </c>
      <c r="G305" s="27"/>
      <c r="H305" s="26" t="str">
        <f t="shared" si="8"/>
        <v/>
      </c>
      <c r="I305" s="24"/>
      <c r="J305" s="24"/>
      <c r="K305" s="26"/>
      <c r="M305" s="49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436</v>
      </c>
      <c r="B306" s="24"/>
      <c r="D306" t="str">
        <f>IF($C306="","",IFERROR(LOOKUP(2,1/('03_Warehouse_Movements'!$C$2:$C$500=$A306),'03_Warehouse_Movements'!$E$2:$E$500),$C306))</f>
        <v/>
      </c>
      <c r="E306" t="s">
        <v>29</v>
      </c>
      <c r="G306" s="27"/>
      <c r="H306" s="26" t="str">
        <f t="shared" si="8"/>
        <v/>
      </c>
      <c r="I306" s="24"/>
      <c r="J306" s="24"/>
      <c r="K306" s="26"/>
      <c r="M306" s="49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437</v>
      </c>
      <c r="B307" s="24"/>
      <c r="D307" t="str">
        <f>IF($C307="","",IFERROR(LOOKUP(2,1/('03_Warehouse_Movements'!$C$2:$C$500=$A307),'03_Warehouse_Movements'!$E$2:$E$500),$C307))</f>
        <v/>
      </c>
      <c r="E307" t="s">
        <v>29</v>
      </c>
      <c r="G307" s="27"/>
      <c r="H307" s="26" t="str">
        <f t="shared" si="8"/>
        <v/>
      </c>
      <c r="I307" s="24"/>
      <c r="J307" s="24"/>
      <c r="K307" s="26"/>
      <c r="M307" s="49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438</v>
      </c>
      <c r="B308" s="24"/>
      <c r="D308" t="str">
        <f>IF($C308="","",IFERROR(LOOKUP(2,1/('03_Warehouse_Movements'!$C$2:$C$500=$A308),'03_Warehouse_Movements'!$E$2:$E$500),$C308))</f>
        <v/>
      </c>
      <c r="E308" t="s">
        <v>29</v>
      </c>
      <c r="G308" s="27"/>
      <c r="H308" s="26" t="str">
        <f t="shared" si="8"/>
        <v/>
      </c>
      <c r="I308" s="24"/>
      <c r="J308" s="24"/>
      <c r="K308" s="26"/>
      <c r="M308" s="49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439</v>
      </c>
      <c r="B309" s="24"/>
      <c r="D309" t="str">
        <f>IF($C309="","",IFERROR(LOOKUP(2,1/('03_Warehouse_Movements'!$C$2:$C$500=$A309),'03_Warehouse_Movements'!$E$2:$E$500),$C309))</f>
        <v/>
      </c>
      <c r="E309" t="s">
        <v>29</v>
      </c>
      <c r="G309" s="27"/>
      <c r="H309" s="26" t="str">
        <f t="shared" si="8"/>
        <v/>
      </c>
      <c r="I309" s="24"/>
      <c r="J309" s="24"/>
      <c r="K309" s="26"/>
      <c r="M309" s="49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440</v>
      </c>
      <c r="B310" s="24"/>
      <c r="D310" t="str">
        <f>IF($C310="","",IFERROR(LOOKUP(2,1/('03_Warehouse_Movements'!$C$2:$C$500=$A310),'03_Warehouse_Movements'!$E$2:$E$500),$C310))</f>
        <v/>
      </c>
      <c r="E310" t="s">
        <v>29</v>
      </c>
      <c r="G310" s="27"/>
      <c r="H310" s="26" t="str">
        <f t="shared" si="8"/>
        <v/>
      </c>
      <c r="I310" s="24"/>
      <c r="J310" s="24"/>
      <c r="K310" s="26"/>
      <c r="M310" s="49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441</v>
      </c>
      <c r="B311" s="24"/>
      <c r="D311" t="str">
        <f>IF($C311="","",IFERROR(LOOKUP(2,1/('03_Warehouse_Movements'!$C$2:$C$500=$A311),'03_Warehouse_Movements'!$E$2:$E$500),$C311))</f>
        <v/>
      </c>
      <c r="E311" t="s">
        <v>29</v>
      </c>
      <c r="G311" s="27"/>
      <c r="H311" s="26" t="str">
        <f t="shared" si="8"/>
        <v/>
      </c>
      <c r="I311" s="24"/>
      <c r="J311" s="24"/>
      <c r="K311" s="26"/>
      <c r="M311" s="49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442</v>
      </c>
      <c r="B312" s="24"/>
      <c r="D312" t="str">
        <f>IF($C312="","",IFERROR(LOOKUP(2,1/('03_Warehouse_Movements'!$C$2:$C$500=$A312),'03_Warehouse_Movements'!$E$2:$E$500),$C312))</f>
        <v/>
      </c>
      <c r="E312" t="s">
        <v>29</v>
      </c>
      <c r="G312" s="27"/>
      <c r="H312" s="26" t="str">
        <f t="shared" si="8"/>
        <v/>
      </c>
      <c r="I312" s="24"/>
      <c r="J312" s="24"/>
      <c r="K312" s="26"/>
      <c r="M312" s="49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443</v>
      </c>
      <c r="B313" s="24"/>
      <c r="D313" t="str">
        <f>IF($C313="","",IFERROR(LOOKUP(2,1/('03_Warehouse_Movements'!$C$2:$C$500=$A313),'03_Warehouse_Movements'!$E$2:$E$500),$C313))</f>
        <v/>
      </c>
      <c r="E313" t="s">
        <v>29</v>
      </c>
      <c r="G313" s="27"/>
      <c r="H313" s="26" t="str">
        <f t="shared" si="8"/>
        <v/>
      </c>
      <c r="I313" s="24"/>
      <c r="J313" s="24"/>
      <c r="K313" s="26"/>
      <c r="M313" s="49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444</v>
      </c>
      <c r="B314" s="24"/>
      <c r="D314" t="str">
        <f>IF($C314="","",IFERROR(LOOKUP(2,1/('03_Warehouse_Movements'!$C$2:$C$500=$A314),'03_Warehouse_Movements'!$E$2:$E$500),$C314))</f>
        <v/>
      </c>
      <c r="E314" t="s">
        <v>29</v>
      </c>
      <c r="G314" s="27"/>
      <c r="H314" s="26" t="str">
        <f t="shared" si="8"/>
        <v/>
      </c>
      <c r="I314" s="24"/>
      <c r="J314" s="24"/>
      <c r="K314" s="26"/>
      <c r="M314" s="49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445</v>
      </c>
      <c r="B315" s="24"/>
      <c r="D315" t="str">
        <f>IF($C315="","",IFERROR(LOOKUP(2,1/('03_Warehouse_Movements'!$C$2:$C$500=$A315),'03_Warehouse_Movements'!$E$2:$E$500),$C315))</f>
        <v/>
      </c>
      <c r="E315" t="s">
        <v>29</v>
      </c>
      <c r="G315" s="27"/>
      <c r="H315" s="26" t="str">
        <f t="shared" si="8"/>
        <v/>
      </c>
      <c r="I315" s="24"/>
      <c r="J315" s="24"/>
      <c r="K315" s="26"/>
      <c r="M315" s="49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446</v>
      </c>
      <c r="B316" s="24"/>
      <c r="D316" t="str">
        <f>IF($C316="","",IFERROR(LOOKUP(2,1/('03_Warehouse_Movements'!$C$2:$C$500=$A316),'03_Warehouse_Movements'!$E$2:$E$500),$C316))</f>
        <v/>
      </c>
      <c r="E316" t="s">
        <v>29</v>
      </c>
      <c r="G316" s="27"/>
      <c r="H316" s="26" t="str">
        <f t="shared" si="8"/>
        <v/>
      </c>
      <c r="I316" s="24"/>
      <c r="J316" s="24"/>
      <c r="K316" s="26"/>
      <c r="M316" s="49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447</v>
      </c>
      <c r="B317" s="24"/>
      <c r="D317" t="str">
        <f>IF($C317="","",IFERROR(LOOKUP(2,1/('03_Warehouse_Movements'!$C$2:$C$500=$A317),'03_Warehouse_Movements'!$E$2:$E$500),$C317))</f>
        <v/>
      </c>
      <c r="E317" t="s">
        <v>29</v>
      </c>
      <c r="G317" s="27"/>
      <c r="H317" s="26" t="str">
        <f t="shared" si="8"/>
        <v/>
      </c>
      <c r="I317" s="24"/>
      <c r="J317" s="24"/>
      <c r="K317" s="26"/>
      <c r="M317" s="49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448</v>
      </c>
      <c r="B318" s="24"/>
      <c r="D318" t="str">
        <f>IF($C318="","",IFERROR(LOOKUP(2,1/('03_Warehouse_Movements'!$C$2:$C$500=$A318),'03_Warehouse_Movements'!$E$2:$E$500),$C318))</f>
        <v/>
      </c>
      <c r="E318" t="s">
        <v>29</v>
      </c>
      <c r="G318" s="27"/>
      <c r="H318" s="26" t="str">
        <f t="shared" si="8"/>
        <v/>
      </c>
      <c r="I318" s="24"/>
      <c r="J318" s="24"/>
      <c r="K318" s="26"/>
      <c r="M318" s="49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449</v>
      </c>
      <c r="B319" s="24"/>
      <c r="D319" t="str">
        <f>IF($C319="","",IFERROR(LOOKUP(2,1/('03_Warehouse_Movements'!$C$2:$C$500=$A319),'03_Warehouse_Movements'!$E$2:$E$500),$C319))</f>
        <v/>
      </c>
      <c r="E319" t="s">
        <v>29</v>
      </c>
      <c r="G319" s="27"/>
      <c r="H319" s="26" t="str">
        <f t="shared" si="8"/>
        <v/>
      </c>
      <c r="I319" s="24"/>
      <c r="J319" s="24"/>
      <c r="K319" s="26"/>
      <c r="M319" s="49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450</v>
      </c>
      <c r="B320" s="24"/>
      <c r="D320" t="str">
        <f>IF($C320="","",IFERROR(LOOKUP(2,1/('03_Warehouse_Movements'!$C$2:$C$500=$A320),'03_Warehouse_Movements'!$E$2:$E$500),$C320))</f>
        <v/>
      </c>
      <c r="E320" t="s">
        <v>29</v>
      </c>
      <c r="G320" s="27"/>
      <c r="H320" s="26" t="str">
        <f t="shared" si="8"/>
        <v/>
      </c>
      <c r="I320" s="24"/>
      <c r="J320" s="24"/>
      <c r="K320" s="26"/>
      <c r="M320" s="49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451</v>
      </c>
      <c r="B321" s="24"/>
      <c r="D321" t="str">
        <f>IF($C321="","",IFERROR(LOOKUP(2,1/('03_Warehouse_Movements'!$C$2:$C$500=$A321),'03_Warehouse_Movements'!$E$2:$E$500),$C321))</f>
        <v/>
      </c>
      <c r="E321" t="s">
        <v>29</v>
      </c>
      <c r="G321" s="27"/>
      <c r="H321" s="26" t="str">
        <f t="shared" si="8"/>
        <v/>
      </c>
      <c r="I321" s="24"/>
      <c r="J321" s="24"/>
      <c r="K321" s="26"/>
      <c r="M321" s="49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452</v>
      </c>
      <c r="B322" s="24"/>
      <c r="D322" t="str">
        <f>IF($C322="","",IFERROR(LOOKUP(2,1/('03_Warehouse_Movements'!$C$2:$C$500=$A322),'03_Warehouse_Movements'!$E$2:$E$500),$C322))</f>
        <v/>
      </c>
      <c r="E322" t="s">
        <v>29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49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453</v>
      </c>
      <c r="B323" s="24"/>
      <c r="D323" t="str">
        <f>IF($C323="","",IFERROR(LOOKUP(2,1/('03_Warehouse_Movements'!$C$2:$C$500=$A323),'03_Warehouse_Movements'!$E$2:$E$500),$C323))</f>
        <v/>
      </c>
      <c r="E323" t="s">
        <v>29</v>
      </c>
      <c r="G323" s="27"/>
      <c r="H323" s="26" t="str">
        <f t="shared" si="10"/>
        <v/>
      </c>
      <c r="I323" s="24"/>
      <c r="J323" s="24"/>
      <c r="K323" s="26"/>
      <c r="M323" s="49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454</v>
      </c>
      <c r="B324" s="24"/>
      <c r="D324" t="str">
        <f>IF($C324="","",IFERROR(LOOKUP(2,1/('03_Warehouse_Movements'!$C$2:$C$500=$A324),'03_Warehouse_Movements'!$E$2:$E$500),$C324))</f>
        <v/>
      </c>
      <c r="E324" t="s">
        <v>29</v>
      </c>
      <c r="G324" s="27"/>
      <c r="H324" s="26" t="str">
        <f t="shared" si="10"/>
        <v/>
      </c>
      <c r="I324" s="24"/>
      <c r="J324" s="24"/>
      <c r="K324" s="26"/>
      <c r="M324" s="49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455</v>
      </c>
      <c r="B325" s="24"/>
      <c r="D325" t="str">
        <f>IF($C325="","",IFERROR(LOOKUP(2,1/('03_Warehouse_Movements'!$C$2:$C$500=$A325),'03_Warehouse_Movements'!$E$2:$E$500),$C325))</f>
        <v/>
      </c>
      <c r="E325" t="s">
        <v>29</v>
      </c>
      <c r="G325" s="27"/>
      <c r="H325" s="26" t="str">
        <f t="shared" si="10"/>
        <v/>
      </c>
      <c r="I325" s="24"/>
      <c r="J325" s="24"/>
      <c r="K325" s="26"/>
      <c r="M325" s="49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456</v>
      </c>
      <c r="B326" s="24"/>
      <c r="D326" t="str">
        <f>IF($C326="","",IFERROR(LOOKUP(2,1/('03_Warehouse_Movements'!$C$2:$C$500=$A326),'03_Warehouse_Movements'!$E$2:$E$500),$C326))</f>
        <v/>
      </c>
      <c r="E326" t="s">
        <v>29</v>
      </c>
      <c r="G326" s="27"/>
      <c r="H326" s="26" t="str">
        <f t="shared" si="10"/>
        <v/>
      </c>
      <c r="I326" s="24"/>
      <c r="J326" s="24"/>
      <c r="K326" s="26"/>
      <c r="M326" s="49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457</v>
      </c>
      <c r="B327" s="24"/>
      <c r="D327" t="str">
        <f>IF($C327="","",IFERROR(LOOKUP(2,1/('03_Warehouse_Movements'!$C$2:$C$500=$A327),'03_Warehouse_Movements'!$E$2:$E$500),$C327))</f>
        <v/>
      </c>
      <c r="E327" t="s">
        <v>29</v>
      </c>
      <c r="G327" s="27"/>
      <c r="H327" s="26" t="str">
        <f t="shared" si="10"/>
        <v/>
      </c>
      <c r="I327" s="24"/>
      <c r="J327" s="24"/>
      <c r="K327" s="26"/>
      <c r="M327" s="49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458</v>
      </c>
      <c r="B328" s="24"/>
      <c r="D328" t="str">
        <f>IF($C328="","",IFERROR(LOOKUP(2,1/('03_Warehouse_Movements'!$C$2:$C$500=$A328),'03_Warehouse_Movements'!$E$2:$E$500),$C328))</f>
        <v/>
      </c>
      <c r="E328" t="s">
        <v>29</v>
      </c>
      <c r="G328" s="27"/>
      <c r="H328" s="26" t="str">
        <f t="shared" si="10"/>
        <v/>
      </c>
      <c r="I328" s="24"/>
      <c r="J328" s="24"/>
      <c r="K328" s="26"/>
      <c r="M328" s="49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459</v>
      </c>
      <c r="B329" s="24"/>
      <c r="D329" t="str">
        <f>IF($C329="","",IFERROR(LOOKUP(2,1/('03_Warehouse_Movements'!$C$2:$C$500=$A329),'03_Warehouse_Movements'!$E$2:$E$500),$C329))</f>
        <v/>
      </c>
      <c r="E329" t="s">
        <v>29</v>
      </c>
      <c r="G329" s="27"/>
      <c r="H329" s="26" t="str">
        <f t="shared" si="10"/>
        <v/>
      </c>
      <c r="I329" s="24"/>
      <c r="J329" s="24"/>
      <c r="K329" s="26"/>
      <c r="M329" s="49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460</v>
      </c>
      <c r="B330" s="24"/>
      <c r="D330" t="str">
        <f>IF($C330="","",IFERROR(LOOKUP(2,1/('03_Warehouse_Movements'!$C$2:$C$500=$A330),'03_Warehouse_Movements'!$E$2:$E$500),$C330))</f>
        <v/>
      </c>
      <c r="E330" t="s">
        <v>29</v>
      </c>
      <c r="G330" s="27"/>
      <c r="H330" s="26" t="str">
        <f t="shared" si="10"/>
        <v/>
      </c>
      <c r="I330" s="24"/>
      <c r="J330" s="24"/>
      <c r="K330" s="26"/>
      <c r="M330" s="49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461</v>
      </c>
      <c r="B331" s="24"/>
      <c r="D331" t="str">
        <f>IF($C331="","",IFERROR(LOOKUP(2,1/('03_Warehouse_Movements'!$C$2:$C$500=$A331),'03_Warehouse_Movements'!$E$2:$E$500),$C331))</f>
        <v/>
      </c>
      <c r="E331" t="s">
        <v>29</v>
      </c>
      <c r="G331" s="27"/>
      <c r="H331" s="26" t="str">
        <f t="shared" si="10"/>
        <v/>
      </c>
      <c r="I331" s="24"/>
      <c r="J331" s="24"/>
      <c r="K331" s="26"/>
      <c r="M331" s="49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462</v>
      </c>
      <c r="B332" s="24"/>
      <c r="D332" t="str">
        <f>IF($C332="","",IFERROR(LOOKUP(2,1/('03_Warehouse_Movements'!$C$2:$C$500=$A332),'03_Warehouse_Movements'!$E$2:$E$500),$C332))</f>
        <v/>
      </c>
      <c r="E332" t="s">
        <v>29</v>
      </c>
      <c r="G332" s="27"/>
      <c r="H332" s="26" t="str">
        <f t="shared" si="10"/>
        <v/>
      </c>
      <c r="I332" s="24"/>
      <c r="J332" s="24"/>
      <c r="K332" s="26"/>
      <c r="M332" s="49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463</v>
      </c>
      <c r="B333" s="24"/>
      <c r="D333" t="str">
        <f>IF($C333="","",IFERROR(LOOKUP(2,1/('03_Warehouse_Movements'!$C$2:$C$500=$A333),'03_Warehouse_Movements'!$E$2:$E$500),$C333))</f>
        <v/>
      </c>
      <c r="E333" t="s">
        <v>29</v>
      </c>
      <c r="G333" s="27"/>
      <c r="H333" s="26" t="str">
        <f t="shared" si="10"/>
        <v/>
      </c>
      <c r="I333" s="24"/>
      <c r="J333" s="24"/>
      <c r="K333" s="26"/>
      <c r="M333" s="49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464</v>
      </c>
      <c r="B334" s="24"/>
      <c r="D334" t="str">
        <f>IF($C334="","",IFERROR(LOOKUP(2,1/('03_Warehouse_Movements'!$C$2:$C$500=$A334),'03_Warehouse_Movements'!$E$2:$E$500),$C334))</f>
        <v/>
      </c>
      <c r="E334" t="s">
        <v>29</v>
      </c>
      <c r="G334" s="27"/>
      <c r="H334" s="26" t="str">
        <f t="shared" si="10"/>
        <v/>
      </c>
      <c r="I334" s="24"/>
      <c r="J334" s="24"/>
      <c r="K334" s="26"/>
      <c r="M334" s="49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465</v>
      </c>
      <c r="B335" s="24"/>
      <c r="D335" t="str">
        <f>IF($C335="","",IFERROR(LOOKUP(2,1/('03_Warehouse_Movements'!$C$2:$C$500=$A335),'03_Warehouse_Movements'!$E$2:$E$500),$C335))</f>
        <v/>
      </c>
      <c r="E335" t="s">
        <v>29</v>
      </c>
      <c r="G335" s="27"/>
      <c r="H335" s="26" t="str">
        <f t="shared" si="10"/>
        <v/>
      </c>
      <c r="I335" s="24"/>
      <c r="J335" s="24"/>
      <c r="K335" s="26"/>
      <c r="M335" s="49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466</v>
      </c>
      <c r="B336" s="24"/>
      <c r="D336" t="str">
        <f>IF($C336="","",IFERROR(LOOKUP(2,1/('03_Warehouse_Movements'!$C$2:$C$500=$A336),'03_Warehouse_Movements'!$E$2:$E$500),$C336))</f>
        <v/>
      </c>
      <c r="E336" t="s">
        <v>29</v>
      </c>
      <c r="G336" s="27"/>
      <c r="H336" s="26" t="str">
        <f t="shared" si="10"/>
        <v/>
      </c>
      <c r="I336" s="24"/>
      <c r="J336" s="24"/>
      <c r="K336" s="26"/>
      <c r="M336" s="49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467</v>
      </c>
      <c r="B337" s="24"/>
      <c r="D337" t="str">
        <f>IF($C337="","",IFERROR(LOOKUP(2,1/('03_Warehouse_Movements'!$C$2:$C$500=$A337),'03_Warehouse_Movements'!$E$2:$E$500),$C337))</f>
        <v/>
      </c>
      <c r="E337" t="s">
        <v>29</v>
      </c>
      <c r="G337" s="27"/>
      <c r="H337" s="26" t="str">
        <f t="shared" si="10"/>
        <v/>
      </c>
      <c r="I337" s="24"/>
      <c r="J337" s="24"/>
      <c r="K337" s="26"/>
      <c r="M337" s="49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468</v>
      </c>
      <c r="B338" s="24"/>
      <c r="D338" t="str">
        <f>IF($C338="","",IFERROR(LOOKUP(2,1/('03_Warehouse_Movements'!$C$2:$C$500=$A338),'03_Warehouse_Movements'!$E$2:$E$500),$C338))</f>
        <v/>
      </c>
      <c r="E338" t="s">
        <v>29</v>
      </c>
      <c r="G338" s="27"/>
      <c r="H338" s="26" t="str">
        <f t="shared" si="10"/>
        <v/>
      </c>
      <c r="I338" s="24"/>
      <c r="J338" s="24"/>
      <c r="K338" s="26"/>
      <c r="M338" s="49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469</v>
      </c>
      <c r="B339" s="24"/>
      <c r="D339" t="str">
        <f>IF($C339="","",IFERROR(LOOKUP(2,1/('03_Warehouse_Movements'!$C$2:$C$500=$A339),'03_Warehouse_Movements'!$E$2:$E$500),$C339))</f>
        <v/>
      </c>
      <c r="E339" t="s">
        <v>29</v>
      </c>
      <c r="G339" s="27"/>
      <c r="H339" s="26" t="str">
        <f t="shared" si="10"/>
        <v/>
      </c>
      <c r="I339" s="24"/>
      <c r="J339" s="24"/>
      <c r="K339" s="26"/>
      <c r="M339" s="49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470</v>
      </c>
      <c r="B340" s="24"/>
      <c r="D340" t="str">
        <f>IF($C340="","",IFERROR(LOOKUP(2,1/('03_Warehouse_Movements'!$C$2:$C$500=$A340),'03_Warehouse_Movements'!$E$2:$E$500),$C340))</f>
        <v/>
      </c>
      <c r="E340" t="s">
        <v>29</v>
      </c>
      <c r="G340" s="27"/>
      <c r="H340" s="26" t="str">
        <f t="shared" si="10"/>
        <v/>
      </c>
      <c r="I340" s="24"/>
      <c r="J340" s="24"/>
      <c r="K340" s="26"/>
      <c r="M340" s="49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471</v>
      </c>
      <c r="B341" s="24"/>
      <c r="D341" t="str">
        <f>IF($C341="","",IFERROR(LOOKUP(2,1/('03_Warehouse_Movements'!$C$2:$C$500=$A341),'03_Warehouse_Movements'!$E$2:$E$500),$C341))</f>
        <v/>
      </c>
      <c r="E341" t="s">
        <v>29</v>
      </c>
      <c r="G341" s="27"/>
      <c r="H341" s="26" t="str">
        <f t="shared" si="10"/>
        <v/>
      </c>
      <c r="I341" s="24"/>
      <c r="J341" s="24"/>
      <c r="K341" s="26"/>
      <c r="M341" s="49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472</v>
      </c>
      <c r="B342" s="24"/>
      <c r="D342" t="str">
        <f>IF($C342="","",IFERROR(LOOKUP(2,1/('03_Warehouse_Movements'!$C$2:$C$500=$A342),'03_Warehouse_Movements'!$E$2:$E$500),$C342))</f>
        <v/>
      </c>
      <c r="E342" t="s">
        <v>29</v>
      </c>
      <c r="G342" s="27"/>
      <c r="H342" s="26" t="str">
        <f t="shared" si="10"/>
        <v/>
      </c>
      <c r="I342" s="24"/>
      <c r="J342" s="24"/>
      <c r="K342" s="26"/>
      <c r="M342" s="49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473</v>
      </c>
      <c r="B343" s="24"/>
      <c r="D343" t="str">
        <f>IF($C343="","",IFERROR(LOOKUP(2,1/('03_Warehouse_Movements'!$C$2:$C$500=$A343),'03_Warehouse_Movements'!$E$2:$E$500),$C343))</f>
        <v/>
      </c>
      <c r="E343" t="s">
        <v>29</v>
      </c>
      <c r="G343" s="27"/>
      <c r="H343" s="26" t="str">
        <f t="shared" si="10"/>
        <v/>
      </c>
      <c r="I343" s="24"/>
      <c r="J343" s="24"/>
      <c r="K343" s="26"/>
      <c r="M343" s="49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474</v>
      </c>
      <c r="B344" s="24"/>
      <c r="D344" t="str">
        <f>IF($C344="","",IFERROR(LOOKUP(2,1/('03_Warehouse_Movements'!$C$2:$C$500=$A344),'03_Warehouse_Movements'!$E$2:$E$500),$C344))</f>
        <v/>
      </c>
      <c r="E344" t="s">
        <v>29</v>
      </c>
      <c r="G344" s="27"/>
      <c r="H344" s="26" t="str">
        <f t="shared" si="10"/>
        <v/>
      </c>
      <c r="I344" s="24"/>
      <c r="J344" s="24"/>
      <c r="K344" s="26"/>
      <c r="M344" s="49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475</v>
      </c>
      <c r="B345" s="24"/>
      <c r="D345" t="str">
        <f>IF($C345="","",IFERROR(LOOKUP(2,1/('03_Warehouse_Movements'!$C$2:$C$500=$A345),'03_Warehouse_Movements'!$E$2:$E$500),$C345))</f>
        <v/>
      </c>
      <c r="E345" t="s">
        <v>29</v>
      </c>
      <c r="G345" s="27"/>
      <c r="H345" s="26" t="str">
        <f t="shared" si="10"/>
        <v/>
      </c>
      <c r="I345" s="24"/>
      <c r="J345" s="24"/>
      <c r="K345" s="26"/>
      <c r="M345" s="49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476</v>
      </c>
      <c r="B346" s="24"/>
      <c r="D346" t="str">
        <f>IF($C346="","",IFERROR(LOOKUP(2,1/('03_Warehouse_Movements'!$C$2:$C$500=$A346),'03_Warehouse_Movements'!$E$2:$E$500),$C346))</f>
        <v/>
      </c>
      <c r="E346" t="s">
        <v>29</v>
      </c>
      <c r="G346" s="27"/>
      <c r="H346" s="26" t="str">
        <f t="shared" si="10"/>
        <v/>
      </c>
      <c r="I346" s="24"/>
      <c r="J346" s="24"/>
      <c r="K346" s="26"/>
      <c r="M346" s="49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477</v>
      </c>
      <c r="B347" s="24"/>
      <c r="D347" t="str">
        <f>IF($C347="","",IFERROR(LOOKUP(2,1/('03_Warehouse_Movements'!$C$2:$C$500=$A347),'03_Warehouse_Movements'!$E$2:$E$500),$C347))</f>
        <v/>
      </c>
      <c r="E347" t="s">
        <v>29</v>
      </c>
      <c r="G347" s="27"/>
      <c r="H347" s="26" t="str">
        <f t="shared" si="10"/>
        <v/>
      </c>
      <c r="I347" s="24"/>
      <c r="J347" s="24"/>
      <c r="K347" s="26"/>
      <c r="M347" s="49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478</v>
      </c>
      <c r="B348" s="24"/>
      <c r="D348" t="str">
        <f>IF($C348="","",IFERROR(LOOKUP(2,1/('03_Warehouse_Movements'!$C$2:$C$500=$A348),'03_Warehouse_Movements'!$E$2:$E$500),$C348))</f>
        <v/>
      </c>
      <c r="E348" t="s">
        <v>29</v>
      </c>
      <c r="G348" s="27"/>
      <c r="H348" s="26" t="str">
        <f t="shared" si="10"/>
        <v/>
      </c>
      <c r="I348" s="24"/>
      <c r="J348" s="24"/>
      <c r="K348" s="26"/>
      <c r="M348" s="49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479</v>
      </c>
      <c r="B349" s="24"/>
      <c r="D349" t="str">
        <f>IF($C349="","",IFERROR(LOOKUP(2,1/('03_Warehouse_Movements'!$C$2:$C$500=$A349),'03_Warehouse_Movements'!$E$2:$E$500),$C349))</f>
        <v/>
      </c>
      <c r="E349" t="s">
        <v>29</v>
      </c>
      <c r="G349" s="27"/>
      <c r="H349" s="26" t="str">
        <f t="shared" si="10"/>
        <v/>
      </c>
      <c r="I349" s="24"/>
      <c r="J349" s="24"/>
      <c r="K349" s="26"/>
      <c r="M349" s="49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480</v>
      </c>
      <c r="B350" s="24"/>
      <c r="D350" t="str">
        <f>IF($C350="","",IFERROR(LOOKUP(2,1/('03_Warehouse_Movements'!$C$2:$C$500=$A350),'03_Warehouse_Movements'!$E$2:$E$500),$C350))</f>
        <v/>
      </c>
      <c r="E350" t="s">
        <v>29</v>
      </c>
      <c r="G350" s="27"/>
      <c r="H350" s="26" t="str">
        <f t="shared" si="10"/>
        <v/>
      </c>
      <c r="I350" s="24"/>
      <c r="J350" s="24"/>
      <c r="K350" s="26"/>
      <c r="M350" s="49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481</v>
      </c>
      <c r="B351" s="24"/>
      <c r="D351" t="str">
        <f>IF($C351="","",IFERROR(LOOKUP(2,1/('03_Warehouse_Movements'!$C$2:$C$500=$A351),'03_Warehouse_Movements'!$E$2:$E$500),$C351))</f>
        <v/>
      </c>
      <c r="E351" t="s">
        <v>29</v>
      </c>
      <c r="G351" s="27"/>
      <c r="H351" s="26" t="str">
        <f t="shared" si="10"/>
        <v/>
      </c>
      <c r="I351" s="24"/>
      <c r="J351" s="24"/>
      <c r="K351" s="26"/>
      <c r="M351" s="49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482</v>
      </c>
      <c r="B352" s="24"/>
      <c r="D352" t="str">
        <f>IF($C352="","",IFERROR(LOOKUP(2,1/('03_Warehouse_Movements'!$C$2:$C$500=$A352),'03_Warehouse_Movements'!$E$2:$E$500),$C352))</f>
        <v/>
      </c>
      <c r="E352" t="s">
        <v>29</v>
      </c>
      <c r="G352" s="27"/>
      <c r="H352" s="26" t="str">
        <f t="shared" si="10"/>
        <v/>
      </c>
      <c r="I352" s="24"/>
      <c r="J352" s="24"/>
      <c r="K352" s="26"/>
      <c r="M352" s="49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483</v>
      </c>
      <c r="B353" s="24"/>
      <c r="D353" t="str">
        <f>IF($C353="","",IFERROR(LOOKUP(2,1/('03_Warehouse_Movements'!$C$2:$C$500=$A353),'03_Warehouse_Movements'!$E$2:$E$500),$C353))</f>
        <v/>
      </c>
      <c r="E353" t="s">
        <v>29</v>
      </c>
      <c r="G353" s="27"/>
      <c r="H353" s="26" t="str">
        <f t="shared" si="10"/>
        <v/>
      </c>
      <c r="I353" s="24"/>
      <c r="J353" s="24"/>
      <c r="K353" s="26"/>
      <c r="M353" s="49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484</v>
      </c>
      <c r="B354" s="24"/>
      <c r="D354" t="str">
        <f>IF($C354="","",IFERROR(LOOKUP(2,1/('03_Warehouse_Movements'!$C$2:$C$500=$A354),'03_Warehouse_Movements'!$E$2:$E$500),$C354))</f>
        <v/>
      </c>
      <c r="E354" t="s">
        <v>29</v>
      </c>
      <c r="G354" s="27"/>
      <c r="H354" s="26" t="str">
        <f t="shared" si="10"/>
        <v/>
      </c>
      <c r="I354" s="24"/>
      <c r="J354" s="24"/>
      <c r="K354" s="26"/>
      <c r="M354" s="49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485</v>
      </c>
      <c r="B355" s="24"/>
      <c r="D355" t="str">
        <f>IF($C355="","",IFERROR(LOOKUP(2,1/('03_Warehouse_Movements'!$C$2:$C$500=$A355),'03_Warehouse_Movements'!$E$2:$E$500),$C355))</f>
        <v/>
      </c>
      <c r="E355" t="s">
        <v>29</v>
      </c>
      <c r="G355" s="27"/>
      <c r="H355" s="26" t="str">
        <f t="shared" si="10"/>
        <v/>
      </c>
      <c r="I355" s="24"/>
      <c r="J355" s="24"/>
      <c r="K355" s="26"/>
      <c r="M355" s="49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486</v>
      </c>
      <c r="B356" s="24"/>
      <c r="D356" t="str">
        <f>IF($C356="","",IFERROR(LOOKUP(2,1/('03_Warehouse_Movements'!$C$2:$C$500=$A356),'03_Warehouse_Movements'!$E$2:$E$500),$C356))</f>
        <v/>
      </c>
      <c r="E356" t="s">
        <v>29</v>
      </c>
      <c r="G356" s="27"/>
      <c r="H356" s="26" t="str">
        <f t="shared" si="10"/>
        <v/>
      </c>
      <c r="I356" s="24"/>
      <c r="J356" s="24"/>
      <c r="K356" s="26"/>
      <c r="M356" s="49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487</v>
      </c>
      <c r="B357" s="24"/>
      <c r="D357" t="str">
        <f>IF($C357="","",IFERROR(LOOKUP(2,1/('03_Warehouse_Movements'!$C$2:$C$500=$A357),'03_Warehouse_Movements'!$E$2:$E$500),$C357))</f>
        <v/>
      </c>
      <c r="E357" t="s">
        <v>29</v>
      </c>
      <c r="G357" s="27"/>
      <c r="H357" s="26" t="str">
        <f t="shared" si="10"/>
        <v/>
      </c>
      <c r="I357" s="24"/>
      <c r="J357" s="24"/>
      <c r="K357" s="26"/>
      <c r="M357" s="49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488</v>
      </c>
      <c r="B358" s="24"/>
      <c r="D358" t="str">
        <f>IF($C358="","",IFERROR(LOOKUP(2,1/('03_Warehouse_Movements'!$C$2:$C$500=$A358),'03_Warehouse_Movements'!$E$2:$E$500),$C358))</f>
        <v/>
      </c>
      <c r="E358" t="s">
        <v>29</v>
      </c>
      <c r="G358" s="27"/>
      <c r="H358" s="26" t="str">
        <f t="shared" si="10"/>
        <v/>
      </c>
      <c r="I358" s="24"/>
      <c r="J358" s="24"/>
      <c r="K358" s="26"/>
      <c r="M358" s="49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489</v>
      </c>
      <c r="B359" s="24"/>
      <c r="D359" t="str">
        <f>IF($C359="","",IFERROR(LOOKUP(2,1/('03_Warehouse_Movements'!$C$2:$C$500=$A359),'03_Warehouse_Movements'!$E$2:$E$500),$C359))</f>
        <v/>
      </c>
      <c r="E359" t="s">
        <v>29</v>
      </c>
      <c r="G359" s="27"/>
      <c r="H359" s="26" t="str">
        <f t="shared" si="10"/>
        <v/>
      </c>
      <c r="I359" s="24"/>
      <c r="J359" s="24"/>
      <c r="K359" s="26"/>
      <c r="M359" s="49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490</v>
      </c>
      <c r="B360" s="24"/>
      <c r="D360" t="str">
        <f>IF($C360="","",IFERROR(LOOKUP(2,1/('03_Warehouse_Movements'!$C$2:$C$500=$A360),'03_Warehouse_Movements'!$E$2:$E$500),$C360))</f>
        <v/>
      </c>
      <c r="E360" t="s">
        <v>29</v>
      </c>
      <c r="G360" s="27"/>
      <c r="H360" s="26" t="str">
        <f t="shared" si="10"/>
        <v/>
      </c>
      <c r="I360" s="24"/>
      <c r="J360" s="24"/>
      <c r="K360" s="26"/>
      <c r="M360" s="49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491</v>
      </c>
      <c r="B361" s="24"/>
      <c r="D361" t="str">
        <f>IF($C361="","",IFERROR(LOOKUP(2,1/('03_Warehouse_Movements'!$C$2:$C$500=$A361),'03_Warehouse_Movements'!$E$2:$E$500),$C361))</f>
        <v/>
      </c>
      <c r="E361" t="s">
        <v>29</v>
      </c>
      <c r="G361" s="27"/>
      <c r="H361" s="26" t="str">
        <f t="shared" si="10"/>
        <v/>
      </c>
      <c r="I361" s="24"/>
      <c r="J361" s="24"/>
      <c r="K361" s="26"/>
      <c r="M361" s="49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492</v>
      </c>
      <c r="B362" s="24"/>
      <c r="D362" t="str">
        <f>IF($C362="","",IFERROR(LOOKUP(2,1/('03_Warehouse_Movements'!$C$2:$C$500=$A362),'03_Warehouse_Movements'!$E$2:$E$500),$C362))</f>
        <v/>
      </c>
      <c r="E362" t="s">
        <v>29</v>
      </c>
      <c r="G362" s="27"/>
      <c r="H362" s="26" t="str">
        <f t="shared" si="10"/>
        <v/>
      </c>
      <c r="I362" s="24"/>
      <c r="J362" s="24"/>
      <c r="K362" s="26"/>
      <c r="M362" s="49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493</v>
      </c>
      <c r="B363" s="24"/>
      <c r="D363" t="str">
        <f>IF($C363="","",IFERROR(LOOKUP(2,1/('03_Warehouse_Movements'!$C$2:$C$500=$A363),'03_Warehouse_Movements'!$E$2:$E$500),$C363))</f>
        <v/>
      </c>
      <c r="E363" t="s">
        <v>29</v>
      </c>
      <c r="G363" s="27"/>
      <c r="H363" s="26" t="str">
        <f t="shared" si="10"/>
        <v/>
      </c>
      <c r="I363" s="24"/>
      <c r="J363" s="24"/>
      <c r="K363" s="26"/>
      <c r="M363" s="49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494</v>
      </c>
      <c r="B364" s="24"/>
      <c r="D364" t="str">
        <f>IF($C364="","",IFERROR(LOOKUP(2,1/('03_Warehouse_Movements'!$C$2:$C$500=$A364),'03_Warehouse_Movements'!$E$2:$E$500),$C364))</f>
        <v/>
      </c>
      <c r="E364" t="s">
        <v>29</v>
      </c>
      <c r="G364" s="27"/>
      <c r="H364" s="26" t="str">
        <f t="shared" si="10"/>
        <v/>
      </c>
      <c r="I364" s="24"/>
      <c r="J364" s="24"/>
      <c r="K364" s="26"/>
      <c r="M364" s="49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495</v>
      </c>
      <c r="B365" s="24"/>
      <c r="D365" t="str">
        <f>IF($C365="","",IFERROR(LOOKUP(2,1/('03_Warehouse_Movements'!$C$2:$C$500=$A365),'03_Warehouse_Movements'!$E$2:$E$500),$C365))</f>
        <v/>
      </c>
      <c r="E365" t="s">
        <v>29</v>
      </c>
      <c r="G365" s="27"/>
      <c r="H365" s="26" t="str">
        <f t="shared" si="10"/>
        <v/>
      </c>
      <c r="I365" s="24"/>
      <c r="J365" s="24"/>
      <c r="K365" s="26"/>
      <c r="M365" s="49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496</v>
      </c>
      <c r="B366" s="24"/>
      <c r="D366" t="str">
        <f>IF($C366="","",IFERROR(LOOKUP(2,1/('03_Warehouse_Movements'!$C$2:$C$500=$A366),'03_Warehouse_Movements'!$E$2:$E$500),$C366))</f>
        <v/>
      </c>
      <c r="E366" t="s">
        <v>29</v>
      </c>
      <c r="G366" s="27"/>
      <c r="H366" s="26" t="str">
        <f t="shared" si="10"/>
        <v/>
      </c>
      <c r="I366" s="24"/>
      <c r="J366" s="24"/>
      <c r="K366" s="26"/>
      <c r="M366" s="49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497</v>
      </c>
      <c r="B367" s="24"/>
      <c r="D367" t="str">
        <f>IF($C367="","",IFERROR(LOOKUP(2,1/('03_Warehouse_Movements'!$C$2:$C$500=$A367),'03_Warehouse_Movements'!$E$2:$E$500),$C367))</f>
        <v/>
      </c>
      <c r="E367" t="s">
        <v>29</v>
      </c>
      <c r="G367" s="27"/>
      <c r="H367" s="26" t="str">
        <f t="shared" si="10"/>
        <v/>
      </c>
      <c r="I367" s="24"/>
      <c r="J367" s="24"/>
      <c r="K367" s="26"/>
      <c r="M367" s="49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498</v>
      </c>
      <c r="B368" s="24"/>
      <c r="D368" t="str">
        <f>IF($C368="","",IFERROR(LOOKUP(2,1/('03_Warehouse_Movements'!$C$2:$C$500=$A368),'03_Warehouse_Movements'!$E$2:$E$500),$C368))</f>
        <v/>
      </c>
      <c r="E368" t="s">
        <v>29</v>
      </c>
      <c r="G368" s="27"/>
      <c r="H368" s="26" t="str">
        <f t="shared" si="10"/>
        <v/>
      </c>
      <c r="I368" s="24"/>
      <c r="J368" s="24"/>
      <c r="K368" s="26"/>
      <c r="M368" s="49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499</v>
      </c>
      <c r="B369" s="24"/>
      <c r="D369" t="str">
        <f>IF($C369="","",IFERROR(LOOKUP(2,1/('03_Warehouse_Movements'!$C$2:$C$500=$A369),'03_Warehouse_Movements'!$E$2:$E$500),$C369))</f>
        <v/>
      </c>
      <c r="E369" t="s">
        <v>29</v>
      </c>
      <c r="G369" s="27"/>
      <c r="H369" s="26" t="str">
        <f t="shared" si="10"/>
        <v/>
      </c>
      <c r="I369" s="24"/>
      <c r="J369" s="24"/>
      <c r="K369" s="26"/>
      <c r="M369" s="49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500</v>
      </c>
      <c r="B370" s="24"/>
      <c r="D370" t="str">
        <f>IF($C370="","",IFERROR(LOOKUP(2,1/('03_Warehouse_Movements'!$C$2:$C$500=$A370),'03_Warehouse_Movements'!$E$2:$E$500),$C370))</f>
        <v/>
      </c>
      <c r="E370" t="s">
        <v>29</v>
      </c>
      <c r="G370" s="27"/>
      <c r="H370" s="26" t="str">
        <f t="shared" si="10"/>
        <v/>
      </c>
      <c r="I370" s="24"/>
      <c r="J370" s="24"/>
      <c r="K370" s="26"/>
      <c r="M370" s="49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501</v>
      </c>
      <c r="B371" s="24"/>
      <c r="D371" t="str">
        <f>IF($C371="","",IFERROR(LOOKUP(2,1/('03_Warehouse_Movements'!$C$2:$C$500=$A371),'03_Warehouse_Movements'!$E$2:$E$500),$C371))</f>
        <v/>
      </c>
      <c r="E371" t="s">
        <v>29</v>
      </c>
      <c r="G371" s="27"/>
      <c r="H371" s="26" t="str">
        <f t="shared" si="10"/>
        <v/>
      </c>
      <c r="I371" s="24"/>
      <c r="J371" s="24"/>
      <c r="K371" s="26"/>
      <c r="M371" s="49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502</v>
      </c>
      <c r="B372" s="24"/>
      <c r="D372" t="str">
        <f>IF($C372="","",IFERROR(LOOKUP(2,1/('03_Warehouse_Movements'!$C$2:$C$500=$A372),'03_Warehouse_Movements'!$E$2:$E$500),$C372))</f>
        <v/>
      </c>
      <c r="E372" t="s">
        <v>29</v>
      </c>
      <c r="G372" s="27"/>
      <c r="H372" s="26" t="str">
        <f t="shared" si="10"/>
        <v/>
      </c>
      <c r="I372" s="24"/>
      <c r="J372" s="24"/>
      <c r="K372" s="26"/>
      <c r="M372" s="49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503</v>
      </c>
      <c r="B373" s="24"/>
      <c r="D373" t="str">
        <f>IF($C373="","",IFERROR(LOOKUP(2,1/('03_Warehouse_Movements'!$C$2:$C$500=$A373),'03_Warehouse_Movements'!$E$2:$E$500),$C373))</f>
        <v/>
      </c>
      <c r="E373" t="s">
        <v>29</v>
      </c>
      <c r="G373" s="27"/>
      <c r="H373" s="26" t="str">
        <f t="shared" si="10"/>
        <v/>
      </c>
      <c r="I373" s="24"/>
      <c r="J373" s="24"/>
      <c r="K373" s="26"/>
      <c r="M373" s="49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504</v>
      </c>
      <c r="B374" s="24"/>
      <c r="D374" t="str">
        <f>IF($C374="","",IFERROR(LOOKUP(2,1/('03_Warehouse_Movements'!$C$2:$C$500=$A374),'03_Warehouse_Movements'!$E$2:$E$500),$C374))</f>
        <v/>
      </c>
      <c r="E374" t="s">
        <v>29</v>
      </c>
      <c r="G374" s="27"/>
      <c r="H374" s="26" t="str">
        <f t="shared" si="10"/>
        <v/>
      </c>
      <c r="I374" s="24"/>
      <c r="J374" s="24"/>
      <c r="K374" s="26"/>
      <c r="M374" s="49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505</v>
      </c>
      <c r="B375" s="24"/>
      <c r="D375" t="str">
        <f>IF($C375="","",IFERROR(LOOKUP(2,1/('03_Warehouse_Movements'!$C$2:$C$500=$A375),'03_Warehouse_Movements'!$E$2:$E$500),$C375))</f>
        <v/>
      </c>
      <c r="E375" t="s">
        <v>29</v>
      </c>
      <c r="G375" s="27"/>
      <c r="H375" s="26" t="str">
        <f t="shared" si="10"/>
        <v/>
      </c>
      <c r="I375" s="24"/>
      <c r="J375" s="24"/>
      <c r="K375" s="26"/>
      <c r="M375" s="49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506</v>
      </c>
      <c r="B376" s="24"/>
      <c r="D376" t="str">
        <f>IF($C376="","",IFERROR(LOOKUP(2,1/('03_Warehouse_Movements'!$C$2:$C$500=$A376),'03_Warehouse_Movements'!$E$2:$E$500),$C376))</f>
        <v/>
      </c>
      <c r="E376" t="s">
        <v>29</v>
      </c>
      <c r="G376" s="27"/>
      <c r="H376" s="26" t="str">
        <f t="shared" si="10"/>
        <v/>
      </c>
      <c r="I376" s="24"/>
      <c r="J376" s="24"/>
      <c r="K376" s="26"/>
      <c r="M376" s="49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507</v>
      </c>
      <c r="B377" s="24"/>
      <c r="D377" t="str">
        <f>IF($C377="","",IFERROR(LOOKUP(2,1/('03_Warehouse_Movements'!$C$2:$C$500=$A377),'03_Warehouse_Movements'!$E$2:$E$500),$C377))</f>
        <v/>
      </c>
      <c r="E377" t="s">
        <v>29</v>
      </c>
      <c r="G377" s="27"/>
      <c r="H377" s="26" t="str">
        <f t="shared" si="10"/>
        <v/>
      </c>
      <c r="I377" s="24"/>
      <c r="J377" s="24"/>
      <c r="K377" s="26"/>
      <c r="M377" s="49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508</v>
      </c>
      <c r="B378" s="24"/>
      <c r="D378" t="str">
        <f>IF($C378="","",IFERROR(LOOKUP(2,1/('03_Warehouse_Movements'!$C$2:$C$500=$A378),'03_Warehouse_Movements'!$E$2:$E$500),$C378))</f>
        <v/>
      </c>
      <c r="E378" t="s">
        <v>29</v>
      </c>
      <c r="G378" s="27"/>
      <c r="H378" s="26" t="str">
        <f t="shared" si="10"/>
        <v/>
      </c>
      <c r="I378" s="24"/>
      <c r="J378" s="24"/>
      <c r="K378" s="26"/>
      <c r="M378" s="49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509</v>
      </c>
      <c r="B379" s="24"/>
      <c r="D379" t="str">
        <f>IF($C379="","",IFERROR(LOOKUP(2,1/('03_Warehouse_Movements'!$C$2:$C$500=$A379),'03_Warehouse_Movements'!$E$2:$E$500),$C379))</f>
        <v/>
      </c>
      <c r="E379" t="s">
        <v>29</v>
      </c>
      <c r="G379" s="27"/>
      <c r="H379" s="26" t="str">
        <f t="shared" si="10"/>
        <v/>
      </c>
      <c r="I379" s="24"/>
      <c r="J379" s="24"/>
      <c r="K379" s="26"/>
      <c r="M379" s="49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510</v>
      </c>
      <c r="B380" s="24"/>
      <c r="D380" t="str">
        <f>IF($C380="","",IFERROR(LOOKUP(2,1/('03_Warehouse_Movements'!$C$2:$C$500=$A380),'03_Warehouse_Movements'!$E$2:$E$500),$C380))</f>
        <v/>
      </c>
      <c r="E380" t="s">
        <v>29</v>
      </c>
      <c r="G380" s="27"/>
      <c r="H380" s="26" t="str">
        <f t="shared" si="10"/>
        <v/>
      </c>
      <c r="I380" s="24"/>
      <c r="J380" s="24"/>
      <c r="K380" s="26"/>
      <c r="M380" s="49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511</v>
      </c>
      <c r="B381" s="24"/>
      <c r="D381" t="str">
        <f>IF($C381="","",IFERROR(LOOKUP(2,1/('03_Warehouse_Movements'!$C$2:$C$500=$A381),'03_Warehouse_Movements'!$E$2:$E$500),$C381))</f>
        <v/>
      </c>
      <c r="E381" t="s">
        <v>29</v>
      </c>
      <c r="G381" s="27"/>
      <c r="H381" s="26" t="str">
        <f t="shared" si="10"/>
        <v/>
      </c>
      <c r="I381" s="24"/>
      <c r="J381" s="24"/>
      <c r="K381" s="26"/>
      <c r="M381" s="49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512</v>
      </c>
      <c r="B382" s="24"/>
      <c r="D382" t="str">
        <f>IF($C382="","",IFERROR(LOOKUP(2,1/('03_Warehouse_Movements'!$C$2:$C$500=$A382),'03_Warehouse_Movements'!$E$2:$E$500),$C382))</f>
        <v/>
      </c>
      <c r="E382" t="s">
        <v>29</v>
      </c>
      <c r="G382" s="27"/>
      <c r="H382" s="26" t="str">
        <f t="shared" si="10"/>
        <v/>
      </c>
      <c r="I382" s="24"/>
      <c r="J382" s="24"/>
      <c r="K382" s="26"/>
      <c r="M382" s="49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513</v>
      </c>
      <c r="B383" s="24"/>
      <c r="D383" t="str">
        <f>IF($C383="","",IFERROR(LOOKUP(2,1/('03_Warehouse_Movements'!$C$2:$C$500=$A383),'03_Warehouse_Movements'!$E$2:$E$500),$C383))</f>
        <v/>
      </c>
      <c r="E383" t="s">
        <v>29</v>
      </c>
      <c r="G383" s="27"/>
      <c r="H383" s="26" t="str">
        <f t="shared" si="10"/>
        <v/>
      </c>
      <c r="I383" s="24"/>
      <c r="J383" s="24"/>
      <c r="K383" s="26"/>
      <c r="M383" s="49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514</v>
      </c>
      <c r="B384" s="24"/>
      <c r="D384" t="str">
        <f>IF($C384="","",IFERROR(LOOKUP(2,1/('03_Warehouse_Movements'!$C$2:$C$500=$A384),'03_Warehouse_Movements'!$E$2:$E$500),$C384))</f>
        <v/>
      </c>
      <c r="E384" t="s">
        <v>29</v>
      </c>
      <c r="G384" s="27"/>
      <c r="H384" s="26" t="str">
        <f t="shared" si="10"/>
        <v/>
      </c>
      <c r="I384" s="24"/>
      <c r="J384" s="24"/>
      <c r="K384" s="26"/>
      <c r="M384" s="49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515</v>
      </c>
      <c r="B385" s="24"/>
      <c r="D385" t="str">
        <f>IF($C385="","",IFERROR(LOOKUP(2,1/('03_Warehouse_Movements'!$C$2:$C$500=$A385),'03_Warehouse_Movements'!$E$2:$E$500),$C385))</f>
        <v/>
      </c>
      <c r="E385" t="s">
        <v>29</v>
      </c>
      <c r="G385" s="27"/>
      <c r="H385" s="26" t="str">
        <f t="shared" si="10"/>
        <v/>
      </c>
      <c r="I385" s="24"/>
      <c r="J385" s="24"/>
      <c r="K385" s="26"/>
      <c r="M385" s="49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516</v>
      </c>
      <c r="B386" s="24"/>
      <c r="D386" t="str">
        <f>IF($C386="","",IFERROR(LOOKUP(2,1/('03_Warehouse_Movements'!$C$2:$C$500=$A386),'03_Warehouse_Movements'!$E$2:$E$500),$C386))</f>
        <v/>
      </c>
      <c r="E386" t="s">
        <v>29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49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517</v>
      </c>
      <c r="B387" s="24"/>
      <c r="D387" t="str">
        <f>IF($C387="","",IFERROR(LOOKUP(2,1/('03_Warehouse_Movements'!$C$2:$C$500=$A387),'03_Warehouse_Movements'!$E$2:$E$500),$C387))</f>
        <v/>
      </c>
      <c r="E387" t="s">
        <v>29</v>
      </c>
      <c r="G387" s="27"/>
      <c r="H387" s="26" t="str">
        <f t="shared" si="12"/>
        <v/>
      </c>
      <c r="I387" s="24"/>
      <c r="J387" s="24"/>
      <c r="K387" s="26"/>
      <c r="M387" s="49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518</v>
      </c>
      <c r="B388" s="24"/>
      <c r="D388" t="str">
        <f>IF($C388="","",IFERROR(LOOKUP(2,1/('03_Warehouse_Movements'!$C$2:$C$500=$A388),'03_Warehouse_Movements'!$E$2:$E$500),$C388))</f>
        <v/>
      </c>
      <c r="E388" t="s">
        <v>29</v>
      </c>
      <c r="G388" s="27"/>
      <c r="H388" s="26" t="str">
        <f t="shared" si="12"/>
        <v/>
      </c>
      <c r="I388" s="24"/>
      <c r="J388" s="24"/>
      <c r="K388" s="26"/>
      <c r="M388" s="49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519</v>
      </c>
      <c r="B389" s="24"/>
      <c r="D389" t="str">
        <f>IF($C389="","",IFERROR(LOOKUP(2,1/('03_Warehouse_Movements'!$C$2:$C$500=$A389),'03_Warehouse_Movements'!$E$2:$E$500),$C389))</f>
        <v/>
      </c>
      <c r="E389" t="s">
        <v>29</v>
      </c>
      <c r="G389" s="27"/>
      <c r="H389" s="26" t="str">
        <f t="shared" si="12"/>
        <v/>
      </c>
      <c r="I389" s="24"/>
      <c r="J389" s="24"/>
      <c r="K389" s="26"/>
      <c r="M389" s="49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520</v>
      </c>
      <c r="B390" s="24"/>
      <c r="D390" t="str">
        <f>IF($C390="","",IFERROR(LOOKUP(2,1/('03_Warehouse_Movements'!$C$2:$C$500=$A390),'03_Warehouse_Movements'!$E$2:$E$500),$C390))</f>
        <v/>
      </c>
      <c r="E390" t="s">
        <v>29</v>
      </c>
      <c r="G390" s="27"/>
      <c r="H390" s="26" t="str">
        <f t="shared" si="12"/>
        <v/>
      </c>
      <c r="I390" s="24"/>
      <c r="J390" s="24"/>
      <c r="K390" s="26"/>
      <c r="M390" s="49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521</v>
      </c>
      <c r="B391" s="24"/>
      <c r="D391" t="str">
        <f>IF($C391="","",IFERROR(LOOKUP(2,1/('03_Warehouse_Movements'!$C$2:$C$500=$A391),'03_Warehouse_Movements'!$E$2:$E$500),$C391))</f>
        <v/>
      </c>
      <c r="E391" t="s">
        <v>29</v>
      </c>
      <c r="G391" s="27"/>
      <c r="H391" s="26" t="str">
        <f t="shared" si="12"/>
        <v/>
      </c>
      <c r="I391" s="24"/>
      <c r="J391" s="24"/>
      <c r="K391" s="26"/>
      <c r="M391" s="49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522</v>
      </c>
      <c r="B392" s="24"/>
      <c r="D392" t="str">
        <f>IF($C392="","",IFERROR(LOOKUP(2,1/('03_Warehouse_Movements'!$C$2:$C$500=$A392),'03_Warehouse_Movements'!$E$2:$E$500),$C392))</f>
        <v/>
      </c>
      <c r="E392" t="s">
        <v>29</v>
      </c>
      <c r="G392" s="27"/>
      <c r="H392" s="26" t="str">
        <f t="shared" si="12"/>
        <v/>
      </c>
      <c r="I392" s="24"/>
      <c r="J392" s="24"/>
      <c r="K392" s="26"/>
      <c r="M392" s="49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523</v>
      </c>
      <c r="B393" s="24"/>
      <c r="D393" t="str">
        <f>IF($C393="","",IFERROR(LOOKUP(2,1/('03_Warehouse_Movements'!$C$2:$C$500=$A393),'03_Warehouse_Movements'!$E$2:$E$500),$C393))</f>
        <v/>
      </c>
      <c r="E393" t="s">
        <v>29</v>
      </c>
      <c r="G393" s="27"/>
      <c r="H393" s="26" t="str">
        <f t="shared" si="12"/>
        <v/>
      </c>
      <c r="I393" s="24"/>
      <c r="J393" s="24"/>
      <c r="K393" s="26"/>
      <c r="M393" s="49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524</v>
      </c>
      <c r="B394" s="24"/>
      <c r="D394" t="str">
        <f>IF($C394="","",IFERROR(LOOKUP(2,1/('03_Warehouse_Movements'!$C$2:$C$500=$A394),'03_Warehouse_Movements'!$E$2:$E$500),$C394))</f>
        <v/>
      </c>
      <c r="E394" t="s">
        <v>29</v>
      </c>
      <c r="G394" s="27"/>
      <c r="H394" s="26" t="str">
        <f t="shared" si="12"/>
        <v/>
      </c>
      <c r="I394" s="24"/>
      <c r="J394" s="24"/>
      <c r="K394" s="26"/>
      <c r="M394" s="49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525</v>
      </c>
      <c r="B395" s="24"/>
      <c r="D395" t="str">
        <f>IF($C395="","",IFERROR(LOOKUP(2,1/('03_Warehouse_Movements'!$C$2:$C$500=$A395),'03_Warehouse_Movements'!$E$2:$E$500),$C395))</f>
        <v/>
      </c>
      <c r="E395" t="s">
        <v>29</v>
      </c>
      <c r="G395" s="27"/>
      <c r="H395" s="26" t="str">
        <f t="shared" si="12"/>
        <v/>
      </c>
      <c r="I395" s="24"/>
      <c r="J395" s="24"/>
      <c r="K395" s="26"/>
      <c r="M395" s="49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526</v>
      </c>
      <c r="B396" s="24"/>
      <c r="D396" t="str">
        <f>IF($C396="","",IFERROR(LOOKUP(2,1/('03_Warehouse_Movements'!$C$2:$C$500=$A396),'03_Warehouse_Movements'!$E$2:$E$500),$C396))</f>
        <v/>
      </c>
      <c r="E396" t="s">
        <v>29</v>
      </c>
      <c r="G396" s="27"/>
      <c r="H396" s="26" t="str">
        <f t="shared" si="12"/>
        <v/>
      </c>
      <c r="I396" s="24"/>
      <c r="J396" s="24"/>
      <c r="K396" s="26"/>
      <c r="M396" s="49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527</v>
      </c>
      <c r="B397" s="24"/>
      <c r="D397" t="str">
        <f>IF($C397="","",IFERROR(LOOKUP(2,1/('03_Warehouse_Movements'!$C$2:$C$500=$A397),'03_Warehouse_Movements'!$E$2:$E$500),$C397))</f>
        <v/>
      </c>
      <c r="E397" t="s">
        <v>29</v>
      </c>
      <c r="G397" s="27"/>
      <c r="H397" s="26" t="str">
        <f t="shared" si="12"/>
        <v/>
      </c>
      <c r="I397" s="24"/>
      <c r="J397" s="24"/>
      <c r="K397" s="26"/>
      <c r="M397" s="49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528</v>
      </c>
      <c r="B398" s="24"/>
      <c r="D398" t="str">
        <f>IF($C398="","",IFERROR(LOOKUP(2,1/('03_Warehouse_Movements'!$C$2:$C$500=$A398),'03_Warehouse_Movements'!$E$2:$E$500),$C398))</f>
        <v/>
      </c>
      <c r="E398" t="s">
        <v>29</v>
      </c>
      <c r="G398" s="27"/>
      <c r="H398" s="26" t="str">
        <f t="shared" si="12"/>
        <v/>
      </c>
      <c r="I398" s="24"/>
      <c r="J398" s="24"/>
      <c r="K398" s="26"/>
      <c r="M398" s="49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529</v>
      </c>
      <c r="B399" s="24"/>
      <c r="D399" t="str">
        <f>IF($C399="","",IFERROR(LOOKUP(2,1/('03_Warehouse_Movements'!$C$2:$C$500=$A399),'03_Warehouse_Movements'!$E$2:$E$500),$C399))</f>
        <v/>
      </c>
      <c r="E399" t="s">
        <v>29</v>
      </c>
      <c r="G399" s="27"/>
      <c r="H399" s="26" t="str">
        <f t="shared" si="12"/>
        <v/>
      </c>
      <c r="I399" s="24"/>
      <c r="J399" s="24"/>
      <c r="K399" s="26"/>
      <c r="M399" s="49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530</v>
      </c>
      <c r="B400" s="24"/>
      <c r="D400" t="str">
        <f>IF($C400="","",IFERROR(LOOKUP(2,1/('03_Warehouse_Movements'!$C$2:$C$500=$A400),'03_Warehouse_Movements'!$E$2:$E$500),$C400))</f>
        <v/>
      </c>
      <c r="E400" t="s">
        <v>29</v>
      </c>
      <c r="G400" s="27"/>
      <c r="H400" s="26" t="str">
        <f t="shared" si="12"/>
        <v/>
      </c>
      <c r="I400" s="24"/>
      <c r="J400" s="24"/>
      <c r="K400" s="26"/>
      <c r="M400" s="49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531</v>
      </c>
      <c r="B401" s="24"/>
      <c r="D401" t="str">
        <f>IF($C401="","",IFERROR(LOOKUP(2,1/('03_Warehouse_Movements'!$C$2:$C$500=$A401),'03_Warehouse_Movements'!$E$2:$E$500),$C401))</f>
        <v/>
      </c>
      <c r="E401" t="s">
        <v>29</v>
      </c>
      <c r="G401" s="27"/>
      <c r="H401" s="26" t="str">
        <f t="shared" si="12"/>
        <v/>
      </c>
      <c r="I401" s="24"/>
      <c r="J401" s="24"/>
      <c r="K401" s="26"/>
      <c r="M401" s="49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532</v>
      </c>
      <c r="B402" s="24"/>
      <c r="D402" t="str">
        <f>IF($C402="","",IFERROR(LOOKUP(2,1/('03_Warehouse_Movements'!$C$2:$C$500=$A402),'03_Warehouse_Movements'!$E$2:$E$500),$C402))</f>
        <v/>
      </c>
      <c r="E402" t="s">
        <v>29</v>
      </c>
      <c r="G402" s="27"/>
      <c r="H402" s="26" t="str">
        <f t="shared" si="12"/>
        <v/>
      </c>
      <c r="I402" s="24"/>
      <c r="J402" s="24"/>
      <c r="K402" s="26"/>
      <c r="M402" s="49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533</v>
      </c>
      <c r="B403" s="24"/>
      <c r="D403" t="str">
        <f>IF($C403="","",IFERROR(LOOKUP(2,1/('03_Warehouse_Movements'!$C$2:$C$500=$A403),'03_Warehouse_Movements'!$E$2:$E$500),$C403))</f>
        <v/>
      </c>
      <c r="E403" t="s">
        <v>29</v>
      </c>
      <c r="G403" s="27"/>
      <c r="H403" s="26" t="str">
        <f t="shared" si="12"/>
        <v/>
      </c>
      <c r="I403" s="24"/>
      <c r="J403" s="24"/>
      <c r="K403" s="26"/>
      <c r="M403" s="49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534</v>
      </c>
      <c r="B404" s="24"/>
      <c r="D404" t="str">
        <f>IF($C404="","",IFERROR(LOOKUP(2,1/('03_Warehouse_Movements'!$C$2:$C$500=$A404),'03_Warehouse_Movements'!$E$2:$E$500),$C404))</f>
        <v/>
      </c>
      <c r="E404" t="s">
        <v>29</v>
      </c>
      <c r="G404" s="27"/>
      <c r="H404" s="26" t="str">
        <f t="shared" si="12"/>
        <v/>
      </c>
      <c r="I404" s="24"/>
      <c r="J404" s="24"/>
      <c r="K404" s="26"/>
      <c r="M404" s="49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535</v>
      </c>
      <c r="B405" s="24"/>
      <c r="D405" t="str">
        <f>IF($C405="","",IFERROR(LOOKUP(2,1/('03_Warehouse_Movements'!$C$2:$C$500=$A405),'03_Warehouse_Movements'!$E$2:$E$500),$C405))</f>
        <v/>
      </c>
      <c r="E405" t="s">
        <v>29</v>
      </c>
      <c r="G405" s="27"/>
      <c r="H405" s="26" t="str">
        <f t="shared" si="12"/>
        <v/>
      </c>
      <c r="I405" s="24"/>
      <c r="J405" s="24"/>
      <c r="K405" s="26"/>
      <c r="M405" s="49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536</v>
      </c>
      <c r="B406" s="24"/>
      <c r="D406" t="str">
        <f>IF($C406="","",IFERROR(LOOKUP(2,1/('03_Warehouse_Movements'!$C$2:$C$500=$A406),'03_Warehouse_Movements'!$E$2:$E$500),$C406))</f>
        <v/>
      </c>
      <c r="E406" t="s">
        <v>29</v>
      </c>
      <c r="G406" s="27"/>
      <c r="H406" s="26" t="str">
        <f t="shared" si="12"/>
        <v/>
      </c>
      <c r="I406" s="24"/>
      <c r="J406" s="24"/>
      <c r="K406" s="26"/>
      <c r="M406" s="49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537</v>
      </c>
      <c r="B407" s="24"/>
      <c r="D407" t="str">
        <f>IF($C407="","",IFERROR(LOOKUP(2,1/('03_Warehouse_Movements'!$C$2:$C$500=$A407),'03_Warehouse_Movements'!$E$2:$E$500),$C407))</f>
        <v/>
      </c>
      <c r="E407" t="s">
        <v>29</v>
      </c>
      <c r="G407" s="27"/>
      <c r="H407" s="26" t="str">
        <f t="shared" si="12"/>
        <v/>
      </c>
      <c r="I407" s="24"/>
      <c r="J407" s="24"/>
      <c r="K407" s="26"/>
      <c r="M407" s="49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538</v>
      </c>
      <c r="B408" s="24"/>
      <c r="D408" t="str">
        <f>IF($C408="","",IFERROR(LOOKUP(2,1/('03_Warehouse_Movements'!$C$2:$C$500=$A408),'03_Warehouse_Movements'!$E$2:$E$500),$C408))</f>
        <v/>
      </c>
      <c r="E408" t="s">
        <v>29</v>
      </c>
      <c r="G408" s="27"/>
      <c r="H408" s="26" t="str">
        <f t="shared" si="12"/>
        <v/>
      </c>
      <c r="I408" s="24"/>
      <c r="J408" s="24"/>
      <c r="K408" s="26"/>
      <c r="M408" s="49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539</v>
      </c>
      <c r="B409" s="24"/>
      <c r="D409" t="str">
        <f>IF($C409="","",IFERROR(LOOKUP(2,1/('03_Warehouse_Movements'!$C$2:$C$500=$A409),'03_Warehouse_Movements'!$E$2:$E$500),$C409))</f>
        <v/>
      </c>
      <c r="E409" t="s">
        <v>29</v>
      </c>
      <c r="G409" s="27"/>
      <c r="H409" s="26" t="str">
        <f t="shared" si="12"/>
        <v/>
      </c>
      <c r="I409" s="24"/>
      <c r="J409" s="24"/>
      <c r="K409" s="26"/>
      <c r="M409" s="49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540</v>
      </c>
      <c r="B410" s="24"/>
      <c r="D410" t="str">
        <f>IF($C410="","",IFERROR(LOOKUP(2,1/('03_Warehouse_Movements'!$C$2:$C$500=$A410),'03_Warehouse_Movements'!$E$2:$E$500),$C410))</f>
        <v/>
      </c>
      <c r="E410" t="s">
        <v>29</v>
      </c>
      <c r="G410" s="27"/>
      <c r="H410" s="26" t="str">
        <f t="shared" si="12"/>
        <v/>
      </c>
      <c r="I410" s="24"/>
      <c r="J410" s="24"/>
      <c r="K410" s="26"/>
      <c r="M410" s="49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541</v>
      </c>
      <c r="B411" s="24"/>
      <c r="D411" t="str">
        <f>IF($C411="","",IFERROR(LOOKUP(2,1/('03_Warehouse_Movements'!$C$2:$C$500=$A411),'03_Warehouse_Movements'!$E$2:$E$500),$C411))</f>
        <v/>
      </c>
      <c r="E411" t="s">
        <v>29</v>
      </c>
      <c r="G411" s="27"/>
      <c r="H411" s="26" t="str">
        <f t="shared" si="12"/>
        <v/>
      </c>
      <c r="I411" s="24"/>
      <c r="J411" s="24"/>
      <c r="K411" s="26"/>
      <c r="M411" s="49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542</v>
      </c>
      <c r="B412" s="24"/>
      <c r="D412" t="str">
        <f>IF($C412="","",IFERROR(LOOKUP(2,1/('03_Warehouse_Movements'!$C$2:$C$500=$A412),'03_Warehouse_Movements'!$E$2:$E$500),$C412))</f>
        <v/>
      </c>
      <c r="E412" t="s">
        <v>29</v>
      </c>
      <c r="G412" s="27"/>
      <c r="H412" s="26" t="str">
        <f t="shared" si="12"/>
        <v/>
      </c>
      <c r="I412" s="24"/>
      <c r="J412" s="24"/>
      <c r="K412" s="26"/>
      <c r="M412" s="49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543</v>
      </c>
      <c r="B413" s="24"/>
      <c r="D413" t="str">
        <f>IF($C413="","",IFERROR(LOOKUP(2,1/('03_Warehouse_Movements'!$C$2:$C$500=$A413),'03_Warehouse_Movements'!$E$2:$E$500),$C413))</f>
        <v/>
      </c>
      <c r="E413" t="s">
        <v>29</v>
      </c>
      <c r="G413" s="27"/>
      <c r="H413" s="26" t="str">
        <f t="shared" si="12"/>
        <v/>
      </c>
      <c r="I413" s="24"/>
      <c r="J413" s="24"/>
      <c r="K413" s="26"/>
      <c r="M413" s="49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544</v>
      </c>
      <c r="B414" s="24"/>
      <c r="D414" t="str">
        <f>IF($C414="","",IFERROR(LOOKUP(2,1/('03_Warehouse_Movements'!$C$2:$C$500=$A414),'03_Warehouse_Movements'!$E$2:$E$500),$C414))</f>
        <v/>
      </c>
      <c r="E414" t="s">
        <v>29</v>
      </c>
      <c r="G414" s="27"/>
      <c r="H414" s="26" t="str">
        <f t="shared" si="12"/>
        <v/>
      </c>
      <c r="I414" s="24"/>
      <c r="J414" s="24"/>
      <c r="K414" s="26"/>
      <c r="M414" s="49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545</v>
      </c>
      <c r="B415" s="24"/>
      <c r="D415" t="str">
        <f>IF($C415="","",IFERROR(LOOKUP(2,1/('03_Warehouse_Movements'!$C$2:$C$500=$A415),'03_Warehouse_Movements'!$E$2:$E$500),$C415))</f>
        <v/>
      </c>
      <c r="E415" t="s">
        <v>29</v>
      </c>
      <c r="G415" s="27"/>
      <c r="H415" s="26" t="str">
        <f t="shared" si="12"/>
        <v/>
      </c>
      <c r="I415" s="24"/>
      <c r="J415" s="24"/>
      <c r="K415" s="26"/>
      <c r="M415" s="49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546</v>
      </c>
      <c r="B416" s="24"/>
      <c r="D416" t="str">
        <f>IF($C416="","",IFERROR(LOOKUP(2,1/('03_Warehouse_Movements'!$C$2:$C$500=$A416),'03_Warehouse_Movements'!$E$2:$E$500),$C416))</f>
        <v/>
      </c>
      <c r="E416" t="s">
        <v>29</v>
      </c>
      <c r="G416" s="27"/>
      <c r="H416" s="26" t="str">
        <f t="shared" si="12"/>
        <v/>
      </c>
      <c r="I416" s="24"/>
      <c r="J416" s="24"/>
      <c r="K416" s="26"/>
      <c r="M416" s="49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547</v>
      </c>
      <c r="B417" s="24"/>
      <c r="D417" t="str">
        <f>IF($C417="","",IFERROR(LOOKUP(2,1/('03_Warehouse_Movements'!$C$2:$C$500=$A417),'03_Warehouse_Movements'!$E$2:$E$500),$C417))</f>
        <v/>
      </c>
      <c r="E417" t="s">
        <v>29</v>
      </c>
      <c r="G417" s="27"/>
      <c r="H417" s="26" t="str">
        <f t="shared" si="12"/>
        <v/>
      </c>
      <c r="I417" s="24"/>
      <c r="J417" s="24"/>
      <c r="K417" s="26"/>
      <c r="M417" s="49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548</v>
      </c>
      <c r="B418" s="24"/>
      <c r="D418" t="str">
        <f>IF($C418="","",IFERROR(LOOKUP(2,1/('03_Warehouse_Movements'!$C$2:$C$500=$A418),'03_Warehouse_Movements'!$E$2:$E$500),$C418))</f>
        <v/>
      </c>
      <c r="E418" t="s">
        <v>29</v>
      </c>
      <c r="G418" s="27"/>
      <c r="H418" s="26" t="str">
        <f t="shared" si="12"/>
        <v/>
      </c>
      <c r="I418" s="24"/>
      <c r="J418" s="24"/>
      <c r="K418" s="26"/>
      <c r="M418" s="49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549</v>
      </c>
      <c r="B419" s="24"/>
      <c r="D419" t="str">
        <f>IF($C419="","",IFERROR(LOOKUP(2,1/('03_Warehouse_Movements'!$C$2:$C$500=$A419),'03_Warehouse_Movements'!$E$2:$E$500),$C419))</f>
        <v/>
      </c>
      <c r="E419" t="s">
        <v>29</v>
      </c>
      <c r="G419" s="27"/>
      <c r="H419" s="26" t="str">
        <f t="shared" si="12"/>
        <v/>
      </c>
      <c r="I419" s="24"/>
      <c r="J419" s="24"/>
      <c r="K419" s="26"/>
      <c r="M419" s="49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550</v>
      </c>
      <c r="B420" s="24"/>
      <c r="D420" t="str">
        <f>IF($C420="","",IFERROR(LOOKUP(2,1/('03_Warehouse_Movements'!$C$2:$C$500=$A420),'03_Warehouse_Movements'!$E$2:$E$500),$C420))</f>
        <v/>
      </c>
      <c r="E420" t="s">
        <v>29</v>
      </c>
      <c r="G420" s="27"/>
      <c r="H420" s="26" t="str">
        <f t="shared" si="12"/>
        <v/>
      </c>
      <c r="I420" s="24"/>
      <c r="J420" s="24"/>
      <c r="K420" s="26"/>
      <c r="M420" s="49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551</v>
      </c>
      <c r="B421" s="24"/>
      <c r="D421" t="str">
        <f>IF($C421="","",IFERROR(LOOKUP(2,1/('03_Warehouse_Movements'!$C$2:$C$500=$A421),'03_Warehouse_Movements'!$E$2:$E$500),$C421))</f>
        <v/>
      </c>
      <c r="E421" t="s">
        <v>29</v>
      </c>
      <c r="G421" s="27"/>
      <c r="H421" s="26" t="str">
        <f t="shared" si="12"/>
        <v/>
      </c>
      <c r="I421" s="24"/>
      <c r="J421" s="24"/>
      <c r="K421" s="26"/>
      <c r="M421" s="49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552</v>
      </c>
      <c r="B422" s="24"/>
      <c r="D422" t="str">
        <f>IF($C422="","",IFERROR(LOOKUP(2,1/('03_Warehouse_Movements'!$C$2:$C$500=$A422),'03_Warehouse_Movements'!$E$2:$E$500),$C422))</f>
        <v/>
      </c>
      <c r="E422" t="s">
        <v>29</v>
      </c>
      <c r="G422" s="27"/>
      <c r="H422" s="26" t="str">
        <f t="shared" si="12"/>
        <v/>
      </c>
      <c r="I422" s="24"/>
      <c r="J422" s="24"/>
      <c r="K422" s="26"/>
      <c r="M422" s="49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553</v>
      </c>
      <c r="B423" s="24"/>
      <c r="D423" t="str">
        <f>IF($C423="","",IFERROR(LOOKUP(2,1/('03_Warehouse_Movements'!$C$2:$C$500=$A423),'03_Warehouse_Movements'!$E$2:$E$500),$C423))</f>
        <v/>
      </c>
      <c r="E423" t="s">
        <v>29</v>
      </c>
      <c r="G423" s="27"/>
      <c r="H423" s="26" t="str">
        <f t="shared" si="12"/>
        <v/>
      </c>
      <c r="I423" s="24"/>
      <c r="J423" s="24"/>
      <c r="K423" s="26"/>
      <c r="M423" s="49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554</v>
      </c>
      <c r="B424" s="24"/>
      <c r="D424" t="str">
        <f>IF($C424="","",IFERROR(LOOKUP(2,1/('03_Warehouse_Movements'!$C$2:$C$500=$A424),'03_Warehouse_Movements'!$E$2:$E$500),$C424))</f>
        <v/>
      </c>
      <c r="E424" t="s">
        <v>29</v>
      </c>
      <c r="G424" s="27"/>
      <c r="H424" s="26" t="str">
        <f t="shared" si="12"/>
        <v/>
      </c>
      <c r="I424" s="24"/>
      <c r="J424" s="24"/>
      <c r="K424" s="26"/>
      <c r="M424" s="49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555</v>
      </c>
      <c r="B425" s="24"/>
      <c r="D425" t="str">
        <f>IF($C425="","",IFERROR(LOOKUP(2,1/('03_Warehouse_Movements'!$C$2:$C$500=$A425),'03_Warehouse_Movements'!$E$2:$E$500),$C425))</f>
        <v/>
      </c>
      <c r="E425" t="s">
        <v>29</v>
      </c>
      <c r="G425" s="27"/>
      <c r="H425" s="26" t="str">
        <f t="shared" si="12"/>
        <v/>
      </c>
      <c r="I425" s="24"/>
      <c r="J425" s="24"/>
      <c r="K425" s="26"/>
      <c r="M425" s="49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556</v>
      </c>
      <c r="B426" s="24"/>
      <c r="D426" t="str">
        <f>IF($C426="","",IFERROR(LOOKUP(2,1/('03_Warehouse_Movements'!$C$2:$C$500=$A426),'03_Warehouse_Movements'!$E$2:$E$500),$C426))</f>
        <v/>
      </c>
      <c r="E426" t="s">
        <v>29</v>
      </c>
      <c r="G426" s="27"/>
      <c r="H426" s="26" t="str">
        <f t="shared" si="12"/>
        <v/>
      </c>
      <c r="I426" s="24"/>
      <c r="J426" s="24"/>
      <c r="K426" s="26"/>
      <c r="M426" s="49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557</v>
      </c>
      <c r="B427" s="24"/>
      <c r="D427" t="str">
        <f>IF($C427="","",IFERROR(LOOKUP(2,1/('03_Warehouse_Movements'!$C$2:$C$500=$A427),'03_Warehouse_Movements'!$E$2:$E$500),$C427))</f>
        <v/>
      </c>
      <c r="E427" t="s">
        <v>29</v>
      </c>
      <c r="G427" s="27"/>
      <c r="H427" s="26" t="str">
        <f t="shared" si="12"/>
        <v/>
      </c>
      <c r="I427" s="24"/>
      <c r="J427" s="24"/>
      <c r="K427" s="26"/>
      <c r="M427" s="49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558</v>
      </c>
      <c r="B428" s="24"/>
      <c r="D428" t="str">
        <f>IF($C428="","",IFERROR(LOOKUP(2,1/('03_Warehouse_Movements'!$C$2:$C$500=$A428),'03_Warehouse_Movements'!$E$2:$E$500),$C428))</f>
        <v/>
      </c>
      <c r="E428" t="s">
        <v>29</v>
      </c>
      <c r="G428" s="27"/>
      <c r="H428" s="26" t="str">
        <f t="shared" si="12"/>
        <v/>
      </c>
      <c r="I428" s="24"/>
      <c r="J428" s="24"/>
      <c r="K428" s="26"/>
      <c r="M428" s="49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559</v>
      </c>
      <c r="B429" s="24"/>
      <c r="D429" t="str">
        <f>IF($C429="","",IFERROR(LOOKUP(2,1/('03_Warehouse_Movements'!$C$2:$C$500=$A429),'03_Warehouse_Movements'!$E$2:$E$500),$C429))</f>
        <v/>
      </c>
      <c r="E429" t="s">
        <v>29</v>
      </c>
      <c r="G429" s="27"/>
      <c r="H429" s="26" t="str">
        <f t="shared" si="12"/>
        <v/>
      </c>
      <c r="I429" s="24"/>
      <c r="J429" s="24"/>
      <c r="K429" s="26"/>
      <c r="M429" s="49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560</v>
      </c>
      <c r="B430" s="24"/>
      <c r="D430" t="str">
        <f>IF($C430="","",IFERROR(LOOKUP(2,1/('03_Warehouse_Movements'!$C$2:$C$500=$A430),'03_Warehouse_Movements'!$E$2:$E$500),$C430))</f>
        <v/>
      </c>
      <c r="E430" t="s">
        <v>29</v>
      </c>
      <c r="G430" s="27"/>
      <c r="H430" s="26" t="str">
        <f t="shared" si="12"/>
        <v/>
      </c>
      <c r="I430" s="24"/>
      <c r="J430" s="24"/>
      <c r="K430" s="26"/>
      <c r="M430" s="49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561</v>
      </c>
      <c r="B431" s="24"/>
      <c r="D431" t="str">
        <f>IF($C431="","",IFERROR(LOOKUP(2,1/('03_Warehouse_Movements'!$C$2:$C$500=$A431),'03_Warehouse_Movements'!$E$2:$E$500),$C431))</f>
        <v/>
      </c>
      <c r="E431" t="s">
        <v>29</v>
      </c>
      <c r="G431" s="27"/>
      <c r="H431" s="26" t="str">
        <f t="shared" si="12"/>
        <v/>
      </c>
      <c r="I431" s="24"/>
      <c r="J431" s="24"/>
      <c r="K431" s="26"/>
      <c r="M431" s="49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562</v>
      </c>
      <c r="B432" s="24"/>
      <c r="D432" t="str">
        <f>IF($C432="","",IFERROR(LOOKUP(2,1/('03_Warehouse_Movements'!$C$2:$C$500=$A432),'03_Warehouse_Movements'!$E$2:$E$500),$C432))</f>
        <v/>
      </c>
      <c r="E432" t="s">
        <v>29</v>
      </c>
      <c r="G432" s="27"/>
      <c r="H432" s="26" t="str">
        <f t="shared" si="12"/>
        <v/>
      </c>
      <c r="I432" s="24"/>
      <c r="J432" s="24"/>
      <c r="K432" s="26"/>
      <c r="M432" s="49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563</v>
      </c>
      <c r="B433" s="24"/>
      <c r="D433" t="str">
        <f>IF($C433="","",IFERROR(LOOKUP(2,1/('03_Warehouse_Movements'!$C$2:$C$500=$A433),'03_Warehouse_Movements'!$E$2:$E$500),$C433))</f>
        <v/>
      </c>
      <c r="E433" t="s">
        <v>29</v>
      </c>
      <c r="G433" s="27"/>
      <c r="H433" s="26" t="str">
        <f t="shared" si="12"/>
        <v/>
      </c>
      <c r="I433" s="24"/>
      <c r="J433" s="24"/>
      <c r="K433" s="26"/>
      <c r="M433" s="49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564</v>
      </c>
      <c r="B434" s="24"/>
      <c r="D434" t="str">
        <f>IF($C434="","",IFERROR(LOOKUP(2,1/('03_Warehouse_Movements'!$C$2:$C$500=$A434),'03_Warehouse_Movements'!$E$2:$E$500),$C434))</f>
        <v/>
      </c>
      <c r="E434" t="s">
        <v>29</v>
      </c>
      <c r="G434" s="27"/>
      <c r="H434" s="26" t="str">
        <f t="shared" si="12"/>
        <v/>
      </c>
      <c r="I434" s="24"/>
      <c r="J434" s="24"/>
      <c r="K434" s="26"/>
      <c r="M434" s="49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565</v>
      </c>
      <c r="B435" s="24"/>
      <c r="D435" t="str">
        <f>IF($C435="","",IFERROR(LOOKUP(2,1/('03_Warehouse_Movements'!$C$2:$C$500=$A435),'03_Warehouse_Movements'!$E$2:$E$500),$C435))</f>
        <v/>
      </c>
      <c r="E435" t="s">
        <v>29</v>
      </c>
      <c r="G435" s="27"/>
      <c r="H435" s="26" t="str">
        <f t="shared" si="12"/>
        <v/>
      </c>
      <c r="I435" s="24"/>
      <c r="J435" s="24"/>
      <c r="K435" s="26"/>
      <c r="M435" s="49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566</v>
      </c>
      <c r="B436" s="24"/>
      <c r="D436" t="str">
        <f>IF($C436="","",IFERROR(LOOKUP(2,1/('03_Warehouse_Movements'!$C$2:$C$500=$A436),'03_Warehouse_Movements'!$E$2:$E$500),$C436))</f>
        <v/>
      </c>
      <c r="E436" t="s">
        <v>29</v>
      </c>
      <c r="G436" s="27"/>
      <c r="H436" s="26" t="str">
        <f t="shared" si="12"/>
        <v/>
      </c>
      <c r="I436" s="24"/>
      <c r="J436" s="24"/>
      <c r="K436" s="26"/>
      <c r="M436" s="49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567</v>
      </c>
      <c r="B437" s="24"/>
      <c r="D437" t="str">
        <f>IF($C437="","",IFERROR(LOOKUP(2,1/('03_Warehouse_Movements'!$C$2:$C$500=$A437),'03_Warehouse_Movements'!$E$2:$E$500),$C437))</f>
        <v/>
      </c>
      <c r="E437" t="s">
        <v>29</v>
      </c>
      <c r="G437" s="27"/>
      <c r="H437" s="26" t="str">
        <f t="shared" si="12"/>
        <v/>
      </c>
      <c r="I437" s="24"/>
      <c r="J437" s="24"/>
      <c r="K437" s="26"/>
      <c r="M437" s="49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568</v>
      </c>
      <c r="B438" s="24"/>
      <c r="D438" t="str">
        <f>IF($C438="","",IFERROR(LOOKUP(2,1/('03_Warehouse_Movements'!$C$2:$C$500=$A438),'03_Warehouse_Movements'!$E$2:$E$500),$C438))</f>
        <v/>
      </c>
      <c r="E438" t="s">
        <v>29</v>
      </c>
      <c r="G438" s="27"/>
      <c r="H438" s="26" t="str">
        <f t="shared" si="12"/>
        <v/>
      </c>
      <c r="I438" s="24"/>
      <c r="J438" s="24"/>
      <c r="K438" s="26"/>
      <c r="M438" s="49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569</v>
      </c>
      <c r="B439" s="24"/>
      <c r="D439" t="str">
        <f>IF($C439="","",IFERROR(LOOKUP(2,1/('03_Warehouse_Movements'!$C$2:$C$500=$A439),'03_Warehouse_Movements'!$E$2:$E$500),$C439))</f>
        <v/>
      </c>
      <c r="E439" t="s">
        <v>29</v>
      </c>
      <c r="G439" s="27"/>
      <c r="H439" s="26" t="str">
        <f t="shared" si="12"/>
        <v/>
      </c>
      <c r="I439" s="24"/>
      <c r="J439" s="24"/>
      <c r="K439" s="26"/>
      <c r="M439" s="49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570</v>
      </c>
      <c r="B440" s="24"/>
      <c r="D440" t="str">
        <f>IF($C440="","",IFERROR(LOOKUP(2,1/('03_Warehouse_Movements'!$C$2:$C$500=$A440),'03_Warehouse_Movements'!$E$2:$E$500),$C440))</f>
        <v/>
      </c>
      <c r="E440" t="s">
        <v>29</v>
      </c>
      <c r="G440" s="27"/>
      <c r="H440" s="26" t="str">
        <f t="shared" si="12"/>
        <v/>
      </c>
      <c r="I440" s="24"/>
      <c r="J440" s="24"/>
      <c r="K440" s="26"/>
      <c r="M440" s="49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571</v>
      </c>
      <c r="B441" s="24"/>
      <c r="D441" t="str">
        <f>IF($C441="","",IFERROR(LOOKUP(2,1/('03_Warehouse_Movements'!$C$2:$C$500=$A441),'03_Warehouse_Movements'!$E$2:$E$500),$C441))</f>
        <v/>
      </c>
      <c r="E441" t="s">
        <v>29</v>
      </c>
      <c r="G441" s="27"/>
      <c r="H441" s="26" t="str">
        <f t="shared" si="12"/>
        <v/>
      </c>
      <c r="I441" s="24"/>
      <c r="J441" s="24"/>
      <c r="K441" s="26"/>
      <c r="M441" s="49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572</v>
      </c>
      <c r="B442" s="24"/>
      <c r="D442" t="str">
        <f>IF($C442="","",IFERROR(LOOKUP(2,1/('03_Warehouse_Movements'!$C$2:$C$500=$A442),'03_Warehouse_Movements'!$E$2:$E$500),$C442))</f>
        <v/>
      </c>
      <c r="E442" t="s">
        <v>29</v>
      </c>
      <c r="G442" s="27"/>
      <c r="H442" s="26" t="str">
        <f t="shared" si="12"/>
        <v/>
      </c>
      <c r="I442" s="24"/>
      <c r="J442" s="24"/>
      <c r="K442" s="26"/>
      <c r="M442" s="49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573</v>
      </c>
      <c r="B443" s="24"/>
      <c r="D443" t="str">
        <f>IF($C443="","",IFERROR(LOOKUP(2,1/('03_Warehouse_Movements'!$C$2:$C$500=$A443),'03_Warehouse_Movements'!$E$2:$E$500),$C443))</f>
        <v/>
      </c>
      <c r="E443" t="s">
        <v>29</v>
      </c>
      <c r="G443" s="27"/>
      <c r="H443" s="26" t="str">
        <f t="shared" si="12"/>
        <v/>
      </c>
      <c r="I443" s="24"/>
      <c r="J443" s="24"/>
      <c r="K443" s="26"/>
      <c r="M443" s="49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574</v>
      </c>
      <c r="B444" s="24"/>
      <c r="D444" t="str">
        <f>IF($C444="","",IFERROR(LOOKUP(2,1/('03_Warehouse_Movements'!$C$2:$C$500=$A444),'03_Warehouse_Movements'!$E$2:$E$500),$C444))</f>
        <v/>
      </c>
      <c r="E444" t="s">
        <v>29</v>
      </c>
      <c r="G444" s="27"/>
      <c r="H444" s="26" t="str">
        <f t="shared" si="12"/>
        <v/>
      </c>
      <c r="I444" s="24"/>
      <c r="J444" s="24"/>
      <c r="K444" s="26"/>
      <c r="M444" s="49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575</v>
      </c>
      <c r="B445" s="24"/>
      <c r="D445" t="str">
        <f>IF($C445="","",IFERROR(LOOKUP(2,1/('03_Warehouse_Movements'!$C$2:$C$500=$A445),'03_Warehouse_Movements'!$E$2:$E$500),$C445))</f>
        <v/>
      </c>
      <c r="E445" t="s">
        <v>29</v>
      </c>
      <c r="G445" s="27"/>
      <c r="H445" s="26" t="str">
        <f t="shared" si="12"/>
        <v/>
      </c>
      <c r="I445" s="24"/>
      <c r="J445" s="24"/>
      <c r="K445" s="26"/>
      <c r="M445" s="49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576</v>
      </c>
      <c r="B446" s="24"/>
      <c r="D446" t="str">
        <f>IF($C446="","",IFERROR(LOOKUP(2,1/('03_Warehouse_Movements'!$C$2:$C$500=$A446),'03_Warehouse_Movements'!$E$2:$E$500),$C446))</f>
        <v/>
      </c>
      <c r="E446" t="s">
        <v>29</v>
      </c>
      <c r="G446" s="27"/>
      <c r="H446" s="26" t="str">
        <f t="shared" si="12"/>
        <v/>
      </c>
      <c r="I446" s="24"/>
      <c r="J446" s="24"/>
      <c r="K446" s="26"/>
      <c r="M446" s="49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577</v>
      </c>
      <c r="B447" s="24"/>
      <c r="D447" t="str">
        <f>IF($C447="","",IFERROR(LOOKUP(2,1/('03_Warehouse_Movements'!$C$2:$C$500=$A447),'03_Warehouse_Movements'!$E$2:$E$500),$C447))</f>
        <v/>
      </c>
      <c r="E447" t="s">
        <v>29</v>
      </c>
      <c r="G447" s="27"/>
      <c r="H447" s="26" t="str">
        <f t="shared" si="12"/>
        <v/>
      </c>
      <c r="I447" s="24"/>
      <c r="J447" s="24"/>
      <c r="K447" s="26"/>
      <c r="M447" s="49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578</v>
      </c>
      <c r="B448" s="24"/>
      <c r="D448" t="str">
        <f>IF($C448="","",IFERROR(LOOKUP(2,1/('03_Warehouse_Movements'!$C$2:$C$500=$A448),'03_Warehouse_Movements'!$E$2:$E$500),$C448))</f>
        <v/>
      </c>
      <c r="E448" t="s">
        <v>29</v>
      </c>
      <c r="G448" s="27"/>
      <c r="H448" s="26" t="str">
        <f t="shared" si="12"/>
        <v/>
      </c>
      <c r="I448" s="24"/>
      <c r="J448" s="24"/>
      <c r="K448" s="26"/>
      <c r="M448" s="49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579</v>
      </c>
      <c r="B449" s="24"/>
      <c r="D449" t="str">
        <f>IF($C449="","",IFERROR(LOOKUP(2,1/('03_Warehouse_Movements'!$C$2:$C$500=$A449),'03_Warehouse_Movements'!$E$2:$E$500),$C449))</f>
        <v/>
      </c>
      <c r="E449" t="s">
        <v>29</v>
      </c>
      <c r="G449" s="27"/>
      <c r="H449" s="26" t="str">
        <f t="shared" si="12"/>
        <v/>
      </c>
      <c r="I449" s="24"/>
      <c r="J449" s="24"/>
      <c r="K449" s="26"/>
      <c r="M449" s="49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580</v>
      </c>
      <c r="B450" s="24"/>
      <c r="D450" t="str">
        <f>IF($C450="","",IFERROR(LOOKUP(2,1/('03_Warehouse_Movements'!$C$2:$C$500=$A450),'03_Warehouse_Movements'!$E$2:$E$500),$C450))</f>
        <v/>
      </c>
      <c r="E450" t="s">
        <v>29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49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581</v>
      </c>
      <c r="B451" s="24"/>
      <c r="D451" t="str">
        <f>IF($C451="","",IFERROR(LOOKUP(2,1/('03_Warehouse_Movements'!$C$2:$C$500=$A451),'03_Warehouse_Movements'!$E$2:$E$500),$C451))</f>
        <v/>
      </c>
      <c r="E451" t="s">
        <v>29</v>
      </c>
      <c r="G451" s="27"/>
      <c r="H451" s="26" t="str">
        <f t="shared" si="14"/>
        <v/>
      </c>
      <c r="I451" s="24"/>
      <c r="J451" s="24"/>
      <c r="K451" s="26"/>
      <c r="M451" s="49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582</v>
      </c>
      <c r="B452" s="24"/>
      <c r="D452" t="str">
        <f>IF($C452="","",IFERROR(LOOKUP(2,1/('03_Warehouse_Movements'!$C$2:$C$500=$A452),'03_Warehouse_Movements'!$E$2:$E$500),$C452))</f>
        <v/>
      </c>
      <c r="E452" t="s">
        <v>29</v>
      </c>
      <c r="G452" s="27"/>
      <c r="H452" s="26" t="str">
        <f t="shared" si="14"/>
        <v/>
      </c>
      <c r="I452" s="24"/>
      <c r="J452" s="24"/>
      <c r="K452" s="26"/>
      <c r="M452" s="49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583</v>
      </c>
      <c r="B453" s="24"/>
      <c r="D453" t="str">
        <f>IF($C453="","",IFERROR(LOOKUP(2,1/('03_Warehouse_Movements'!$C$2:$C$500=$A453),'03_Warehouse_Movements'!$E$2:$E$500),$C453))</f>
        <v/>
      </c>
      <c r="E453" t="s">
        <v>29</v>
      </c>
      <c r="G453" s="27"/>
      <c r="H453" s="26" t="str">
        <f t="shared" si="14"/>
        <v/>
      </c>
      <c r="I453" s="24"/>
      <c r="J453" s="24"/>
      <c r="K453" s="26"/>
      <c r="M453" s="49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584</v>
      </c>
      <c r="B454" s="24"/>
      <c r="D454" t="str">
        <f>IF($C454="","",IFERROR(LOOKUP(2,1/('03_Warehouse_Movements'!$C$2:$C$500=$A454),'03_Warehouse_Movements'!$E$2:$E$500),$C454))</f>
        <v/>
      </c>
      <c r="E454" t="s">
        <v>29</v>
      </c>
      <c r="G454" s="27"/>
      <c r="H454" s="26" t="str">
        <f t="shared" si="14"/>
        <v/>
      </c>
      <c r="I454" s="24"/>
      <c r="J454" s="24"/>
      <c r="K454" s="26"/>
      <c r="M454" s="49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585</v>
      </c>
      <c r="B455" s="24"/>
      <c r="D455" t="str">
        <f>IF($C455="","",IFERROR(LOOKUP(2,1/('03_Warehouse_Movements'!$C$2:$C$500=$A455),'03_Warehouse_Movements'!$E$2:$E$500),$C455))</f>
        <v/>
      </c>
      <c r="E455" t="s">
        <v>29</v>
      </c>
      <c r="G455" s="27"/>
      <c r="H455" s="26" t="str">
        <f t="shared" si="14"/>
        <v/>
      </c>
      <c r="I455" s="24"/>
      <c r="J455" s="24"/>
      <c r="K455" s="26"/>
      <c r="M455" s="49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586</v>
      </c>
      <c r="B456" s="24"/>
      <c r="D456" t="str">
        <f>IF($C456="","",IFERROR(LOOKUP(2,1/('03_Warehouse_Movements'!$C$2:$C$500=$A456),'03_Warehouse_Movements'!$E$2:$E$500),$C456))</f>
        <v/>
      </c>
      <c r="E456" t="s">
        <v>29</v>
      </c>
      <c r="G456" s="27"/>
      <c r="H456" s="26" t="str">
        <f t="shared" si="14"/>
        <v/>
      </c>
      <c r="I456" s="24"/>
      <c r="J456" s="24"/>
      <c r="K456" s="26"/>
      <c r="M456" s="49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587</v>
      </c>
      <c r="B457" s="24"/>
      <c r="D457" t="str">
        <f>IF($C457="","",IFERROR(LOOKUP(2,1/('03_Warehouse_Movements'!$C$2:$C$500=$A457),'03_Warehouse_Movements'!$E$2:$E$500),$C457))</f>
        <v/>
      </c>
      <c r="E457" t="s">
        <v>29</v>
      </c>
      <c r="G457" s="27"/>
      <c r="H457" s="26" t="str">
        <f t="shared" si="14"/>
        <v/>
      </c>
      <c r="I457" s="24"/>
      <c r="J457" s="24"/>
      <c r="K457" s="26"/>
      <c r="M457" s="49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588</v>
      </c>
      <c r="B458" s="24"/>
      <c r="D458" t="str">
        <f>IF($C458="","",IFERROR(LOOKUP(2,1/('03_Warehouse_Movements'!$C$2:$C$500=$A458),'03_Warehouse_Movements'!$E$2:$E$500),$C458))</f>
        <v/>
      </c>
      <c r="E458" t="s">
        <v>29</v>
      </c>
      <c r="G458" s="27"/>
      <c r="H458" s="26" t="str">
        <f t="shared" si="14"/>
        <v/>
      </c>
      <c r="I458" s="24"/>
      <c r="J458" s="24"/>
      <c r="K458" s="26"/>
      <c r="M458" s="49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589</v>
      </c>
      <c r="B459" s="24"/>
      <c r="D459" t="str">
        <f>IF($C459="","",IFERROR(LOOKUP(2,1/('03_Warehouse_Movements'!$C$2:$C$500=$A459),'03_Warehouse_Movements'!$E$2:$E$500),$C459))</f>
        <v/>
      </c>
      <c r="E459" t="s">
        <v>29</v>
      </c>
      <c r="G459" s="27"/>
      <c r="H459" s="26" t="str">
        <f t="shared" si="14"/>
        <v/>
      </c>
      <c r="I459" s="24"/>
      <c r="J459" s="24"/>
      <c r="K459" s="26"/>
      <c r="M459" s="49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590</v>
      </c>
      <c r="B460" s="24"/>
      <c r="D460" t="str">
        <f>IF($C460="","",IFERROR(LOOKUP(2,1/('03_Warehouse_Movements'!$C$2:$C$500=$A460),'03_Warehouse_Movements'!$E$2:$E$500),$C460))</f>
        <v/>
      </c>
      <c r="E460" t="s">
        <v>29</v>
      </c>
      <c r="G460" s="27"/>
      <c r="H460" s="26" t="str">
        <f t="shared" si="14"/>
        <v/>
      </c>
      <c r="I460" s="24"/>
      <c r="J460" s="24"/>
      <c r="K460" s="26"/>
      <c r="M460" s="49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591</v>
      </c>
      <c r="B461" s="24"/>
      <c r="D461" t="str">
        <f>IF($C461="","",IFERROR(LOOKUP(2,1/('03_Warehouse_Movements'!$C$2:$C$500=$A461),'03_Warehouse_Movements'!$E$2:$E$500),$C461))</f>
        <v/>
      </c>
      <c r="E461" t="s">
        <v>29</v>
      </c>
      <c r="G461" s="27"/>
      <c r="H461" s="26" t="str">
        <f t="shared" si="14"/>
        <v/>
      </c>
      <c r="I461" s="24"/>
      <c r="J461" s="24"/>
      <c r="K461" s="26"/>
      <c r="M461" s="49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592</v>
      </c>
      <c r="B462" s="24"/>
      <c r="D462" t="str">
        <f>IF($C462="","",IFERROR(LOOKUP(2,1/('03_Warehouse_Movements'!$C$2:$C$500=$A462),'03_Warehouse_Movements'!$E$2:$E$500),$C462))</f>
        <v/>
      </c>
      <c r="E462" t="s">
        <v>29</v>
      </c>
      <c r="G462" s="27"/>
      <c r="H462" s="26" t="str">
        <f t="shared" si="14"/>
        <v/>
      </c>
      <c r="I462" s="24"/>
      <c r="J462" s="24"/>
      <c r="K462" s="26"/>
      <c r="M462" s="49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593</v>
      </c>
      <c r="B463" s="24"/>
      <c r="D463" t="str">
        <f>IF($C463="","",IFERROR(LOOKUP(2,1/('03_Warehouse_Movements'!$C$2:$C$500=$A463),'03_Warehouse_Movements'!$E$2:$E$500),$C463))</f>
        <v/>
      </c>
      <c r="E463" t="s">
        <v>29</v>
      </c>
      <c r="G463" s="27"/>
      <c r="H463" s="26" t="str">
        <f t="shared" si="14"/>
        <v/>
      </c>
      <c r="I463" s="24"/>
      <c r="J463" s="24"/>
      <c r="K463" s="26"/>
      <c r="M463" s="49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594</v>
      </c>
      <c r="B464" s="24"/>
      <c r="D464" t="str">
        <f>IF($C464="","",IFERROR(LOOKUP(2,1/('03_Warehouse_Movements'!$C$2:$C$500=$A464),'03_Warehouse_Movements'!$E$2:$E$500),$C464))</f>
        <v/>
      </c>
      <c r="E464" t="s">
        <v>29</v>
      </c>
      <c r="G464" s="27"/>
      <c r="H464" s="26" t="str">
        <f t="shared" si="14"/>
        <v/>
      </c>
      <c r="I464" s="24"/>
      <c r="J464" s="24"/>
      <c r="K464" s="26"/>
      <c r="M464" s="49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595</v>
      </c>
      <c r="B465" s="24"/>
      <c r="D465" t="str">
        <f>IF($C465="","",IFERROR(LOOKUP(2,1/('03_Warehouse_Movements'!$C$2:$C$500=$A465),'03_Warehouse_Movements'!$E$2:$E$500),$C465))</f>
        <v/>
      </c>
      <c r="E465" t="s">
        <v>29</v>
      </c>
      <c r="G465" s="27"/>
      <c r="H465" s="26" t="str">
        <f t="shared" si="14"/>
        <v/>
      </c>
      <c r="I465" s="24"/>
      <c r="J465" s="24"/>
      <c r="K465" s="26"/>
      <c r="M465" s="49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596</v>
      </c>
      <c r="B466" s="24"/>
      <c r="D466" t="str">
        <f>IF($C466="","",IFERROR(LOOKUP(2,1/('03_Warehouse_Movements'!$C$2:$C$500=$A466),'03_Warehouse_Movements'!$E$2:$E$500),$C466))</f>
        <v/>
      </c>
      <c r="E466" t="s">
        <v>29</v>
      </c>
      <c r="G466" s="27"/>
      <c r="H466" s="26" t="str">
        <f t="shared" si="14"/>
        <v/>
      </c>
      <c r="I466" s="24"/>
      <c r="J466" s="24"/>
      <c r="K466" s="26"/>
      <c r="M466" s="49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597</v>
      </c>
      <c r="B467" s="24"/>
      <c r="D467" t="str">
        <f>IF($C467="","",IFERROR(LOOKUP(2,1/('03_Warehouse_Movements'!$C$2:$C$500=$A467),'03_Warehouse_Movements'!$E$2:$E$500),$C467))</f>
        <v/>
      </c>
      <c r="E467" t="s">
        <v>29</v>
      </c>
      <c r="G467" s="27"/>
      <c r="H467" s="26" t="str">
        <f t="shared" si="14"/>
        <v/>
      </c>
      <c r="I467" s="24"/>
      <c r="J467" s="24"/>
      <c r="K467" s="26"/>
      <c r="M467" s="49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598</v>
      </c>
      <c r="B468" s="24"/>
      <c r="D468" t="str">
        <f>IF($C468="","",IFERROR(LOOKUP(2,1/('03_Warehouse_Movements'!$C$2:$C$500=$A468),'03_Warehouse_Movements'!$E$2:$E$500),$C468))</f>
        <v/>
      </c>
      <c r="E468" t="s">
        <v>29</v>
      </c>
      <c r="G468" s="27"/>
      <c r="H468" s="26" t="str">
        <f t="shared" si="14"/>
        <v/>
      </c>
      <c r="I468" s="24"/>
      <c r="J468" s="24"/>
      <c r="K468" s="26"/>
      <c r="M468" s="49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599</v>
      </c>
      <c r="B469" s="24"/>
      <c r="D469" t="str">
        <f>IF($C469="","",IFERROR(LOOKUP(2,1/('03_Warehouse_Movements'!$C$2:$C$500=$A469),'03_Warehouse_Movements'!$E$2:$E$500),$C469))</f>
        <v/>
      </c>
      <c r="E469" t="s">
        <v>29</v>
      </c>
      <c r="G469" s="27"/>
      <c r="H469" s="26" t="str">
        <f t="shared" si="14"/>
        <v/>
      </c>
      <c r="I469" s="24"/>
      <c r="J469" s="24"/>
      <c r="K469" s="26"/>
      <c r="M469" s="49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600</v>
      </c>
      <c r="B470" s="24"/>
      <c r="D470" t="str">
        <f>IF($C470="","",IFERROR(LOOKUP(2,1/('03_Warehouse_Movements'!$C$2:$C$500=$A470),'03_Warehouse_Movements'!$E$2:$E$500),$C470))</f>
        <v/>
      </c>
      <c r="E470" t="s">
        <v>29</v>
      </c>
      <c r="G470" s="27"/>
      <c r="H470" s="26" t="str">
        <f t="shared" si="14"/>
        <v/>
      </c>
      <c r="I470" s="24"/>
      <c r="J470" s="24"/>
      <c r="K470" s="26"/>
      <c r="M470" s="49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601</v>
      </c>
      <c r="B471" s="24"/>
      <c r="D471" t="str">
        <f>IF($C471="","",IFERROR(LOOKUP(2,1/('03_Warehouse_Movements'!$C$2:$C$500=$A471),'03_Warehouse_Movements'!$E$2:$E$500),$C471))</f>
        <v/>
      </c>
      <c r="E471" t="s">
        <v>29</v>
      </c>
      <c r="G471" s="27"/>
      <c r="H471" s="26" t="str">
        <f t="shared" si="14"/>
        <v/>
      </c>
      <c r="I471" s="24"/>
      <c r="J471" s="24"/>
      <c r="K471" s="26"/>
      <c r="M471" s="49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602</v>
      </c>
      <c r="B472" s="24"/>
      <c r="D472" t="str">
        <f>IF($C472="","",IFERROR(LOOKUP(2,1/('03_Warehouse_Movements'!$C$2:$C$500=$A472),'03_Warehouse_Movements'!$E$2:$E$500),$C472))</f>
        <v/>
      </c>
      <c r="E472" t="s">
        <v>29</v>
      </c>
      <c r="G472" s="27"/>
      <c r="H472" s="26" t="str">
        <f t="shared" si="14"/>
        <v/>
      </c>
      <c r="I472" s="24"/>
      <c r="J472" s="24"/>
      <c r="K472" s="26"/>
      <c r="M472" s="49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603</v>
      </c>
      <c r="B473" s="24"/>
      <c r="D473" t="str">
        <f>IF($C473="","",IFERROR(LOOKUP(2,1/('03_Warehouse_Movements'!$C$2:$C$500=$A473),'03_Warehouse_Movements'!$E$2:$E$500),$C473))</f>
        <v/>
      </c>
      <c r="E473" t="s">
        <v>29</v>
      </c>
      <c r="G473" s="27"/>
      <c r="H473" s="26" t="str">
        <f t="shared" si="14"/>
        <v/>
      </c>
      <c r="I473" s="24"/>
      <c r="J473" s="24"/>
      <c r="K473" s="26"/>
      <c r="M473" s="49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604</v>
      </c>
      <c r="B474" s="24"/>
      <c r="D474" t="str">
        <f>IF($C474="","",IFERROR(LOOKUP(2,1/('03_Warehouse_Movements'!$C$2:$C$500=$A474),'03_Warehouse_Movements'!$E$2:$E$500),$C474))</f>
        <v/>
      </c>
      <c r="E474" t="s">
        <v>29</v>
      </c>
      <c r="G474" s="27"/>
      <c r="H474" s="26" t="str">
        <f t="shared" si="14"/>
        <v/>
      </c>
      <c r="I474" s="24"/>
      <c r="J474" s="24"/>
      <c r="K474" s="26"/>
      <c r="M474" s="49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605</v>
      </c>
      <c r="B475" s="24"/>
      <c r="D475" t="str">
        <f>IF($C475="","",IFERROR(LOOKUP(2,1/('03_Warehouse_Movements'!$C$2:$C$500=$A475),'03_Warehouse_Movements'!$E$2:$E$500),$C475))</f>
        <v/>
      </c>
      <c r="E475" t="s">
        <v>29</v>
      </c>
      <c r="G475" s="27"/>
      <c r="H475" s="26" t="str">
        <f t="shared" si="14"/>
        <v/>
      </c>
      <c r="I475" s="24"/>
      <c r="J475" s="24"/>
      <c r="K475" s="26"/>
      <c r="M475" s="49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606</v>
      </c>
      <c r="B476" s="24"/>
      <c r="D476" t="str">
        <f>IF($C476="","",IFERROR(LOOKUP(2,1/('03_Warehouse_Movements'!$C$2:$C$500=$A476),'03_Warehouse_Movements'!$E$2:$E$500),$C476))</f>
        <v/>
      </c>
      <c r="E476" t="s">
        <v>29</v>
      </c>
      <c r="G476" s="27"/>
      <c r="H476" s="26" t="str">
        <f t="shared" si="14"/>
        <v/>
      </c>
      <c r="I476" s="24"/>
      <c r="J476" s="24"/>
      <c r="K476" s="26"/>
      <c r="M476" s="49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607</v>
      </c>
      <c r="B477" s="24"/>
      <c r="D477" t="str">
        <f>IF($C477="","",IFERROR(LOOKUP(2,1/('03_Warehouse_Movements'!$C$2:$C$500=$A477),'03_Warehouse_Movements'!$E$2:$E$500),$C477))</f>
        <v/>
      </c>
      <c r="E477" t="s">
        <v>29</v>
      </c>
      <c r="G477" s="27"/>
      <c r="H477" s="26" t="str">
        <f t="shared" si="14"/>
        <v/>
      </c>
      <c r="I477" s="24"/>
      <c r="J477" s="24"/>
      <c r="K477" s="26"/>
      <c r="M477" s="49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608</v>
      </c>
      <c r="B478" s="24"/>
      <c r="D478" t="str">
        <f>IF($C478="","",IFERROR(LOOKUP(2,1/('03_Warehouse_Movements'!$C$2:$C$500=$A478),'03_Warehouse_Movements'!$E$2:$E$500),$C478))</f>
        <v/>
      </c>
      <c r="E478" t="s">
        <v>29</v>
      </c>
      <c r="G478" s="27"/>
      <c r="H478" s="26" t="str">
        <f t="shared" si="14"/>
        <v/>
      </c>
      <c r="I478" s="24"/>
      <c r="J478" s="24"/>
      <c r="K478" s="26"/>
      <c r="M478" s="49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609</v>
      </c>
      <c r="B479" s="24"/>
      <c r="D479" t="str">
        <f>IF($C479="","",IFERROR(LOOKUP(2,1/('03_Warehouse_Movements'!$C$2:$C$500=$A479),'03_Warehouse_Movements'!$E$2:$E$500),$C479))</f>
        <v/>
      </c>
      <c r="E479" t="s">
        <v>29</v>
      </c>
      <c r="G479" s="27"/>
      <c r="H479" s="26" t="str">
        <f t="shared" si="14"/>
        <v/>
      </c>
      <c r="I479" s="24"/>
      <c r="J479" s="24"/>
      <c r="K479" s="26"/>
      <c r="M479" s="49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610</v>
      </c>
      <c r="B480" s="24"/>
      <c r="D480" t="str">
        <f>IF($C480="","",IFERROR(LOOKUP(2,1/('03_Warehouse_Movements'!$C$2:$C$500=$A480),'03_Warehouse_Movements'!$E$2:$E$500),$C480))</f>
        <v/>
      </c>
      <c r="E480" t="s">
        <v>29</v>
      </c>
      <c r="G480" s="27"/>
      <c r="H480" s="26" t="str">
        <f t="shared" si="14"/>
        <v/>
      </c>
      <c r="I480" s="24"/>
      <c r="J480" s="24"/>
      <c r="K480" s="26"/>
      <c r="M480" s="49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611</v>
      </c>
      <c r="B481" s="24"/>
      <c r="D481" t="str">
        <f>IF($C481="","",IFERROR(LOOKUP(2,1/('03_Warehouse_Movements'!$C$2:$C$500=$A481),'03_Warehouse_Movements'!$E$2:$E$500),$C481))</f>
        <v/>
      </c>
      <c r="E481" t="s">
        <v>29</v>
      </c>
      <c r="G481" s="27"/>
      <c r="H481" s="26" t="str">
        <f t="shared" si="14"/>
        <v/>
      </c>
      <c r="I481" s="24"/>
      <c r="J481" s="24"/>
      <c r="K481" s="26"/>
      <c r="M481" s="49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612</v>
      </c>
      <c r="B482" s="24"/>
      <c r="D482" t="str">
        <f>IF($C482="","",IFERROR(LOOKUP(2,1/('03_Warehouse_Movements'!$C$2:$C$500=$A482),'03_Warehouse_Movements'!$E$2:$E$500),$C482))</f>
        <v/>
      </c>
      <c r="E482" t="s">
        <v>29</v>
      </c>
      <c r="G482" s="27"/>
      <c r="H482" s="26" t="str">
        <f t="shared" si="14"/>
        <v/>
      </c>
      <c r="I482" s="24"/>
      <c r="J482" s="24"/>
      <c r="K482" s="26"/>
      <c r="M482" s="49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613</v>
      </c>
      <c r="B483" s="24"/>
      <c r="D483" t="str">
        <f>IF($C483="","",IFERROR(LOOKUP(2,1/('03_Warehouse_Movements'!$C$2:$C$500=$A483),'03_Warehouse_Movements'!$E$2:$E$500),$C483))</f>
        <v/>
      </c>
      <c r="E483" t="s">
        <v>29</v>
      </c>
      <c r="G483" s="27"/>
      <c r="H483" s="26" t="str">
        <f t="shared" si="14"/>
        <v/>
      </c>
      <c r="I483" s="24"/>
      <c r="J483" s="24"/>
      <c r="K483" s="26"/>
      <c r="M483" s="49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614</v>
      </c>
      <c r="B484" s="24"/>
      <c r="D484" t="str">
        <f>IF($C484="","",IFERROR(LOOKUP(2,1/('03_Warehouse_Movements'!$C$2:$C$500=$A484),'03_Warehouse_Movements'!$E$2:$E$500),$C484))</f>
        <v/>
      </c>
      <c r="E484" t="s">
        <v>29</v>
      </c>
      <c r="G484" s="27"/>
      <c r="H484" s="26" t="str">
        <f t="shared" si="14"/>
        <v/>
      </c>
      <c r="I484" s="24"/>
      <c r="J484" s="24"/>
      <c r="K484" s="26"/>
      <c r="M484" s="49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615</v>
      </c>
      <c r="B485" s="24"/>
      <c r="D485" t="str">
        <f>IF($C485="","",IFERROR(LOOKUP(2,1/('03_Warehouse_Movements'!$C$2:$C$500=$A485),'03_Warehouse_Movements'!$E$2:$E$500),$C485))</f>
        <v/>
      </c>
      <c r="E485" t="s">
        <v>29</v>
      </c>
      <c r="G485" s="27"/>
      <c r="H485" s="26" t="str">
        <f t="shared" si="14"/>
        <v/>
      </c>
      <c r="I485" s="24"/>
      <c r="J485" s="24"/>
      <c r="K485" s="26"/>
      <c r="M485" s="49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616</v>
      </c>
      <c r="B486" s="24"/>
      <c r="D486" t="str">
        <f>IF($C486="","",IFERROR(LOOKUP(2,1/('03_Warehouse_Movements'!$C$2:$C$500=$A486),'03_Warehouse_Movements'!$E$2:$E$500),$C486))</f>
        <v/>
      </c>
      <c r="E486" t="s">
        <v>29</v>
      </c>
      <c r="G486" s="27"/>
      <c r="H486" s="26" t="str">
        <f t="shared" si="14"/>
        <v/>
      </c>
      <c r="I486" s="24"/>
      <c r="J486" s="24"/>
      <c r="K486" s="26"/>
      <c r="M486" s="49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617</v>
      </c>
      <c r="B487" s="24"/>
      <c r="D487" t="str">
        <f>IF($C487="","",IFERROR(LOOKUP(2,1/('03_Warehouse_Movements'!$C$2:$C$500=$A487),'03_Warehouse_Movements'!$E$2:$E$500),$C487))</f>
        <v/>
      </c>
      <c r="E487" t="s">
        <v>29</v>
      </c>
      <c r="G487" s="27"/>
      <c r="H487" s="26" t="str">
        <f t="shared" si="14"/>
        <v/>
      </c>
      <c r="I487" s="24"/>
      <c r="J487" s="24"/>
      <c r="K487" s="26"/>
      <c r="M487" s="49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618</v>
      </c>
      <c r="B488" s="24"/>
      <c r="D488" t="str">
        <f>IF($C488="","",IFERROR(LOOKUP(2,1/('03_Warehouse_Movements'!$C$2:$C$500=$A488),'03_Warehouse_Movements'!$E$2:$E$500),$C488))</f>
        <v/>
      </c>
      <c r="E488" t="s">
        <v>29</v>
      </c>
      <c r="G488" s="27"/>
      <c r="H488" s="26" t="str">
        <f t="shared" si="14"/>
        <v/>
      </c>
      <c r="I488" s="24"/>
      <c r="J488" s="24"/>
      <c r="K488" s="26"/>
      <c r="M488" s="49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619</v>
      </c>
      <c r="B489" s="24"/>
      <c r="D489" t="str">
        <f>IF($C489="","",IFERROR(LOOKUP(2,1/('03_Warehouse_Movements'!$C$2:$C$500=$A489),'03_Warehouse_Movements'!$E$2:$E$500),$C489))</f>
        <v/>
      </c>
      <c r="E489" t="s">
        <v>29</v>
      </c>
      <c r="G489" s="27"/>
      <c r="H489" s="26" t="str">
        <f t="shared" si="14"/>
        <v/>
      </c>
      <c r="I489" s="24"/>
      <c r="J489" s="24"/>
      <c r="K489" s="26"/>
      <c r="M489" s="49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620</v>
      </c>
      <c r="B490" s="24"/>
      <c r="D490" t="str">
        <f>IF($C490="","",IFERROR(LOOKUP(2,1/('03_Warehouse_Movements'!$C$2:$C$500=$A490),'03_Warehouse_Movements'!$E$2:$E$500),$C490))</f>
        <v/>
      </c>
      <c r="E490" t="s">
        <v>29</v>
      </c>
      <c r="G490" s="27"/>
      <c r="H490" s="26" t="str">
        <f t="shared" si="14"/>
        <v/>
      </c>
      <c r="I490" s="24"/>
      <c r="J490" s="24"/>
      <c r="K490" s="26"/>
      <c r="M490" s="49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621</v>
      </c>
      <c r="B491" s="24"/>
      <c r="D491" t="str">
        <f>IF($C491="","",IFERROR(LOOKUP(2,1/('03_Warehouse_Movements'!$C$2:$C$500=$A491),'03_Warehouse_Movements'!$E$2:$E$500),$C491))</f>
        <v/>
      </c>
      <c r="E491" t="s">
        <v>29</v>
      </c>
      <c r="G491" s="27"/>
      <c r="H491" s="26" t="str">
        <f t="shared" si="14"/>
        <v/>
      </c>
      <c r="I491" s="24"/>
      <c r="J491" s="24"/>
      <c r="K491" s="26"/>
      <c r="M491" s="49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622</v>
      </c>
      <c r="B492" s="24"/>
      <c r="D492" t="str">
        <f>IF($C492="","",IFERROR(LOOKUP(2,1/('03_Warehouse_Movements'!$C$2:$C$500=$A492),'03_Warehouse_Movements'!$E$2:$E$500),$C492))</f>
        <v/>
      </c>
      <c r="E492" t="s">
        <v>29</v>
      </c>
      <c r="G492" s="27"/>
      <c r="H492" s="26" t="str">
        <f t="shared" si="14"/>
        <v/>
      </c>
      <c r="I492" s="24"/>
      <c r="J492" s="24"/>
      <c r="K492" s="26"/>
      <c r="M492" s="49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623</v>
      </c>
      <c r="B493" s="24"/>
      <c r="D493" t="str">
        <f>IF($C493="","",IFERROR(LOOKUP(2,1/('03_Warehouse_Movements'!$C$2:$C$500=$A493),'03_Warehouse_Movements'!$E$2:$E$500),$C493))</f>
        <v/>
      </c>
      <c r="E493" t="s">
        <v>29</v>
      </c>
      <c r="G493" s="27"/>
      <c r="H493" s="26" t="str">
        <f t="shared" si="14"/>
        <v/>
      </c>
      <c r="I493" s="24"/>
      <c r="J493" s="24"/>
      <c r="K493" s="26"/>
      <c r="M493" s="49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624</v>
      </c>
      <c r="B494" s="24"/>
      <c r="D494" t="str">
        <f>IF($C494="","",IFERROR(LOOKUP(2,1/('03_Warehouse_Movements'!$C$2:$C$500=$A494),'03_Warehouse_Movements'!$E$2:$E$500),$C494))</f>
        <v/>
      </c>
      <c r="E494" t="s">
        <v>29</v>
      </c>
      <c r="G494" s="27"/>
      <c r="H494" s="26" t="str">
        <f t="shared" si="14"/>
        <v/>
      </c>
      <c r="I494" s="24"/>
      <c r="J494" s="24"/>
      <c r="K494" s="26"/>
      <c r="M494" s="49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625</v>
      </c>
      <c r="B495" s="24"/>
      <c r="D495" t="str">
        <f>IF($C495="","",IFERROR(LOOKUP(2,1/('03_Warehouse_Movements'!$C$2:$C$500=$A495),'03_Warehouse_Movements'!$E$2:$E$500),$C495))</f>
        <v/>
      </c>
      <c r="E495" t="s">
        <v>29</v>
      </c>
      <c r="G495" s="27"/>
      <c r="H495" s="26" t="str">
        <f t="shared" si="14"/>
        <v/>
      </c>
      <c r="I495" s="24"/>
      <c r="J495" s="24"/>
      <c r="K495" s="26"/>
      <c r="M495" s="49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626</v>
      </c>
      <c r="B496" s="24"/>
      <c r="D496" t="str">
        <f>IF($C496="","",IFERROR(LOOKUP(2,1/('03_Warehouse_Movements'!$C$2:$C$500=$A496),'03_Warehouse_Movements'!$E$2:$E$500),$C496))</f>
        <v/>
      </c>
      <c r="E496" t="s">
        <v>29</v>
      </c>
      <c r="G496" s="27"/>
      <c r="H496" s="26" t="str">
        <f t="shared" si="14"/>
        <v/>
      </c>
      <c r="I496" s="24"/>
      <c r="J496" s="24"/>
      <c r="K496" s="26"/>
      <c r="M496" s="49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627</v>
      </c>
      <c r="B497" s="24"/>
      <c r="D497" t="str">
        <f>IF($C497="","",IFERROR(LOOKUP(2,1/('03_Warehouse_Movements'!$C$2:$C$500=$A497),'03_Warehouse_Movements'!$E$2:$E$500),$C497))</f>
        <v/>
      </c>
      <c r="E497" t="s">
        <v>29</v>
      </c>
      <c r="G497" s="27"/>
      <c r="H497" s="26" t="str">
        <f t="shared" si="14"/>
        <v/>
      </c>
      <c r="I497" s="24"/>
      <c r="J497" s="24"/>
      <c r="K497" s="26"/>
      <c r="M497" s="49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628</v>
      </c>
      <c r="B498" s="24"/>
      <c r="D498" t="str">
        <f>IF($C498="","",IFERROR(LOOKUP(2,1/('03_Warehouse_Movements'!$C$2:$C$500=$A498),'03_Warehouse_Movements'!$E$2:$E$500),$C498))</f>
        <v/>
      </c>
      <c r="E498" t="s">
        <v>29</v>
      </c>
      <c r="G498" s="27"/>
      <c r="H498" s="26" t="str">
        <f t="shared" si="14"/>
        <v/>
      </c>
      <c r="I498" s="24"/>
      <c r="J498" s="24"/>
      <c r="K498" s="26"/>
      <c r="M498" s="49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629</v>
      </c>
      <c r="B499" s="24"/>
      <c r="D499" t="str">
        <f>IF($C499="","",IFERROR(LOOKUP(2,1/('03_Warehouse_Movements'!$C$2:$C$500=$A499),'03_Warehouse_Movements'!$E$2:$E$500),$C499))</f>
        <v/>
      </c>
      <c r="E499" t="s">
        <v>29</v>
      </c>
      <c r="G499" s="27"/>
      <c r="H499" s="26" t="str">
        <f t="shared" si="14"/>
        <v/>
      </c>
      <c r="I499" s="24"/>
      <c r="J499" s="24"/>
      <c r="K499" s="26"/>
      <c r="M499" s="49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630</v>
      </c>
      <c r="B500" s="24"/>
      <c r="D500" t="str">
        <f>IF($C500="","",IFERROR(LOOKUP(2,1/('03_Warehouse_Movements'!$C$2:$C$500=$A500),'03_Warehouse_Movements'!$E$2:$E$500),$C500))</f>
        <v/>
      </c>
      <c r="E500" t="s">
        <v>29</v>
      </c>
      <c r="G500" s="27"/>
      <c r="H500" s="26" t="str">
        <f t="shared" si="14"/>
        <v/>
      </c>
      <c r="I500" s="24"/>
      <c r="J500" s="24"/>
      <c r="K500" s="26"/>
      <c r="M500" s="49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631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632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633</v>
      </c>
      <c r="B2002" s="24"/>
      <c r="D2002" t="str">
        <f>IF($C2002="","",IFERROR(LOOKUP(2,1/('03_Warehouse_Movements'!$C$2:$C$500=$A2002),'03_Warehouse_Movements'!$E$2:$E$500),$C2002))</f>
        <v/>
      </c>
      <c r="E2002" t="s">
        <v>29</v>
      </c>
      <c r="G2002" s="27"/>
      <c r="H2002" s="26" t="str">
        <f t="shared" si="39"/>
        <v/>
      </c>
      <c r="I2002" s="24"/>
      <c r="J2002" s="24"/>
      <c r="K2002" s="26"/>
      <c r="M2002" s="49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47" t="s">
        <v>634</v>
      </c>
      <c r="B1" s="47" t="s">
        <v>635</v>
      </c>
      <c r="C1" s="47" t="s">
        <v>636</v>
      </c>
      <c r="D1" s="47" t="s">
        <v>637</v>
      </c>
      <c r="E1" s="47" t="s">
        <v>638</v>
      </c>
      <c r="F1" s="47" t="s">
        <v>639</v>
      </c>
      <c r="G1" s="47" t="s">
        <v>6</v>
      </c>
      <c r="H1" s="47" t="s">
        <v>640</v>
      </c>
      <c r="I1" s="47" t="s">
        <v>9</v>
      </c>
      <c r="J1" s="40" t="s">
        <v>641</v>
      </c>
      <c r="K1" s="40" t="s">
        <v>642</v>
      </c>
      <c r="L1" s="40" t="s">
        <v>643</v>
      </c>
      <c r="M1" s="40" t="s">
        <v>644</v>
      </c>
      <c r="N1" s="40" t="s">
        <v>645</v>
      </c>
      <c r="O1" t="s">
        <v>646</v>
      </c>
      <c r="P1" t="s">
        <v>647</v>
      </c>
      <c r="Q1" t="s">
        <v>648</v>
      </c>
    </row>
    <row r="2" spans="1:17">
      <c r="A2" t="s">
        <v>36</v>
      </c>
      <c r="B2" t="s">
        <v>649</v>
      </c>
      <c r="E2" t="s">
        <v>650</v>
      </c>
      <c r="F2">
        <v>1</v>
      </c>
      <c r="G2">
        <v>0</v>
      </c>
      <c r="H2" t="str">
        <f t="shared" ref="H2:H33" si="0">A2</f>
        <v>STAGED</v>
      </c>
      <c r="I2" t="s">
        <v>651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652</v>
      </c>
      <c r="B3" t="s">
        <v>649</v>
      </c>
      <c r="E3" t="s">
        <v>653</v>
      </c>
      <c r="F3">
        <v>1</v>
      </c>
      <c r="G3">
        <v>0</v>
      </c>
      <c r="H3" t="str">
        <f t="shared" si="0"/>
        <v>STAGE_OUT</v>
      </c>
      <c r="I3" t="s">
        <v>654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655</v>
      </c>
      <c r="B4" t="s">
        <v>649</v>
      </c>
      <c r="E4" t="s">
        <v>656</v>
      </c>
      <c r="F4">
        <v>2</v>
      </c>
      <c r="G4">
        <v>0</v>
      </c>
      <c r="H4" t="str">
        <f t="shared" si="0"/>
        <v>QUARANTINE</v>
      </c>
      <c r="I4" t="s">
        <v>657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658</v>
      </c>
      <c r="B5" t="s">
        <v>659</v>
      </c>
      <c r="C5" t="s">
        <v>660</v>
      </c>
      <c r="D5" t="s">
        <v>661</v>
      </c>
      <c r="E5" t="s">
        <v>662</v>
      </c>
      <c r="F5">
        <v>1</v>
      </c>
      <c r="G5">
        <v>2</v>
      </c>
      <c r="H5" t="str">
        <f t="shared" si="0"/>
        <v>Z1</v>
      </c>
      <c r="I5" t="s">
        <v>663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664</v>
      </c>
      <c r="B6" t="s">
        <v>659</v>
      </c>
      <c r="C6" t="s">
        <v>665</v>
      </c>
      <c r="D6">
        <v>1</v>
      </c>
      <c r="E6" t="s">
        <v>666</v>
      </c>
      <c r="F6">
        <v>4</v>
      </c>
      <c r="G6">
        <v>2</v>
      </c>
      <c r="H6" t="str">
        <f t="shared" si="0"/>
        <v>A</v>
      </c>
      <c r="I6" t="s">
        <v>667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668</v>
      </c>
      <c r="B7" t="s">
        <v>659</v>
      </c>
      <c r="C7" t="s">
        <v>665</v>
      </c>
      <c r="D7">
        <v>1</v>
      </c>
      <c r="E7" t="s">
        <v>666</v>
      </c>
      <c r="F7">
        <v>4</v>
      </c>
      <c r="G7">
        <v>2</v>
      </c>
      <c r="H7" t="str">
        <f t="shared" si="0"/>
        <v>Between rows segment 02</v>
      </c>
      <c r="I7" t="s">
        <v>669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670</v>
      </c>
      <c r="B8" t="s">
        <v>659</v>
      </c>
      <c r="C8" t="s">
        <v>660</v>
      </c>
      <c r="D8" t="s">
        <v>671</v>
      </c>
      <c r="E8" t="s">
        <v>672</v>
      </c>
      <c r="F8">
        <v>3</v>
      </c>
      <c r="G8">
        <v>7</v>
      </c>
      <c r="H8" t="str">
        <f t="shared" si="0"/>
        <v>01</v>
      </c>
      <c r="I8" t="s">
        <v>673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45</v>
      </c>
      <c r="B9" t="s">
        <v>674</v>
      </c>
      <c r="E9" t="s">
        <v>672</v>
      </c>
      <c r="F9">
        <v>3</v>
      </c>
      <c r="G9">
        <v>0</v>
      </c>
      <c r="H9" t="str">
        <f t="shared" si="0"/>
        <v>UNSAFE</v>
      </c>
      <c r="I9" t="s">
        <v>675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676</v>
      </c>
      <c r="B10" t="s">
        <v>659</v>
      </c>
      <c r="C10" t="s">
        <v>665</v>
      </c>
      <c r="D10">
        <v>1</v>
      </c>
      <c r="E10" t="s">
        <v>666</v>
      </c>
      <c r="F10">
        <v>4</v>
      </c>
      <c r="G10">
        <v>2</v>
      </c>
      <c r="H10" t="str">
        <f t="shared" si="0"/>
        <v>SAMPLE: Grid A03</v>
      </c>
      <c r="I10" t="s">
        <v>677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678</v>
      </c>
      <c r="B11" t="s">
        <v>659</v>
      </c>
      <c r="C11" t="s">
        <v>665</v>
      </c>
      <c r="D11">
        <v>1</v>
      </c>
      <c r="E11" t="s">
        <v>666</v>
      </c>
      <c r="F11">
        <v>4</v>
      </c>
      <c r="G11">
        <v>2</v>
      </c>
      <c r="H11" t="str">
        <f t="shared" si="0"/>
        <v>SAMPLE: Grid A04</v>
      </c>
      <c r="I11" t="s">
        <v>679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69</v>
      </c>
      <c r="B12" t="s">
        <v>659</v>
      </c>
      <c r="C12" t="s">
        <v>665</v>
      </c>
      <c r="D12">
        <v>1</v>
      </c>
      <c r="E12" t="s">
        <v>666</v>
      </c>
      <c r="F12">
        <v>4</v>
      </c>
      <c r="G12">
        <v>2</v>
      </c>
      <c r="H12" t="str">
        <f t="shared" si="0"/>
        <v>SAMPLE: Power Supplies</v>
      </c>
      <c r="I12" t="s">
        <v>680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72</v>
      </c>
      <c r="B13" t="s">
        <v>659</v>
      </c>
      <c r="C13" t="s">
        <v>665</v>
      </c>
      <c r="D13">
        <v>1</v>
      </c>
      <c r="E13" t="s">
        <v>666</v>
      </c>
      <c r="F13">
        <v>4</v>
      </c>
      <c r="G13">
        <v>2</v>
      </c>
      <c r="H13" t="str">
        <f t="shared" si="0"/>
        <v>SAMPLE: Imaging Equipment</v>
      </c>
      <c r="I13" t="s">
        <v>681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75</v>
      </c>
      <c r="B14" t="s">
        <v>659</v>
      </c>
      <c r="C14" t="s">
        <v>665</v>
      </c>
      <c r="D14">
        <v>1</v>
      </c>
      <c r="E14" t="s">
        <v>666</v>
      </c>
      <c r="F14">
        <v>4</v>
      </c>
      <c r="G14">
        <v>2</v>
      </c>
      <c r="H14" t="str">
        <f t="shared" si="0"/>
        <v>SAMPLE: Misc Hardware</v>
      </c>
      <c r="I14" t="s">
        <v>682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79</v>
      </c>
      <c r="B15" t="s">
        <v>659</v>
      </c>
      <c r="C15" t="s">
        <v>665</v>
      </c>
      <c r="D15">
        <v>1</v>
      </c>
      <c r="E15" t="s">
        <v>666</v>
      </c>
      <c r="F15">
        <v>4</v>
      </c>
      <c r="G15">
        <v>2</v>
      </c>
      <c r="H15" t="str">
        <f t="shared" si="0"/>
        <v>SAMPLE: Dell Devices</v>
      </c>
      <c r="I15" t="s">
        <v>683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82</v>
      </c>
      <c r="B16" t="s">
        <v>659</v>
      </c>
      <c r="C16" t="s">
        <v>665</v>
      </c>
      <c r="D16">
        <v>1</v>
      </c>
      <c r="E16" t="s">
        <v>666</v>
      </c>
      <c r="F16">
        <v>4</v>
      </c>
      <c r="G16">
        <v>2</v>
      </c>
      <c r="H16" t="str">
        <f t="shared" si="0"/>
        <v>PAL-0000013</v>
      </c>
      <c r="I16" t="s">
        <v>684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84</v>
      </c>
      <c r="B17" t="s">
        <v>659</v>
      </c>
      <c r="C17" t="s">
        <v>665</v>
      </c>
      <c r="D17">
        <v>1</v>
      </c>
      <c r="E17" t="s">
        <v>666</v>
      </c>
      <c r="F17">
        <v>4</v>
      </c>
      <c r="G17">
        <v>2</v>
      </c>
      <c r="H17" t="str">
        <f t="shared" si="0"/>
        <v>SAMPLE: Cables &amp; Adapters</v>
      </c>
      <c r="I17" t="s">
        <v>685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87</v>
      </c>
      <c r="B18" t="s">
        <v>659</v>
      </c>
      <c r="C18" t="s">
        <v>665</v>
      </c>
      <c r="D18">
        <v>1</v>
      </c>
      <c r="E18" t="s">
        <v>666</v>
      </c>
      <c r="F18">
        <v>4</v>
      </c>
      <c r="G18">
        <v>2</v>
      </c>
      <c r="H18" t="str">
        <f t="shared" si="0"/>
        <v>SAMPLE: Racks &amp; Rails</v>
      </c>
      <c r="I18" t="s">
        <v>686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91</v>
      </c>
      <c r="B19" t="s">
        <v>659</v>
      </c>
      <c r="C19" t="s">
        <v>665</v>
      </c>
      <c r="D19">
        <v>1</v>
      </c>
      <c r="E19" t="s">
        <v>666</v>
      </c>
      <c r="F19">
        <v>4</v>
      </c>
      <c r="G19">
        <v>2</v>
      </c>
      <c r="H19" t="str">
        <f t="shared" si="0"/>
        <v>SAMPLE: Networking Gear</v>
      </c>
      <c r="I19" t="s">
        <v>687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94</v>
      </c>
      <c r="B20" t="s">
        <v>659</v>
      </c>
      <c r="C20" t="s">
        <v>665</v>
      </c>
      <c r="D20">
        <v>1</v>
      </c>
      <c r="E20" t="s">
        <v>666</v>
      </c>
      <c r="F20">
        <v>4</v>
      </c>
      <c r="G20">
        <v>2</v>
      </c>
      <c r="H20" t="str">
        <f t="shared" si="0"/>
        <v>SAMPLE: Keyboards &amp; Mice</v>
      </c>
      <c r="I20" t="s">
        <v>688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97</v>
      </c>
      <c r="B21" t="s">
        <v>659</v>
      </c>
      <c r="C21" t="s">
        <v>665</v>
      </c>
      <c r="D21">
        <v>1</v>
      </c>
      <c r="E21" t="s">
        <v>666</v>
      </c>
      <c r="F21">
        <v>4</v>
      </c>
      <c r="G21">
        <v>2</v>
      </c>
      <c r="H21" t="str">
        <f t="shared" si="0"/>
        <v>SAMPLE: Spare Parts</v>
      </c>
      <c r="I21" t="s">
        <v>689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100</v>
      </c>
      <c r="B22" t="s">
        <v>659</v>
      </c>
      <c r="C22" t="s">
        <v>665</v>
      </c>
      <c r="D22">
        <v>1</v>
      </c>
      <c r="E22" t="s">
        <v>666</v>
      </c>
      <c r="F22">
        <v>4</v>
      </c>
      <c r="G22">
        <v>2</v>
      </c>
      <c r="H22" t="str">
        <f t="shared" si="0"/>
        <v>PAL-0000019</v>
      </c>
      <c r="I22" t="s">
        <v>690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102</v>
      </c>
      <c r="B23" t="s">
        <v>659</v>
      </c>
      <c r="C23" t="s">
        <v>665</v>
      </c>
      <c r="D23">
        <v>1</v>
      </c>
      <c r="E23" t="s">
        <v>666</v>
      </c>
      <c r="F23">
        <v>4</v>
      </c>
      <c r="G23">
        <v>2</v>
      </c>
      <c r="H23" t="str">
        <f t="shared" si="0"/>
        <v>PAL-0000020</v>
      </c>
      <c r="I23" t="s">
        <v>691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104</v>
      </c>
      <c r="B24" t="s">
        <v>659</v>
      </c>
      <c r="C24" t="s">
        <v>665</v>
      </c>
      <c r="D24">
        <v>1</v>
      </c>
      <c r="E24" t="s">
        <v>666</v>
      </c>
      <c r="F24">
        <v>4</v>
      </c>
      <c r="G24">
        <v>2</v>
      </c>
      <c r="H24" t="str">
        <f t="shared" si="0"/>
        <v>PAL-0000021</v>
      </c>
      <c r="I24" t="s">
        <v>692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106</v>
      </c>
      <c r="B25" t="s">
        <v>659</v>
      </c>
      <c r="C25" t="s">
        <v>665</v>
      </c>
      <c r="D25">
        <v>1</v>
      </c>
      <c r="E25" t="s">
        <v>666</v>
      </c>
      <c r="F25">
        <v>4</v>
      </c>
      <c r="G25">
        <v>2</v>
      </c>
      <c r="H25" t="str">
        <f t="shared" si="0"/>
        <v>PAL-0000022</v>
      </c>
      <c r="I25" t="s">
        <v>693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109</v>
      </c>
      <c r="B26" t="s">
        <v>659</v>
      </c>
      <c r="C26" t="s">
        <v>665</v>
      </c>
      <c r="D26">
        <v>1</v>
      </c>
      <c r="E26" t="s">
        <v>666</v>
      </c>
      <c r="F26">
        <v>4</v>
      </c>
      <c r="G26">
        <v>2</v>
      </c>
      <c r="H26" t="str">
        <f t="shared" si="0"/>
        <v>PAL-0000023</v>
      </c>
      <c r="I26" t="s">
        <v>694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111</v>
      </c>
      <c r="B27" t="s">
        <v>659</v>
      </c>
      <c r="C27" t="s">
        <v>665</v>
      </c>
      <c r="D27">
        <v>1</v>
      </c>
      <c r="E27" t="s">
        <v>666</v>
      </c>
      <c r="F27">
        <v>4</v>
      </c>
      <c r="G27">
        <v>2</v>
      </c>
      <c r="H27" t="str">
        <f t="shared" si="0"/>
        <v>PAL-0000024</v>
      </c>
      <c r="I27" t="s">
        <v>695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113</v>
      </c>
      <c r="B28" t="s">
        <v>659</v>
      </c>
      <c r="C28" t="s">
        <v>77</v>
      </c>
      <c r="D28">
        <v>1</v>
      </c>
      <c r="E28" t="s">
        <v>666</v>
      </c>
      <c r="F28">
        <v>4</v>
      </c>
      <c r="G28">
        <v>2</v>
      </c>
      <c r="H28" t="str">
        <f t="shared" si="0"/>
        <v>PAL-0000025</v>
      </c>
      <c r="I28" t="s">
        <v>696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115</v>
      </c>
      <c r="B29" t="s">
        <v>659</v>
      </c>
      <c r="C29" t="s">
        <v>77</v>
      </c>
      <c r="D29">
        <v>1</v>
      </c>
      <c r="E29" t="s">
        <v>666</v>
      </c>
      <c r="F29">
        <v>4</v>
      </c>
      <c r="G29">
        <v>2</v>
      </c>
      <c r="H29" t="str">
        <f t="shared" si="0"/>
        <v>PAL-0000026</v>
      </c>
      <c r="I29" t="s">
        <v>697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117</v>
      </c>
      <c r="B30" t="s">
        <v>659</v>
      </c>
      <c r="C30" t="s">
        <v>77</v>
      </c>
      <c r="D30">
        <v>1</v>
      </c>
      <c r="E30" t="s">
        <v>666</v>
      </c>
      <c r="F30">
        <v>4</v>
      </c>
      <c r="G30">
        <v>2</v>
      </c>
      <c r="H30" t="str">
        <f t="shared" si="0"/>
        <v>PAL-0000027</v>
      </c>
      <c r="I30" t="s">
        <v>698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119</v>
      </c>
      <c r="B31" t="s">
        <v>659</v>
      </c>
      <c r="C31" t="s">
        <v>77</v>
      </c>
      <c r="D31">
        <v>1</v>
      </c>
      <c r="E31" t="s">
        <v>666</v>
      </c>
      <c r="F31">
        <v>4</v>
      </c>
      <c r="G31">
        <v>2</v>
      </c>
      <c r="H31" t="str">
        <f t="shared" si="0"/>
        <v>PAL-0000028</v>
      </c>
      <c r="I31" t="s">
        <v>699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121</v>
      </c>
      <c r="B32" t="s">
        <v>659</v>
      </c>
      <c r="C32" t="s">
        <v>77</v>
      </c>
      <c r="D32">
        <v>1</v>
      </c>
      <c r="E32" t="s">
        <v>666</v>
      </c>
      <c r="F32">
        <v>4</v>
      </c>
      <c r="G32">
        <v>2</v>
      </c>
      <c r="H32" t="str">
        <f t="shared" si="0"/>
        <v>PAL-0000029</v>
      </c>
      <c r="I32" t="s">
        <v>700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124</v>
      </c>
      <c r="B33" t="s">
        <v>659</v>
      </c>
      <c r="C33" t="s">
        <v>77</v>
      </c>
      <c r="D33">
        <v>1</v>
      </c>
      <c r="E33" t="s">
        <v>666</v>
      </c>
      <c r="F33">
        <v>4</v>
      </c>
      <c r="G33">
        <v>2</v>
      </c>
      <c r="H33" t="str">
        <f t="shared" si="0"/>
        <v>PAL-0000030</v>
      </c>
      <c r="I33" t="s">
        <v>701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126</v>
      </c>
      <c r="B34" t="s">
        <v>659</v>
      </c>
      <c r="C34" t="s">
        <v>77</v>
      </c>
      <c r="D34">
        <v>1</v>
      </c>
      <c r="E34" t="s">
        <v>666</v>
      </c>
      <c r="F34">
        <v>4</v>
      </c>
      <c r="G34">
        <v>2</v>
      </c>
      <c r="H34" t="str">
        <f t="shared" ref="H34:H65" si="9">A34</f>
        <v>PAL-0000031</v>
      </c>
      <c r="I34" t="s">
        <v>702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128</v>
      </c>
      <c r="B35" t="s">
        <v>659</v>
      </c>
      <c r="C35" t="s">
        <v>77</v>
      </c>
      <c r="D35">
        <v>1</v>
      </c>
      <c r="E35" t="s">
        <v>666</v>
      </c>
      <c r="F35">
        <v>4</v>
      </c>
      <c r="G35">
        <v>2</v>
      </c>
      <c r="H35" t="str">
        <f t="shared" si="9"/>
        <v>PAL-0000032</v>
      </c>
      <c r="I35" t="s">
        <v>703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130</v>
      </c>
      <c r="B36" t="s">
        <v>659</v>
      </c>
      <c r="C36" t="s">
        <v>77</v>
      </c>
      <c r="D36">
        <v>1</v>
      </c>
      <c r="E36" t="s">
        <v>666</v>
      </c>
      <c r="F36">
        <v>4</v>
      </c>
      <c r="G36">
        <v>2</v>
      </c>
      <c r="H36" t="str">
        <f t="shared" si="9"/>
        <v>PAL-0000033</v>
      </c>
      <c r="I36" t="s">
        <v>704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132</v>
      </c>
      <c r="B37" t="s">
        <v>659</v>
      </c>
      <c r="C37" t="s">
        <v>77</v>
      </c>
      <c r="D37">
        <v>1</v>
      </c>
      <c r="E37" t="s">
        <v>666</v>
      </c>
      <c r="F37">
        <v>4</v>
      </c>
      <c r="G37">
        <v>2</v>
      </c>
      <c r="H37" t="str">
        <f t="shared" si="9"/>
        <v>PAL-0000034</v>
      </c>
      <c r="I37" t="s">
        <v>705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134</v>
      </c>
      <c r="B38" t="s">
        <v>659</v>
      </c>
      <c r="C38" t="s">
        <v>77</v>
      </c>
      <c r="D38">
        <v>1</v>
      </c>
      <c r="E38" t="s">
        <v>666</v>
      </c>
      <c r="F38">
        <v>4</v>
      </c>
      <c r="G38">
        <v>2</v>
      </c>
      <c r="H38" t="str">
        <f t="shared" si="9"/>
        <v>PAL-0000035</v>
      </c>
      <c r="I38" t="s">
        <v>706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136</v>
      </c>
      <c r="B39" t="s">
        <v>659</v>
      </c>
      <c r="C39" t="s">
        <v>77</v>
      </c>
      <c r="D39">
        <v>1</v>
      </c>
      <c r="E39" t="s">
        <v>666</v>
      </c>
      <c r="F39">
        <v>4</v>
      </c>
      <c r="G39">
        <v>2</v>
      </c>
      <c r="H39" t="str">
        <f t="shared" si="9"/>
        <v>PAL-0000036</v>
      </c>
      <c r="I39" t="s">
        <v>707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139</v>
      </c>
      <c r="B40" t="s">
        <v>659</v>
      </c>
      <c r="C40" t="s">
        <v>77</v>
      </c>
      <c r="D40">
        <v>1</v>
      </c>
      <c r="E40" t="s">
        <v>666</v>
      </c>
      <c r="F40">
        <v>4</v>
      </c>
      <c r="G40">
        <v>2</v>
      </c>
      <c r="H40" t="str">
        <f t="shared" si="9"/>
        <v>PAL-0000037</v>
      </c>
      <c r="I40" t="s">
        <v>708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141</v>
      </c>
      <c r="B41" t="s">
        <v>659</v>
      </c>
      <c r="C41" t="s">
        <v>77</v>
      </c>
      <c r="D41">
        <v>1</v>
      </c>
      <c r="E41" t="s">
        <v>666</v>
      </c>
      <c r="F41">
        <v>4</v>
      </c>
      <c r="G41">
        <v>2</v>
      </c>
      <c r="H41" t="str">
        <f t="shared" si="9"/>
        <v>PAL-0000038</v>
      </c>
      <c r="I41" t="s">
        <v>709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143</v>
      </c>
      <c r="B42" t="s">
        <v>659</v>
      </c>
      <c r="C42" t="s">
        <v>77</v>
      </c>
      <c r="D42">
        <v>1</v>
      </c>
      <c r="E42" t="s">
        <v>666</v>
      </c>
      <c r="F42">
        <v>4</v>
      </c>
      <c r="G42">
        <v>2</v>
      </c>
      <c r="H42" t="str">
        <f t="shared" si="9"/>
        <v>PAL-0000039</v>
      </c>
      <c r="I42" t="s">
        <v>710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145</v>
      </c>
      <c r="B43" t="s">
        <v>659</v>
      </c>
      <c r="C43" t="s">
        <v>77</v>
      </c>
      <c r="D43">
        <v>1</v>
      </c>
      <c r="E43" t="s">
        <v>666</v>
      </c>
      <c r="F43">
        <v>4</v>
      </c>
      <c r="G43">
        <v>2</v>
      </c>
      <c r="H43" t="str">
        <f t="shared" si="9"/>
        <v>PAL-0000040</v>
      </c>
      <c r="I43" t="s">
        <v>711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147</v>
      </c>
      <c r="B44" t="s">
        <v>659</v>
      </c>
      <c r="C44" t="s">
        <v>77</v>
      </c>
      <c r="D44">
        <v>1</v>
      </c>
      <c r="E44" t="s">
        <v>666</v>
      </c>
      <c r="F44">
        <v>4</v>
      </c>
      <c r="G44">
        <v>2</v>
      </c>
      <c r="H44" t="str">
        <f t="shared" si="9"/>
        <v>PAL-0000041</v>
      </c>
      <c r="I44" t="s">
        <v>712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149</v>
      </c>
      <c r="B45" t="s">
        <v>659</v>
      </c>
      <c r="C45" t="s">
        <v>77</v>
      </c>
      <c r="D45">
        <v>1</v>
      </c>
      <c r="E45" t="s">
        <v>666</v>
      </c>
      <c r="F45">
        <v>4</v>
      </c>
      <c r="G45">
        <v>2</v>
      </c>
      <c r="H45" t="str">
        <f t="shared" si="9"/>
        <v>PAL-0000042</v>
      </c>
      <c r="I45" t="s">
        <v>713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151</v>
      </c>
      <c r="B46" t="s">
        <v>659</v>
      </c>
      <c r="C46" t="s">
        <v>77</v>
      </c>
      <c r="D46">
        <v>1</v>
      </c>
      <c r="E46" t="s">
        <v>666</v>
      </c>
      <c r="F46">
        <v>4</v>
      </c>
      <c r="G46">
        <v>2</v>
      </c>
      <c r="H46" t="str">
        <f t="shared" si="9"/>
        <v>PAL-0000043</v>
      </c>
      <c r="I46" t="s">
        <v>714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154</v>
      </c>
      <c r="B47" t="s">
        <v>659</v>
      </c>
      <c r="C47" t="s">
        <v>77</v>
      </c>
      <c r="D47">
        <v>1</v>
      </c>
      <c r="E47" t="s">
        <v>666</v>
      </c>
      <c r="F47">
        <v>4</v>
      </c>
      <c r="G47">
        <v>2</v>
      </c>
      <c r="H47" t="str">
        <f t="shared" si="9"/>
        <v>PAL-0000044</v>
      </c>
      <c r="I47" t="s">
        <v>715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156</v>
      </c>
      <c r="B48" t="s">
        <v>659</v>
      </c>
      <c r="C48" t="s">
        <v>716</v>
      </c>
      <c r="D48">
        <v>1</v>
      </c>
      <c r="E48" t="s">
        <v>666</v>
      </c>
      <c r="F48">
        <v>4</v>
      </c>
      <c r="G48">
        <v>2</v>
      </c>
      <c r="H48" t="str">
        <f t="shared" si="9"/>
        <v>PAL-0000045</v>
      </c>
      <c r="I48" t="s">
        <v>717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158</v>
      </c>
      <c r="B49" t="s">
        <v>659</v>
      </c>
      <c r="C49" t="s">
        <v>716</v>
      </c>
      <c r="D49">
        <v>1</v>
      </c>
      <c r="E49" t="s">
        <v>666</v>
      </c>
      <c r="F49">
        <v>4</v>
      </c>
      <c r="G49">
        <v>2</v>
      </c>
      <c r="H49" t="str">
        <f t="shared" si="9"/>
        <v>PAL-0000046</v>
      </c>
      <c r="I49" t="s">
        <v>718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160</v>
      </c>
      <c r="B50" t="s">
        <v>659</v>
      </c>
      <c r="C50" t="s">
        <v>716</v>
      </c>
      <c r="D50">
        <v>1</v>
      </c>
      <c r="E50" t="s">
        <v>666</v>
      </c>
      <c r="F50">
        <v>4</v>
      </c>
      <c r="G50">
        <v>2</v>
      </c>
      <c r="H50" t="str">
        <f t="shared" si="9"/>
        <v>PAL-0000047</v>
      </c>
      <c r="I50" t="s">
        <v>719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162</v>
      </c>
      <c r="B51" t="s">
        <v>659</v>
      </c>
      <c r="C51" t="s">
        <v>716</v>
      </c>
      <c r="D51">
        <v>1</v>
      </c>
      <c r="E51" t="s">
        <v>666</v>
      </c>
      <c r="F51">
        <v>4</v>
      </c>
      <c r="G51">
        <v>2</v>
      </c>
      <c r="H51" t="str">
        <f t="shared" si="9"/>
        <v>PAL-0000048</v>
      </c>
      <c r="I51" t="s">
        <v>720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164</v>
      </c>
      <c r="B52" t="s">
        <v>659</v>
      </c>
      <c r="C52" t="s">
        <v>716</v>
      </c>
      <c r="D52">
        <v>1</v>
      </c>
      <c r="E52" t="s">
        <v>666</v>
      </c>
      <c r="F52">
        <v>4</v>
      </c>
      <c r="G52">
        <v>2</v>
      </c>
      <c r="H52" t="str">
        <f t="shared" si="9"/>
        <v>PAL-0000049</v>
      </c>
      <c r="I52" t="s">
        <v>721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166</v>
      </c>
      <c r="B53" t="s">
        <v>659</v>
      </c>
      <c r="C53" t="s">
        <v>716</v>
      </c>
      <c r="D53">
        <v>1</v>
      </c>
      <c r="E53" t="s">
        <v>666</v>
      </c>
      <c r="F53">
        <v>4</v>
      </c>
      <c r="G53">
        <v>2</v>
      </c>
      <c r="H53" t="str">
        <f t="shared" si="9"/>
        <v>PAL-0000050</v>
      </c>
      <c r="I53" t="s">
        <v>722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169</v>
      </c>
      <c r="B54" t="s">
        <v>659</v>
      </c>
      <c r="C54" t="s">
        <v>716</v>
      </c>
      <c r="D54">
        <v>1</v>
      </c>
      <c r="E54" t="s">
        <v>666</v>
      </c>
      <c r="F54">
        <v>4</v>
      </c>
      <c r="G54">
        <v>2</v>
      </c>
      <c r="H54" t="str">
        <f t="shared" si="9"/>
        <v>RETIRED</v>
      </c>
      <c r="I54" t="s">
        <v>723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172</v>
      </c>
      <c r="B55" t="s">
        <v>659</v>
      </c>
      <c r="C55" t="s">
        <v>716</v>
      </c>
      <c r="D55">
        <v>1</v>
      </c>
      <c r="E55" t="s">
        <v>666</v>
      </c>
      <c r="F55">
        <v>4</v>
      </c>
      <c r="G55">
        <v>2</v>
      </c>
      <c r="H55" t="str">
        <f t="shared" si="9"/>
        <v>PAL-0000052</v>
      </c>
      <c r="I55" t="s">
        <v>724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174</v>
      </c>
      <c r="B56" t="s">
        <v>659</v>
      </c>
      <c r="C56" t="s">
        <v>716</v>
      </c>
      <c r="D56">
        <v>1</v>
      </c>
      <c r="E56" t="s">
        <v>666</v>
      </c>
      <c r="F56">
        <v>4</v>
      </c>
      <c r="G56">
        <v>2</v>
      </c>
      <c r="H56" t="str">
        <f t="shared" si="9"/>
        <v>PAL-0000053</v>
      </c>
      <c r="I56" t="s">
        <v>725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176</v>
      </c>
      <c r="B57" t="s">
        <v>659</v>
      </c>
      <c r="C57" t="s">
        <v>716</v>
      </c>
      <c r="D57">
        <v>1</v>
      </c>
      <c r="E57" t="s">
        <v>666</v>
      </c>
      <c r="F57">
        <v>4</v>
      </c>
      <c r="G57">
        <v>2</v>
      </c>
      <c r="H57" t="str">
        <f t="shared" si="9"/>
        <v>PAL-0000054</v>
      </c>
      <c r="I57" t="s">
        <v>726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178</v>
      </c>
      <c r="B58" t="s">
        <v>659</v>
      </c>
      <c r="C58" t="s">
        <v>716</v>
      </c>
      <c r="D58">
        <v>1</v>
      </c>
      <c r="E58" t="s">
        <v>666</v>
      </c>
      <c r="F58">
        <v>4</v>
      </c>
      <c r="G58">
        <v>2</v>
      </c>
      <c r="H58" t="str">
        <f t="shared" si="9"/>
        <v>PAL-0000055</v>
      </c>
      <c r="I58" t="s">
        <v>727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180</v>
      </c>
      <c r="B59" t="s">
        <v>659</v>
      </c>
      <c r="C59" t="s">
        <v>716</v>
      </c>
      <c r="D59">
        <v>1</v>
      </c>
      <c r="E59" t="s">
        <v>666</v>
      </c>
      <c r="F59">
        <v>4</v>
      </c>
      <c r="G59">
        <v>2</v>
      </c>
      <c r="H59" t="str">
        <f t="shared" si="9"/>
        <v>PAL-0000056</v>
      </c>
      <c r="I59" t="s">
        <v>728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182</v>
      </c>
      <c r="B60" t="s">
        <v>659</v>
      </c>
      <c r="C60" t="s">
        <v>716</v>
      </c>
      <c r="D60">
        <v>1</v>
      </c>
      <c r="E60" t="s">
        <v>666</v>
      </c>
      <c r="F60">
        <v>4</v>
      </c>
      <c r="G60">
        <v>2</v>
      </c>
      <c r="H60" t="str">
        <f t="shared" si="9"/>
        <v>PAL-0000057</v>
      </c>
      <c r="I60" t="s">
        <v>729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185</v>
      </c>
      <c r="B61" t="s">
        <v>659</v>
      </c>
      <c r="C61" t="s">
        <v>716</v>
      </c>
      <c r="D61">
        <v>1</v>
      </c>
      <c r="E61" t="s">
        <v>666</v>
      </c>
      <c r="F61">
        <v>4</v>
      </c>
      <c r="G61">
        <v>2</v>
      </c>
      <c r="H61" t="str">
        <f t="shared" si="9"/>
        <v>PAL-0000058</v>
      </c>
      <c r="I61" t="s">
        <v>730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187</v>
      </c>
      <c r="B62" t="s">
        <v>659</v>
      </c>
      <c r="C62" t="s">
        <v>716</v>
      </c>
      <c r="D62">
        <v>1</v>
      </c>
      <c r="E62" t="s">
        <v>666</v>
      </c>
      <c r="F62">
        <v>4</v>
      </c>
      <c r="G62">
        <v>2</v>
      </c>
      <c r="H62" t="str">
        <f t="shared" si="9"/>
        <v>PAL-0000059</v>
      </c>
      <c r="I62" t="s">
        <v>731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189</v>
      </c>
      <c r="B63" t="s">
        <v>659</v>
      </c>
      <c r="C63" t="s">
        <v>716</v>
      </c>
      <c r="D63">
        <v>1</v>
      </c>
      <c r="E63" t="s">
        <v>666</v>
      </c>
      <c r="F63">
        <v>4</v>
      </c>
      <c r="G63">
        <v>2</v>
      </c>
      <c r="H63" t="str">
        <f t="shared" si="9"/>
        <v>PAL-0000060</v>
      </c>
      <c r="I63" t="s">
        <v>732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191</v>
      </c>
      <c r="B64" t="s">
        <v>659</v>
      </c>
      <c r="C64" t="s">
        <v>716</v>
      </c>
      <c r="D64">
        <v>1</v>
      </c>
      <c r="E64" t="s">
        <v>666</v>
      </c>
      <c r="F64">
        <v>4</v>
      </c>
      <c r="G64">
        <v>2</v>
      </c>
      <c r="H64" t="str">
        <f t="shared" si="9"/>
        <v>PAL-0000061</v>
      </c>
      <c r="I64" t="s">
        <v>733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734</v>
      </c>
      <c r="B65" t="s">
        <v>659</v>
      </c>
      <c r="C65" t="s">
        <v>716</v>
      </c>
      <c r="D65">
        <v>1</v>
      </c>
      <c r="E65" t="s">
        <v>666</v>
      </c>
      <c r="F65">
        <v>4</v>
      </c>
      <c r="G65">
        <v>2</v>
      </c>
      <c r="H65" t="str">
        <f t="shared" si="9"/>
        <v>SAMPLE: Grid C18</v>
      </c>
      <c r="I65" t="s">
        <v>735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736</v>
      </c>
      <c r="B66" t="s">
        <v>659</v>
      </c>
      <c r="C66" t="s">
        <v>716</v>
      </c>
      <c r="D66">
        <v>1</v>
      </c>
      <c r="E66" t="s">
        <v>666</v>
      </c>
      <c r="F66">
        <v>4</v>
      </c>
      <c r="G66">
        <v>2</v>
      </c>
      <c r="H66" t="str">
        <f t="shared" ref="H66:H97" si="13">A66</f>
        <v>SAMPLE: Grid C19</v>
      </c>
      <c r="I66" t="s">
        <v>737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738</v>
      </c>
      <c r="B67" t="s">
        <v>659</v>
      </c>
      <c r="C67" t="s">
        <v>716</v>
      </c>
      <c r="D67">
        <v>1</v>
      </c>
      <c r="E67" t="s">
        <v>666</v>
      </c>
      <c r="F67">
        <v>4</v>
      </c>
      <c r="G67">
        <v>2</v>
      </c>
      <c r="H67" t="str">
        <f t="shared" si="13"/>
        <v>SAMPLE: Grid C20</v>
      </c>
      <c r="I67" t="s">
        <v>739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740</v>
      </c>
      <c r="B68" t="s">
        <v>659</v>
      </c>
      <c r="C68" t="s">
        <v>741</v>
      </c>
      <c r="D68">
        <v>1</v>
      </c>
      <c r="E68" t="s">
        <v>666</v>
      </c>
      <c r="F68">
        <v>4</v>
      </c>
      <c r="G68">
        <v>2</v>
      </c>
      <c r="H68" t="str">
        <f t="shared" si="13"/>
        <v>D</v>
      </c>
      <c r="I68" t="s">
        <v>742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743</v>
      </c>
      <c r="B69" t="s">
        <v>659</v>
      </c>
      <c r="C69" t="s">
        <v>741</v>
      </c>
      <c r="D69">
        <v>1</v>
      </c>
      <c r="E69" t="s">
        <v>666</v>
      </c>
      <c r="F69">
        <v>4</v>
      </c>
      <c r="G69">
        <v>2</v>
      </c>
      <c r="H69" t="str">
        <f t="shared" si="13"/>
        <v>SAMPLE: Grid D02</v>
      </c>
      <c r="I69" t="s">
        <v>744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745</v>
      </c>
      <c r="B70" t="s">
        <v>659</v>
      </c>
      <c r="C70" t="s">
        <v>741</v>
      </c>
      <c r="D70">
        <v>1</v>
      </c>
      <c r="E70" t="s">
        <v>666</v>
      </c>
      <c r="F70">
        <v>4</v>
      </c>
      <c r="G70">
        <v>2</v>
      </c>
      <c r="H70" t="str">
        <f t="shared" si="13"/>
        <v>SAMPLE: Grid D03</v>
      </c>
      <c r="I70" t="s">
        <v>746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747</v>
      </c>
      <c r="B71" t="s">
        <v>659</v>
      </c>
      <c r="C71" t="s">
        <v>741</v>
      </c>
      <c r="D71">
        <v>1</v>
      </c>
      <c r="E71" t="s">
        <v>666</v>
      </c>
      <c r="F71">
        <v>4</v>
      </c>
      <c r="G71">
        <v>2</v>
      </c>
      <c r="H71" t="str">
        <f t="shared" si="13"/>
        <v>SAMPLE: Grid D04</v>
      </c>
      <c r="I71" t="s">
        <v>748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749</v>
      </c>
      <c r="B72" t="s">
        <v>659</v>
      </c>
      <c r="C72" t="s">
        <v>741</v>
      </c>
      <c r="D72">
        <v>1</v>
      </c>
      <c r="E72" t="s">
        <v>666</v>
      </c>
      <c r="F72">
        <v>4</v>
      </c>
      <c r="G72">
        <v>2</v>
      </c>
      <c r="H72" t="str">
        <f t="shared" si="13"/>
        <v>SAMPLE: Grid D05</v>
      </c>
      <c r="I72" t="s">
        <v>750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751</v>
      </c>
      <c r="B73" t="s">
        <v>659</v>
      </c>
      <c r="C73" t="s">
        <v>741</v>
      </c>
      <c r="D73">
        <v>1</v>
      </c>
      <c r="E73" t="s">
        <v>666</v>
      </c>
      <c r="F73">
        <v>4</v>
      </c>
      <c r="G73">
        <v>2</v>
      </c>
      <c r="H73" t="str">
        <f t="shared" si="13"/>
        <v>SAMPLE: Grid D06</v>
      </c>
      <c r="I73" t="s">
        <v>752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753</v>
      </c>
      <c r="B74" t="s">
        <v>659</v>
      </c>
      <c r="C74" t="s">
        <v>741</v>
      </c>
      <c r="D74">
        <v>1</v>
      </c>
      <c r="E74" t="s">
        <v>666</v>
      </c>
      <c r="F74">
        <v>4</v>
      </c>
      <c r="G74">
        <v>2</v>
      </c>
      <c r="H74" t="str">
        <f t="shared" si="13"/>
        <v>SAMPLE: Grid D07</v>
      </c>
      <c r="I74" t="s">
        <v>754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755</v>
      </c>
      <c r="B75" t="s">
        <v>659</v>
      </c>
      <c r="C75" t="s">
        <v>741</v>
      </c>
      <c r="D75">
        <v>1</v>
      </c>
      <c r="E75" t="s">
        <v>666</v>
      </c>
      <c r="F75">
        <v>4</v>
      </c>
      <c r="G75">
        <v>2</v>
      </c>
      <c r="H75" t="str">
        <f t="shared" si="13"/>
        <v>SAMPLE: Grid D08</v>
      </c>
      <c r="I75" t="s">
        <v>756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757</v>
      </c>
      <c r="B76" t="s">
        <v>659</v>
      </c>
      <c r="C76" t="s">
        <v>741</v>
      </c>
      <c r="D76">
        <v>1</v>
      </c>
      <c r="E76" t="s">
        <v>666</v>
      </c>
      <c r="F76">
        <v>4</v>
      </c>
      <c r="G76">
        <v>2</v>
      </c>
      <c r="H76" t="str">
        <f t="shared" si="13"/>
        <v>SAMPLE: Grid D09</v>
      </c>
      <c r="I76" t="s">
        <v>758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759</v>
      </c>
      <c r="B77" t="s">
        <v>659</v>
      </c>
      <c r="C77" t="s">
        <v>741</v>
      </c>
      <c r="D77">
        <v>1</v>
      </c>
      <c r="E77" t="s">
        <v>666</v>
      </c>
      <c r="F77">
        <v>4</v>
      </c>
      <c r="G77">
        <v>2</v>
      </c>
      <c r="H77" t="str">
        <f t="shared" si="13"/>
        <v>SAMPLE: Grid D10</v>
      </c>
      <c r="I77" t="s">
        <v>760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761</v>
      </c>
      <c r="B78" t="s">
        <v>659</v>
      </c>
      <c r="C78" t="s">
        <v>741</v>
      </c>
      <c r="D78">
        <v>1</v>
      </c>
      <c r="E78" t="s">
        <v>666</v>
      </c>
      <c r="F78">
        <v>4</v>
      </c>
      <c r="G78">
        <v>2</v>
      </c>
      <c r="H78" t="str">
        <f t="shared" si="13"/>
        <v>SAMPLE: Grid D11</v>
      </c>
      <c r="I78" t="s">
        <v>762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763</v>
      </c>
      <c r="B79" t="s">
        <v>659</v>
      </c>
      <c r="C79" t="s">
        <v>741</v>
      </c>
      <c r="D79">
        <v>1</v>
      </c>
      <c r="E79" t="s">
        <v>666</v>
      </c>
      <c r="F79">
        <v>4</v>
      </c>
      <c r="G79">
        <v>2</v>
      </c>
      <c r="H79" t="str">
        <f t="shared" si="13"/>
        <v>SAMPLE: Grid D12</v>
      </c>
      <c r="I79" t="s">
        <v>764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765</v>
      </c>
      <c r="B80" t="s">
        <v>659</v>
      </c>
      <c r="C80" t="s">
        <v>741</v>
      </c>
      <c r="D80">
        <v>1</v>
      </c>
      <c r="E80" t="s">
        <v>666</v>
      </c>
      <c r="F80">
        <v>4</v>
      </c>
      <c r="G80">
        <v>2</v>
      </c>
      <c r="H80" t="str">
        <f t="shared" si="13"/>
        <v>SAMPLE: Grid D13</v>
      </c>
      <c r="I80" t="s">
        <v>766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767</v>
      </c>
      <c r="B81" t="s">
        <v>659</v>
      </c>
      <c r="C81" t="s">
        <v>741</v>
      </c>
      <c r="D81">
        <v>1</v>
      </c>
      <c r="E81" t="s">
        <v>666</v>
      </c>
      <c r="F81">
        <v>4</v>
      </c>
      <c r="G81">
        <v>2</v>
      </c>
      <c r="H81" t="str">
        <f t="shared" si="13"/>
        <v>SAMPLE: Grid D14</v>
      </c>
      <c r="I81" t="s">
        <v>768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769</v>
      </c>
      <c r="B82" t="s">
        <v>659</v>
      </c>
      <c r="C82" t="s">
        <v>741</v>
      </c>
      <c r="D82">
        <v>1</v>
      </c>
      <c r="E82" t="s">
        <v>666</v>
      </c>
      <c r="F82">
        <v>4</v>
      </c>
      <c r="G82">
        <v>2</v>
      </c>
      <c r="H82" t="str">
        <f t="shared" si="13"/>
        <v>SAMPLE: Grid D15</v>
      </c>
      <c r="I82" t="s">
        <v>770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771</v>
      </c>
      <c r="B83" t="s">
        <v>659</v>
      </c>
      <c r="C83" t="s">
        <v>741</v>
      </c>
      <c r="D83">
        <v>1</v>
      </c>
      <c r="E83" t="s">
        <v>666</v>
      </c>
      <c r="F83">
        <v>4</v>
      </c>
      <c r="G83">
        <v>2</v>
      </c>
      <c r="H83" t="str">
        <f t="shared" si="13"/>
        <v>SAMPLE: Grid D16</v>
      </c>
      <c r="I83" t="s">
        <v>772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773</v>
      </c>
      <c r="B84" t="s">
        <v>659</v>
      </c>
      <c r="C84" t="s">
        <v>741</v>
      </c>
      <c r="D84">
        <v>1</v>
      </c>
      <c r="E84" t="s">
        <v>666</v>
      </c>
      <c r="F84">
        <v>4</v>
      </c>
      <c r="G84">
        <v>2</v>
      </c>
      <c r="H84" t="str">
        <f t="shared" si="13"/>
        <v>SAMPLE: Grid D17</v>
      </c>
      <c r="I84" t="s">
        <v>774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775</v>
      </c>
      <c r="B85" t="s">
        <v>659</v>
      </c>
      <c r="C85" t="s">
        <v>741</v>
      </c>
      <c r="D85">
        <v>1</v>
      </c>
      <c r="E85" t="s">
        <v>666</v>
      </c>
      <c r="F85">
        <v>4</v>
      </c>
      <c r="G85">
        <v>2</v>
      </c>
      <c r="H85" t="str">
        <f t="shared" si="13"/>
        <v>SAMPLE: Grid D18</v>
      </c>
      <c r="I85" t="s">
        <v>776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777</v>
      </c>
      <c r="B86" t="s">
        <v>659</v>
      </c>
      <c r="C86" t="s">
        <v>741</v>
      </c>
      <c r="D86">
        <v>1</v>
      </c>
      <c r="E86" t="s">
        <v>666</v>
      </c>
      <c r="F86">
        <v>4</v>
      </c>
      <c r="G86">
        <v>2</v>
      </c>
      <c r="H86" t="str">
        <f t="shared" si="13"/>
        <v>SAMPLE: Grid D19</v>
      </c>
      <c r="I86" t="s">
        <v>778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779</v>
      </c>
      <c r="B87" t="s">
        <v>659</v>
      </c>
      <c r="C87" t="s">
        <v>741</v>
      </c>
      <c r="D87">
        <v>1</v>
      </c>
      <c r="E87" t="s">
        <v>666</v>
      </c>
      <c r="F87">
        <v>4</v>
      </c>
      <c r="G87">
        <v>2</v>
      </c>
      <c r="H87" t="str">
        <f t="shared" si="13"/>
        <v>SAMPLE: Grid D20</v>
      </c>
      <c r="I87" t="s">
        <v>780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781</v>
      </c>
      <c r="B88" t="s">
        <v>659</v>
      </c>
      <c r="C88" t="s">
        <v>782</v>
      </c>
      <c r="D88">
        <v>1</v>
      </c>
      <c r="E88" t="s">
        <v>666</v>
      </c>
      <c r="F88">
        <v>4</v>
      </c>
      <c r="G88">
        <v>2</v>
      </c>
      <c r="H88" t="str">
        <f t="shared" si="13"/>
        <v>E</v>
      </c>
      <c r="I88" t="s">
        <v>783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784</v>
      </c>
      <c r="B89" t="s">
        <v>659</v>
      </c>
      <c r="C89" t="s">
        <v>782</v>
      </c>
      <c r="D89">
        <v>1</v>
      </c>
      <c r="E89" t="s">
        <v>666</v>
      </c>
      <c r="F89">
        <v>4</v>
      </c>
      <c r="G89">
        <v>2</v>
      </c>
      <c r="H89" t="str">
        <f t="shared" si="13"/>
        <v>SAMPLE: Grid E02</v>
      </c>
      <c r="I89" t="s">
        <v>785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786</v>
      </c>
      <c r="B90" t="s">
        <v>659</v>
      </c>
      <c r="C90" t="s">
        <v>782</v>
      </c>
      <c r="D90">
        <v>1</v>
      </c>
      <c r="E90" t="s">
        <v>666</v>
      </c>
      <c r="F90">
        <v>4</v>
      </c>
      <c r="G90">
        <v>2</v>
      </c>
      <c r="H90" t="str">
        <f t="shared" si="13"/>
        <v>SAMPLE: Grid E03</v>
      </c>
      <c r="I90" t="s">
        <v>787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788</v>
      </c>
      <c r="B91" t="s">
        <v>659</v>
      </c>
      <c r="C91" t="s">
        <v>782</v>
      </c>
      <c r="D91">
        <v>1</v>
      </c>
      <c r="E91" t="s">
        <v>666</v>
      </c>
      <c r="F91">
        <v>4</v>
      </c>
      <c r="G91">
        <v>2</v>
      </c>
      <c r="H91" t="str">
        <f t="shared" si="13"/>
        <v>SAMPLE: Grid E04</v>
      </c>
      <c r="I91" t="s">
        <v>789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790</v>
      </c>
      <c r="B92" t="s">
        <v>659</v>
      </c>
      <c r="C92" t="s">
        <v>782</v>
      </c>
      <c r="D92">
        <v>1</v>
      </c>
      <c r="E92" t="s">
        <v>666</v>
      </c>
      <c r="F92">
        <v>4</v>
      </c>
      <c r="G92">
        <v>2</v>
      </c>
      <c r="H92" t="str">
        <f t="shared" si="13"/>
        <v>SAMPLE: Grid E05</v>
      </c>
      <c r="I92" t="s">
        <v>791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792</v>
      </c>
      <c r="B93" t="s">
        <v>659</v>
      </c>
      <c r="C93" t="s">
        <v>782</v>
      </c>
      <c r="D93">
        <v>1</v>
      </c>
      <c r="E93" t="s">
        <v>666</v>
      </c>
      <c r="F93">
        <v>4</v>
      </c>
      <c r="G93">
        <v>2</v>
      </c>
      <c r="H93" t="str">
        <f t="shared" si="13"/>
        <v>SAMPLE: Grid E06</v>
      </c>
      <c r="I93" t="s">
        <v>793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794</v>
      </c>
      <c r="B94" t="s">
        <v>659</v>
      </c>
      <c r="C94" t="s">
        <v>782</v>
      </c>
      <c r="D94">
        <v>1</v>
      </c>
      <c r="E94" t="s">
        <v>666</v>
      </c>
      <c r="F94">
        <v>4</v>
      </c>
      <c r="G94">
        <v>2</v>
      </c>
      <c r="H94" t="str">
        <f t="shared" si="13"/>
        <v>SAMPLE: Grid E07</v>
      </c>
      <c r="I94" t="s">
        <v>795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796</v>
      </c>
      <c r="B95" t="s">
        <v>659</v>
      </c>
      <c r="C95" t="s">
        <v>782</v>
      </c>
      <c r="D95">
        <v>1</v>
      </c>
      <c r="E95" t="s">
        <v>666</v>
      </c>
      <c r="F95">
        <v>4</v>
      </c>
      <c r="G95">
        <v>2</v>
      </c>
      <c r="H95" t="str">
        <f t="shared" si="13"/>
        <v>SAMPLE: Grid E08</v>
      </c>
      <c r="I95" t="s">
        <v>797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798</v>
      </c>
      <c r="B96" t="s">
        <v>659</v>
      </c>
      <c r="C96" t="s">
        <v>782</v>
      </c>
      <c r="D96">
        <v>1</v>
      </c>
      <c r="E96" t="s">
        <v>666</v>
      </c>
      <c r="F96">
        <v>4</v>
      </c>
      <c r="G96">
        <v>2</v>
      </c>
      <c r="H96" t="str">
        <f t="shared" si="13"/>
        <v>SAMPLE: Grid E09</v>
      </c>
      <c r="I96" t="s">
        <v>799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800</v>
      </c>
      <c r="B97" t="s">
        <v>659</v>
      </c>
      <c r="C97" t="s">
        <v>782</v>
      </c>
      <c r="D97">
        <v>1</v>
      </c>
      <c r="E97" t="s">
        <v>666</v>
      </c>
      <c r="F97">
        <v>4</v>
      </c>
      <c r="G97">
        <v>2</v>
      </c>
      <c r="H97" t="str">
        <f t="shared" si="13"/>
        <v>SAMPLE: Grid E10</v>
      </c>
      <c r="I97" t="s">
        <v>801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802</v>
      </c>
      <c r="B98" t="s">
        <v>659</v>
      </c>
      <c r="C98" t="s">
        <v>782</v>
      </c>
      <c r="D98">
        <v>1</v>
      </c>
      <c r="E98" t="s">
        <v>666</v>
      </c>
      <c r="F98">
        <v>4</v>
      </c>
      <c r="G98">
        <v>2</v>
      </c>
      <c r="H98" t="str">
        <f t="shared" ref="H98:H133" si="22">A98</f>
        <v>SAMPLE: Grid E11</v>
      </c>
      <c r="I98" t="s">
        <v>803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804</v>
      </c>
      <c r="B99" t="s">
        <v>659</v>
      </c>
      <c r="C99" t="s">
        <v>782</v>
      </c>
      <c r="D99">
        <v>1</v>
      </c>
      <c r="E99" t="s">
        <v>666</v>
      </c>
      <c r="F99">
        <v>4</v>
      </c>
      <c r="G99">
        <v>2</v>
      </c>
      <c r="H99" t="str">
        <f t="shared" si="22"/>
        <v>SAMPLE: Grid E12</v>
      </c>
      <c r="I99" t="s">
        <v>805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806</v>
      </c>
      <c r="B100" t="s">
        <v>659</v>
      </c>
      <c r="C100" t="s">
        <v>782</v>
      </c>
      <c r="D100">
        <v>1</v>
      </c>
      <c r="E100" t="s">
        <v>666</v>
      </c>
      <c r="F100">
        <v>4</v>
      </c>
      <c r="G100">
        <v>2</v>
      </c>
      <c r="H100" t="str">
        <f t="shared" si="22"/>
        <v>SAMPLE: Grid E13</v>
      </c>
      <c r="I100" t="s">
        <v>807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808</v>
      </c>
      <c r="B101" t="s">
        <v>659</v>
      </c>
      <c r="C101" t="s">
        <v>782</v>
      </c>
      <c r="D101">
        <v>1</v>
      </c>
      <c r="E101" t="s">
        <v>666</v>
      </c>
      <c r="F101">
        <v>4</v>
      </c>
      <c r="G101">
        <v>2</v>
      </c>
      <c r="H101" t="str">
        <f t="shared" si="22"/>
        <v>SAMPLE: Grid E14</v>
      </c>
      <c r="I101" t="s">
        <v>809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810</v>
      </c>
      <c r="B102" t="s">
        <v>659</v>
      </c>
      <c r="C102" t="s">
        <v>782</v>
      </c>
      <c r="D102">
        <v>1</v>
      </c>
      <c r="E102" t="s">
        <v>666</v>
      </c>
      <c r="F102">
        <v>4</v>
      </c>
      <c r="G102">
        <v>2</v>
      </c>
      <c r="H102" t="str">
        <f t="shared" si="22"/>
        <v>SAMPLE: Grid E15</v>
      </c>
      <c r="I102" t="s">
        <v>811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812</v>
      </c>
      <c r="B103" t="s">
        <v>659</v>
      </c>
      <c r="C103" t="s">
        <v>782</v>
      </c>
      <c r="D103">
        <v>1</v>
      </c>
      <c r="E103" t="s">
        <v>666</v>
      </c>
      <c r="F103">
        <v>4</v>
      </c>
      <c r="G103">
        <v>2</v>
      </c>
      <c r="H103" t="str">
        <f t="shared" si="22"/>
        <v>SAMPLE: Grid E16</v>
      </c>
      <c r="I103" t="s">
        <v>813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814</v>
      </c>
      <c r="B104" t="s">
        <v>659</v>
      </c>
      <c r="C104" t="s">
        <v>782</v>
      </c>
      <c r="D104">
        <v>1</v>
      </c>
      <c r="E104" t="s">
        <v>666</v>
      </c>
      <c r="F104">
        <v>4</v>
      </c>
      <c r="G104">
        <v>2</v>
      </c>
      <c r="H104" t="str">
        <f t="shared" si="22"/>
        <v>SAMPLE: Grid E17</v>
      </c>
      <c r="I104" t="s">
        <v>815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816</v>
      </c>
      <c r="B105" t="s">
        <v>659</v>
      </c>
      <c r="C105" t="s">
        <v>782</v>
      </c>
      <c r="D105">
        <v>1</v>
      </c>
      <c r="E105" t="s">
        <v>666</v>
      </c>
      <c r="F105">
        <v>4</v>
      </c>
      <c r="G105">
        <v>2</v>
      </c>
      <c r="H105" t="str">
        <f t="shared" si="22"/>
        <v>SAMPLE: Grid E18</v>
      </c>
      <c r="I105" t="s">
        <v>817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818</v>
      </c>
      <c r="B106" t="s">
        <v>659</v>
      </c>
      <c r="C106" t="s">
        <v>782</v>
      </c>
      <c r="D106">
        <v>1</v>
      </c>
      <c r="E106" t="s">
        <v>666</v>
      </c>
      <c r="F106">
        <v>4</v>
      </c>
      <c r="G106">
        <v>2</v>
      </c>
      <c r="H106" t="str">
        <f t="shared" si="22"/>
        <v>SAMPLE: Grid E19</v>
      </c>
      <c r="I106" t="s">
        <v>819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820</v>
      </c>
      <c r="B107" t="s">
        <v>659</v>
      </c>
      <c r="C107" t="s">
        <v>782</v>
      </c>
      <c r="D107">
        <v>1</v>
      </c>
      <c r="E107" t="s">
        <v>666</v>
      </c>
      <c r="F107">
        <v>4</v>
      </c>
      <c r="G107">
        <v>2</v>
      </c>
      <c r="H107" t="str">
        <f t="shared" si="22"/>
        <v>SAMPLE: Grid E20</v>
      </c>
      <c r="I107" t="s">
        <v>821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822</v>
      </c>
      <c r="B108" t="s">
        <v>659</v>
      </c>
      <c r="C108" t="s">
        <v>823</v>
      </c>
      <c r="D108">
        <v>1</v>
      </c>
      <c r="E108" t="s">
        <v>666</v>
      </c>
      <c r="F108">
        <v>4</v>
      </c>
      <c r="G108">
        <v>2</v>
      </c>
      <c r="H108" t="str">
        <f t="shared" si="22"/>
        <v>F</v>
      </c>
      <c r="I108" t="s">
        <v>824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825</v>
      </c>
      <c r="B109" t="s">
        <v>659</v>
      </c>
      <c r="C109" t="s">
        <v>823</v>
      </c>
      <c r="D109">
        <v>1</v>
      </c>
      <c r="E109" t="s">
        <v>666</v>
      </c>
      <c r="F109">
        <v>4</v>
      </c>
      <c r="G109">
        <v>2</v>
      </c>
      <c r="H109" t="str">
        <f t="shared" si="22"/>
        <v>SAMPLE: Grid F02</v>
      </c>
      <c r="I109" t="s">
        <v>826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827</v>
      </c>
      <c r="B110" t="s">
        <v>659</v>
      </c>
      <c r="C110" t="s">
        <v>823</v>
      </c>
      <c r="D110">
        <v>1</v>
      </c>
      <c r="E110" t="s">
        <v>666</v>
      </c>
      <c r="F110">
        <v>4</v>
      </c>
      <c r="G110">
        <v>2</v>
      </c>
      <c r="H110" t="str">
        <f t="shared" si="22"/>
        <v>SAMPLE: Grid F03</v>
      </c>
      <c r="I110" t="s">
        <v>828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829</v>
      </c>
      <c r="B111" t="s">
        <v>659</v>
      </c>
      <c r="C111" t="s">
        <v>823</v>
      </c>
      <c r="D111">
        <v>1</v>
      </c>
      <c r="E111" t="s">
        <v>666</v>
      </c>
      <c r="F111">
        <v>4</v>
      </c>
      <c r="G111">
        <v>2</v>
      </c>
      <c r="H111" t="str">
        <f t="shared" si="22"/>
        <v>SAMPLE: Grid F04</v>
      </c>
      <c r="I111" t="s">
        <v>830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831</v>
      </c>
      <c r="B112" t="s">
        <v>659</v>
      </c>
      <c r="C112" t="s">
        <v>823</v>
      </c>
      <c r="D112">
        <v>1</v>
      </c>
      <c r="E112" t="s">
        <v>666</v>
      </c>
      <c r="F112">
        <v>4</v>
      </c>
      <c r="G112">
        <v>2</v>
      </c>
      <c r="H112" t="str">
        <f t="shared" si="22"/>
        <v>SAMPLE: Grid F05</v>
      </c>
      <c r="I112" t="s">
        <v>832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833</v>
      </c>
      <c r="B113" t="s">
        <v>659</v>
      </c>
      <c r="C113" t="s">
        <v>823</v>
      </c>
      <c r="D113">
        <v>1</v>
      </c>
      <c r="E113" t="s">
        <v>666</v>
      </c>
      <c r="F113">
        <v>4</v>
      </c>
      <c r="G113">
        <v>2</v>
      </c>
      <c r="H113" t="str">
        <f t="shared" si="22"/>
        <v>SAMPLE: Grid F06</v>
      </c>
      <c r="I113" t="s">
        <v>834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835</v>
      </c>
      <c r="B114" t="s">
        <v>659</v>
      </c>
      <c r="C114" t="s">
        <v>823</v>
      </c>
      <c r="D114">
        <v>1</v>
      </c>
      <c r="E114" t="s">
        <v>666</v>
      </c>
      <c r="F114">
        <v>4</v>
      </c>
      <c r="G114">
        <v>2</v>
      </c>
      <c r="H114" t="str">
        <f t="shared" si="22"/>
        <v>SAMPLE: Grid F07</v>
      </c>
      <c r="I114" t="s">
        <v>836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837</v>
      </c>
      <c r="B115" t="s">
        <v>659</v>
      </c>
      <c r="C115" t="s">
        <v>823</v>
      </c>
      <c r="D115">
        <v>1</v>
      </c>
      <c r="E115" t="s">
        <v>666</v>
      </c>
      <c r="F115">
        <v>4</v>
      </c>
      <c r="G115">
        <v>2</v>
      </c>
      <c r="H115" t="str">
        <f t="shared" si="22"/>
        <v>SAMPLE: Grid F08</v>
      </c>
      <c r="I115" t="s">
        <v>838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839</v>
      </c>
      <c r="B116" t="s">
        <v>659</v>
      </c>
      <c r="C116" t="s">
        <v>823</v>
      </c>
      <c r="D116">
        <v>1</v>
      </c>
      <c r="E116" t="s">
        <v>666</v>
      </c>
      <c r="F116">
        <v>4</v>
      </c>
      <c r="G116">
        <v>2</v>
      </c>
      <c r="H116" t="str">
        <f t="shared" si="22"/>
        <v>SAMPLE: Grid F09</v>
      </c>
      <c r="I116" t="s">
        <v>840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841</v>
      </c>
      <c r="B117" t="s">
        <v>659</v>
      </c>
      <c r="C117" t="s">
        <v>823</v>
      </c>
      <c r="D117">
        <v>1</v>
      </c>
      <c r="E117" t="s">
        <v>666</v>
      </c>
      <c r="F117">
        <v>4</v>
      </c>
      <c r="G117">
        <v>2</v>
      </c>
      <c r="H117" t="str">
        <f t="shared" si="22"/>
        <v>SAMPLE: Grid F10</v>
      </c>
      <c r="I117" t="s">
        <v>842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843</v>
      </c>
      <c r="B118" t="s">
        <v>659</v>
      </c>
      <c r="C118" t="s">
        <v>823</v>
      </c>
      <c r="D118">
        <v>1</v>
      </c>
      <c r="E118" t="s">
        <v>666</v>
      </c>
      <c r="F118">
        <v>4</v>
      </c>
      <c r="G118">
        <v>2</v>
      </c>
      <c r="H118" t="str">
        <f t="shared" si="22"/>
        <v>SAMPLE: Grid F11</v>
      </c>
      <c r="I118" t="s">
        <v>844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845</v>
      </c>
      <c r="B119" t="s">
        <v>659</v>
      </c>
      <c r="C119" t="s">
        <v>823</v>
      </c>
      <c r="D119">
        <v>1</v>
      </c>
      <c r="E119" t="s">
        <v>666</v>
      </c>
      <c r="F119">
        <v>4</v>
      </c>
      <c r="G119">
        <v>2</v>
      </c>
      <c r="H119" t="str">
        <f t="shared" si="22"/>
        <v>SAMPLE: Grid F12</v>
      </c>
      <c r="I119" t="s">
        <v>846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847</v>
      </c>
      <c r="B120" t="s">
        <v>659</v>
      </c>
      <c r="C120" t="s">
        <v>823</v>
      </c>
      <c r="D120">
        <v>1</v>
      </c>
      <c r="E120" t="s">
        <v>666</v>
      </c>
      <c r="F120">
        <v>4</v>
      </c>
      <c r="G120">
        <v>2</v>
      </c>
      <c r="H120" t="str">
        <f t="shared" si="22"/>
        <v>SAMPLE: Grid F13</v>
      </c>
      <c r="I120" t="s">
        <v>848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849</v>
      </c>
      <c r="B121" t="s">
        <v>659</v>
      </c>
      <c r="C121" t="s">
        <v>823</v>
      </c>
      <c r="D121">
        <v>1</v>
      </c>
      <c r="E121" t="s">
        <v>666</v>
      </c>
      <c r="F121">
        <v>4</v>
      </c>
      <c r="G121">
        <v>2</v>
      </c>
      <c r="H121" t="str">
        <f t="shared" si="22"/>
        <v>SAMPLE: Grid F14</v>
      </c>
      <c r="I121" t="s">
        <v>850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851</v>
      </c>
      <c r="B122" t="s">
        <v>659</v>
      </c>
      <c r="C122" t="s">
        <v>823</v>
      </c>
      <c r="D122">
        <v>1</v>
      </c>
      <c r="E122" t="s">
        <v>666</v>
      </c>
      <c r="F122">
        <v>4</v>
      </c>
      <c r="G122">
        <v>2</v>
      </c>
      <c r="H122" t="str">
        <f t="shared" si="22"/>
        <v>SAMPLE: Grid F15</v>
      </c>
      <c r="I122" t="s">
        <v>852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853</v>
      </c>
      <c r="B123" t="s">
        <v>659</v>
      </c>
      <c r="C123" t="s">
        <v>823</v>
      </c>
      <c r="D123">
        <v>1</v>
      </c>
      <c r="E123" t="s">
        <v>666</v>
      </c>
      <c r="F123">
        <v>4</v>
      </c>
      <c r="G123">
        <v>2</v>
      </c>
      <c r="H123" t="str">
        <f t="shared" si="22"/>
        <v>SAMPLE: Grid F16</v>
      </c>
      <c r="I123" t="s">
        <v>854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855</v>
      </c>
      <c r="B124" t="s">
        <v>659</v>
      </c>
      <c r="C124" t="s">
        <v>823</v>
      </c>
      <c r="D124">
        <v>1</v>
      </c>
      <c r="E124" t="s">
        <v>666</v>
      </c>
      <c r="F124">
        <v>4</v>
      </c>
      <c r="G124">
        <v>2</v>
      </c>
      <c r="H124" t="str">
        <f t="shared" si="22"/>
        <v>SAMPLE: Grid F17</v>
      </c>
      <c r="I124" t="s">
        <v>856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857</v>
      </c>
      <c r="B125" t="s">
        <v>659</v>
      </c>
      <c r="C125" t="s">
        <v>823</v>
      </c>
      <c r="D125">
        <v>1</v>
      </c>
      <c r="E125" t="s">
        <v>666</v>
      </c>
      <c r="F125">
        <v>4</v>
      </c>
      <c r="G125">
        <v>2</v>
      </c>
      <c r="H125" t="str">
        <f t="shared" si="22"/>
        <v>SAMPLE: Grid F18</v>
      </c>
      <c r="I125" t="s">
        <v>858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859</v>
      </c>
      <c r="B126" t="s">
        <v>659</v>
      </c>
      <c r="C126" t="s">
        <v>823</v>
      </c>
      <c r="D126">
        <v>1</v>
      </c>
      <c r="E126" t="s">
        <v>666</v>
      </c>
      <c r="F126">
        <v>4</v>
      </c>
      <c r="G126">
        <v>2</v>
      </c>
      <c r="H126" t="str">
        <f t="shared" si="22"/>
        <v>SAMPLE: Grid F19</v>
      </c>
      <c r="I126" t="s">
        <v>860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861</v>
      </c>
      <c r="B127" t="s">
        <v>659</v>
      </c>
      <c r="C127" t="s">
        <v>823</v>
      </c>
      <c r="D127">
        <v>1</v>
      </c>
      <c r="E127" t="s">
        <v>666</v>
      </c>
      <c r="F127">
        <v>4</v>
      </c>
      <c r="G127">
        <v>2</v>
      </c>
      <c r="H127" t="str">
        <f t="shared" si="22"/>
        <v>SAMPLE: Grid F20</v>
      </c>
      <c r="I127" t="s">
        <v>862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863</v>
      </c>
      <c r="B128" t="s">
        <v>649</v>
      </c>
      <c r="E128" t="s">
        <v>864</v>
      </c>
      <c r="F128">
        <v>3</v>
      </c>
      <c r="H128" t="str">
        <f t="shared" si="22"/>
        <v>DISPOSAL</v>
      </c>
      <c r="I128" t="s">
        <v>865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866</v>
      </c>
      <c r="B129" t="s">
        <v>649</v>
      </c>
      <c r="E129" t="s">
        <v>867</v>
      </c>
      <c r="F129">
        <v>3</v>
      </c>
      <c r="H129" t="str">
        <f t="shared" si="22"/>
        <v>OUTBOUND</v>
      </c>
      <c r="I129" t="s">
        <v>868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28</v>
      </c>
      <c r="B130" t="s">
        <v>674</v>
      </c>
      <c r="E130" t="s">
        <v>672</v>
      </c>
      <c r="F130">
        <v>3</v>
      </c>
      <c r="G130">
        <v>7</v>
      </c>
      <c r="H130" t="str">
        <f t="shared" si="22"/>
        <v>ACTIVE</v>
      </c>
      <c r="I130" t="s">
        <v>675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869</v>
      </c>
      <c r="B131" t="s">
        <v>659</v>
      </c>
      <c r="C131" t="s">
        <v>870</v>
      </c>
      <c r="D131">
        <v>3</v>
      </c>
      <c r="E131" t="s">
        <v>666</v>
      </c>
      <c r="F131">
        <v>4</v>
      </c>
      <c r="G131">
        <v>2</v>
      </c>
      <c r="H131" t="str">
        <f t="shared" si="22"/>
        <v>O</v>
      </c>
      <c r="I131" t="s">
        <v>871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51</v>
      </c>
      <c r="B132" t="s">
        <v>659</v>
      </c>
      <c r="E132" t="s">
        <v>672</v>
      </c>
      <c r="F132">
        <v>3</v>
      </c>
      <c r="G132">
        <v>7</v>
      </c>
      <c r="H132" t="str">
        <f t="shared" si="22"/>
        <v>48x T24i-30</v>
      </c>
      <c r="I132" t="s">
        <v>872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65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47" t="s">
        <v>873</v>
      </c>
      <c r="B1" s="47" t="s">
        <v>874</v>
      </c>
      <c r="C1" s="47" t="s">
        <v>0</v>
      </c>
      <c r="D1" s="47" t="s">
        <v>875</v>
      </c>
      <c r="E1" s="47" t="s">
        <v>876</v>
      </c>
      <c r="F1" s="47" t="s">
        <v>877</v>
      </c>
      <c r="G1" s="47" t="s">
        <v>878</v>
      </c>
      <c r="H1" s="47" t="s">
        <v>879</v>
      </c>
      <c r="I1" s="47" t="s">
        <v>880</v>
      </c>
      <c r="J1" s="47" t="s">
        <v>9</v>
      </c>
    </row>
    <row r="2" spans="1:10">
      <c r="A2" s="49">
        <v>46052.375</v>
      </c>
      <c r="B2" t="s">
        <v>881</v>
      </c>
      <c r="C2" t="s">
        <v>882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883</v>
      </c>
      <c r="G2" s="27"/>
      <c r="H2" t="s">
        <v>41</v>
      </c>
      <c r="I2" t="s">
        <v>884</v>
      </c>
      <c r="J2" t="s">
        <v>885</v>
      </c>
    </row>
    <row r="3" spans="1:10">
      <c r="A3" s="49">
        <v>46052.379861111112</v>
      </c>
      <c r="B3" t="s">
        <v>881</v>
      </c>
      <c r="C3" t="s">
        <v>886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36</v>
      </c>
      <c r="G3" s="27"/>
      <c r="H3" t="s">
        <v>41</v>
      </c>
      <c r="I3" t="s">
        <v>887</v>
      </c>
      <c r="J3" t="s">
        <v>885</v>
      </c>
    </row>
    <row r="4" spans="1:10">
      <c r="A4" s="49">
        <v>46052.384722222218</v>
      </c>
      <c r="B4" t="s">
        <v>881</v>
      </c>
      <c r="C4" t="s">
        <v>888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45</v>
      </c>
      <c r="G4" s="27"/>
      <c r="H4" t="s">
        <v>41</v>
      </c>
      <c r="I4" t="s">
        <v>889</v>
      </c>
      <c r="J4" t="s">
        <v>885</v>
      </c>
    </row>
    <row r="5" spans="1:10">
      <c r="A5" s="49">
        <v>46052.38958333333</v>
      </c>
      <c r="B5" t="s">
        <v>881</v>
      </c>
      <c r="C5" t="s">
        <v>890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45</v>
      </c>
      <c r="G5" s="27"/>
      <c r="H5" t="s">
        <v>41</v>
      </c>
      <c r="I5" t="s">
        <v>891</v>
      </c>
      <c r="J5" t="s">
        <v>885</v>
      </c>
    </row>
    <row r="6" spans="1:10">
      <c r="A6" s="49">
        <v>46052.394444444442</v>
      </c>
      <c r="B6" t="s">
        <v>881</v>
      </c>
      <c r="C6" t="s">
        <v>892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893</v>
      </c>
      <c r="G6" s="27"/>
      <c r="H6" t="s">
        <v>41</v>
      </c>
      <c r="I6" t="s">
        <v>894</v>
      </c>
      <c r="J6" t="s">
        <v>885</v>
      </c>
    </row>
    <row r="7" spans="1:10">
      <c r="A7" s="49">
        <v>46052.399305555547</v>
      </c>
      <c r="B7" t="s">
        <v>881</v>
      </c>
      <c r="C7" t="s">
        <v>895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896</v>
      </c>
      <c r="G7" s="27"/>
      <c r="H7" t="s">
        <v>41</v>
      </c>
      <c r="I7" t="s">
        <v>897</v>
      </c>
      <c r="J7" t="s">
        <v>885</v>
      </c>
    </row>
    <row r="8" spans="1:10">
      <c r="A8" s="49">
        <v>46052.404166666667</v>
      </c>
      <c r="B8" t="s">
        <v>881</v>
      </c>
      <c r="C8" t="s">
        <v>898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899</v>
      </c>
      <c r="G8" s="27"/>
      <c r="H8" t="s">
        <v>41</v>
      </c>
      <c r="I8" t="s">
        <v>900</v>
      </c>
      <c r="J8" t="s">
        <v>885</v>
      </c>
    </row>
    <row r="9" spans="1:10">
      <c r="A9" s="49">
        <v>46052.40902777778</v>
      </c>
      <c r="B9" t="s">
        <v>881</v>
      </c>
      <c r="C9" t="s">
        <v>901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902</v>
      </c>
      <c r="G9" s="27"/>
      <c r="H9" t="s">
        <v>41</v>
      </c>
      <c r="I9" t="s">
        <v>903</v>
      </c>
      <c r="J9" t="s">
        <v>885</v>
      </c>
    </row>
    <row r="10" spans="1:10">
      <c r="A10" s="49">
        <v>46052.413888888892</v>
      </c>
      <c r="B10" t="s">
        <v>881</v>
      </c>
      <c r="C10" t="s">
        <v>904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905</v>
      </c>
      <c r="G10" s="27"/>
      <c r="H10" t="s">
        <v>41</v>
      </c>
      <c r="I10" t="s">
        <v>906</v>
      </c>
      <c r="J10" t="s">
        <v>885</v>
      </c>
    </row>
    <row r="11" spans="1:10">
      <c r="A11" s="49">
        <v>46052.418749999997</v>
      </c>
      <c r="B11" t="s">
        <v>881</v>
      </c>
      <c r="C11" t="s">
        <v>907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908</v>
      </c>
      <c r="G11" s="27"/>
      <c r="H11" t="s">
        <v>41</v>
      </c>
      <c r="I11" t="s">
        <v>909</v>
      </c>
      <c r="J11" t="s">
        <v>885</v>
      </c>
    </row>
    <row r="12" spans="1:10">
      <c r="A12" s="49">
        <v>46052.423611111109</v>
      </c>
      <c r="B12" t="s">
        <v>881</v>
      </c>
      <c r="C12" t="s">
        <v>910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911</v>
      </c>
      <c r="G12" s="27"/>
      <c r="H12" t="s">
        <v>41</v>
      </c>
      <c r="I12" t="s">
        <v>912</v>
      </c>
      <c r="J12" t="s">
        <v>885</v>
      </c>
    </row>
    <row r="13" spans="1:10">
      <c r="A13" s="49">
        <v>46052.428472222222</v>
      </c>
      <c r="B13" t="s">
        <v>881</v>
      </c>
      <c r="C13" t="s">
        <v>913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914</v>
      </c>
      <c r="G13" s="27"/>
      <c r="H13" t="s">
        <v>41</v>
      </c>
      <c r="I13" t="s">
        <v>915</v>
      </c>
      <c r="J13" t="s">
        <v>885</v>
      </c>
    </row>
    <row r="14" spans="1:10">
      <c r="A14" s="49">
        <v>46052.433333333327</v>
      </c>
      <c r="B14" t="s">
        <v>881</v>
      </c>
      <c r="C14" t="s">
        <v>916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917</v>
      </c>
      <c r="G14" s="27"/>
      <c r="H14" t="s">
        <v>41</v>
      </c>
      <c r="I14" t="s">
        <v>918</v>
      </c>
      <c r="J14" t="s">
        <v>885</v>
      </c>
    </row>
    <row r="15" spans="1:10">
      <c r="A15" s="49">
        <v>46052.438194444447</v>
      </c>
      <c r="B15" t="s">
        <v>881</v>
      </c>
      <c r="C15" t="s">
        <v>919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920</v>
      </c>
      <c r="G15" s="27"/>
      <c r="H15" t="s">
        <v>41</v>
      </c>
      <c r="I15" t="s">
        <v>921</v>
      </c>
      <c r="J15" t="s">
        <v>885</v>
      </c>
    </row>
    <row r="16" spans="1:10">
      <c r="A16" s="49">
        <v>46052.443055555559</v>
      </c>
      <c r="B16" t="s">
        <v>881</v>
      </c>
      <c r="C16" t="s">
        <v>922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923</v>
      </c>
      <c r="G16" s="27"/>
      <c r="H16" t="s">
        <v>41</v>
      </c>
      <c r="I16" t="s">
        <v>924</v>
      </c>
      <c r="J16" t="s">
        <v>885</v>
      </c>
    </row>
    <row r="17" spans="1:10">
      <c r="A17" s="49">
        <v>46052.447916666657</v>
      </c>
      <c r="B17" t="s">
        <v>881</v>
      </c>
      <c r="C17" t="s">
        <v>925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926</v>
      </c>
      <c r="G17" s="27"/>
      <c r="H17" t="s">
        <v>41</v>
      </c>
      <c r="I17" t="s">
        <v>927</v>
      </c>
      <c r="J17" t="s">
        <v>885</v>
      </c>
    </row>
    <row r="18" spans="1:10">
      <c r="A18" s="49">
        <v>46052.452777777777</v>
      </c>
      <c r="B18" t="s">
        <v>881</v>
      </c>
      <c r="C18" t="s">
        <v>928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929</v>
      </c>
      <c r="G18" s="27"/>
      <c r="H18" t="s">
        <v>41</v>
      </c>
      <c r="I18" t="s">
        <v>930</v>
      </c>
      <c r="J18" t="s">
        <v>885</v>
      </c>
    </row>
    <row r="19" spans="1:10">
      <c r="A19" s="49">
        <v>46052.457638888889</v>
      </c>
      <c r="B19" t="s">
        <v>881</v>
      </c>
      <c r="C19" t="s">
        <v>931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932</v>
      </c>
      <c r="G19" s="27"/>
      <c r="H19" t="s">
        <v>41</v>
      </c>
      <c r="I19" t="s">
        <v>933</v>
      </c>
      <c r="J19" t="s">
        <v>885</v>
      </c>
    </row>
    <row r="20" spans="1:10">
      <c r="A20" s="49">
        <v>46052.462500000001</v>
      </c>
      <c r="B20" t="s">
        <v>881</v>
      </c>
      <c r="C20" t="s">
        <v>934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935</v>
      </c>
      <c r="G20" s="27"/>
      <c r="H20" t="s">
        <v>41</v>
      </c>
      <c r="I20" t="s">
        <v>936</v>
      </c>
      <c r="J20" t="s">
        <v>885</v>
      </c>
    </row>
    <row r="21" spans="1:10">
      <c r="A21" s="49">
        <v>46052.467361111107</v>
      </c>
      <c r="B21" t="s">
        <v>881</v>
      </c>
      <c r="C21" t="s">
        <v>937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938</v>
      </c>
      <c r="G21" s="27"/>
      <c r="H21" t="s">
        <v>41</v>
      </c>
      <c r="I21" t="s">
        <v>939</v>
      </c>
      <c r="J21" t="s">
        <v>885</v>
      </c>
    </row>
    <row r="22" spans="1:10">
      <c r="A22" s="49">
        <v>46052.472222222219</v>
      </c>
      <c r="B22" t="s">
        <v>881</v>
      </c>
      <c r="C22" t="s">
        <v>940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941</v>
      </c>
      <c r="G22" s="27"/>
      <c r="H22" t="s">
        <v>41</v>
      </c>
      <c r="I22" t="s">
        <v>942</v>
      </c>
      <c r="J22" t="s">
        <v>885</v>
      </c>
    </row>
    <row r="23" spans="1:10">
      <c r="A23" s="49">
        <v>46052.477083333331</v>
      </c>
      <c r="B23" t="s">
        <v>881</v>
      </c>
      <c r="C23" t="s">
        <v>943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944</v>
      </c>
      <c r="G23" s="27"/>
      <c r="H23" t="s">
        <v>41</v>
      </c>
      <c r="I23" t="s">
        <v>945</v>
      </c>
      <c r="J23" t="s">
        <v>885</v>
      </c>
    </row>
    <row r="24" spans="1:10">
      <c r="A24" s="49">
        <v>46052.481944444437</v>
      </c>
      <c r="B24" t="s">
        <v>881</v>
      </c>
      <c r="C24" t="s">
        <v>946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947</v>
      </c>
      <c r="G24" s="27"/>
      <c r="H24" t="s">
        <v>41</v>
      </c>
      <c r="I24" t="s">
        <v>948</v>
      </c>
      <c r="J24" t="s">
        <v>885</v>
      </c>
    </row>
    <row r="25" spans="1:10">
      <c r="A25" s="49">
        <v>46052.486805555563</v>
      </c>
      <c r="B25" t="s">
        <v>881</v>
      </c>
      <c r="C25" t="s">
        <v>949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950</v>
      </c>
      <c r="G25" s="27"/>
      <c r="H25" t="s">
        <v>41</v>
      </c>
      <c r="I25" t="s">
        <v>951</v>
      </c>
      <c r="J25" t="s">
        <v>885</v>
      </c>
    </row>
    <row r="26" spans="1:10">
      <c r="A26" s="49">
        <v>46052.491666666669</v>
      </c>
      <c r="B26" t="s">
        <v>881</v>
      </c>
      <c r="C26" t="s">
        <v>952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953</v>
      </c>
      <c r="G26" s="27"/>
      <c r="H26" t="s">
        <v>41</v>
      </c>
      <c r="I26" t="s">
        <v>954</v>
      </c>
      <c r="J26" t="s">
        <v>885</v>
      </c>
    </row>
    <row r="27" spans="1:10">
      <c r="A27" s="49">
        <v>46052.496527777781</v>
      </c>
      <c r="B27" t="s">
        <v>881</v>
      </c>
      <c r="C27" t="s">
        <v>955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956</v>
      </c>
      <c r="G27" s="27"/>
      <c r="H27" t="s">
        <v>41</v>
      </c>
      <c r="I27" t="s">
        <v>957</v>
      </c>
      <c r="J27" t="s">
        <v>885</v>
      </c>
    </row>
    <row r="28" spans="1:10">
      <c r="A28" s="49">
        <v>46052.501388888893</v>
      </c>
      <c r="B28" t="s">
        <v>881</v>
      </c>
      <c r="C28" t="s">
        <v>958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959</v>
      </c>
      <c r="G28" s="27"/>
      <c r="H28" t="s">
        <v>41</v>
      </c>
      <c r="I28" t="s">
        <v>960</v>
      </c>
      <c r="J28" t="s">
        <v>885</v>
      </c>
    </row>
    <row r="29" spans="1:10">
      <c r="A29" s="49">
        <v>46052.506249999999</v>
      </c>
      <c r="B29" t="s">
        <v>881</v>
      </c>
      <c r="C29" t="s">
        <v>961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962</v>
      </c>
      <c r="G29" s="27"/>
      <c r="H29" t="s">
        <v>41</v>
      </c>
      <c r="I29" t="s">
        <v>963</v>
      </c>
      <c r="J29" t="s">
        <v>885</v>
      </c>
    </row>
    <row r="30" spans="1:10">
      <c r="A30" s="49">
        <v>46052.511111111111</v>
      </c>
      <c r="B30" t="s">
        <v>881</v>
      </c>
      <c r="C30" t="s">
        <v>964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965</v>
      </c>
      <c r="G30" s="27"/>
      <c r="H30" t="s">
        <v>41</v>
      </c>
      <c r="I30" t="s">
        <v>966</v>
      </c>
      <c r="J30" t="s">
        <v>885</v>
      </c>
    </row>
    <row r="31" spans="1:10">
      <c r="A31" s="49">
        <v>46052.515972222223</v>
      </c>
      <c r="B31" t="s">
        <v>881</v>
      </c>
      <c r="C31" t="s">
        <v>967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968</v>
      </c>
      <c r="G31" s="27"/>
      <c r="H31" t="s">
        <v>41</v>
      </c>
      <c r="I31" t="s">
        <v>969</v>
      </c>
      <c r="J31" t="s">
        <v>885</v>
      </c>
    </row>
    <row r="32" spans="1:10">
      <c r="A32" s="49">
        <v>46052.520833333343</v>
      </c>
      <c r="B32" t="s">
        <v>881</v>
      </c>
      <c r="C32" t="s">
        <v>970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971</v>
      </c>
      <c r="G32" s="27"/>
      <c r="H32" t="s">
        <v>41</v>
      </c>
      <c r="I32" t="s">
        <v>972</v>
      </c>
      <c r="J32" t="s">
        <v>885</v>
      </c>
    </row>
    <row r="33" spans="1:10">
      <c r="A33" s="49">
        <v>46052.525694444441</v>
      </c>
      <c r="B33" t="s">
        <v>881</v>
      </c>
      <c r="C33" t="s">
        <v>973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974</v>
      </c>
      <c r="G33" s="27"/>
      <c r="H33" t="s">
        <v>41</v>
      </c>
      <c r="I33" t="s">
        <v>975</v>
      </c>
      <c r="J33" t="s">
        <v>885</v>
      </c>
    </row>
    <row r="34" spans="1:10">
      <c r="A34" s="49">
        <v>46052.530555555553</v>
      </c>
      <c r="B34" t="s">
        <v>881</v>
      </c>
      <c r="C34" t="s">
        <v>976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977</v>
      </c>
      <c r="G34" s="27"/>
      <c r="H34" t="s">
        <v>41</v>
      </c>
      <c r="I34" t="s">
        <v>978</v>
      </c>
      <c r="J34" t="s">
        <v>885</v>
      </c>
    </row>
    <row r="35" spans="1:10">
      <c r="A35" s="49">
        <v>46052.535416666673</v>
      </c>
      <c r="B35" t="s">
        <v>881</v>
      </c>
      <c r="C35" t="s">
        <v>979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980</v>
      </c>
      <c r="G35" s="27"/>
      <c r="H35" t="s">
        <v>41</v>
      </c>
      <c r="I35" t="s">
        <v>981</v>
      </c>
      <c r="J35" t="s">
        <v>885</v>
      </c>
    </row>
    <row r="36" spans="1:10">
      <c r="A36" s="49">
        <v>46052.540277777778</v>
      </c>
      <c r="B36" t="s">
        <v>881</v>
      </c>
      <c r="C36" t="s">
        <v>982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983</v>
      </c>
      <c r="G36" s="27"/>
      <c r="H36" t="s">
        <v>41</v>
      </c>
      <c r="I36" t="s">
        <v>984</v>
      </c>
      <c r="J36" t="s">
        <v>885</v>
      </c>
    </row>
    <row r="37" spans="1:10">
      <c r="A37" s="49">
        <v>46052.541666666657</v>
      </c>
      <c r="B37" t="s">
        <v>985</v>
      </c>
      <c r="C37" t="s">
        <v>901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893</v>
      </c>
      <c r="G37" s="27"/>
      <c r="H37" t="s">
        <v>41</v>
      </c>
      <c r="I37" t="s">
        <v>986</v>
      </c>
      <c r="J37" t="s">
        <v>987</v>
      </c>
    </row>
    <row r="38" spans="1:10">
      <c r="A38" s="49">
        <v>46052.545138888891</v>
      </c>
      <c r="B38" t="s">
        <v>881</v>
      </c>
      <c r="C38" t="s">
        <v>988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989</v>
      </c>
      <c r="G38" s="27"/>
      <c r="H38" t="s">
        <v>41</v>
      </c>
      <c r="I38" t="s">
        <v>990</v>
      </c>
      <c r="J38" t="s">
        <v>885</v>
      </c>
    </row>
    <row r="39" spans="1:10">
      <c r="A39" s="49">
        <v>46052.54791666667</v>
      </c>
      <c r="B39" t="s">
        <v>985</v>
      </c>
      <c r="C39" t="s">
        <v>904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896</v>
      </c>
      <c r="G39" s="27"/>
      <c r="H39" t="s">
        <v>41</v>
      </c>
      <c r="I39" t="s">
        <v>991</v>
      </c>
      <c r="J39" t="s">
        <v>987</v>
      </c>
    </row>
    <row r="40" spans="1:10">
      <c r="A40" s="49">
        <v>46052.55</v>
      </c>
      <c r="B40" t="s">
        <v>881</v>
      </c>
      <c r="C40" t="s">
        <v>992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993</v>
      </c>
      <c r="G40" s="27"/>
      <c r="H40" t="s">
        <v>41</v>
      </c>
      <c r="I40" t="s">
        <v>994</v>
      </c>
      <c r="J40" t="s">
        <v>885</v>
      </c>
    </row>
    <row r="41" spans="1:10">
      <c r="A41" s="49">
        <v>46052.554166666669</v>
      </c>
      <c r="B41" t="s">
        <v>985</v>
      </c>
      <c r="C41" t="s">
        <v>907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899</v>
      </c>
      <c r="G41" s="27"/>
      <c r="H41" t="s">
        <v>41</v>
      </c>
      <c r="I41" t="s">
        <v>995</v>
      </c>
      <c r="J41" t="s">
        <v>987</v>
      </c>
    </row>
    <row r="42" spans="1:10">
      <c r="A42" s="49">
        <v>46052.554861111108</v>
      </c>
      <c r="B42" t="s">
        <v>881</v>
      </c>
      <c r="C42" t="s">
        <v>996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997</v>
      </c>
      <c r="G42" s="27"/>
      <c r="H42" t="s">
        <v>41</v>
      </c>
      <c r="I42" t="s">
        <v>998</v>
      </c>
      <c r="J42" t="s">
        <v>885</v>
      </c>
    </row>
    <row r="43" spans="1:10">
      <c r="A43" s="49">
        <v>46052.55972222222</v>
      </c>
      <c r="B43" t="s">
        <v>881</v>
      </c>
      <c r="C43" t="s">
        <v>999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1000</v>
      </c>
      <c r="G43" s="27"/>
      <c r="H43" t="s">
        <v>41</v>
      </c>
      <c r="I43" t="s">
        <v>1001</v>
      </c>
      <c r="J43" t="s">
        <v>885</v>
      </c>
    </row>
    <row r="44" spans="1:10">
      <c r="A44" s="49">
        <v>46052.560416666667</v>
      </c>
      <c r="B44" t="s">
        <v>985</v>
      </c>
      <c r="C44" t="s">
        <v>910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902</v>
      </c>
      <c r="G44" s="27"/>
      <c r="H44" t="s">
        <v>41</v>
      </c>
      <c r="I44" t="s">
        <v>1002</v>
      </c>
      <c r="J44" t="s">
        <v>987</v>
      </c>
    </row>
    <row r="45" spans="1:10">
      <c r="A45" s="49">
        <v>46052.564583333333</v>
      </c>
      <c r="B45" t="s">
        <v>881</v>
      </c>
      <c r="C45" t="s">
        <v>1003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1004</v>
      </c>
      <c r="G45" s="27"/>
      <c r="H45" t="s">
        <v>41</v>
      </c>
      <c r="I45" t="s">
        <v>1005</v>
      </c>
      <c r="J45" t="s">
        <v>885</v>
      </c>
    </row>
    <row r="46" spans="1:10">
      <c r="A46" s="49">
        <v>46052.566666666673</v>
      </c>
      <c r="B46" t="s">
        <v>985</v>
      </c>
      <c r="C46" t="s">
        <v>913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905</v>
      </c>
      <c r="G46" s="27"/>
      <c r="H46" t="s">
        <v>41</v>
      </c>
      <c r="I46" t="s">
        <v>1006</v>
      </c>
      <c r="J46" t="s">
        <v>987</v>
      </c>
    </row>
    <row r="47" spans="1:10">
      <c r="A47" s="49">
        <v>46052.569444444453</v>
      </c>
      <c r="B47" t="s">
        <v>881</v>
      </c>
      <c r="C47" t="s">
        <v>1007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1008</v>
      </c>
      <c r="G47" s="27"/>
      <c r="H47" t="s">
        <v>41</v>
      </c>
      <c r="I47" t="s">
        <v>1009</v>
      </c>
      <c r="J47" t="s">
        <v>885</v>
      </c>
    </row>
    <row r="48" spans="1:10">
      <c r="A48" s="49">
        <v>46052.572916666657</v>
      </c>
      <c r="B48" t="s">
        <v>985</v>
      </c>
      <c r="C48" t="s">
        <v>916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908</v>
      </c>
      <c r="G48" s="27"/>
      <c r="H48" t="s">
        <v>41</v>
      </c>
      <c r="I48" t="s">
        <v>1010</v>
      </c>
      <c r="J48" t="s">
        <v>987</v>
      </c>
    </row>
    <row r="49" spans="1:10">
      <c r="A49" s="49">
        <v>46052.574305555558</v>
      </c>
      <c r="B49" t="s">
        <v>881</v>
      </c>
      <c r="C49" t="s">
        <v>1011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1012</v>
      </c>
      <c r="G49" s="27"/>
      <c r="H49" t="s">
        <v>41</v>
      </c>
      <c r="I49" t="s">
        <v>1013</v>
      </c>
      <c r="J49" t="s">
        <v>885</v>
      </c>
    </row>
    <row r="50" spans="1:10">
      <c r="A50" s="49">
        <v>46052.57916666667</v>
      </c>
      <c r="B50" t="s">
        <v>881</v>
      </c>
      <c r="C50" t="s">
        <v>1014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1015</v>
      </c>
      <c r="G50" s="27"/>
      <c r="H50" t="s">
        <v>41</v>
      </c>
      <c r="I50" t="s">
        <v>1016</v>
      </c>
      <c r="J50" t="s">
        <v>885</v>
      </c>
    </row>
    <row r="51" spans="1:10">
      <c r="A51" s="49">
        <v>46052.57916666667</v>
      </c>
      <c r="B51" t="s">
        <v>985</v>
      </c>
      <c r="C51" t="s">
        <v>919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911</v>
      </c>
      <c r="G51" s="27"/>
      <c r="H51" t="s">
        <v>41</v>
      </c>
      <c r="I51" t="s">
        <v>1017</v>
      </c>
      <c r="J51" t="s">
        <v>987</v>
      </c>
    </row>
    <row r="52" spans="1:10">
      <c r="A52" s="49">
        <v>46052.584027777782</v>
      </c>
      <c r="B52" t="s">
        <v>881</v>
      </c>
      <c r="C52" t="s">
        <v>1018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1019</v>
      </c>
      <c r="G52" s="27"/>
      <c r="H52" t="s">
        <v>41</v>
      </c>
      <c r="I52" t="s">
        <v>1020</v>
      </c>
      <c r="J52" t="s">
        <v>885</v>
      </c>
    </row>
    <row r="53" spans="1:10">
      <c r="A53" s="49">
        <v>46052.585416666669</v>
      </c>
      <c r="B53" t="s">
        <v>985</v>
      </c>
      <c r="C53" t="s">
        <v>922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914</v>
      </c>
      <c r="G53" s="27"/>
      <c r="H53" t="s">
        <v>41</v>
      </c>
      <c r="I53" t="s">
        <v>1021</v>
      </c>
      <c r="J53" t="s">
        <v>987</v>
      </c>
    </row>
    <row r="54" spans="1:10">
      <c r="A54" s="49">
        <v>46052.588888888888</v>
      </c>
      <c r="B54" t="s">
        <v>881</v>
      </c>
      <c r="C54" t="s">
        <v>1022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1023</v>
      </c>
      <c r="G54" s="27"/>
      <c r="H54" t="s">
        <v>41</v>
      </c>
      <c r="I54" t="s">
        <v>1024</v>
      </c>
      <c r="J54" t="s">
        <v>885</v>
      </c>
    </row>
    <row r="55" spans="1:10">
      <c r="A55" s="49">
        <v>46052.59375</v>
      </c>
      <c r="B55" t="s">
        <v>881</v>
      </c>
      <c r="C55" t="s">
        <v>1025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1026</v>
      </c>
      <c r="G55" s="27"/>
      <c r="H55" t="s">
        <v>41</v>
      </c>
      <c r="I55" t="s">
        <v>1027</v>
      </c>
      <c r="J55" t="s">
        <v>885</v>
      </c>
    </row>
    <row r="56" spans="1:10">
      <c r="A56" s="49">
        <v>46052.598611111112</v>
      </c>
      <c r="B56" t="s">
        <v>881</v>
      </c>
      <c r="C56" t="s">
        <v>1028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1029</v>
      </c>
      <c r="G56" s="27"/>
      <c r="H56" t="s">
        <v>41</v>
      </c>
      <c r="I56" t="s">
        <v>1030</v>
      </c>
      <c r="J56" t="s">
        <v>885</v>
      </c>
    </row>
    <row r="57" spans="1:10">
      <c r="A57" s="49">
        <v>46052.603472222218</v>
      </c>
      <c r="B57" t="s">
        <v>881</v>
      </c>
      <c r="C57" t="s">
        <v>1031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1032</v>
      </c>
      <c r="G57" s="27"/>
      <c r="H57" t="s">
        <v>41</v>
      </c>
      <c r="I57" t="s">
        <v>1033</v>
      </c>
      <c r="J57" t="s">
        <v>885</v>
      </c>
    </row>
    <row r="58" spans="1:10">
      <c r="A58" s="49">
        <v>46052.60833333333</v>
      </c>
      <c r="B58" t="s">
        <v>881</v>
      </c>
      <c r="C58" t="s">
        <v>1034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1035</v>
      </c>
      <c r="G58" s="27"/>
      <c r="H58" t="s">
        <v>41</v>
      </c>
      <c r="I58" t="s">
        <v>1036</v>
      </c>
      <c r="J58" t="s">
        <v>885</v>
      </c>
    </row>
    <row r="59" spans="1:10">
      <c r="A59" s="49">
        <v>46052.613194444442</v>
      </c>
      <c r="B59" t="s">
        <v>1037</v>
      </c>
      <c r="C59" t="s">
        <v>1038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863</v>
      </c>
      <c r="G59" s="27"/>
      <c r="H59" t="s">
        <v>41</v>
      </c>
      <c r="I59" t="s">
        <v>1039</v>
      </c>
      <c r="J59" t="s">
        <v>1040</v>
      </c>
    </row>
    <row r="60" spans="1:10">
      <c r="A60" s="49">
        <v>46052.618055555547</v>
      </c>
      <c r="B60" t="s">
        <v>1037</v>
      </c>
      <c r="C60" t="s">
        <v>1041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863</v>
      </c>
      <c r="G60" s="27"/>
      <c r="H60" t="s">
        <v>41</v>
      </c>
      <c r="I60" t="s">
        <v>1042</v>
      </c>
      <c r="J60" t="s">
        <v>1040</v>
      </c>
    </row>
    <row r="61" spans="1:10">
      <c r="A61" s="49">
        <v>46052.622916666667</v>
      </c>
      <c r="B61" t="s">
        <v>881</v>
      </c>
      <c r="C61" t="s">
        <v>1043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1044</v>
      </c>
      <c r="G61" s="27"/>
      <c r="H61" t="s">
        <v>41</v>
      </c>
      <c r="I61" t="s">
        <v>1045</v>
      </c>
      <c r="J61" t="s">
        <v>885</v>
      </c>
    </row>
    <row r="62" spans="1:10">
      <c r="A62" s="49">
        <v>46052.62777777778</v>
      </c>
      <c r="B62" t="s">
        <v>881</v>
      </c>
      <c r="C62" t="s">
        <v>1046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1047</v>
      </c>
      <c r="G62" s="27"/>
      <c r="H62" t="s">
        <v>41</v>
      </c>
      <c r="I62" t="s">
        <v>1048</v>
      </c>
      <c r="J62" t="s">
        <v>885</v>
      </c>
    </row>
    <row r="63" spans="1:10">
      <c r="A63" s="49">
        <v>46052.632638888892</v>
      </c>
      <c r="B63" t="s">
        <v>881</v>
      </c>
      <c r="C63" t="s">
        <v>1049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1050</v>
      </c>
      <c r="G63" s="27"/>
      <c r="H63" t="s">
        <v>41</v>
      </c>
      <c r="I63" t="s">
        <v>1051</v>
      </c>
      <c r="J63" t="s">
        <v>885</v>
      </c>
    </row>
    <row r="64" spans="1:10">
      <c r="A64" s="49">
        <v>46052.637499999997</v>
      </c>
      <c r="B64" t="s">
        <v>881</v>
      </c>
      <c r="C64" t="s">
        <v>1052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1053</v>
      </c>
      <c r="G64" s="27"/>
      <c r="H64" t="s">
        <v>41</v>
      </c>
      <c r="I64" t="s">
        <v>1054</v>
      </c>
      <c r="J64" t="s">
        <v>885</v>
      </c>
    </row>
    <row r="65" spans="1:10">
      <c r="A65" s="49">
        <v>46052.642361111109</v>
      </c>
      <c r="B65" t="s">
        <v>881</v>
      </c>
      <c r="C65" t="s">
        <v>1055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1056</v>
      </c>
      <c r="G65" s="27"/>
      <c r="H65" t="s">
        <v>41</v>
      </c>
      <c r="I65" t="s">
        <v>1057</v>
      </c>
      <c r="J65" t="s">
        <v>885</v>
      </c>
    </row>
    <row r="66" spans="1:10">
      <c r="A66" s="49">
        <v>46052.647222222222</v>
      </c>
      <c r="B66" t="s">
        <v>881</v>
      </c>
      <c r="C66" t="s">
        <v>1058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1059</v>
      </c>
      <c r="G66" s="27"/>
      <c r="H66" t="s">
        <v>41</v>
      </c>
      <c r="I66" t="s">
        <v>1060</v>
      </c>
      <c r="J66" t="s">
        <v>885</v>
      </c>
    </row>
    <row r="67" spans="1:10">
      <c r="A67" s="49">
        <v>46052.652083333327</v>
      </c>
      <c r="B67" t="s">
        <v>881</v>
      </c>
      <c r="C67" t="s">
        <v>1061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1062</v>
      </c>
      <c r="G67" s="27"/>
      <c r="H67" t="s">
        <v>41</v>
      </c>
      <c r="I67" t="s">
        <v>1063</v>
      </c>
      <c r="J67" t="s">
        <v>885</v>
      </c>
    </row>
    <row r="68" spans="1:10">
      <c r="A68" s="49">
        <v>46052.656944444447</v>
      </c>
      <c r="B68" t="s">
        <v>881</v>
      </c>
      <c r="C68" t="s">
        <v>1064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1065</v>
      </c>
      <c r="G68" s="27"/>
      <c r="H68" t="s">
        <v>41</v>
      </c>
      <c r="I68" t="s">
        <v>1066</v>
      </c>
      <c r="J68" t="s">
        <v>885</v>
      </c>
    </row>
    <row r="69" spans="1:10">
      <c r="A69" s="49">
        <v>46052.661805555559</v>
      </c>
      <c r="B69" t="s">
        <v>881</v>
      </c>
      <c r="C69" t="s">
        <v>1067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1068</v>
      </c>
      <c r="G69" s="27"/>
      <c r="H69" t="s">
        <v>41</v>
      </c>
      <c r="I69" t="s">
        <v>1069</v>
      </c>
      <c r="J69" t="s">
        <v>885</v>
      </c>
    </row>
    <row r="70" spans="1:10">
      <c r="A70" s="49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49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49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49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49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49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49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49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49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49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49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49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49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49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49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49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49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49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49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49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49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49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49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49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49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49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49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49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49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49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49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49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49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49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49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49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49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49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49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49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49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49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49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49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49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49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49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49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49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49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49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49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49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49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49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49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49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49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49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49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49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49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49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49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49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49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49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49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49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49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49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49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49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49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49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49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49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49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49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49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49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49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49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49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49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49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49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49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49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49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49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49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49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49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49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49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49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49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49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49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49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49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49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49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49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49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49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49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49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49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49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49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49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49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49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49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49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49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49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49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49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49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49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49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49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49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49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49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49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49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49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49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49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49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49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49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49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49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49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49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49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49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49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49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49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49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49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49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49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49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49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49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49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49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49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49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49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49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49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49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49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49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49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49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49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49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49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49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49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49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49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49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49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49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49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49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49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49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49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49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49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49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49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49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49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49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49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49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49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49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49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49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49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49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49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49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49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49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49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49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49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49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49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49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49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49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49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49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49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49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49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49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49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49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49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49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49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49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49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49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49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49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49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49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49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49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49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49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49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49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49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49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49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49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49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49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49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49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49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49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49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49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49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49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49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49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49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49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49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49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49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49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49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49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49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49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49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49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49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49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49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49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49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49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49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49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49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49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49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49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49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49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49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49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49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49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49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49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49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49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49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49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49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49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49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49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49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49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49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49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49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49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49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49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49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49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49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49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49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49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49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49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49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49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49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49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49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49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49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49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49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49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49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49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49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49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49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49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49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49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49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49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49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49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49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49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49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49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49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49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49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49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49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49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49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49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49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49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49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49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49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49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49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49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49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49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49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49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49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49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49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49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49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49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49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49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49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49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49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49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49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49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49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49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49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49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49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49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49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49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49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49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49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49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49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49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49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49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49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49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49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49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49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49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49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49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49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49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49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49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49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49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49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49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49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49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49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49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49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49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49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49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49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49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49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49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49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49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49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49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49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49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49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49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49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49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49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49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49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49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49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49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49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49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49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49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49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49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49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49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49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49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47" t="s">
        <v>1070</v>
      </c>
      <c r="B1" s="47" t="s">
        <v>1071</v>
      </c>
      <c r="C1" s="47" t="s">
        <v>1072</v>
      </c>
      <c r="D1" s="47" t="s">
        <v>9</v>
      </c>
    </row>
    <row r="2" spans="1:4">
      <c r="A2" s="29" t="s">
        <v>1073</v>
      </c>
    </row>
    <row r="3" spans="1:4">
      <c r="A3" t="s">
        <v>1074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1075</v>
      </c>
    </row>
    <row r="4" spans="1:4">
      <c r="A4" t="s">
        <v>1074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1075</v>
      </c>
    </row>
    <row r="5" spans="1:4">
      <c r="A5" t="s">
        <v>1074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1075</v>
      </c>
    </row>
    <row r="6" spans="1:4">
      <c r="A6" t="s">
        <v>1074</v>
      </c>
      <c r="B6" t="str">
        <f>IF('02_Warehouse_Locations'!A5="","",'02_Warehouse_Locations'!A5)</f>
        <v>Z1</v>
      </c>
      <c r="C6" t="str">
        <f t="shared" si="0"/>
        <v>Z1</v>
      </c>
      <c r="D6" t="s">
        <v>1075</v>
      </c>
    </row>
    <row r="7" spans="1:4">
      <c r="A7" t="s">
        <v>1074</v>
      </c>
      <c r="B7" t="str">
        <f>IF('02_Warehouse_Locations'!A6="","",'02_Warehouse_Locations'!A6)</f>
        <v>A</v>
      </c>
      <c r="C7" t="str">
        <f t="shared" si="0"/>
        <v>A</v>
      </c>
      <c r="D7" t="s">
        <v>1075</v>
      </c>
    </row>
    <row r="8" spans="1:4">
      <c r="A8" t="s">
        <v>1074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1075</v>
      </c>
    </row>
    <row r="9" spans="1:4">
      <c r="A9" t="s">
        <v>1074</v>
      </c>
      <c r="B9" t="str">
        <f>IF('02_Warehouse_Locations'!A8="","",'02_Warehouse_Locations'!A8)</f>
        <v>01</v>
      </c>
      <c r="C9" t="str">
        <f t="shared" si="0"/>
        <v>01</v>
      </c>
      <c r="D9" t="s">
        <v>1075</v>
      </c>
    </row>
    <row r="10" spans="1:4">
      <c r="A10" t="s">
        <v>1074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1075</v>
      </c>
    </row>
    <row r="11" spans="1:4">
      <c r="A11" t="s">
        <v>1074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1075</v>
      </c>
    </row>
    <row r="12" spans="1:4">
      <c r="A12" t="s">
        <v>1074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1075</v>
      </c>
    </row>
    <row r="13" spans="1:4">
      <c r="A13" t="s">
        <v>1074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1075</v>
      </c>
    </row>
    <row r="14" spans="1:4">
      <c r="A14" t="s">
        <v>1074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1075</v>
      </c>
    </row>
    <row r="15" spans="1:4">
      <c r="A15" t="s">
        <v>1074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1075</v>
      </c>
    </row>
    <row r="16" spans="1:4">
      <c r="A16" t="s">
        <v>1074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1075</v>
      </c>
    </row>
    <row r="17" spans="1:4">
      <c r="A17" t="s">
        <v>1074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1075</v>
      </c>
    </row>
    <row r="18" spans="1:4">
      <c r="A18" t="s">
        <v>1074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1075</v>
      </c>
    </row>
    <row r="19" spans="1:4">
      <c r="A19" t="s">
        <v>1074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1075</v>
      </c>
    </row>
    <row r="20" spans="1:4">
      <c r="A20" t="s">
        <v>1074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1075</v>
      </c>
    </row>
    <row r="21" spans="1:4">
      <c r="A21" t="s">
        <v>1074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1075</v>
      </c>
    </row>
    <row r="22" spans="1:4">
      <c r="A22" t="s">
        <v>1074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1075</v>
      </c>
    </row>
    <row r="23" spans="1:4">
      <c r="A23" t="s">
        <v>1074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1075</v>
      </c>
    </row>
    <row r="24" spans="1:4">
      <c r="A24" t="s">
        <v>1074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1075</v>
      </c>
    </row>
    <row r="25" spans="1:4">
      <c r="A25" t="s">
        <v>1074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1075</v>
      </c>
    </row>
    <row r="26" spans="1:4">
      <c r="A26" t="s">
        <v>1074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1075</v>
      </c>
    </row>
    <row r="27" spans="1:4">
      <c r="A27" t="s">
        <v>1074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1075</v>
      </c>
    </row>
    <row r="28" spans="1:4">
      <c r="A28" t="s">
        <v>1074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1075</v>
      </c>
    </row>
    <row r="29" spans="1:4">
      <c r="A29" t="s">
        <v>1074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1075</v>
      </c>
    </row>
    <row r="30" spans="1:4">
      <c r="A30" t="s">
        <v>1074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1075</v>
      </c>
    </row>
    <row r="31" spans="1:4">
      <c r="A31" t="s">
        <v>1074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1075</v>
      </c>
    </row>
    <row r="32" spans="1:4">
      <c r="A32" t="s">
        <v>1074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1075</v>
      </c>
    </row>
    <row r="33" spans="1:4">
      <c r="A33" t="s">
        <v>1074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1075</v>
      </c>
    </row>
    <row r="34" spans="1:4">
      <c r="A34" t="s">
        <v>1074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1075</v>
      </c>
    </row>
    <row r="35" spans="1:4">
      <c r="A35" t="s">
        <v>1074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1075</v>
      </c>
    </row>
    <row r="36" spans="1:4">
      <c r="A36" t="s">
        <v>1074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1075</v>
      </c>
    </row>
    <row r="37" spans="1:4">
      <c r="A37" t="s">
        <v>1074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1075</v>
      </c>
    </row>
    <row r="38" spans="1:4">
      <c r="A38" t="s">
        <v>1074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1075</v>
      </c>
    </row>
    <row r="39" spans="1:4">
      <c r="A39" t="s">
        <v>1074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1075</v>
      </c>
    </row>
    <row r="40" spans="1:4">
      <c r="A40" t="s">
        <v>1074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1075</v>
      </c>
    </row>
    <row r="41" spans="1:4">
      <c r="A41" t="s">
        <v>1074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1075</v>
      </c>
    </row>
    <row r="42" spans="1:4">
      <c r="A42" t="s">
        <v>1074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1075</v>
      </c>
    </row>
    <row r="43" spans="1:4">
      <c r="A43" t="s">
        <v>1074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1075</v>
      </c>
    </row>
    <row r="44" spans="1:4">
      <c r="A44" t="s">
        <v>1074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1075</v>
      </c>
    </row>
    <row r="45" spans="1:4">
      <c r="A45" t="s">
        <v>1074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1075</v>
      </c>
    </row>
    <row r="46" spans="1:4">
      <c r="A46" t="s">
        <v>1074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1075</v>
      </c>
    </row>
    <row r="47" spans="1:4">
      <c r="A47" t="s">
        <v>1074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1075</v>
      </c>
    </row>
    <row r="48" spans="1:4">
      <c r="A48" t="s">
        <v>1074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1075</v>
      </c>
    </row>
    <row r="49" spans="1:4">
      <c r="A49" t="s">
        <v>1074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1075</v>
      </c>
    </row>
    <row r="50" spans="1:4">
      <c r="A50" t="s">
        <v>1074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1075</v>
      </c>
    </row>
    <row r="51" spans="1:4">
      <c r="A51" t="s">
        <v>1074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1075</v>
      </c>
    </row>
    <row r="52" spans="1:4">
      <c r="A52" t="s">
        <v>1074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1075</v>
      </c>
    </row>
    <row r="53" spans="1:4">
      <c r="A53" t="s">
        <v>1074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1075</v>
      </c>
    </row>
    <row r="54" spans="1:4">
      <c r="A54" t="s">
        <v>1074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1075</v>
      </c>
    </row>
    <row r="55" spans="1:4">
      <c r="A55" t="s">
        <v>1074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1075</v>
      </c>
    </row>
    <row r="56" spans="1:4">
      <c r="A56" t="s">
        <v>1074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1075</v>
      </c>
    </row>
    <row r="57" spans="1:4">
      <c r="A57" t="s">
        <v>1074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1075</v>
      </c>
    </row>
    <row r="58" spans="1:4">
      <c r="A58" t="s">
        <v>1074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1075</v>
      </c>
    </row>
    <row r="59" spans="1:4">
      <c r="A59" t="s">
        <v>1074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1075</v>
      </c>
    </row>
    <row r="60" spans="1:4">
      <c r="A60" t="s">
        <v>1074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1075</v>
      </c>
    </row>
    <row r="61" spans="1:4">
      <c r="A61" t="s">
        <v>1074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1075</v>
      </c>
    </row>
    <row r="62" spans="1:4">
      <c r="A62" t="s">
        <v>1074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1075</v>
      </c>
    </row>
    <row r="63" spans="1:4">
      <c r="A63" t="s">
        <v>1074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1075</v>
      </c>
    </row>
    <row r="64" spans="1:4">
      <c r="A64" t="s">
        <v>1074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1075</v>
      </c>
    </row>
    <row r="65" spans="1:4">
      <c r="A65" t="s">
        <v>1074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1075</v>
      </c>
    </row>
    <row r="66" spans="1:4">
      <c r="A66" t="s">
        <v>1074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1075</v>
      </c>
    </row>
    <row r="67" spans="1:4">
      <c r="A67" t="s">
        <v>1074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1075</v>
      </c>
    </row>
    <row r="68" spans="1:4">
      <c r="A68" t="s">
        <v>1074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1075</v>
      </c>
    </row>
    <row r="69" spans="1:4">
      <c r="A69" t="s">
        <v>1074</v>
      </c>
      <c r="B69" t="str">
        <f>IF('02_Warehouse_Locations'!A68="","",'02_Warehouse_Locations'!A68)</f>
        <v>D</v>
      </c>
      <c r="C69" t="str">
        <f t="shared" si="1"/>
        <v>D</v>
      </c>
      <c r="D69" t="s">
        <v>1075</v>
      </c>
    </row>
    <row r="70" spans="1:4">
      <c r="A70" t="s">
        <v>1074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1075</v>
      </c>
    </row>
    <row r="71" spans="1:4">
      <c r="A71" t="s">
        <v>1074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1075</v>
      </c>
    </row>
    <row r="72" spans="1:4">
      <c r="A72" t="s">
        <v>1074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1075</v>
      </c>
    </row>
    <row r="73" spans="1:4">
      <c r="A73" t="s">
        <v>1074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1075</v>
      </c>
    </row>
    <row r="74" spans="1:4">
      <c r="A74" t="s">
        <v>1074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1075</v>
      </c>
    </row>
    <row r="75" spans="1:4">
      <c r="A75" t="s">
        <v>1074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1075</v>
      </c>
    </row>
    <row r="76" spans="1:4">
      <c r="A76" t="s">
        <v>1074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1075</v>
      </c>
    </row>
    <row r="77" spans="1:4">
      <c r="A77" t="s">
        <v>1074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1075</v>
      </c>
    </row>
    <row r="78" spans="1:4">
      <c r="A78" t="s">
        <v>1074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1075</v>
      </c>
    </row>
    <row r="79" spans="1:4">
      <c r="A79" t="s">
        <v>1074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1075</v>
      </c>
    </row>
    <row r="80" spans="1:4">
      <c r="A80" t="s">
        <v>1074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1075</v>
      </c>
    </row>
    <row r="81" spans="1:4">
      <c r="A81" t="s">
        <v>1074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1075</v>
      </c>
    </row>
    <row r="82" spans="1:4">
      <c r="A82" t="s">
        <v>1074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1075</v>
      </c>
    </row>
    <row r="83" spans="1:4">
      <c r="A83" t="s">
        <v>1074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1075</v>
      </c>
    </row>
    <row r="84" spans="1:4">
      <c r="A84" t="s">
        <v>1074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1075</v>
      </c>
    </row>
    <row r="85" spans="1:4">
      <c r="A85" t="s">
        <v>1074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1075</v>
      </c>
    </row>
    <row r="86" spans="1:4">
      <c r="A86" t="s">
        <v>1074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1075</v>
      </c>
    </row>
    <row r="87" spans="1:4">
      <c r="A87" t="s">
        <v>1074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1075</v>
      </c>
    </row>
    <row r="88" spans="1:4">
      <c r="A88" t="s">
        <v>1074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1075</v>
      </c>
    </row>
    <row r="89" spans="1:4">
      <c r="A89" t="s">
        <v>1074</v>
      </c>
      <c r="B89" t="str">
        <f>IF('02_Warehouse_Locations'!A88="","",'02_Warehouse_Locations'!A88)</f>
        <v>E</v>
      </c>
      <c r="C89" t="str">
        <f t="shared" si="1"/>
        <v>E</v>
      </c>
      <c r="D89" t="s">
        <v>1075</v>
      </c>
    </row>
    <row r="90" spans="1:4">
      <c r="A90" t="s">
        <v>1074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1075</v>
      </c>
    </row>
    <row r="91" spans="1:4">
      <c r="A91" t="s">
        <v>1074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1075</v>
      </c>
    </row>
    <row r="92" spans="1:4">
      <c r="A92" t="s">
        <v>1074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1075</v>
      </c>
    </row>
    <row r="93" spans="1:4">
      <c r="A93" t="s">
        <v>1074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1075</v>
      </c>
    </row>
    <row r="94" spans="1:4">
      <c r="A94" t="s">
        <v>1074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1075</v>
      </c>
    </row>
    <row r="95" spans="1:4">
      <c r="A95" t="s">
        <v>1074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1075</v>
      </c>
    </row>
    <row r="96" spans="1:4">
      <c r="A96" t="s">
        <v>1074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1075</v>
      </c>
    </row>
    <row r="97" spans="1:4">
      <c r="A97" t="s">
        <v>1074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1075</v>
      </c>
    </row>
    <row r="98" spans="1:4">
      <c r="A98" t="s">
        <v>1074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1075</v>
      </c>
    </row>
    <row r="99" spans="1:4">
      <c r="A99" t="s">
        <v>1074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1075</v>
      </c>
    </row>
    <row r="100" spans="1:4">
      <c r="A100" t="s">
        <v>1074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1075</v>
      </c>
    </row>
    <row r="101" spans="1:4">
      <c r="A101" t="s">
        <v>1074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1075</v>
      </c>
    </row>
    <row r="102" spans="1:4">
      <c r="A102" t="s">
        <v>1074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1075</v>
      </c>
    </row>
    <row r="103" spans="1:4">
      <c r="A103" t="s">
        <v>1074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1075</v>
      </c>
    </row>
    <row r="104" spans="1:4">
      <c r="A104" t="s">
        <v>1074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1075</v>
      </c>
    </row>
    <row r="105" spans="1:4">
      <c r="A105" t="s">
        <v>1074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1075</v>
      </c>
    </row>
    <row r="106" spans="1:4">
      <c r="A106" t="s">
        <v>1074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1075</v>
      </c>
    </row>
    <row r="107" spans="1:4">
      <c r="A107" t="s">
        <v>1074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1075</v>
      </c>
    </row>
    <row r="108" spans="1:4">
      <c r="A108" t="s">
        <v>1074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1075</v>
      </c>
    </row>
    <row r="109" spans="1:4">
      <c r="A109" t="s">
        <v>1074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1075</v>
      </c>
    </row>
    <row r="110" spans="1:4">
      <c r="A110" t="s">
        <v>1074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1075</v>
      </c>
    </row>
    <row r="111" spans="1:4">
      <c r="A111" t="s">
        <v>1074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1075</v>
      </c>
    </row>
    <row r="112" spans="1:4">
      <c r="A112" t="s">
        <v>1074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1075</v>
      </c>
    </row>
    <row r="113" spans="1:4">
      <c r="A113" t="s">
        <v>1074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1075</v>
      </c>
    </row>
    <row r="114" spans="1:4">
      <c r="A114" t="s">
        <v>1074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1075</v>
      </c>
    </row>
    <row r="115" spans="1:4">
      <c r="A115" t="s">
        <v>1074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1075</v>
      </c>
    </row>
    <row r="116" spans="1:4">
      <c r="A116" t="s">
        <v>1074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1075</v>
      </c>
    </row>
    <row r="117" spans="1:4">
      <c r="A117" t="s">
        <v>1074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1075</v>
      </c>
    </row>
    <row r="118" spans="1:4">
      <c r="A118" t="s">
        <v>1074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1075</v>
      </c>
    </row>
    <row r="119" spans="1:4">
      <c r="A119" t="s">
        <v>1074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1075</v>
      </c>
    </row>
    <row r="120" spans="1:4">
      <c r="A120" t="s">
        <v>1074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1075</v>
      </c>
    </row>
    <row r="121" spans="1:4">
      <c r="A121" t="s">
        <v>1074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1075</v>
      </c>
    </row>
    <row r="122" spans="1:4">
      <c r="A122" t="s">
        <v>1074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1075</v>
      </c>
    </row>
    <row r="123" spans="1:4">
      <c r="A123" t="s">
        <v>1074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1075</v>
      </c>
    </row>
    <row r="124" spans="1:4">
      <c r="A124" t="s">
        <v>1074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1075</v>
      </c>
    </row>
    <row r="125" spans="1:4">
      <c r="A125" t="s">
        <v>1074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1075</v>
      </c>
    </row>
    <row r="126" spans="1:4">
      <c r="A126" t="s">
        <v>1074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1075</v>
      </c>
    </row>
    <row r="127" spans="1:4">
      <c r="A127" t="s">
        <v>1074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1075</v>
      </c>
    </row>
    <row r="128" spans="1:4">
      <c r="A128" t="s">
        <v>1074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1075</v>
      </c>
    </row>
    <row r="129" spans="1:4">
      <c r="A129" t="s">
        <v>1074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1075</v>
      </c>
    </row>
    <row r="130" spans="1:4">
      <c r="A130" t="s">
        <v>1074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1075</v>
      </c>
    </row>
    <row r="131" spans="1:4">
      <c r="A131" t="s">
        <v>1074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1075</v>
      </c>
    </row>
    <row r="132" spans="1:4">
      <c r="A132" t="s">
        <v>1074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1075</v>
      </c>
    </row>
    <row r="133" spans="1:4">
      <c r="A133" t="s">
        <v>1074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1075</v>
      </c>
    </row>
    <row r="134" spans="1:4">
      <c r="A134" t="s">
        <v>1074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1075</v>
      </c>
    </row>
    <row r="135" spans="1:4">
      <c r="A135" t="s">
        <v>1074</v>
      </c>
      <c r="B135" t="str">
        <f>IF('02_Warehouse_Locations'!A134="","",'02_Warehouse_Locations'!A134)</f>
        <v/>
      </c>
      <c r="C135" t="str">
        <f t="shared" si="2"/>
        <v/>
      </c>
      <c r="D135" t="s">
        <v>1075</v>
      </c>
    </row>
    <row r="136" spans="1:4">
      <c r="A136" t="s">
        <v>1074</v>
      </c>
      <c r="B136" t="str">
        <f>IF('02_Warehouse_Locations'!A135="","",'02_Warehouse_Locations'!A135)</f>
        <v/>
      </c>
      <c r="C136" t="str">
        <f t="shared" si="2"/>
        <v/>
      </c>
      <c r="D136" t="s">
        <v>1075</v>
      </c>
    </row>
    <row r="137" spans="1:4">
      <c r="A137" t="s">
        <v>1074</v>
      </c>
      <c r="B137" t="str">
        <f>IF('02_Warehouse_Locations'!A136="","",'02_Warehouse_Locations'!A136)</f>
        <v/>
      </c>
      <c r="C137" t="str">
        <f t="shared" si="2"/>
        <v/>
      </c>
      <c r="D137" t="s">
        <v>1075</v>
      </c>
    </row>
    <row r="138" spans="1:4">
      <c r="A138" t="s">
        <v>1074</v>
      </c>
      <c r="B138" t="str">
        <f>IF('02_Warehouse_Locations'!A137="","",'02_Warehouse_Locations'!A137)</f>
        <v/>
      </c>
      <c r="C138" t="str">
        <f t="shared" si="2"/>
        <v/>
      </c>
      <c r="D138" t="s">
        <v>1075</v>
      </c>
    </row>
    <row r="139" spans="1:4">
      <c r="A139" t="s">
        <v>1074</v>
      </c>
      <c r="B139" t="str">
        <f>IF('02_Warehouse_Locations'!A138="","",'02_Warehouse_Locations'!A138)</f>
        <v/>
      </c>
      <c r="C139" t="str">
        <f t="shared" si="2"/>
        <v/>
      </c>
      <c r="D139" t="s">
        <v>1075</v>
      </c>
    </row>
    <row r="140" spans="1:4">
      <c r="A140" t="s">
        <v>1074</v>
      </c>
      <c r="B140" t="str">
        <f>IF('02_Warehouse_Locations'!A139="","",'02_Warehouse_Locations'!A139)</f>
        <v/>
      </c>
      <c r="C140" t="str">
        <f t="shared" si="2"/>
        <v/>
      </c>
      <c r="D140" t="s">
        <v>1075</v>
      </c>
    </row>
    <row r="141" spans="1:4">
      <c r="A141" t="s">
        <v>1074</v>
      </c>
      <c r="B141" t="str">
        <f>IF('02_Warehouse_Locations'!A140="","",'02_Warehouse_Locations'!A140)</f>
        <v/>
      </c>
      <c r="C141" t="str">
        <f t="shared" si="2"/>
        <v/>
      </c>
      <c r="D141" t="s">
        <v>1075</v>
      </c>
    </row>
    <row r="142" spans="1:4">
      <c r="A142" t="s">
        <v>1074</v>
      </c>
      <c r="B142" t="str">
        <f>IF('02_Warehouse_Locations'!A141="","",'02_Warehouse_Locations'!A141)</f>
        <v/>
      </c>
      <c r="C142" t="str">
        <f t="shared" si="2"/>
        <v/>
      </c>
      <c r="D142" t="s">
        <v>1075</v>
      </c>
    </row>
    <row r="143" spans="1:4">
      <c r="A143" t="s">
        <v>1074</v>
      </c>
      <c r="B143" t="str">
        <f>IF('02_Warehouse_Locations'!A142="","",'02_Warehouse_Locations'!A142)</f>
        <v/>
      </c>
      <c r="C143" t="str">
        <f t="shared" si="2"/>
        <v/>
      </c>
      <c r="D143" t="s">
        <v>1075</v>
      </c>
    </row>
    <row r="144" spans="1:4">
      <c r="A144" t="s">
        <v>1074</v>
      </c>
      <c r="B144" t="str">
        <f>IF('02_Warehouse_Locations'!A143="","",'02_Warehouse_Locations'!A143)</f>
        <v/>
      </c>
      <c r="C144" t="str">
        <f t="shared" si="2"/>
        <v/>
      </c>
      <c r="D144" t="s">
        <v>1075</v>
      </c>
    </row>
    <row r="145" spans="1:4">
      <c r="A145" t="s">
        <v>1074</v>
      </c>
      <c r="B145" t="str">
        <f>IF('02_Warehouse_Locations'!A144="","",'02_Warehouse_Locations'!A144)</f>
        <v/>
      </c>
      <c r="C145" t="str">
        <f t="shared" si="2"/>
        <v/>
      </c>
      <c r="D145" t="s">
        <v>1075</v>
      </c>
    </row>
    <row r="146" spans="1:4">
      <c r="A146" t="s">
        <v>1074</v>
      </c>
      <c r="B146" t="str">
        <f>IF('02_Warehouse_Locations'!A145="","",'02_Warehouse_Locations'!A145)</f>
        <v/>
      </c>
      <c r="C146" t="str">
        <f t="shared" si="2"/>
        <v/>
      </c>
      <c r="D146" t="s">
        <v>1075</v>
      </c>
    </row>
    <row r="147" spans="1:4">
      <c r="A147" t="s">
        <v>1074</v>
      </c>
      <c r="B147" t="str">
        <f>IF('02_Warehouse_Locations'!A146="","",'02_Warehouse_Locations'!A146)</f>
        <v/>
      </c>
      <c r="C147" t="str">
        <f t="shared" si="2"/>
        <v/>
      </c>
      <c r="D147" t="s">
        <v>1075</v>
      </c>
    </row>
    <row r="148" spans="1:4">
      <c r="A148" t="s">
        <v>1074</v>
      </c>
      <c r="B148" t="str">
        <f>IF('02_Warehouse_Locations'!A147="","",'02_Warehouse_Locations'!A147)</f>
        <v/>
      </c>
      <c r="C148" t="str">
        <f t="shared" si="2"/>
        <v/>
      </c>
      <c r="D148" t="s">
        <v>1075</v>
      </c>
    </row>
    <row r="149" spans="1:4">
      <c r="A149" t="s">
        <v>1074</v>
      </c>
      <c r="B149" t="str">
        <f>IF('02_Warehouse_Locations'!A148="","",'02_Warehouse_Locations'!A148)</f>
        <v/>
      </c>
      <c r="C149" t="str">
        <f t="shared" si="2"/>
        <v/>
      </c>
      <c r="D149" t="s">
        <v>1075</v>
      </c>
    </row>
    <row r="150" spans="1:4">
      <c r="A150" t="s">
        <v>1074</v>
      </c>
      <c r="B150" t="str">
        <f>IF('02_Warehouse_Locations'!A149="","",'02_Warehouse_Locations'!A149)</f>
        <v/>
      </c>
      <c r="C150" t="str">
        <f t="shared" si="2"/>
        <v/>
      </c>
      <c r="D150" t="s">
        <v>1075</v>
      </c>
    </row>
    <row r="151" spans="1:4">
      <c r="A151" t="s">
        <v>1074</v>
      </c>
      <c r="B151" t="str">
        <f>IF('02_Warehouse_Locations'!A150="","",'02_Warehouse_Locations'!A150)</f>
        <v/>
      </c>
      <c r="C151" t="str">
        <f t="shared" si="2"/>
        <v/>
      </c>
      <c r="D151" t="s">
        <v>1075</v>
      </c>
    </row>
    <row r="152" spans="1:4">
      <c r="A152" t="s">
        <v>1074</v>
      </c>
      <c r="B152" t="str">
        <f>IF('02_Warehouse_Locations'!A151="","",'02_Warehouse_Locations'!A151)</f>
        <v/>
      </c>
      <c r="C152" t="str">
        <f t="shared" si="2"/>
        <v/>
      </c>
      <c r="D152" t="s">
        <v>1075</v>
      </c>
    </row>
    <row r="153" spans="1:4">
      <c r="A153" t="s">
        <v>1074</v>
      </c>
      <c r="B153" t="str">
        <f>IF('02_Warehouse_Locations'!A152="","",'02_Warehouse_Locations'!A152)</f>
        <v/>
      </c>
      <c r="C153" t="str">
        <f t="shared" si="2"/>
        <v/>
      </c>
      <c r="D153" t="s">
        <v>1075</v>
      </c>
    </row>
    <row r="154" spans="1:4">
      <c r="A154" t="s">
        <v>1074</v>
      </c>
      <c r="B154" t="str">
        <f>IF('02_Warehouse_Locations'!A153="","",'02_Warehouse_Locations'!A153)</f>
        <v/>
      </c>
      <c r="C154" t="str">
        <f t="shared" si="2"/>
        <v/>
      </c>
      <c r="D154" t="s">
        <v>1075</v>
      </c>
    </row>
    <row r="155" spans="1:4">
      <c r="A155" t="s">
        <v>1074</v>
      </c>
      <c r="B155" t="str">
        <f>IF('02_Warehouse_Locations'!A154="","",'02_Warehouse_Locations'!A154)</f>
        <v/>
      </c>
      <c r="C155" t="str">
        <f t="shared" si="2"/>
        <v/>
      </c>
      <c r="D155" t="s">
        <v>1075</v>
      </c>
    </row>
    <row r="156" spans="1:4">
      <c r="A156" t="s">
        <v>1074</v>
      </c>
      <c r="B156" t="str">
        <f>IF('02_Warehouse_Locations'!A155="","",'02_Warehouse_Locations'!A155)</f>
        <v/>
      </c>
      <c r="C156" t="str">
        <f t="shared" si="2"/>
        <v/>
      </c>
      <c r="D156" t="s">
        <v>1075</v>
      </c>
    </row>
    <row r="157" spans="1:4">
      <c r="A157" t="s">
        <v>1074</v>
      </c>
      <c r="B157" t="str">
        <f>IF('02_Warehouse_Locations'!A156="","",'02_Warehouse_Locations'!A156)</f>
        <v/>
      </c>
      <c r="C157" t="str">
        <f t="shared" si="2"/>
        <v/>
      </c>
      <c r="D157" t="s">
        <v>1075</v>
      </c>
    </row>
    <row r="158" spans="1:4">
      <c r="A158" t="s">
        <v>1074</v>
      </c>
      <c r="B158" t="str">
        <f>IF('02_Warehouse_Locations'!A157="","",'02_Warehouse_Locations'!A157)</f>
        <v/>
      </c>
      <c r="C158" t="str">
        <f t="shared" si="2"/>
        <v/>
      </c>
      <c r="D158" t="s">
        <v>1075</v>
      </c>
    </row>
    <row r="159" spans="1:4">
      <c r="A159" t="s">
        <v>1074</v>
      </c>
      <c r="B159" t="str">
        <f>IF('02_Warehouse_Locations'!A158="","",'02_Warehouse_Locations'!A158)</f>
        <v/>
      </c>
      <c r="C159" t="str">
        <f t="shared" si="2"/>
        <v/>
      </c>
      <c r="D159" t="s">
        <v>1075</v>
      </c>
    </row>
    <row r="160" spans="1:4">
      <c r="A160" t="s">
        <v>1074</v>
      </c>
      <c r="B160" t="str">
        <f>IF('02_Warehouse_Locations'!A159="","",'02_Warehouse_Locations'!A159)</f>
        <v/>
      </c>
      <c r="C160" t="str">
        <f t="shared" si="2"/>
        <v/>
      </c>
      <c r="D160" t="s">
        <v>1075</v>
      </c>
    </row>
    <row r="161" spans="1:4">
      <c r="A161" t="s">
        <v>1074</v>
      </c>
      <c r="B161" t="str">
        <f>IF('02_Warehouse_Locations'!A160="","",'02_Warehouse_Locations'!A160)</f>
        <v/>
      </c>
      <c r="C161" t="str">
        <f t="shared" si="2"/>
        <v/>
      </c>
      <c r="D161" t="s">
        <v>1075</v>
      </c>
    </row>
    <row r="162" spans="1:4">
      <c r="A162" t="s">
        <v>1074</v>
      </c>
      <c r="B162" t="str">
        <f>IF('02_Warehouse_Locations'!A161="","",'02_Warehouse_Locations'!A161)</f>
        <v/>
      </c>
      <c r="C162" t="str">
        <f t="shared" si="2"/>
        <v/>
      </c>
      <c r="D162" t="s">
        <v>1075</v>
      </c>
    </row>
    <row r="163" spans="1:4">
      <c r="A163" t="s">
        <v>1074</v>
      </c>
      <c r="B163" t="str">
        <f>IF('02_Warehouse_Locations'!A162="","",'02_Warehouse_Locations'!A162)</f>
        <v/>
      </c>
      <c r="C163" t="str">
        <f t="shared" si="2"/>
        <v/>
      </c>
      <c r="D163" t="s">
        <v>1075</v>
      </c>
    </row>
    <row r="164" spans="1:4">
      <c r="A164" t="s">
        <v>1074</v>
      </c>
      <c r="B164" t="str">
        <f>IF('02_Warehouse_Locations'!A163="","",'02_Warehouse_Locations'!A163)</f>
        <v/>
      </c>
      <c r="C164" t="str">
        <f t="shared" si="2"/>
        <v/>
      </c>
      <c r="D164" t="s">
        <v>1075</v>
      </c>
    </row>
    <row r="165" spans="1:4">
      <c r="A165" t="s">
        <v>1074</v>
      </c>
      <c r="B165" t="str">
        <f>IF('02_Warehouse_Locations'!A164="","",'02_Warehouse_Locations'!A164)</f>
        <v/>
      </c>
      <c r="C165" t="str">
        <f t="shared" si="2"/>
        <v/>
      </c>
      <c r="D165" t="s">
        <v>1075</v>
      </c>
    </row>
    <row r="166" spans="1:4">
      <c r="A166" t="s">
        <v>1074</v>
      </c>
      <c r="B166" t="str">
        <f>IF('02_Warehouse_Locations'!A165="","",'02_Warehouse_Locations'!A165)</f>
        <v/>
      </c>
      <c r="C166" t="str">
        <f t="shared" si="2"/>
        <v/>
      </c>
      <c r="D166" t="s">
        <v>1075</v>
      </c>
    </row>
    <row r="167" spans="1:4">
      <c r="A167" t="s">
        <v>1074</v>
      </c>
      <c r="B167" t="str">
        <f>IF('02_Warehouse_Locations'!A166="","",'02_Warehouse_Locations'!A166)</f>
        <v/>
      </c>
      <c r="C167" t="str">
        <f t="shared" si="2"/>
        <v/>
      </c>
      <c r="D167" t="s">
        <v>1075</v>
      </c>
    </row>
    <row r="168" spans="1:4">
      <c r="A168" t="s">
        <v>1074</v>
      </c>
      <c r="B168" t="str">
        <f>IF('02_Warehouse_Locations'!A167="","",'02_Warehouse_Locations'!A167)</f>
        <v/>
      </c>
      <c r="C168" t="str">
        <f t="shared" si="2"/>
        <v/>
      </c>
      <c r="D168" t="s">
        <v>1075</v>
      </c>
    </row>
    <row r="169" spans="1:4">
      <c r="A169" t="s">
        <v>1074</v>
      </c>
      <c r="B169" t="str">
        <f>IF('02_Warehouse_Locations'!A168="","",'02_Warehouse_Locations'!A168)</f>
        <v/>
      </c>
      <c r="C169" t="str">
        <f t="shared" si="2"/>
        <v/>
      </c>
      <c r="D169" t="s">
        <v>1075</v>
      </c>
    </row>
    <row r="170" spans="1:4">
      <c r="A170" t="s">
        <v>1074</v>
      </c>
      <c r="B170" t="str">
        <f>IF('02_Warehouse_Locations'!A169="","",'02_Warehouse_Locations'!A169)</f>
        <v/>
      </c>
      <c r="C170" t="str">
        <f t="shared" si="2"/>
        <v/>
      </c>
      <c r="D170" t="s">
        <v>1075</v>
      </c>
    </row>
    <row r="171" spans="1:4">
      <c r="A171" t="s">
        <v>1074</v>
      </c>
      <c r="B171" t="str">
        <f>IF('02_Warehouse_Locations'!A170="","",'02_Warehouse_Locations'!A170)</f>
        <v/>
      </c>
      <c r="C171" t="str">
        <f t="shared" si="2"/>
        <v/>
      </c>
      <c r="D171" t="s">
        <v>1075</v>
      </c>
    </row>
    <row r="172" spans="1:4">
      <c r="A172" t="s">
        <v>1074</v>
      </c>
      <c r="B172" t="str">
        <f>IF('02_Warehouse_Locations'!A171="","",'02_Warehouse_Locations'!A171)</f>
        <v/>
      </c>
      <c r="C172" t="str">
        <f t="shared" si="2"/>
        <v/>
      </c>
      <c r="D172" t="s">
        <v>1075</v>
      </c>
    </row>
    <row r="173" spans="1:4">
      <c r="A173" t="s">
        <v>1074</v>
      </c>
      <c r="B173" t="str">
        <f>IF('02_Warehouse_Locations'!A172="","",'02_Warehouse_Locations'!A172)</f>
        <v/>
      </c>
      <c r="C173" t="str">
        <f t="shared" si="2"/>
        <v/>
      </c>
      <c r="D173" t="s">
        <v>1075</v>
      </c>
    </row>
    <row r="174" spans="1:4">
      <c r="A174" t="s">
        <v>1074</v>
      </c>
      <c r="B174" t="str">
        <f>IF('02_Warehouse_Locations'!A173="","",'02_Warehouse_Locations'!A173)</f>
        <v/>
      </c>
      <c r="C174" t="str">
        <f t="shared" si="2"/>
        <v/>
      </c>
      <c r="D174" t="s">
        <v>1075</v>
      </c>
    </row>
    <row r="175" spans="1:4">
      <c r="A175" t="s">
        <v>1074</v>
      </c>
      <c r="B175" t="str">
        <f>IF('02_Warehouse_Locations'!A174="","",'02_Warehouse_Locations'!A174)</f>
        <v/>
      </c>
      <c r="C175" t="str">
        <f t="shared" si="2"/>
        <v/>
      </c>
      <c r="D175" t="s">
        <v>1075</v>
      </c>
    </row>
    <row r="176" spans="1:4">
      <c r="A176" t="s">
        <v>1074</v>
      </c>
      <c r="B176" t="str">
        <f>IF('02_Warehouse_Locations'!A175="","",'02_Warehouse_Locations'!A175)</f>
        <v/>
      </c>
      <c r="C176" t="str">
        <f t="shared" si="2"/>
        <v/>
      </c>
      <c r="D176" t="s">
        <v>1075</v>
      </c>
    </row>
    <row r="177" spans="1:4">
      <c r="A177" t="s">
        <v>1074</v>
      </c>
      <c r="B177" t="str">
        <f>IF('02_Warehouse_Locations'!A176="","",'02_Warehouse_Locations'!A176)</f>
        <v/>
      </c>
      <c r="C177" t="str">
        <f t="shared" si="2"/>
        <v/>
      </c>
      <c r="D177" t="s">
        <v>1075</v>
      </c>
    </row>
    <row r="178" spans="1:4">
      <c r="A178" t="s">
        <v>1074</v>
      </c>
      <c r="B178" t="str">
        <f>IF('02_Warehouse_Locations'!A177="","",'02_Warehouse_Locations'!A177)</f>
        <v/>
      </c>
      <c r="C178" t="str">
        <f t="shared" si="2"/>
        <v/>
      </c>
      <c r="D178" t="s">
        <v>1075</v>
      </c>
    </row>
    <row r="179" spans="1:4">
      <c r="A179" t="s">
        <v>1074</v>
      </c>
      <c r="B179" t="str">
        <f>IF('02_Warehouse_Locations'!A178="","",'02_Warehouse_Locations'!A178)</f>
        <v/>
      </c>
      <c r="C179" t="str">
        <f t="shared" si="2"/>
        <v/>
      </c>
      <c r="D179" t="s">
        <v>1075</v>
      </c>
    </row>
    <row r="180" spans="1:4">
      <c r="A180" t="s">
        <v>1074</v>
      </c>
      <c r="B180" t="str">
        <f>IF('02_Warehouse_Locations'!A179="","",'02_Warehouse_Locations'!A179)</f>
        <v/>
      </c>
      <c r="C180" t="str">
        <f t="shared" si="2"/>
        <v/>
      </c>
      <c r="D180" t="s">
        <v>1075</v>
      </c>
    </row>
    <row r="181" spans="1:4">
      <c r="A181" t="s">
        <v>1074</v>
      </c>
      <c r="B181" t="str">
        <f>IF('02_Warehouse_Locations'!A180="","",'02_Warehouse_Locations'!A180)</f>
        <v/>
      </c>
      <c r="C181" t="str">
        <f t="shared" si="2"/>
        <v/>
      </c>
      <c r="D181" t="s">
        <v>1075</v>
      </c>
    </row>
    <row r="182" spans="1:4">
      <c r="A182" t="s">
        <v>1074</v>
      </c>
      <c r="B182" t="str">
        <f>IF('02_Warehouse_Locations'!A181="","",'02_Warehouse_Locations'!A181)</f>
        <v/>
      </c>
      <c r="C182" t="str">
        <f t="shared" si="2"/>
        <v/>
      </c>
      <c r="D182" t="s">
        <v>1075</v>
      </c>
    </row>
    <row r="183" spans="1:4">
      <c r="A183" t="s">
        <v>1074</v>
      </c>
      <c r="B183" t="str">
        <f>IF('02_Warehouse_Locations'!A182="","",'02_Warehouse_Locations'!A182)</f>
        <v/>
      </c>
      <c r="C183" t="str">
        <f t="shared" si="2"/>
        <v/>
      </c>
      <c r="D183" t="s">
        <v>1075</v>
      </c>
    </row>
    <row r="184" spans="1:4">
      <c r="A184" t="s">
        <v>1074</v>
      </c>
      <c r="B184" t="str">
        <f>IF('02_Warehouse_Locations'!A183="","",'02_Warehouse_Locations'!A183)</f>
        <v/>
      </c>
      <c r="C184" t="str">
        <f t="shared" si="2"/>
        <v/>
      </c>
      <c r="D184" t="s">
        <v>1075</v>
      </c>
    </row>
    <row r="185" spans="1:4">
      <c r="A185" t="s">
        <v>1074</v>
      </c>
      <c r="B185" t="str">
        <f>IF('02_Warehouse_Locations'!A184="","",'02_Warehouse_Locations'!A184)</f>
        <v/>
      </c>
      <c r="C185" t="str">
        <f t="shared" si="2"/>
        <v/>
      </c>
      <c r="D185" t="s">
        <v>1075</v>
      </c>
    </row>
    <row r="186" spans="1:4">
      <c r="A186" t="s">
        <v>1074</v>
      </c>
      <c r="B186" t="str">
        <f>IF('02_Warehouse_Locations'!A185="","",'02_Warehouse_Locations'!A185)</f>
        <v/>
      </c>
      <c r="C186" t="str">
        <f t="shared" si="2"/>
        <v/>
      </c>
      <c r="D186" t="s">
        <v>1075</v>
      </c>
    </row>
    <row r="187" spans="1:4">
      <c r="A187" t="s">
        <v>1074</v>
      </c>
      <c r="B187" t="str">
        <f>IF('02_Warehouse_Locations'!A186="","",'02_Warehouse_Locations'!A186)</f>
        <v/>
      </c>
      <c r="C187" t="str">
        <f t="shared" si="2"/>
        <v/>
      </c>
      <c r="D187" t="s">
        <v>1075</v>
      </c>
    </row>
    <row r="188" spans="1:4">
      <c r="A188" t="s">
        <v>1074</v>
      </c>
      <c r="B188" t="str">
        <f>IF('02_Warehouse_Locations'!A187="","",'02_Warehouse_Locations'!A187)</f>
        <v/>
      </c>
      <c r="C188" t="str">
        <f t="shared" si="2"/>
        <v/>
      </c>
      <c r="D188" t="s">
        <v>1075</v>
      </c>
    </row>
    <row r="189" spans="1:4">
      <c r="A189" t="s">
        <v>1074</v>
      </c>
      <c r="B189" t="str">
        <f>IF('02_Warehouse_Locations'!A188="","",'02_Warehouse_Locations'!A188)</f>
        <v/>
      </c>
      <c r="C189" t="str">
        <f t="shared" si="2"/>
        <v/>
      </c>
      <c r="D189" t="s">
        <v>1075</v>
      </c>
    </row>
    <row r="190" spans="1:4">
      <c r="A190" t="s">
        <v>1074</v>
      </c>
      <c r="B190" t="str">
        <f>IF('02_Warehouse_Locations'!A189="","",'02_Warehouse_Locations'!A189)</f>
        <v/>
      </c>
      <c r="C190" t="str">
        <f t="shared" si="2"/>
        <v/>
      </c>
      <c r="D190" t="s">
        <v>1075</v>
      </c>
    </row>
    <row r="191" spans="1:4">
      <c r="A191" t="s">
        <v>1074</v>
      </c>
      <c r="B191" t="str">
        <f>IF('02_Warehouse_Locations'!A190="","",'02_Warehouse_Locations'!A190)</f>
        <v/>
      </c>
      <c r="C191" t="str">
        <f t="shared" si="2"/>
        <v/>
      </c>
      <c r="D191" t="s">
        <v>1075</v>
      </c>
    </row>
    <row r="192" spans="1:4">
      <c r="A192" t="s">
        <v>1074</v>
      </c>
      <c r="B192" t="str">
        <f>IF('02_Warehouse_Locations'!A191="","",'02_Warehouse_Locations'!A191)</f>
        <v/>
      </c>
      <c r="C192" t="str">
        <f t="shared" si="2"/>
        <v/>
      </c>
      <c r="D192" t="s">
        <v>1075</v>
      </c>
    </row>
    <row r="193" spans="1:4">
      <c r="A193" t="s">
        <v>1074</v>
      </c>
      <c r="B193" t="str">
        <f>IF('02_Warehouse_Locations'!A192="","",'02_Warehouse_Locations'!A192)</f>
        <v/>
      </c>
      <c r="C193" t="str">
        <f t="shared" si="2"/>
        <v/>
      </c>
      <c r="D193" t="s">
        <v>1075</v>
      </c>
    </row>
    <row r="194" spans="1:4">
      <c r="A194" t="s">
        <v>1074</v>
      </c>
      <c r="B194" t="str">
        <f>IF('02_Warehouse_Locations'!A193="","",'02_Warehouse_Locations'!A193)</f>
        <v/>
      </c>
      <c r="C194" t="str">
        <f t="shared" si="2"/>
        <v/>
      </c>
      <c r="D194" t="s">
        <v>1075</v>
      </c>
    </row>
    <row r="195" spans="1:4">
      <c r="A195" t="s">
        <v>1074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1075</v>
      </c>
    </row>
    <row r="196" spans="1:4">
      <c r="A196" t="s">
        <v>1074</v>
      </c>
      <c r="B196" t="str">
        <f>IF('02_Warehouse_Locations'!A195="","",'02_Warehouse_Locations'!A195)</f>
        <v/>
      </c>
      <c r="C196" t="str">
        <f t="shared" si="3"/>
        <v/>
      </c>
      <c r="D196" t="s">
        <v>1075</v>
      </c>
    </row>
    <row r="197" spans="1:4">
      <c r="A197" t="s">
        <v>1074</v>
      </c>
      <c r="B197" t="str">
        <f>IF('02_Warehouse_Locations'!A196="","",'02_Warehouse_Locations'!A196)</f>
        <v/>
      </c>
      <c r="C197" t="str">
        <f t="shared" si="3"/>
        <v/>
      </c>
      <c r="D197" t="s">
        <v>1075</v>
      </c>
    </row>
    <row r="198" spans="1:4">
      <c r="A198" t="s">
        <v>1074</v>
      </c>
      <c r="B198" t="str">
        <f>IF('02_Warehouse_Locations'!A197="","",'02_Warehouse_Locations'!A197)</f>
        <v/>
      </c>
      <c r="C198" t="str">
        <f t="shared" si="3"/>
        <v/>
      </c>
      <c r="D198" t="s">
        <v>1075</v>
      </c>
    </row>
    <row r="199" spans="1:4">
      <c r="A199" t="s">
        <v>1074</v>
      </c>
      <c r="B199" t="str">
        <f>IF('02_Warehouse_Locations'!A198="","",'02_Warehouse_Locations'!A198)</f>
        <v/>
      </c>
      <c r="C199" t="str">
        <f t="shared" si="3"/>
        <v/>
      </c>
      <c r="D199" t="s">
        <v>1075</v>
      </c>
    </row>
    <row r="200" spans="1:4">
      <c r="A200" t="s">
        <v>1074</v>
      </c>
      <c r="B200" t="str">
        <f>IF('02_Warehouse_Locations'!A199="","",'02_Warehouse_Locations'!A199)</f>
        <v/>
      </c>
      <c r="C200" t="str">
        <f t="shared" si="3"/>
        <v/>
      </c>
      <c r="D200" t="s">
        <v>1075</v>
      </c>
    </row>
    <row r="201" spans="1:4">
      <c r="A201" t="s">
        <v>1074</v>
      </c>
      <c r="B201" t="str">
        <f>IF('02_Warehouse_Locations'!A200="","",'02_Warehouse_Locations'!A200)</f>
        <v/>
      </c>
      <c r="C201" t="str">
        <f t="shared" si="3"/>
        <v/>
      </c>
      <c r="D201" t="s">
        <v>1075</v>
      </c>
    </row>
    <row r="202" spans="1:4">
      <c r="A202" t="s">
        <v>1074</v>
      </c>
      <c r="B202" t="str">
        <f>IF('02_Warehouse_Locations'!A201="","",'02_Warehouse_Locations'!A201)</f>
        <v/>
      </c>
      <c r="C202" t="str">
        <f t="shared" si="3"/>
        <v/>
      </c>
      <c r="D202" t="s">
        <v>1075</v>
      </c>
    </row>
    <row r="203" spans="1:4">
      <c r="A203" t="s">
        <v>1074</v>
      </c>
      <c r="B203" t="str">
        <f>IF('02_Warehouse_Locations'!A202="","",'02_Warehouse_Locations'!A202)</f>
        <v/>
      </c>
      <c r="C203" t="str">
        <f t="shared" si="3"/>
        <v/>
      </c>
      <c r="D203" t="s">
        <v>1075</v>
      </c>
    </row>
    <row r="204" spans="1:4">
      <c r="A204" t="s">
        <v>1074</v>
      </c>
      <c r="B204" t="str">
        <f>IF('02_Warehouse_Locations'!A203="","",'02_Warehouse_Locations'!A203)</f>
        <v/>
      </c>
      <c r="C204" t="str">
        <f t="shared" si="3"/>
        <v/>
      </c>
      <c r="D204" t="s">
        <v>1075</v>
      </c>
    </row>
    <row r="205" spans="1:4">
      <c r="A205" t="s">
        <v>1074</v>
      </c>
      <c r="B205" t="str">
        <f>IF('02_Warehouse_Locations'!A204="","",'02_Warehouse_Locations'!A204)</f>
        <v/>
      </c>
      <c r="C205" t="str">
        <f t="shared" si="3"/>
        <v/>
      </c>
      <c r="D205" t="s">
        <v>1075</v>
      </c>
    </row>
    <row r="206" spans="1:4">
      <c r="A206" t="s">
        <v>1074</v>
      </c>
      <c r="B206" t="str">
        <f>IF('02_Warehouse_Locations'!A205="","",'02_Warehouse_Locations'!A205)</f>
        <v/>
      </c>
      <c r="C206" t="str">
        <f t="shared" si="3"/>
        <v/>
      </c>
      <c r="D206" t="s">
        <v>1075</v>
      </c>
    </row>
    <row r="207" spans="1:4">
      <c r="A207" t="s">
        <v>1074</v>
      </c>
      <c r="B207" t="str">
        <f>IF('02_Warehouse_Locations'!A206="","",'02_Warehouse_Locations'!A206)</f>
        <v/>
      </c>
      <c r="C207" t="str">
        <f t="shared" si="3"/>
        <v/>
      </c>
      <c r="D207" t="s">
        <v>1075</v>
      </c>
    </row>
    <row r="208" spans="1:4">
      <c r="A208" t="s">
        <v>1074</v>
      </c>
      <c r="B208" t="str">
        <f>IF('02_Warehouse_Locations'!A207="","",'02_Warehouse_Locations'!A207)</f>
        <v/>
      </c>
      <c r="C208" t="str">
        <f t="shared" si="3"/>
        <v/>
      </c>
      <c r="D208" t="s">
        <v>1075</v>
      </c>
    </row>
    <row r="209" spans="1:4">
      <c r="A209" t="s">
        <v>1074</v>
      </c>
      <c r="B209" t="str">
        <f>IF('02_Warehouse_Locations'!A208="","",'02_Warehouse_Locations'!A208)</f>
        <v/>
      </c>
      <c r="C209" t="str">
        <f t="shared" si="3"/>
        <v/>
      </c>
      <c r="D209" t="s">
        <v>1075</v>
      </c>
    </row>
    <row r="210" spans="1:4">
      <c r="A210" t="s">
        <v>1074</v>
      </c>
      <c r="B210" t="str">
        <f>IF('02_Warehouse_Locations'!A209="","",'02_Warehouse_Locations'!A209)</f>
        <v/>
      </c>
      <c r="C210" t="str">
        <f t="shared" si="3"/>
        <v/>
      </c>
      <c r="D210" t="s">
        <v>1075</v>
      </c>
    </row>
    <row r="211" spans="1:4">
      <c r="A211" t="s">
        <v>1074</v>
      </c>
      <c r="B211" t="str">
        <f>IF('02_Warehouse_Locations'!A210="","",'02_Warehouse_Locations'!A210)</f>
        <v/>
      </c>
      <c r="C211" t="str">
        <f t="shared" si="3"/>
        <v/>
      </c>
      <c r="D211" t="s">
        <v>1075</v>
      </c>
    </row>
    <row r="212" spans="1:4">
      <c r="A212" t="s">
        <v>1074</v>
      </c>
      <c r="B212" t="str">
        <f>IF('02_Warehouse_Locations'!A211="","",'02_Warehouse_Locations'!A211)</f>
        <v/>
      </c>
      <c r="C212" t="str">
        <f t="shared" si="3"/>
        <v/>
      </c>
      <c r="D212" t="s">
        <v>1075</v>
      </c>
    </row>
    <row r="213" spans="1:4">
      <c r="A213" t="s">
        <v>1074</v>
      </c>
      <c r="B213" t="str">
        <f>IF('02_Warehouse_Locations'!A212="","",'02_Warehouse_Locations'!A212)</f>
        <v/>
      </c>
      <c r="C213" t="str">
        <f t="shared" si="3"/>
        <v/>
      </c>
      <c r="D213" t="s">
        <v>1075</v>
      </c>
    </row>
    <row r="214" spans="1:4">
      <c r="A214" t="s">
        <v>1074</v>
      </c>
      <c r="B214" t="str">
        <f>IF('02_Warehouse_Locations'!A213="","",'02_Warehouse_Locations'!A213)</f>
        <v/>
      </c>
      <c r="C214" t="str">
        <f t="shared" si="3"/>
        <v/>
      </c>
      <c r="D214" t="s">
        <v>1075</v>
      </c>
    </row>
    <row r="215" spans="1:4">
      <c r="A215" t="s">
        <v>1074</v>
      </c>
      <c r="B215" t="str">
        <f>IF('02_Warehouse_Locations'!A214="","",'02_Warehouse_Locations'!A214)</f>
        <v/>
      </c>
      <c r="C215" t="str">
        <f t="shared" si="3"/>
        <v/>
      </c>
      <c r="D215" t="s">
        <v>1075</v>
      </c>
    </row>
    <row r="216" spans="1:4">
      <c r="A216" t="s">
        <v>1074</v>
      </c>
      <c r="B216" t="str">
        <f>IF('02_Warehouse_Locations'!A215="","",'02_Warehouse_Locations'!A215)</f>
        <v/>
      </c>
      <c r="C216" t="str">
        <f t="shared" si="3"/>
        <v/>
      </c>
      <c r="D216" t="s">
        <v>1075</v>
      </c>
    </row>
    <row r="217" spans="1:4">
      <c r="A217" t="s">
        <v>1074</v>
      </c>
      <c r="B217" t="str">
        <f>IF('02_Warehouse_Locations'!A216="","",'02_Warehouse_Locations'!A216)</f>
        <v/>
      </c>
      <c r="C217" t="str">
        <f t="shared" si="3"/>
        <v/>
      </c>
      <c r="D217" t="s">
        <v>1075</v>
      </c>
    </row>
    <row r="218" spans="1:4">
      <c r="A218" t="s">
        <v>1074</v>
      </c>
      <c r="B218" t="str">
        <f>IF('02_Warehouse_Locations'!A217="","",'02_Warehouse_Locations'!A217)</f>
        <v/>
      </c>
      <c r="C218" t="str">
        <f t="shared" si="3"/>
        <v/>
      </c>
      <c r="D218" t="s">
        <v>1075</v>
      </c>
    </row>
    <row r="219" spans="1:4">
      <c r="A219" t="s">
        <v>1074</v>
      </c>
      <c r="B219" t="str">
        <f>IF('02_Warehouse_Locations'!A218="","",'02_Warehouse_Locations'!A218)</f>
        <v/>
      </c>
      <c r="C219" t="str">
        <f t="shared" si="3"/>
        <v/>
      </c>
      <c r="D219" t="s">
        <v>1075</v>
      </c>
    </row>
    <row r="220" spans="1:4">
      <c r="A220" t="s">
        <v>1074</v>
      </c>
      <c r="B220" t="str">
        <f>IF('02_Warehouse_Locations'!A219="","",'02_Warehouse_Locations'!A219)</f>
        <v/>
      </c>
      <c r="C220" t="str">
        <f t="shared" si="3"/>
        <v/>
      </c>
      <c r="D220" t="s">
        <v>1075</v>
      </c>
    </row>
    <row r="221" spans="1:4">
      <c r="A221" t="s">
        <v>1074</v>
      </c>
      <c r="B221" t="str">
        <f>IF('02_Warehouse_Locations'!A220="","",'02_Warehouse_Locations'!A220)</f>
        <v/>
      </c>
      <c r="C221" t="str">
        <f t="shared" si="3"/>
        <v/>
      </c>
      <c r="D221" t="s">
        <v>1075</v>
      </c>
    </row>
    <row r="222" spans="1:4">
      <c r="A222" t="s">
        <v>1074</v>
      </c>
      <c r="B222" t="str">
        <f>IF('02_Warehouse_Locations'!A221="","",'02_Warehouse_Locations'!A221)</f>
        <v/>
      </c>
      <c r="C222" t="str">
        <f t="shared" si="3"/>
        <v/>
      </c>
      <c r="D222" t="s">
        <v>1075</v>
      </c>
    </row>
    <row r="223" spans="1:4">
      <c r="A223" t="s">
        <v>1074</v>
      </c>
      <c r="B223" t="str">
        <f>IF('02_Warehouse_Locations'!A222="","",'02_Warehouse_Locations'!A222)</f>
        <v/>
      </c>
      <c r="C223" t="str">
        <f t="shared" si="3"/>
        <v/>
      </c>
      <c r="D223" t="s">
        <v>1075</v>
      </c>
    </row>
    <row r="224" spans="1:4">
      <c r="A224" t="s">
        <v>1074</v>
      </c>
      <c r="B224" t="str">
        <f>IF('02_Warehouse_Locations'!A223="","",'02_Warehouse_Locations'!A223)</f>
        <v/>
      </c>
      <c r="C224" t="str">
        <f t="shared" si="3"/>
        <v/>
      </c>
      <c r="D224" t="s">
        <v>1075</v>
      </c>
    </row>
    <row r="225" spans="1:4">
      <c r="A225" t="s">
        <v>1074</v>
      </c>
      <c r="B225" t="str">
        <f>IF('02_Warehouse_Locations'!A224="","",'02_Warehouse_Locations'!A224)</f>
        <v/>
      </c>
      <c r="C225" t="str">
        <f t="shared" si="3"/>
        <v/>
      </c>
      <c r="D225" t="s">
        <v>1075</v>
      </c>
    </row>
    <row r="226" spans="1:4">
      <c r="A226" t="s">
        <v>1074</v>
      </c>
      <c r="B226" t="str">
        <f>IF('02_Warehouse_Locations'!A225="","",'02_Warehouse_Locations'!A225)</f>
        <v/>
      </c>
      <c r="C226" t="str">
        <f t="shared" si="3"/>
        <v/>
      </c>
      <c r="D226" t="s">
        <v>1075</v>
      </c>
    </row>
    <row r="227" spans="1:4">
      <c r="A227" t="s">
        <v>1074</v>
      </c>
      <c r="B227" t="str">
        <f>IF('02_Warehouse_Locations'!A226="","",'02_Warehouse_Locations'!A226)</f>
        <v/>
      </c>
      <c r="C227" t="str">
        <f t="shared" si="3"/>
        <v/>
      </c>
      <c r="D227" t="s">
        <v>1075</v>
      </c>
    </row>
    <row r="228" spans="1:4">
      <c r="A228" t="s">
        <v>1074</v>
      </c>
      <c r="B228" t="str">
        <f>IF('02_Warehouse_Locations'!A227="","",'02_Warehouse_Locations'!A227)</f>
        <v/>
      </c>
      <c r="C228" t="str">
        <f t="shared" si="3"/>
        <v/>
      </c>
      <c r="D228" t="s">
        <v>1075</v>
      </c>
    </row>
    <row r="229" spans="1:4">
      <c r="A229" t="s">
        <v>1074</v>
      </c>
      <c r="B229" t="str">
        <f>IF('02_Warehouse_Locations'!A228="","",'02_Warehouse_Locations'!A228)</f>
        <v/>
      </c>
      <c r="C229" t="str">
        <f t="shared" si="3"/>
        <v/>
      </c>
      <c r="D229" t="s">
        <v>1075</v>
      </c>
    </row>
    <row r="230" spans="1:4">
      <c r="A230" t="s">
        <v>1074</v>
      </c>
      <c r="B230" t="str">
        <f>IF('02_Warehouse_Locations'!A229="","",'02_Warehouse_Locations'!A229)</f>
        <v/>
      </c>
      <c r="C230" t="str">
        <f t="shared" si="3"/>
        <v/>
      </c>
      <c r="D230" t="s">
        <v>1075</v>
      </c>
    </row>
    <row r="231" spans="1:4">
      <c r="A231" t="s">
        <v>1074</v>
      </c>
      <c r="B231" t="str">
        <f>IF('02_Warehouse_Locations'!A230="","",'02_Warehouse_Locations'!A230)</f>
        <v/>
      </c>
      <c r="C231" t="str">
        <f t="shared" si="3"/>
        <v/>
      </c>
      <c r="D231" t="s">
        <v>1075</v>
      </c>
    </row>
    <row r="232" spans="1:4">
      <c r="A232" t="s">
        <v>1074</v>
      </c>
      <c r="B232" t="str">
        <f>IF('02_Warehouse_Locations'!A231="","",'02_Warehouse_Locations'!A231)</f>
        <v/>
      </c>
      <c r="C232" t="str">
        <f t="shared" si="3"/>
        <v/>
      </c>
      <c r="D232" t="s">
        <v>1075</v>
      </c>
    </row>
    <row r="233" spans="1:4">
      <c r="A233" t="s">
        <v>1074</v>
      </c>
      <c r="B233" t="str">
        <f>IF('02_Warehouse_Locations'!A232="","",'02_Warehouse_Locations'!A232)</f>
        <v/>
      </c>
      <c r="C233" t="str">
        <f t="shared" si="3"/>
        <v/>
      </c>
      <c r="D233" t="s">
        <v>1075</v>
      </c>
    </row>
    <row r="234" spans="1:4">
      <c r="A234" t="s">
        <v>1074</v>
      </c>
      <c r="B234" t="str">
        <f>IF('02_Warehouse_Locations'!A233="","",'02_Warehouse_Locations'!A233)</f>
        <v/>
      </c>
      <c r="C234" t="str">
        <f t="shared" si="3"/>
        <v/>
      </c>
      <c r="D234" t="s">
        <v>1075</v>
      </c>
    </row>
    <row r="235" spans="1:4">
      <c r="A235" t="s">
        <v>1074</v>
      </c>
      <c r="B235" t="str">
        <f>IF('02_Warehouse_Locations'!A234="","",'02_Warehouse_Locations'!A234)</f>
        <v/>
      </c>
      <c r="C235" t="str">
        <f t="shared" si="3"/>
        <v/>
      </c>
      <c r="D235" t="s">
        <v>1075</v>
      </c>
    </row>
    <row r="236" spans="1:4">
      <c r="A236" t="s">
        <v>1074</v>
      </c>
      <c r="B236" t="str">
        <f>IF('02_Warehouse_Locations'!A235="","",'02_Warehouse_Locations'!A235)</f>
        <v/>
      </c>
      <c r="C236" t="str">
        <f t="shared" si="3"/>
        <v/>
      </c>
      <c r="D236" t="s">
        <v>1075</v>
      </c>
    </row>
    <row r="237" spans="1:4">
      <c r="A237" t="s">
        <v>1074</v>
      </c>
      <c r="B237" t="str">
        <f>IF('02_Warehouse_Locations'!A236="","",'02_Warehouse_Locations'!A236)</f>
        <v/>
      </c>
      <c r="C237" t="str">
        <f t="shared" si="3"/>
        <v/>
      </c>
      <c r="D237" t="s">
        <v>1075</v>
      </c>
    </row>
    <row r="238" spans="1:4">
      <c r="A238" t="s">
        <v>1074</v>
      </c>
      <c r="B238" t="str">
        <f>IF('02_Warehouse_Locations'!A237="","",'02_Warehouse_Locations'!A237)</f>
        <v/>
      </c>
      <c r="C238" t="str">
        <f t="shared" si="3"/>
        <v/>
      </c>
      <c r="D238" t="s">
        <v>1075</v>
      </c>
    </row>
    <row r="239" spans="1:4">
      <c r="A239" t="s">
        <v>1074</v>
      </c>
      <c r="B239" t="str">
        <f>IF('02_Warehouse_Locations'!A238="","",'02_Warehouse_Locations'!A238)</f>
        <v/>
      </c>
      <c r="C239" t="str">
        <f t="shared" si="3"/>
        <v/>
      </c>
      <c r="D239" t="s">
        <v>1075</v>
      </c>
    </row>
    <row r="240" spans="1:4">
      <c r="A240" t="s">
        <v>1074</v>
      </c>
      <c r="B240" t="str">
        <f>IF('02_Warehouse_Locations'!A239="","",'02_Warehouse_Locations'!A239)</f>
        <v/>
      </c>
      <c r="C240" t="str">
        <f t="shared" si="3"/>
        <v/>
      </c>
      <c r="D240" t="s">
        <v>1075</v>
      </c>
    </row>
    <row r="241" spans="1:4">
      <c r="A241" t="s">
        <v>1074</v>
      </c>
      <c r="B241" t="str">
        <f>IF('02_Warehouse_Locations'!A240="","",'02_Warehouse_Locations'!A240)</f>
        <v/>
      </c>
      <c r="C241" t="str">
        <f t="shared" si="3"/>
        <v/>
      </c>
      <c r="D241" t="s">
        <v>1075</v>
      </c>
    </row>
    <row r="242" spans="1:4">
      <c r="A242" t="s">
        <v>1074</v>
      </c>
      <c r="B242" t="str">
        <f>IF('02_Warehouse_Locations'!A241="","",'02_Warehouse_Locations'!A241)</f>
        <v/>
      </c>
      <c r="C242" t="str">
        <f t="shared" si="3"/>
        <v/>
      </c>
      <c r="D242" t="s">
        <v>1075</v>
      </c>
    </row>
    <row r="243" spans="1:4">
      <c r="A243" t="s">
        <v>1074</v>
      </c>
      <c r="B243" t="str">
        <f>IF('02_Warehouse_Locations'!A242="","",'02_Warehouse_Locations'!A242)</f>
        <v/>
      </c>
      <c r="C243" t="str">
        <f t="shared" si="3"/>
        <v/>
      </c>
      <c r="D243" t="s">
        <v>1075</v>
      </c>
    </row>
    <row r="244" spans="1:4">
      <c r="A244" t="s">
        <v>1074</v>
      </c>
      <c r="B244" t="str">
        <f>IF('02_Warehouse_Locations'!A243="","",'02_Warehouse_Locations'!A243)</f>
        <v/>
      </c>
      <c r="C244" t="str">
        <f t="shared" si="3"/>
        <v/>
      </c>
      <c r="D244" t="s">
        <v>1075</v>
      </c>
    </row>
    <row r="245" spans="1:4">
      <c r="A245" t="s">
        <v>1074</v>
      </c>
      <c r="B245" t="str">
        <f>IF('02_Warehouse_Locations'!A244="","",'02_Warehouse_Locations'!A244)</f>
        <v/>
      </c>
      <c r="C245" t="str">
        <f t="shared" si="3"/>
        <v/>
      </c>
      <c r="D245" t="s">
        <v>1075</v>
      </c>
    </row>
    <row r="246" spans="1:4">
      <c r="A246" t="s">
        <v>1074</v>
      </c>
      <c r="B246" t="str">
        <f>IF('02_Warehouse_Locations'!A245="","",'02_Warehouse_Locations'!A245)</f>
        <v/>
      </c>
      <c r="C246" t="str">
        <f t="shared" si="3"/>
        <v/>
      </c>
      <c r="D246" t="s">
        <v>1075</v>
      </c>
    </row>
    <row r="247" spans="1:4">
      <c r="A247" t="s">
        <v>1074</v>
      </c>
      <c r="B247" t="str">
        <f>IF('02_Warehouse_Locations'!A246="","",'02_Warehouse_Locations'!A246)</f>
        <v/>
      </c>
      <c r="C247" t="str">
        <f t="shared" si="3"/>
        <v/>
      </c>
      <c r="D247" t="s">
        <v>1075</v>
      </c>
    </row>
    <row r="248" spans="1:4">
      <c r="A248" t="s">
        <v>1074</v>
      </c>
      <c r="B248" t="str">
        <f>IF('02_Warehouse_Locations'!A247="","",'02_Warehouse_Locations'!A247)</f>
        <v/>
      </c>
      <c r="C248" t="str">
        <f t="shared" si="3"/>
        <v/>
      </c>
      <c r="D248" t="s">
        <v>1075</v>
      </c>
    </row>
    <row r="249" spans="1:4">
      <c r="A249" t="s">
        <v>1074</v>
      </c>
      <c r="B249" t="str">
        <f>IF('02_Warehouse_Locations'!A248="","",'02_Warehouse_Locations'!A248)</f>
        <v/>
      </c>
      <c r="C249" t="str">
        <f t="shared" si="3"/>
        <v/>
      </c>
      <c r="D249" t="s">
        <v>1075</v>
      </c>
    </row>
    <row r="250" spans="1:4">
      <c r="A250" t="s">
        <v>1074</v>
      </c>
      <c r="B250" t="str">
        <f>IF('02_Warehouse_Locations'!A249="","",'02_Warehouse_Locations'!A249)</f>
        <v/>
      </c>
      <c r="C250" t="str">
        <f t="shared" si="3"/>
        <v/>
      </c>
      <c r="D250" t="s">
        <v>1075</v>
      </c>
    </row>
    <row r="251" spans="1:4">
      <c r="A251" t="s">
        <v>1074</v>
      </c>
      <c r="B251" t="str">
        <f>IF('02_Warehouse_Locations'!A250="","",'02_Warehouse_Locations'!A250)</f>
        <v/>
      </c>
      <c r="C251" t="str">
        <f t="shared" si="3"/>
        <v/>
      </c>
      <c r="D251" t="s">
        <v>1075</v>
      </c>
    </row>
    <row r="252" spans="1:4">
      <c r="A252" t="s">
        <v>1074</v>
      </c>
      <c r="B252" t="str">
        <f>IF('02_Warehouse_Locations'!A251="","",'02_Warehouse_Locations'!A251)</f>
        <v/>
      </c>
      <c r="C252" t="str">
        <f t="shared" si="3"/>
        <v/>
      </c>
      <c r="D252" t="s">
        <v>1075</v>
      </c>
    </row>
    <row r="253" spans="1:4">
      <c r="A253" t="s">
        <v>1074</v>
      </c>
      <c r="B253" t="str">
        <f>IF('02_Warehouse_Locations'!A252="","",'02_Warehouse_Locations'!A252)</f>
        <v/>
      </c>
      <c r="C253" t="str">
        <f t="shared" si="3"/>
        <v/>
      </c>
      <c r="D253" t="s">
        <v>1075</v>
      </c>
    </row>
    <row r="254" spans="1:4">
      <c r="A254" t="s">
        <v>1074</v>
      </c>
      <c r="B254" t="str">
        <f>IF('02_Warehouse_Locations'!A253="","",'02_Warehouse_Locations'!A253)</f>
        <v/>
      </c>
      <c r="C254" t="str">
        <f t="shared" si="3"/>
        <v/>
      </c>
      <c r="D254" t="s">
        <v>1075</v>
      </c>
    </row>
    <row r="255" spans="1:4">
      <c r="A255" t="s">
        <v>1074</v>
      </c>
      <c r="B255" t="str">
        <f>IF('02_Warehouse_Locations'!A254="","",'02_Warehouse_Locations'!A254)</f>
        <v/>
      </c>
      <c r="C255" t="str">
        <f t="shared" si="3"/>
        <v/>
      </c>
      <c r="D255" t="s">
        <v>1075</v>
      </c>
    </row>
    <row r="256" spans="1:4">
      <c r="A256" t="s">
        <v>1074</v>
      </c>
      <c r="B256" t="str">
        <f>IF('02_Warehouse_Locations'!A255="","",'02_Warehouse_Locations'!A255)</f>
        <v/>
      </c>
      <c r="C256" t="str">
        <f t="shared" si="3"/>
        <v/>
      </c>
      <c r="D256" t="s">
        <v>1075</v>
      </c>
    </row>
    <row r="257" spans="1:4">
      <c r="A257" t="s">
        <v>1074</v>
      </c>
      <c r="B257" t="str">
        <f>IF('02_Warehouse_Locations'!A256="","",'02_Warehouse_Locations'!A256)</f>
        <v/>
      </c>
      <c r="C257" t="str">
        <f t="shared" si="3"/>
        <v/>
      </c>
      <c r="D257" t="s">
        <v>1075</v>
      </c>
    </row>
    <row r="258" spans="1:4">
      <c r="A258" t="s">
        <v>1074</v>
      </c>
      <c r="B258" t="str">
        <f>IF('02_Warehouse_Locations'!A257="","",'02_Warehouse_Locations'!A257)</f>
        <v/>
      </c>
      <c r="C258" t="str">
        <f t="shared" si="3"/>
        <v/>
      </c>
      <c r="D258" t="s">
        <v>1075</v>
      </c>
    </row>
    <row r="259" spans="1:4">
      <c r="A259" t="s">
        <v>1074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1075</v>
      </c>
    </row>
    <row r="260" spans="1:4">
      <c r="A260" t="s">
        <v>1074</v>
      </c>
      <c r="B260" t="str">
        <f>IF('02_Warehouse_Locations'!A259="","",'02_Warehouse_Locations'!A259)</f>
        <v/>
      </c>
      <c r="C260" t="str">
        <f t="shared" si="4"/>
        <v/>
      </c>
      <c r="D260" t="s">
        <v>1075</v>
      </c>
    </row>
    <row r="261" spans="1:4">
      <c r="A261" t="s">
        <v>1074</v>
      </c>
      <c r="B261" t="str">
        <f>IF('02_Warehouse_Locations'!A260="","",'02_Warehouse_Locations'!A260)</f>
        <v/>
      </c>
      <c r="C261" t="str">
        <f t="shared" si="4"/>
        <v/>
      </c>
      <c r="D261" t="s">
        <v>1075</v>
      </c>
    </row>
    <row r="262" spans="1:4">
      <c r="A262" t="s">
        <v>1074</v>
      </c>
      <c r="B262" t="str">
        <f>IF('02_Warehouse_Locations'!A261="","",'02_Warehouse_Locations'!A261)</f>
        <v/>
      </c>
      <c r="C262" t="str">
        <f t="shared" si="4"/>
        <v/>
      </c>
      <c r="D262" t="s">
        <v>1075</v>
      </c>
    </row>
    <row r="263" spans="1:4">
      <c r="A263" t="s">
        <v>1074</v>
      </c>
      <c r="B263" t="str">
        <f>IF('02_Warehouse_Locations'!A262="","",'02_Warehouse_Locations'!A262)</f>
        <v/>
      </c>
      <c r="C263" t="str">
        <f t="shared" si="4"/>
        <v/>
      </c>
      <c r="D263" t="s">
        <v>1075</v>
      </c>
    </row>
    <row r="264" spans="1:4">
      <c r="A264" t="s">
        <v>1074</v>
      </c>
      <c r="B264" t="str">
        <f>IF('02_Warehouse_Locations'!A263="","",'02_Warehouse_Locations'!A263)</f>
        <v/>
      </c>
      <c r="C264" t="str">
        <f t="shared" si="4"/>
        <v/>
      </c>
      <c r="D264" t="s">
        <v>1075</v>
      </c>
    </row>
    <row r="265" spans="1:4">
      <c r="A265" t="s">
        <v>1074</v>
      </c>
      <c r="B265" t="str">
        <f>IF('02_Warehouse_Locations'!A264="","",'02_Warehouse_Locations'!A264)</f>
        <v/>
      </c>
      <c r="C265" t="str">
        <f t="shared" si="4"/>
        <v/>
      </c>
      <c r="D265" t="s">
        <v>1075</v>
      </c>
    </row>
    <row r="266" spans="1:4">
      <c r="A266" t="s">
        <v>1074</v>
      </c>
      <c r="B266" t="str">
        <f>IF('02_Warehouse_Locations'!A265="","",'02_Warehouse_Locations'!A265)</f>
        <v/>
      </c>
      <c r="C266" t="str">
        <f t="shared" si="4"/>
        <v/>
      </c>
      <c r="D266" t="s">
        <v>1075</v>
      </c>
    </row>
    <row r="267" spans="1:4">
      <c r="A267" t="s">
        <v>1074</v>
      </c>
      <c r="B267" t="str">
        <f>IF('02_Warehouse_Locations'!A266="","",'02_Warehouse_Locations'!A266)</f>
        <v/>
      </c>
      <c r="C267" t="str">
        <f t="shared" si="4"/>
        <v/>
      </c>
      <c r="D267" t="s">
        <v>1075</v>
      </c>
    </row>
    <row r="268" spans="1:4">
      <c r="A268" t="s">
        <v>1074</v>
      </c>
      <c r="B268" t="str">
        <f>IF('02_Warehouse_Locations'!A267="","",'02_Warehouse_Locations'!A267)</f>
        <v/>
      </c>
      <c r="C268" t="str">
        <f t="shared" si="4"/>
        <v/>
      </c>
      <c r="D268" t="s">
        <v>1075</v>
      </c>
    </row>
    <row r="269" spans="1:4">
      <c r="A269" t="s">
        <v>1074</v>
      </c>
      <c r="B269" t="str">
        <f>IF('02_Warehouse_Locations'!A268="","",'02_Warehouse_Locations'!A268)</f>
        <v/>
      </c>
      <c r="C269" t="str">
        <f t="shared" si="4"/>
        <v/>
      </c>
      <c r="D269" t="s">
        <v>1075</v>
      </c>
    </row>
    <row r="270" spans="1:4">
      <c r="A270" t="s">
        <v>1074</v>
      </c>
      <c r="B270" t="str">
        <f>IF('02_Warehouse_Locations'!A269="","",'02_Warehouse_Locations'!A269)</f>
        <v/>
      </c>
      <c r="C270" t="str">
        <f t="shared" si="4"/>
        <v/>
      </c>
      <c r="D270" t="s">
        <v>1075</v>
      </c>
    </row>
    <row r="271" spans="1:4">
      <c r="A271" t="s">
        <v>1074</v>
      </c>
      <c r="B271" t="str">
        <f>IF('02_Warehouse_Locations'!A270="","",'02_Warehouse_Locations'!A270)</f>
        <v/>
      </c>
      <c r="C271" t="str">
        <f t="shared" si="4"/>
        <v/>
      </c>
      <c r="D271" t="s">
        <v>1075</v>
      </c>
    </row>
    <row r="272" spans="1:4">
      <c r="A272" t="s">
        <v>1074</v>
      </c>
      <c r="B272" t="str">
        <f>IF('02_Warehouse_Locations'!A271="","",'02_Warehouse_Locations'!A271)</f>
        <v/>
      </c>
      <c r="C272" t="str">
        <f t="shared" si="4"/>
        <v/>
      </c>
      <c r="D272" t="s">
        <v>1075</v>
      </c>
    </row>
    <row r="273" spans="1:4">
      <c r="A273" t="s">
        <v>1074</v>
      </c>
      <c r="B273" t="str">
        <f>IF('02_Warehouse_Locations'!A272="","",'02_Warehouse_Locations'!A272)</f>
        <v/>
      </c>
      <c r="C273" t="str">
        <f t="shared" si="4"/>
        <v/>
      </c>
      <c r="D273" t="s">
        <v>1075</v>
      </c>
    </row>
    <row r="274" spans="1:4">
      <c r="A274" t="s">
        <v>1074</v>
      </c>
      <c r="B274" t="str">
        <f>IF('02_Warehouse_Locations'!A273="","",'02_Warehouse_Locations'!A273)</f>
        <v/>
      </c>
      <c r="C274" t="str">
        <f t="shared" si="4"/>
        <v/>
      </c>
      <c r="D274" t="s">
        <v>1075</v>
      </c>
    </row>
    <row r="275" spans="1:4">
      <c r="A275" t="s">
        <v>1074</v>
      </c>
      <c r="B275" t="str">
        <f>IF('02_Warehouse_Locations'!A274="","",'02_Warehouse_Locations'!A274)</f>
        <v/>
      </c>
      <c r="C275" t="str">
        <f t="shared" si="4"/>
        <v/>
      </c>
      <c r="D275" t="s">
        <v>1075</v>
      </c>
    </row>
    <row r="276" spans="1:4">
      <c r="A276" t="s">
        <v>1074</v>
      </c>
      <c r="B276" t="str">
        <f>IF('02_Warehouse_Locations'!A275="","",'02_Warehouse_Locations'!A275)</f>
        <v/>
      </c>
      <c r="C276" t="str">
        <f t="shared" si="4"/>
        <v/>
      </c>
      <c r="D276" t="s">
        <v>1075</v>
      </c>
    </row>
    <row r="277" spans="1:4">
      <c r="A277" t="s">
        <v>1074</v>
      </c>
      <c r="B277" t="str">
        <f>IF('02_Warehouse_Locations'!A276="","",'02_Warehouse_Locations'!A276)</f>
        <v/>
      </c>
      <c r="C277" t="str">
        <f t="shared" si="4"/>
        <v/>
      </c>
      <c r="D277" t="s">
        <v>1075</v>
      </c>
    </row>
    <row r="278" spans="1:4">
      <c r="A278" t="s">
        <v>1074</v>
      </c>
      <c r="B278" t="str">
        <f>IF('02_Warehouse_Locations'!A277="","",'02_Warehouse_Locations'!A277)</f>
        <v/>
      </c>
      <c r="C278" t="str">
        <f t="shared" si="4"/>
        <v/>
      </c>
      <c r="D278" t="s">
        <v>1075</v>
      </c>
    </row>
    <row r="279" spans="1:4">
      <c r="A279" t="s">
        <v>1074</v>
      </c>
      <c r="B279" t="str">
        <f>IF('02_Warehouse_Locations'!A278="","",'02_Warehouse_Locations'!A278)</f>
        <v/>
      </c>
      <c r="C279" t="str">
        <f t="shared" si="4"/>
        <v/>
      </c>
      <c r="D279" t="s">
        <v>1075</v>
      </c>
    </row>
    <row r="280" spans="1:4">
      <c r="A280" t="s">
        <v>1074</v>
      </c>
      <c r="B280" t="str">
        <f>IF('02_Warehouse_Locations'!A279="","",'02_Warehouse_Locations'!A279)</f>
        <v/>
      </c>
      <c r="C280" t="str">
        <f t="shared" si="4"/>
        <v/>
      </c>
      <c r="D280" t="s">
        <v>1075</v>
      </c>
    </row>
    <row r="281" spans="1:4">
      <c r="A281" t="s">
        <v>1074</v>
      </c>
      <c r="B281" t="str">
        <f>IF('02_Warehouse_Locations'!A280="","",'02_Warehouse_Locations'!A280)</f>
        <v/>
      </c>
      <c r="C281" t="str">
        <f t="shared" si="4"/>
        <v/>
      </c>
      <c r="D281" t="s">
        <v>1075</v>
      </c>
    </row>
    <row r="282" spans="1:4">
      <c r="A282" t="s">
        <v>1074</v>
      </c>
      <c r="B282" t="str">
        <f>IF('02_Warehouse_Locations'!A281="","",'02_Warehouse_Locations'!A281)</f>
        <v/>
      </c>
      <c r="C282" t="str">
        <f t="shared" si="4"/>
        <v/>
      </c>
      <c r="D282" t="s">
        <v>1075</v>
      </c>
    </row>
    <row r="283" spans="1:4">
      <c r="A283" t="s">
        <v>1074</v>
      </c>
      <c r="B283" t="str">
        <f>IF('02_Warehouse_Locations'!A282="","",'02_Warehouse_Locations'!A282)</f>
        <v/>
      </c>
      <c r="C283" t="str">
        <f t="shared" si="4"/>
        <v/>
      </c>
      <c r="D283" t="s">
        <v>1075</v>
      </c>
    </row>
    <row r="284" spans="1:4">
      <c r="A284" t="s">
        <v>1074</v>
      </c>
      <c r="B284" t="str">
        <f>IF('02_Warehouse_Locations'!A283="","",'02_Warehouse_Locations'!A283)</f>
        <v/>
      </c>
      <c r="C284" t="str">
        <f t="shared" si="4"/>
        <v/>
      </c>
      <c r="D284" t="s">
        <v>1075</v>
      </c>
    </row>
    <row r="285" spans="1:4">
      <c r="A285" t="s">
        <v>1074</v>
      </c>
      <c r="B285" t="str">
        <f>IF('02_Warehouse_Locations'!A284="","",'02_Warehouse_Locations'!A284)</f>
        <v/>
      </c>
      <c r="C285" t="str">
        <f t="shared" si="4"/>
        <v/>
      </c>
      <c r="D285" t="s">
        <v>1075</v>
      </c>
    </row>
    <row r="286" spans="1:4">
      <c r="A286" t="s">
        <v>1074</v>
      </c>
      <c r="B286" t="str">
        <f>IF('02_Warehouse_Locations'!A285="","",'02_Warehouse_Locations'!A285)</f>
        <v/>
      </c>
      <c r="C286" t="str">
        <f t="shared" si="4"/>
        <v/>
      </c>
      <c r="D286" t="s">
        <v>1075</v>
      </c>
    </row>
    <row r="287" spans="1:4">
      <c r="A287" t="s">
        <v>1074</v>
      </c>
      <c r="B287" t="str">
        <f>IF('02_Warehouse_Locations'!A286="","",'02_Warehouse_Locations'!A286)</f>
        <v/>
      </c>
      <c r="C287" t="str">
        <f t="shared" si="4"/>
        <v/>
      </c>
      <c r="D287" t="s">
        <v>1075</v>
      </c>
    </row>
    <row r="288" spans="1:4">
      <c r="A288" t="s">
        <v>1074</v>
      </c>
      <c r="B288" t="str">
        <f>IF('02_Warehouse_Locations'!A287="","",'02_Warehouse_Locations'!A287)</f>
        <v/>
      </c>
      <c r="C288" t="str">
        <f t="shared" si="4"/>
        <v/>
      </c>
      <c r="D288" t="s">
        <v>1075</v>
      </c>
    </row>
    <row r="289" spans="1:4">
      <c r="A289" t="s">
        <v>1074</v>
      </c>
      <c r="B289" t="str">
        <f>IF('02_Warehouse_Locations'!A288="","",'02_Warehouse_Locations'!A288)</f>
        <v/>
      </c>
      <c r="C289" t="str">
        <f t="shared" si="4"/>
        <v/>
      </c>
      <c r="D289" t="s">
        <v>1075</v>
      </c>
    </row>
    <row r="290" spans="1:4">
      <c r="A290" t="s">
        <v>1074</v>
      </c>
      <c r="B290" t="str">
        <f>IF('02_Warehouse_Locations'!A289="","",'02_Warehouse_Locations'!A289)</f>
        <v/>
      </c>
      <c r="C290" t="str">
        <f t="shared" si="4"/>
        <v/>
      </c>
      <c r="D290" t="s">
        <v>1075</v>
      </c>
    </row>
    <row r="291" spans="1:4">
      <c r="A291" t="s">
        <v>1074</v>
      </c>
      <c r="B291" t="str">
        <f>IF('02_Warehouse_Locations'!A290="","",'02_Warehouse_Locations'!A290)</f>
        <v/>
      </c>
      <c r="C291" t="str">
        <f t="shared" si="4"/>
        <v/>
      </c>
      <c r="D291" t="s">
        <v>1075</v>
      </c>
    </row>
    <row r="292" spans="1:4">
      <c r="A292" t="s">
        <v>1074</v>
      </c>
      <c r="B292" t="str">
        <f>IF('02_Warehouse_Locations'!A291="","",'02_Warehouse_Locations'!A291)</f>
        <v/>
      </c>
      <c r="C292" t="str">
        <f t="shared" si="4"/>
        <v/>
      </c>
      <c r="D292" t="s">
        <v>1075</v>
      </c>
    </row>
    <row r="293" spans="1:4">
      <c r="A293" t="s">
        <v>1074</v>
      </c>
      <c r="B293" t="str">
        <f>IF('02_Warehouse_Locations'!A292="","",'02_Warehouse_Locations'!A292)</f>
        <v/>
      </c>
      <c r="C293" t="str">
        <f t="shared" si="4"/>
        <v/>
      </c>
      <c r="D293" t="s">
        <v>1075</v>
      </c>
    </row>
    <row r="294" spans="1:4">
      <c r="A294" t="s">
        <v>1074</v>
      </c>
      <c r="B294" t="str">
        <f>IF('02_Warehouse_Locations'!A293="","",'02_Warehouse_Locations'!A293)</f>
        <v/>
      </c>
      <c r="C294" t="str">
        <f t="shared" si="4"/>
        <v/>
      </c>
      <c r="D294" t="s">
        <v>1075</v>
      </c>
    </row>
    <row r="295" spans="1:4">
      <c r="A295" t="s">
        <v>1074</v>
      </c>
      <c r="B295" t="str">
        <f>IF('02_Warehouse_Locations'!A294="","",'02_Warehouse_Locations'!A294)</f>
        <v/>
      </c>
      <c r="C295" t="str">
        <f t="shared" si="4"/>
        <v/>
      </c>
      <c r="D295" t="s">
        <v>1075</v>
      </c>
    </row>
    <row r="296" spans="1:4">
      <c r="A296" t="s">
        <v>1074</v>
      </c>
      <c r="B296" t="str">
        <f>IF('02_Warehouse_Locations'!A295="","",'02_Warehouse_Locations'!A295)</f>
        <v/>
      </c>
      <c r="C296" t="str">
        <f t="shared" si="4"/>
        <v/>
      </c>
      <c r="D296" t="s">
        <v>1075</v>
      </c>
    </row>
    <row r="297" spans="1:4">
      <c r="A297" t="s">
        <v>1074</v>
      </c>
      <c r="B297" t="str">
        <f>IF('02_Warehouse_Locations'!A296="","",'02_Warehouse_Locations'!A296)</f>
        <v/>
      </c>
      <c r="C297" t="str">
        <f t="shared" si="4"/>
        <v/>
      </c>
      <c r="D297" t="s">
        <v>1075</v>
      </c>
    </row>
    <row r="298" spans="1:4">
      <c r="A298" t="s">
        <v>1074</v>
      </c>
      <c r="B298" t="str">
        <f>IF('02_Warehouse_Locations'!A297="","",'02_Warehouse_Locations'!A297)</f>
        <v/>
      </c>
      <c r="C298" t="str">
        <f t="shared" si="4"/>
        <v/>
      </c>
      <c r="D298" t="s">
        <v>1075</v>
      </c>
    </row>
    <row r="299" spans="1:4">
      <c r="A299" t="s">
        <v>1074</v>
      </c>
      <c r="B299" t="str">
        <f>IF('02_Warehouse_Locations'!A298="","",'02_Warehouse_Locations'!A298)</f>
        <v/>
      </c>
      <c r="C299" t="str">
        <f t="shared" si="4"/>
        <v/>
      </c>
      <c r="D299" t="s">
        <v>1075</v>
      </c>
    </row>
    <row r="300" spans="1:4">
      <c r="A300" t="s">
        <v>1074</v>
      </c>
      <c r="B300" t="str">
        <f>IF('02_Warehouse_Locations'!A299="","",'02_Warehouse_Locations'!A299)</f>
        <v/>
      </c>
      <c r="C300" t="str">
        <f t="shared" si="4"/>
        <v/>
      </c>
      <c r="D300" t="s">
        <v>1075</v>
      </c>
    </row>
    <row r="301" spans="1:4">
      <c r="A301" t="s">
        <v>1074</v>
      </c>
      <c r="B301" t="str">
        <f>IF('02_Warehouse_Locations'!A300="","",'02_Warehouse_Locations'!A300)</f>
        <v/>
      </c>
      <c r="C301" t="str">
        <f t="shared" si="4"/>
        <v/>
      </c>
      <c r="D301" t="s">
        <v>1075</v>
      </c>
    </row>
    <row r="302" spans="1:4">
      <c r="A302" t="s">
        <v>1074</v>
      </c>
      <c r="B302" t="str">
        <f>IF('02_Warehouse_Locations'!A301="","",'02_Warehouse_Locations'!A301)</f>
        <v/>
      </c>
      <c r="C302" t="str">
        <f t="shared" si="4"/>
        <v/>
      </c>
      <c r="D302" t="s">
        <v>1075</v>
      </c>
    </row>
    <row r="303" spans="1:4">
      <c r="A303" t="s">
        <v>1074</v>
      </c>
      <c r="B303" t="str">
        <f>IF('02_Warehouse_Locations'!A302="","",'02_Warehouse_Locations'!A302)</f>
        <v/>
      </c>
      <c r="C303" t="str">
        <f t="shared" si="4"/>
        <v/>
      </c>
      <c r="D303" t="s">
        <v>1075</v>
      </c>
    </row>
    <row r="304" spans="1:4">
      <c r="A304" t="s">
        <v>1074</v>
      </c>
      <c r="B304" t="str">
        <f>IF('02_Warehouse_Locations'!A303="","",'02_Warehouse_Locations'!A303)</f>
        <v/>
      </c>
      <c r="C304" t="str">
        <f t="shared" si="4"/>
        <v/>
      </c>
      <c r="D304" t="s">
        <v>1075</v>
      </c>
    </row>
    <row r="305" spans="1:4">
      <c r="A305" t="s">
        <v>1074</v>
      </c>
      <c r="B305" t="str">
        <f>IF('02_Warehouse_Locations'!A304="","",'02_Warehouse_Locations'!A304)</f>
        <v/>
      </c>
      <c r="C305" t="str">
        <f t="shared" si="4"/>
        <v/>
      </c>
      <c r="D305" t="s">
        <v>1075</v>
      </c>
    </row>
    <row r="306" spans="1:4">
      <c r="A306" t="s">
        <v>1074</v>
      </c>
      <c r="B306" t="str">
        <f>IF('02_Warehouse_Locations'!A305="","",'02_Warehouse_Locations'!A305)</f>
        <v/>
      </c>
      <c r="C306" t="str">
        <f t="shared" si="4"/>
        <v/>
      </c>
      <c r="D306" t="s">
        <v>1075</v>
      </c>
    </row>
    <row r="307" spans="1:4">
      <c r="A307" t="s">
        <v>1074</v>
      </c>
      <c r="B307" t="str">
        <f>IF('02_Warehouse_Locations'!A306="","",'02_Warehouse_Locations'!A306)</f>
        <v/>
      </c>
      <c r="C307" t="str">
        <f t="shared" si="4"/>
        <v/>
      </c>
      <c r="D307" t="s">
        <v>1075</v>
      </c>
    </row>
    <row r="308" spans="1:4">
      <c r="A308" t="s">
        <v>1074</v>
      </c>
      <c r="B308" t="str">
        <f>IF('02_Warehouse_Locations'!A307="","",'02_Warehouse_Locations'!A307)</f>
        <v/>
      </c>
      <c r="C308" t="str">
        <f t="shared" si="4"/>
        <v/>
      </c>
      <c r="D308" t="s">
        <v>1075</v>
      </c>
    </row>
    <row r="309" spans="1:4">
      <c r="A309" t="s">
        <v>1074</v>
      </c>
      <c r="B309" t="str">
        <f>IF('02_Warehouse_Locations'!A308="","",'02_Warehouse_Locations'!A308)</f>
        <v/>
      </c>
      <c r="C309" t="str">
        <f t="shared" si="4"/>
        <v/>
      </c>
      <c r="D309" t="s">
        <v>1075</v>
      </c>
    </row>
    <row r="310" spans="1:4">
      <c r="A310" t="s">
        <v>1074</v>
      </c>
      <c r="B310" t="str">
        <f>IF('02_Warehouse_Locations'!A309="","",'02_Warehouse_Locations'!A309)</f>
        <v/>
      </c>
      <c r="C310" t="str">
        <f t="shared" si="4"/>
        <v/>
      </c>
      <c r="D310" t="s">
        <v>1075</v>
      </c>
    </row>
    <row r="311" spans="1:4">
      <c r="A311" t="s">
        <v>1074</v>
      </c>
      <c r="B311" t="str">
        <f>IF('02_Warehouse_Locations'!A310="","",'02_Warehouse_Locations'!A310)</f>
        <v/>
      </c>
      <c r="C311" t="str">
        <f t="shared" si="4"/>
        <v/>
      </c>
      <c r="D311" t="s">
        <v>1075</v>
      </c>
    </row>
    <row r="312" spans="1:4">
      <c r="A312" t="s">
        <v>1074</v>
      </c>
      <c r="B312" t="str">
        <f>IF('02_Warehouse_Locations'!A311="","",'02_Warehouse_Locations'!A311)</f>
        <v/>
      </c>
      <c r="C312" t="str">
        <f t="shared" si="4"/>
        <v/>
      </c>
      <c r="D312" t="s">
        <v>1075</v>
      </c>
    </row>
    <row r="313" spans="1:4">
      <c r="A313" t="s">
        <v>1074</v>
      </c>
      <c r="B313" t="str">
        <f>IF('02_Warehouse_Locations'!A312="","",'02_Warehouse_Locations'!A312)</f>
        <v/>
      </c>
      <c r="C313" t="str">
        <f t="shared" si="4"/>
        <v/>
      </c>
      <c r="D313" t="s">
        <v>1075</v>
      </c>
    </row>
    <row r="314" spans="1:4">
      <c r="A314" t="s">
        <v>1074</v>
      </c>
      <c r="B314" t="str">
        <f>IF('02_Warehouse_Locations'!A313="","",'02_Warehouse_Locations'!A313)</f>
        <v/>
      </c>
      <c r="C314" t="str">
        <f t="shared" si="4"/>
        <v/>
      </c>
      <c r="D314" t="s">
        <v>1075</v>
      </c>
    </row>
    <row r="315" spans="1:4">
      <c r="A315" t="s">
        <v>1074</v>
      </c>
      <c r="B315" t="str">
        <f>IF('02_Warehouse_Locations'!A314="","",'02_Warehouse_Locations'!A314)</f>
        <v/>
      </c>
      <c r="C315" t="str">
        <f t="shared" si="4"/>
        <v/>
      </c>
      <c r="D315" t="s">
        <v>1075</v>
      </c>
    </row>
    <row r="316" spans="1:4">
      <c r="A316" t="s">
        <v>1074</v>
      </c>
      <c r="B316" t="str">
        <f>IF('02_Warehouse_Locations'!A315="","",'02_Warehouse_Locations'!A315)</f>
        <v/>
      </c>
      <c r="C316" t="str">
        <f t="shared" si="4"/>
        <v/>
      </c>
      <c r="D316" t="s">
        <v>1075</v>
      </c>
    </row>
    <row r="317" spans="1:4">
      <c r="A317" t="s">
        <v>1074</v>
      </c>
      <c r="B317" t="str">
        <f>IF('02_Warehouse_Locations'!A316="","",'02_Warehouse_Locations'!A316)</f>
        <v/>
      </c>
      <c r="C317" t="str">
        <f t="shared" si="4"/>
        <v/>
      </c>
      <c r="D317" t="s">
        <v>1075</v>
      </c>
    </row>
    <row r="318" spans="1:4">
      <c r="A318" t="s">
        <v>1074</v>
      </c>
      <c r="B318" t="str">
        <f>IF('02_Warehouse_Locations'!A317="","",'02_Warehouse_Locations'!A317)</f>
        <v/>
      </c>
      <c r="C318" t="str">
        <f t="shared" si="4"/>
        <v/>
      </c>
      <c r="D318" t="s">
        <v>1075</v>
      </c>
    </row>
    <row r="319" spans="1:4">
      <c r="A319" t="s">
        <v>1074</v>
      </c>
      <c r="B319" t="str">
        <f>IF('02_Warehouse_Locations'!A318="","",'02_Warehouse_Locations'!A318)</f>
        <v/>
      </c>
      <c r="C319" t="str">
        <f t="shared" si="4"/>
        <v/>
      </c>
      <c r="D319" t="s">
        <v>1075</v>
      </c>
    </row>
    <row r="320" spans="1:4">
      <c r="A320" t="s">
        <v>1074</v>
      </c>
      <c r="B320" t="str">
        <f>IF('02_Warehouse_Locations'!A319="","",'02_Warehouse_Locations'!A319)</f>
        <v/>
      </c>
      <c r="C320" t="str">
        <f t="shared" si="4"/>
        <v/>
      </c>
      <c r="D320" t="s">
        <v>1075</v>
      </c>
    </row>
    <row r="321" spans="1:4">
      <c r="A321" t="s">
        <v>1074</v>
      </c>
      <c r="B321" t="str">
        <f>IF('02_Warehouse_Locations'!A320="","",'02_Warehouse_Locations'!A320)</f>
        <v/>
      </c>
      <c r="C321" t="str">
        <f t="shared" si="4"/>
        <v/>
      </c>
      <c r="D321" t="s">
        <v>1075</v>
      </c>
    </row>
    <row r="322" spans="1:4">
      <c r="A322" t="s">
        <v>1074</v>
      </c>
      <c r="B322" t="str">
        <f>IF('02_Warehouse_Locations'!A321="","",'02_Warehouse_Locations'!A321)</f>
        <v/>
      </c>
      <c r="C322" t="str">
        <f t="shared" si="4"/>
        <v/>
      </c>
      <c r="D322" t="s">
        <v>1075</v>
      </c>
    </row>
    <row r="323" spans="1:4">
      <c r="A323" t="s">
        <v>1074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1075</v>
      </c>
    </row>
    <row r="324" spans="1:4">
      <c r="A324" t="s">
        <v>1074</v>
      </c>
      <c r="B324" t="str">
        <f>IF('02_Warehouse_Locations'!A323="","",'02_Warehouse_Locations'!A323)</f>
        <v/>
      </c>
      <c r="C324" t="str">
        <f t="shared" si="5"/>
        <v/>
      </c>
      <c r="D324" t="s">
        <v>1075</v>
      </c>
    </row>
    <row r="325" spans="1:4">
      <c r="A325" t="s">
        <v>1074</v>
      </c>
      <c r="B325" t="str">
        <f>IF('02_Warehouse_Locations'!A324="","",'02_Warehouse_Locations'!A324)</f>
        <v/>
      </c>
      <c r="C325" t="str">
        <f t="shared" si="5"/>
        <v/>
      </c>
      <c r="D325" t="s">
        <v>1075</v>
      </c>
    </row>
    <row r="326" spans="1:4">
      <c r="A326" t="s">
        <v>1074</v>
      </c>
      <c r="B326" t="str">
        <f>IF('02_Warehouse_Locations'!A325="","",'02_Warehouse_Locations'!A325)</f>
        <v/>
      </c>
      <c r="C326" t="str">
        <f t="shared" si="5"/>
        <v/>
      </c>
      <c r="D326" t="s">
        <v>1075</v>
      </c>
    </row>
    <row r="327" spans="1:4">
      <c r="A327" t="s">
        <v>1074</v>
      </c>
      <c r="B327" t="str">
        <f>IF('02_Warehouse_Locations'!A326="","",'02_Warehouse_Locations'!A326)</f>
        <v/>
      </c>
      <c r="C327" t="str">
        <f t="shared" si="5"/>
        <v/>
      </c>
      <c r="D327" t="s">
        <v>1075</v>
      </c>
    </row>
    <row r="328" spans="1:4">
      <c r="A328" t="s">
        <v>1074</v>
      </c>
      <c r="B328" t="str">
        <f>IF('02_Warehouse_Locations'!A327="","",'02_Warehouse_Locations'!A327)</f>
        <v/>
      </c>
      <c r="C328" t="str">
        <f t="shared" si="5"/>
        <v/>
      </c>
      <c r="D328" t="s">
        <v>1075</v>
      </c>
    </row>
    <row r="329" spans="1:4">
      <c r="A329" t="s">
        <v>1074</v>
      </c>
      <c r="B329" t="str">
        <f>IF('02_Warehouse_Locations'!A328="","",'02_Warehouse_Locations'!A328)</f>
        <v/>
      </c>
      <c r="C329" t="str">
        <f t="shared" si="5"/>
        <v/>
      </c>
      <c r="D329" t="s">
        <v>1075</v>
      </c>
    </row>
    <row r="330" spans="1:4">
      <c r="A330" t="s">
        <v>1074</v>
      </c>
      <c r="B330" t="str">
        <f>IF('02_Warehouse_Locations'!A329="","",'02_Warehouse_Locations'!A329)</f>
        <v/>
      </c>
      <c r="C330" t="str">
        <f t="shared" si="5"/>
        <v/>
      </c>
      <c r="D330" t="s">
        <v>1075</v>
      </c>
    </row>
    <row r="331" spans="1:4">
      <c r="A331" t="s">
        <v>1074</v>
      </c>
      <c r="B331" t="str">
        <f>IF('02_Warehouse_Locations'!A330="","",'02_Warehouse_Locations'!A330)</f>
        <v/>
      </c>
      <c r="C331" t="str">
        <f t="shared" si="5"/>
        <v/>
      </c>
      <c r="D331" t="s">
        <v>1075</v>
      </c>
    </row>
    <row r="332" spans="1:4">
      <c r="A332" t="s">
        <v>1074</v>
      </c>
      <c r="B332" t="str">
        <f>IF('02_Warehouse_Locations'!A331="","",'02_Warehouse_Locations'!A331)</f>
        <v/>
      </c>
      <c r="C332" t="str">
        <f t="shared" si="5"/>
        <v/>
      </c>
      <c r="D332" t="s">
        <v>1075</v>
      </c>
    </row>
    <row r="333" spans="1:4">
      <c r="A333" t="s">
        <v>1074</v>
      </c>
      <c r="B333" t="str">
        <f>IF('02_Warehouse_Locations'!A332="","",'02_Warehouse_Locations'!A332)</f>
        <v/>
      </c>
      <c r="C333" t="str">
        <f t="shared" si="5"/>
        <v/>
      </c>
      <c r="D333" t="s">
        <v>1075</v>
      </c>
    </row>
    <row r="334" spans="1:4">
      <c r="A334" t="s">
        <v>1074</v>
      </c>
      <c r="B334" t="str">
        <f>IF('02_Warehouse_Locations'!A333="","",'02_Warehouse_Locations'!A333)</f>
        <v/>
      </c>
      <c r="C334" t="str">
        <f t="shared" si="5"/>
        <v/>
      </c>
      <c r="D334" t="s">
        <v>1075</v>
      </c>
    </row>
    <row r="335" spans="1:4">
      <c r="A335" t="s">
        <v>1074</v>
      </c>
      <c r="B335" t="str">
        <f>IF('02_Warehouse_Locations'!A334="","",'02_Warehouse_Locations'!A334)</f>
        <v/>
      </c>
      <c r="C335" t="str">
        <f t="shared" si="5"/>
        <v/>
      </c>
      <c r="D335" t="s">
        <v>1075</v>
      </c>
    </row>
    <row r="336" spans="1:4">
      <c r="A336" t="s">
        <v>1074</v>
      </c>
      <c r="B336" t="str">
        <f>IF('02_Warehouse_Locations'!A335="","",'02_Warehouse_Locations'!A335)</f>
        <v/>
      </c>
      <c r="C336" t="str">
        <f t="shared" si="5"/>
        <v/>
      </c>
      <c r="D336" t="s">
        <v>1075</v>
      </c>
    </row>
    <row r="337" spans="1:4">
      <c r="A337" t="s">
        <v>1074</v>
      </c>
      <c r="B337" t="str">
        <f>IF('02_Warehouse_Locations'!A336="","",'02_Warehouse_Locations'!A336)</f>
        <v/>
      </c>
      <c r="C337" t="str">
        <f t="shared" si="5"/>
        <v/>
      </c>
      <c r="D337" t="s">
        <v>1075</v>
      </c>
    </row>
    <row r="338" spans="1:4">
      <c r="A338" t="s">
        <v>1074</v>
      </c>
      <c r="B338" t="str">
        <f>IF('02_Warehouse_Locations'!A337="","",'02_Warehouse_Locations'!A337)</f>
        <v/>
      </c>
      <c r="C338" t="str">
        <f t="shared" si="5"/>
        <v/>
      </c>
      <c r="D338" t="s">
        <v>1075</v>
      </c>
    </row>
    <row r="339" spans="1:4">
      <c r="A339" t="s">
        <v>1074</v>
      </c>
      <c r="B339" t="str">
        <f>IF('02_Warehouse_Locations'!A338="","",'02_Warehouse_Locations'!A338)</f>
        <v/>
      </c>
      <c r="C339" t="str">
        <f t="shared" si="5"/>
        <v/>
      </c>
      <c r="D339" t="s">
        <v>1075</v>
      </c>
    </row>
    <row r="340" spans="1:4">
      <c r="A340" t="s">
        <v>1074</v>
      </c>
      <c r="B340" t="str">
        <f>IF('02_Warehouse_Locations'!A339="","",'02_Warehouse_Locations'!A339)</f>
        <v/>
      </c>
      <c r="C340" t="str">
        <f t="shared" si="5"/>
        <v/>
      </c>
      <c r="D340" t="s">
        <v>1075</v>
      </c>
    </row>
    <row r="341" spans="1:4">
      <c r="A341" t="s">
        <v>1074</v>
      </c>
      <c r="B341" t="str">
        <f>IF('02_Warehouse_Locations'!A340="","",'02_Warehouse_Locations'!A340)</f>
        <v/>
      </c>
      <c r="C341" t="str">
        <f t="shared" si="5"/>
        <v/>
      </c>
      <c r="D341" t="s">
        <v>1075</v>
      </c>
    </row>
    <row r="342" spans="1:4">
      <c r="A342" t="s">
        <v>1074</v>
      </c>
      <c r="B342" t="str">
        <f>IF('02_Warehouse_Locations'!A341="","",'02_Warehouse_Locations'!A341)</f>
        <v/>
      </c>
      <c r="C342" t="str">
        <f t="shared" si="5"/>
        <v/>
      </c>
      <c r="D342" t="s">
        <v>1075</v>
      </c>
    </row>
    <row r="343" spans="1:4">
      <c r="A343" t="s">
        <v>1074</v>
      </c>
      <c r="B343" t="str">
        <f>IF('02_Warehouse_Locations'!A342="","",'02_Warehouse_Locations'!A342)</f>
        <v/>
      </c>
      <c r="C343" t="str">
        <f t="shared" si="5"/>
        <v/>
      </c>
      <c r="D343" t="s">
        <v>1075</v>
      </c>
    </row>
    <row r="344" spans="1:4">
      <c r="A344" t="s">
        <v>1074</v>
      </c>
      <c r="B344" t="str">
        <f>IF('02_Warehouse_Locations'!A343="","",'02_Warehouse_Locations'!A343)</f>
        <v/>
      </c>
      <c r="C344" t="str">
        <f t="shared" si="5"/>
        <v/>
      </c>
      <c r="D344" t="s">
        <v>1075</v>
      </c>
    </row>
    <row r="345" spans="1:4">
      <c r="A345" t="s">
        <v>1074</v>
      </c>
      <c r="B345" t="str">
        <f>IF('02_Warehouse_Locations'!A344="","",'02_Warehouse_Locations'!A344)</f>
        <v/>
      </c>
      <c r="C345" t="str">
        <f t="shared" si="5"/>
        <v/>
      </c>
      <c r="D345" t="s">
        <v>1075</v>
      </c>
    </row>
    <row r="346" spans="1:4">
      <c r="A346" t="s">
        <v>1074</v>
      </c>
      <c r="B346" t="str">
        <f>IF('02_Warehouse_Locations'!A345="","",'02_Warehouse_Locations'!A345)</f>
        <v/>
      </c>
      <c r="C346" t="str">
        <f t="shared" si="5"/>
        <v/>
      </c>
      <c r="D346" t="s">
        <v>1075</v>
      </c>
    </row>
    <row r="347" spans="1:4">
      <c r="A347" t="s">
        <v>1074</v>
      </c>
      <c r="B347" t="str">
        <f>IF('02_Warehouse_Locations'!A346="","",'02_Warehouse_Locations'!A346)</f>
        <v/>
      </c>
      <c r="C347" t="str">
        <f t="shared" si="5"/>
        <v/>
      </c>
      <c r="D347" t="s">
        <v>1075</v>
      </c>
    </row>
    <row r="348" spans="1:4">
      <c r="A348" t="s">
        <v>1074</v>
      </c>
      <c r="B348" t="str">
        <f>IF('02_Warehouse_Locations'!A347="","",'02_Warehouse_Locations'!A347)</f>
        <v/>
      </c>
      <c r="C348" t="str">
        <f t="shared" si="5"/>
        <v/>
      </c>
      <c r="D348" t="s">
        <v>1075</v>
      </c>
    </row>
    <row r="349" spans="1:4">
      <c r="A349" t="s">
        <v>1074</v>
      </c>
      <c r="B349" t="str">
        <f>IF('02_Warehouse_Locations'!A348="","",'02_Warehouse_Locations'!A348)</f>
        <v/>
      </c>
      <c r="C349" t="str">
        <f t="shared" si="5"/>
        <v/>
      </c>
      <c r="D349" t="s">
        <v>1075</v>
      </c>
    </row>
    <row r="350" spans="1:4">
      <c r="A350" t="s">
        <v>1074</v>
      </c>
      <c r="B350" t="str">
        <f>IF('02_Warehouse_Locations'!A349="","",'02_Warehouse_Locations'!A349)</f>
        <v/>
      </c>
      <c r="C350" t="str">
        <f t="shared" si="5"/>
        <v/>
      </c>
      <c r="D350" t="s">
        <v>1075</v>
      </c>
    </row>
    <row r="351" spans="1:4">
      <c r="A351" t="s">
        <v>1074</v>
      </c>
      <c r="B351" t="str">
        <f>IF('02_Warehouse_Locations'!A350="","",'02_Warehouse_Locations'!A350)</f>
        <v/>
      </c>
      <c r="C351" t="str">
        <f t="shared" si="5"/>
        <v/>
      </c>
      <c r="D351" t="s">
        <v>1075</v>
      </c>
    </row>
    <row r="352" spans="1:4">
      <c r="A352" t="s">
        <v>1074</v>
      </c>
      <c r="B352" t="str">
        <f>IF('02_Warehouse_Locations'!A351="","",'02_Warehouse_Locations'!A351)</f>
        <v/>
      </c>
      <c r="C352" t="str">
        <f t="shared" si="5"/>
        <v/>
      </c>
      <c r="D352" t="s">
        <v>1075</v>
      </c>
    </row>
    <row r="353" spans="1:4">
      <c r="A353" t="s">
        <v>1074</v>
      </c>
      <c r="B353" t="str">
        <f>IF('02_Warehouse_Locations'!A352="","",'02_Warehouse_Locations'!A352)</f>
        <v/>
      </c>
      <c r="C353" t="str">
        <f t="shared" si="5"/>
        <v/>
      </c>
      <c r="D353" t="s">
        <v>1075</v>
      </c>
    </row>
    <row r="354" spans="1:4">
      <c r="A354" t="s">
        <v>1074</v>
      </c>
      <c r="B354" t="str">
        <f>IF('02_Warehouse_Locations'!A353="","",'02_Warehouse_Locations'!A353)</f>
        <v/>
      </c>
      <c r="C354" t="str">
        <f t="shared" si="5"/>
        <v/>
      </c>
      <c r="D354" t="s">
        <v>1075</v>
      </c>
    </row>
    <row r="355" spans="1:4">
      <c r="A355" t="s">
        <v>1074</v>
      </c>
      <c r="B355" t="str">
        <f>IF('02_Warehouse_Locations'!A354="","",'02_Warehouse_Locations'!A354)</f>
        <v/>
      </c>
      <c r="C355" t="str">
        <f t="shared" si="5"/>
        <v/>
      </c>
      <c r="D355" t="s">
        <v>1075</v>
      </c>
    </row>
    <row r="356" spans="1:4">
      <c r="A356" t="s">
        <v>1074</v>
      </c>
      <c r="B356" t="str">
        <f>IF('02_Warehouse_Locations'!A355="","",'02_Warehouse_Locations'!A355)</f>
        <v/>
      </c>
      <c r="C356" t="str">
        <f t="shared" si="5"/>
        <v/>
      </c>
      <c r="D356" t="s">
        <v>1075</v>
      </c>
    </row>
    <row r="357" spans="1:4">
      <c r="A357" t="s">
        <v>1074</v>
      </c>
      <c r="B357" t="str">
        <f>IF('02_Warehouse_Locations'!A356="","",'02_Warehouse_Locations'!A356)</f>
        <v/>
      </c>
      <c r="C357" t="str">
        <f t="shared" si="5"/>
        <v/>
      </c>
      <c r="D357" t="s">
        <v>1075</v>
      </c>
    </row>
    <row r="358" spans="1:4">
      <c r="A358" t="s">
        <v>1074</v>
      </c>
      <c r="B358" t="str">
        <f>IF('02_Warehouse_Locations'!A357="","",'02_Warehouse_Locations'!A357)</f>
        <v/>
      </c>
      <c r="C358" t="str">
        <f t="shared" si="5"/>
        <v/>
      </c>
      <c r="D358" t="s">
        <v>1075</v>
      </c>
    </row>
    <row r="359" spans="1:4">
      <c r="A359" t="s">
        <v>1074</v>
      </c>
      <c r="B359" t="str">
        <f>IF('02_Warehouse_Locations'!A358="","",'02_Warehouse_Locations'!A358)</f>
        <v/>
      </c>
      <c r="C359" t="str">
        <f t="shared" si="5"/>
        <v/>
      </c>
      <c r="D359" t="s">
        <v>1075</v>
      </c>
    </row>
    <row r="360" spans="1:4">
      <c r="A360" t="s">
        <v>1074</v>
      </c>
      <c r="B360" t="str">
        <f>IF('02_Warehouse_Locations'!A359="","",'02_Warehouse_Locations'!A359)</f>
        <v/>
      </c>
      <c r="C360" t="str">
        <f t="shared" si="5"/>
        <v/>
      </c>
      <c r="D360" t="s">
        <v>1075</v>
      </c>
    </row>
    <row r="361" spans="1:4">
      <c r="A361" t="s">
        <v>1074</v>
      </c>
      <c r="B361" t="str">
        <f>IF('02_Warehouse_Locations'!A360="","",'02_Warehouse_Locations'!A360)</f>
        <v/>
      </c>
      <c r="C361" t="str">
        <f t="shared" si="5"/>
        <v/>
      </c>
      <c r="D361" t="s">
        <v>1075</v>
      </c>
    </row>
    <row r="362" spans="1:4">
      <c r="A362" t="s">
        <v>1074</v>
      </c>
      <c r="B362" t="str">
        <f>IF('02_Warehouse_Locations'!A361="","",'02_Warehouse_Locations'!A361)</f>
        <v/>
      </c>
      <c r="C362" t="str">
        <f t="shared" si="5"/>
        <v/>
      </c>
      <c r="D362" t="s">
        <v>1075</v>
      </c>
    </row>
    <row r="363" spans="1:4">
      <c r="A363" t="s">
        <v>1074</v>
      </c>
      <c r="B363" t="str">
        <f>IF('02_Warehouse_Locations'!A362="","",'02_Warehouse_Locations'!A362)</f>
        <v/>
      </c>
      <c r="C363" t="str">
        <f t="shared" si="5"/>
        <v/>
      </c>
      <c r="D363" t="s">
        <v>1075</v>
      </c>
    </row>
    <row r="364" spans="1:4">
      <c r="A364" t="s">
        <v>1074</v>
      </c>
      <c r="B364" t="str">
        <f>IF('02_Warehouse_Locations'!A363="","",'02_Warehouse_Locations'!A363)</f>
        <v/>
      </c>
      <c r="C364" t="str">
        <f t="shared" si="5"/>
        <v/>
      </c>
      <c r="D364" t="s">
        <v>1075</v>
      </c>
    </row>
    <row r="365" spans="1:4">
      <c r="A365" t="s">
        <v>1074</v>
      </c>
      <c r="B365" t="str">
        <f>IF('02_Warehouse_Locations'!A364="","",'02_Warehouse_Locations'!A364)</f>
        <v/>
      </c>
      <c r="C365" t="str">
        <f t="shared" si="5"/>
        <v/>
      </c>
      <c r="D365" t="s">
        <v>1075</v>
      </c>
    </row>
    <row r="366" spans="1:4">
      <c r="A366" t="s">
        <v>1074</v>
      </c>
      <c r="B366" t="str">
        <f>IF('02_Warehouse_Locations'!A365="","",'02_Warehouse_Locations'!A365)</f>
        <v/>
      </c>
      <c r="C366" t="str">
        <f t="shared" si="5"/>
        <v/>
      </c>
      <c r="D366" t="s">
        <v>1075</v>
      </c>
    </row>
    <row r="367" spans="1:4">
      <c r="A367" t="s">
        <v>1074</v>
      </c>
      <c r="B367" t="str">
        <f>IF('02_Warehouse_Locations'!A366="","",'02_Warehouse_Locations'!A366)</f>
        <v/>
      </c>
      <c r="C367" t="str">
        <f t="shared" si="5"/>
        <v/>
      </c>
      <c r="D367" t="s">
        <v>1075</v>
      </c>
    </row>
    <row r="368" spans="1:4">
      <c r="A368" t="s">
        <v>1074</v>
      </c>
      <c r="B368" t="str">
        <f>IF('02_Warehouse_Locations'!A367="","",'02_Warehouse_Locations'!A367)</f>
        <v/>
      </c>
      <c r="C368" t="str">
        <f t="shared" si="5"/>
        <v/>
      </c>
      <c r="D368" t="s">
        <v>1075</v>
      </c>
    </row>
    <row r="369" spans="1:4">
      <c r="A369" t="s">
        <v>1074</v>
      </c>
      <c r="B369" t="str">
        <f>IF('02_Warehouse_Locations'!A368="","",'02_Warehouse_Locations'!A368)</f>
        <v/>
      </c>
      <c r="C369" t="str">
        <f t="shared" si="5"/>
        <v/>
      </c>
      <c r="D369" t="s">
        <v>1075</v>
      </c>
    </row>
    <row r="370" spans="1:4">
      <c r="A370" t="s">
        <v>1074</v>
      </c>
      <c r="B370" t="str">
        <f>IF('02_Warehouse_Locations'!A369="","",'02_Warehouse_Locations'!A369)</f>
        <v/>
      </c>
      <c r="C370" t="str">
        <f t="shared" si="5"/>
        <v/>
      </c>
      <c r="D370" t="s">
        <v>1075</v>
      </c>
    </row>
    <row r="371" spans="1:4">
      <c r="A371" t="s">
        <v>1074</v>
      </c>
      <c r="B371" t="str">
        <f>IF('02_Warehouse_Locations'!A370="","",'02_Warehouse_Locations'!A370)</f>
        <v/>
      </c>
      <c r="C371" t="str">
        <f t="shared" si="5"/>
        <v/>
      </c>
      <c r="D371" t="s">
        <v>1075</v>
      </c>
    </row>
    <row r="372" spans="1:4">
      <c r="A372" t="s">
        <v>1074</v>
      </c>
      <c r="B372" t="str">
        <f>IF('02_Warehouse_Locations'!A371="","",'02_Warehouse_Locations'!A371)</f>
        <v/>
      </c>
      <c r="C372" t="str">
        <f t="shared" si="5"/>
        <v/>
      </c>
      <c r="D372" t="s">
        <v>1075</v>
      </c>
    </row>
    <row r="373" spans="1:4">
      <c r="A373" t="s">
        <v>1074</v>
      </c>
      <c r="B373" t="str">
        <f>IF('02_Warehouse_Locations'!A372="","",'02_Warehouse_Locations'!A372)</f>
        <v/>
      </c>
      <c r="C373" t="str">
        <f t="shared" si="5"/>
        <v/>
      </c>
      <c r="D373" t="s">
        <v>1075</v>
      </c>
    </row>
    <row r="374" spans="1:4">
      <c r="A374" t="s">
        <v>1074</v>
      </c>
      <c r="B374" t="str">
        <f>IF('02_Warehouse_Locations'!A373="","",'02_Warehouse_Locations'!A373)</f>
        <v/>
      </c>
      <c r="C374" t="str">
        <f t="shared" si="5"/>
        <v/>
      </c>
      <c r="D374" t="s">
        <v>1075</v>
      </c>
    </row>
    <row r="375" spans="1:4">
      <c r="A375" t="s">
        <v>1074</v>
      </c>
      <c r="B375" t="str">
        <f>IF('02_Warehouse_Locations'!A374="","",'02_Warehouse_Locations'!A374)</f>
        <v/>
      </c>
      <c r="C375" t="str">
        <f t="shared" si="5"/>
        <v/>
      </c>
      <c r="D375" t="s">
        <v>1075</v>
      </c>
    </row>
    <row r="376" spans="1:4">
      <c r="A376" t="s">
        <v>1074</v>
      </c>
      <c r="B376" t="str">
        <f>IF('02_Warehouse_Locations'!A375="","",'02_Warehouse_Locations'!A375)</f>
        <v/>
      </c>
      <c r="C376" t="str">
        <f t="shared" si="5"/>
        <v/>
      </c>
      <c r="D376" t="s">
        <v>1075</v>
      </c>
    </row>
    <row r="377" spans="1:4">
      <c r="A377" t="s">
        <v>1074</v>
      </c>
      <c r="B377" t="str">
        <f>IF('02_Warehouse_Locations'!A376="","",'02_Warehouse_Locations'!A376)</f>
        <v/>
      </c>
      <c r="C377" t="str">
        <f t="shared" si="5"/>
        <v/>
      </c>
      <c r="D377" t="s">
        <v>1075</v>
      </c>
    </row>
    <row r="378" spans="1:4">
      <c r="A378" t="s">
        <v>1074</v>
      </c>
      <c r="B378" t="str">
        <f>IF('02_Warehouse_Locations'!A377="","",'02_Warehouse_Locations'!A377)</f>
        <v/>
      </c>
      <c r="C378" t="str">
        <f t="shared" si="5"/>
        <v/>
      </c>
      <c r="D378" t="s">
        <v>1075</v>
      </c>
    </row>
    <row r="379" spans="1:4">
      <c r="A379" t="s">
        <v>1074</v>
      </c>
      <c r="B379" t="str">
        <f>IF('02_Warehouse_Locations'!A378="","",'02_Warehouse_Locations'!A378)</f>
        <v/>
      </c>
      <c r="C379" t="str">
        <f t="shared" si="5"/>
        <v/>
      </c>
      <c r="D379" t="s">
        <v>1075</v>
      </c>
    </row>
    <row r="380" spans="1:4">
      <c r="A380" t="s">
        <v>1074</v>
      </c>
      <c r="B380" t="str">
        <f>IF('02_Warehouse_Locations'!A379="","",'02_Warehouse_Locations'!A379)</f>
        <v/>
      </c>
      <c r="C380" t="str">
        <f t="shared" si="5"/>
        <v/>
      </c>
      <c r="D380" t="s">
        <v>1075</v>
      </c>
    </row>
    <row r="381" spans="1:4">
      <c r="A381" t="s">
        <v>1074</v>
      </c>
      <c r="B381" t="str">
        <f>IF('02_Warehouse_Locations'!A380="","",'02_Warehouse_Locations'!A380)</f>
        <v/>
      </c>
      <c r="C381" t="str">
        <f t="shared" si="5"/>
        <v/>
      </c>
      <c r="D381" t="s">
        <v>1075</v>
      </c>
    </row>
    <row r="382" spans="1:4">
      <c r="A382" t="s">
        <v>1074</v>
      </c>
      <c r="B382" t="str">
        <f>IF('02_Warehouse_Locations'!A381="","",'02_Warehouse_Locations'!A381)</f>
        <v/>
      </c>
      <c r="C382" t="str">
        <f t="shared" si="5"/>
        <v/>
      </c>
      <c r="D382" t="s">
        <v>1075</v>
      </c>
    </row>
    <row r="383" spans="1:4">
      <c r="A383" t="s">
        <v>1074</v>
      </c>
      <c r="B383" t="str">
        <f>IF('02_Warehouse_Locations'!A382="","",'02_Warehouse_Locations'!A382)</f>
        <v/>
      </c>
      <c r="C383" t="str">
        <f t="shared" si="5"/>
        <v/>
      </c>
      <c r="D383" t="s">
        <v>1075</v>
      </c>
    </row>
    <row r="384" spans="1:4">
      <c r="A384" t="s">
        <v>1074</v>
      </c>
      <c r="B384" t="str">
        <f>IF('02_Warehouse_Locations'!A383="","",'02_Warehouse_Locations'!A383)</f>
        <v/>
      </c>
      <c r="C384" t="str">
        <f t="shared" si="5"/>
        <v/>
      </c>
      <c r="D384" t="s">
        <v>1075</v>
      </c>
    </row>
    <row r="385" spans="1:4">
      <c r="A385" t="s">
        <v>1074</v>
      </c>
      <c r="B385" t="str">
        <f>IF('02_Warehouse_Locations'!A384="","",'02_Warehouse_Locations'!A384)</f>
        <v/>
      </c>
      <c r="C385" t="str">
        <f t="shared" si="5"/>
        <v/>
      </c>
      <c r="D385" t="s">
        <v>1075</v>
      </c>
    </row>
    <row r="386" spans="1:4">
      <c r="A386" t="s">
        <v>1074</v>
      </c>
      <c r="B386" t="str">
        <f>IF('02_Warehouse_Locations'!A385="","",'02_Warehouse_Locations'!A385)</f>
        <v/>
      </c>
      <c r="C386" t="str">
        <f t="shared" si="5"/>
        <v/>
      </c>
      <c r="D386" t="s">
        <v>1075</v>
      </c>
    </row>
    <row r="387" spans="1:4">
      <c r="A387" t="s">
        <v>1074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1075</v>
      </c>
    </row>
    <row r="388" spans="1:4">
      <c r="A388" t="s">
        <v>1074</v>
      </c>
      <c r="B388" t="str">
        <f>IF('02_Warehouse_Locations'!A387="","",'02_Warehouse_Locations'!A387)</f>
        <v/>
      </c>
      <c r="C388" t="str">
        <f t="shared" si="6"/>
        <v/>
      </c>
      <c r="D388" t="s">
        <v>1075</v>
      </c>
    </row>
    <row r="389" spans="1:4">
      <c r="A389" t="s">
        <v>1074</v>
      </c>
      <c r="B389" t="str">
        <f>IF('02_Warehouse_Locations'!A388="","",'02_Warehouse_Locations'!A388)</f>
        <v/>
      </c>
      <c r="C389" t="str">
        <f t="shared" si="6"/>
        <v/>
      </c>
      <c r="D389" t="s">
        <v>1075</v>
      </c>
    </row>
    <row r="390" spans="1:4">
      <c r="A390" t="s">
        <v>1074</v>
      </c>
      <c r="B390" t="str">
        <f>IF('02_Warehouse_Locations'!A389="","",'02_Warehouse_Locations'!A389)</f>
        <v/>
      </c>
      <c r="C390" t="str">
        <f t="shared" si="6"/>
        <v/>
      </c>
      <c r="D390" t="s">
        <v>1075</v>
      </c>
    </row>
    <row r="391" spans="1:4">
      <c r="A391" t="s">
        <v>1074</v>
      </c>
      <c r="B391" t="str">
        <f>IF('02_Warehouse_Locations'!A390="","",'02_Warehouse_Locations'!A390)</f>
        <v/>
      </c>
      <c r="C391" t="str">
        <f t="shared" si="6"/>
        <v/>
      </c>
      <c r="D391" t="s">
        <v>1075</v>
      </c>
    </row>
    <row r="392" spans="1:4">
      <c r="A392" t="s">
        <v>1074</v>
      </c>
      <c r="B392" t="str">
        <f>IF('02_Warehouse_Locations'!A391="","",'02_Warehouse_Locations'!A391)</f>
        <v/>
      </c>
      <c r="C392" t="str">
        <f t="shared" si="6"/>
        <v/>
      </c>
      <c r="D392" t="s">
        <v>1075</v>
      </c>
    </row>
    <row r="393" spans="1:4">
      <c r="A393" t="s">
        <v>1074</v>
      </c>
      <c r="B393" t="str">
        <f>IF('02_Warehouse_Locations'!A392="","",'02_Warehouse_Locations'!A392)</f>
        <v/>
      </c>
      <c r="C393" t="str">
        <f t="shared" si="6"/>
        <v/>
      </c>
      <c r="D393" t="s">
        <v>1075</v>
      </c>
    </row>
    <row r="394" spans="1:4">
      <c r="A394" t="s">
        <v>1074</v>
      </c>
      <c r="B394" t="str">
        <f>IF('02_Warehouse_Locations'!A393="","",'02_Warehouse_Locations'!A393)</f>
        <v/>
      </c>
      <c r="C394" t="str">
        <f t="shared" si="6"/>
        <v/>
      </c>
      <c r="D394" t="s">
        <v>1075</v>
      </c>
    </row>
    <row r="395" spans="1:4">
      <c r="A395" t="s">
        <v>1074</v>
      </c>
      <c r="B395" t="str">
        <f>IF('02_Warehouse_Locations'!A394="","",'02_Warehouse_Locations'!A394)</f>
        <v/>
      </c>
      <c r="C395" t="str">
        <f t="shared" si="6"/>
        <v/>
      </c>
      <c r="D395" t="s">
        <v>1075</v>
      </c>
    </row>
    <row r="396" spans="1:4">
      <c r="A396" t="s">
        <v>1074</v>
      </c>
      <c r="B396" t="str">
        <f>IF('02_Warehouse_Locations'!A395="","",'02_Warehouse_Locations'!A395)</f>
        <v/>
      </c>
      <c r="C396" t="str">
        <f t="shared" si="6"/>
        <v/>
      </c>
      <c r="D396" t="s">
        <v>1075</v>
      </c>
    </row>
    <row r="397" spans="1:4">
      <c r="A397" t="s">
        <v>1074</v>
      </c>
      <c r="B397" t="str">
        <f>IF('02_Warehouse_Locations'!A396="","",'02_Warehouse_Locations'!A396)</f>
        <v/>
      </c>
      <c r="C397" t="str">
        <f t="shared" si="6"/>
        <v/>
      </c>
      <c r="D397" t="s">
        <v>1075</v>
      </c>
    </row>
    <row r="398" spans="1:4">
      <c r="A398" t="s">
        <v>1074</v>
      </c>
      <c r="B398" t="str">
        <f>IF('02_Warehouse_Locations'!A397="","",'02_Warehouse_Locations'!A397)</f>
        <v/>
      </c>
      <c r="C398" t="str">
        <f t="shared" si="6"/>
        <v/>
      </c>
      <c r="D398" t="s">
        <v>1075</v>
      </c>
    </row>
    <row r="399" spans="1:4">
      <c r="A399" t="s">
        <v>1074</v>
      </c>
      <c r="B399" t="str">
        <f>IF('02_Warehouse_Locations'!A398="","",'02_Warehouse_Locations'!A398)</f>
        <v/>
      </c>
      <c r="C399" t="str">
        <f t="shared" si="6"/>
        <v/>
      </c>
      <c r="D399" t="s">
        <v>1075</v>
      </c>
    </row>
    <row r="400" spans="1:4">
      <c r="A400" t="s">
        <v>1074</v>
      </c>
      <c r="B400" t="str">
        <f>IF('02_Warehouse_Locations'!A399="","",'02_Warehouse_Locations'!A399)</f>
        <v/>
      </c>
      <c r="C400" t="str">
        <f t="shared" si="6"/>
        <v/>
      </c>
      <c r="D400" t="s">
        <v>1075</v>
      </c>
    </row>
    <row r="401" spans="1:4">
      <c r="A401" t="s">
        <v>1074</v>
      </c>
      <c r="B401" t="str">
        <f>IF('02_Warehouse_Locations'!A400="","",'02_Warehouse_Locations'!A400)</f>
        <v/>
      </c>
      <c r="C401" t="str">
        <f t="shared" si="6"/>
        <v/>
      </c>
      <c r="D401" t="s">
        <v>1075</v>
      </c>
    </row>
    <row r="402" spans="1:4">
      <c r="A402" t="s">
        <v>1074</v>
      </c>
      <c r="B402" t="str">
        <f>IF('02_Warehouse_Locations'!A401="","",'02_Warehouse_Locations'!A401)</f>
        <v/>
      </c>
      <c r="C402" t="str">
        <f t="shared" si="6"/>
        <v/>
      </c>
      <c r="D402" t="s">
        <v>1075</v>
      </c>
    </row>
    <row r="403" spans="1:4">
      <c r="A403" t="s">
        <v>1074</v>
      </c>
      <c r="B403" t="str">
        <f>IF('02_Warehouse_Locations'!A402="","",'02_Warehouse_Locations'!A402)</f>
        <v/>
      </c>
      <c r="C403" t="str">
        <f t="shared" si="6"/>
        <v/>
      </c>
      <c r="D403" t="s">
        <v>1075</v>
      </c>
    </row>
    <row r="404" spans="1:4">
      <c r="A404" t="s">
        <v>1074</v>
      </c>
      <c r="B404" t="str">
        <f>IF('02_Warehouse_Locations'!A403="","",'02_Warehouse_Locations'!A403)</f>
        <v/>
      </c>
      <c r="C404" t="str">
        <f t="shared" si="6"/>
        <v/>
      </c>
      <c r="D404" t="s">
        <v>1075</v>
      </c>
    </row>
    <row r="405" spans="1:4">
      <c r="A405" t="s">
        <v>1074</v>
      </c>
      <c r="B405" t="str">
        <f>IF('02_Warehouse_Locations'!A404="","",'02_Warehouse_Locations'!A404)</f>
        <v/>
      </c>
      <c r="C405" t="str">
        <f t="shared" si="6"/>
        <v/>
      </c>
      <c r="D405" t="s">
        <v>1075</v>
      </c>
    </row>
    <row r="406" spans="1:4">
      <c r="A406" t="s">
        <v>1074</v>
      </c>
      <c r="B406" t="str">
        <f>IF('02_Warehouse_Locations'!A405="","",'02_Warehouse_Locations'!A405)</f>
        <v/>
      </c>
      <c r="C406" t="str">
        <f t="shared" si="6"/>
        <v/>
      </c>
      <c r="D406" t="s">
        <v>1075</v>
      </c>
    </row>
    <row r="407" spans="1:4">
      <c r="A407" t="s">
        <v>1074</v>
      </c>
      <c r="B407" t="str">
        <f>IF('02_Warehouse_Locations'!A406="","",'02_Warehouse_Locations'!A406)</f>
        <v/>
      </c>
      <c r="C407" t="str">
        <f t="shared" si="6"/>
        <v/>
      </c>
      <c r="D407" t="s">
        <v>1075</v>
      </c>
    </row>
    <row r="408" spans="1:4">
      <c r="A408" t="s">
        <v>1074</v>
      </c>
      <c r="B408" t="str">
        <f>IF('02_Warehouse_Locations'!A407="","",'02_Warehouse_Locations'!A407)</f>
        <v/>
      </c>
      <c r="C408" t="str">
        <f t="shared" si="6"/>
        <v/>
      </c>
      <c r="D408" t="s">
        <v>1075</v>
      </c>
    </row>
    <row r="409" spans="1:4">
      <c r="A409" t="s">
        <v>1074</v>
      </c>
      <c r="B409" t="str">
        <f>IF('02_Warehouse_Locations'!A408="","",'02_Warehouse_Locations'!A408)</f>
        <v/>
      </c>
      <c r="C409" t="str">
        <f t="shared" si="6"/>
        <v/>
      </c>
      <c r="D409" t="s">
        <v>1075</v>
      </c>
    </row>
    <row r="410" spans="1:4">
      <c r="A410" t="s">
        <v>1074</v>
      </c>
      <c r="B410" t="str">
        <f>IF('02_Warehouse_Locations'!A409="","",'02_Warehouse_Locations'!A409)</f>
        <v/>
      </c>
      <c r="C410" t="str">
        <f t="shared" si="6"/>
        <v/>
      </c>
      <c r="D410" t="s">
        <v>1075</v>
      </c>
    </row>
    <row r="411" spans="1:4">
      <c r="A411" t="s">
        <v>1074</v>
      </c>
      <c r="B411" t="str">
        <f>IF('02_Warehouse_Locations'!A410="","",'02_Warehouse_Locations'!A410)</f>
        <v/>
      </c>
      <c r="C411" t="str">
        <f t="shared" si="6"/>
        <v/>
      </c>
      <c r="D411" t="s">
        <v>1075</v>
      </c>
    </row>
    <row r="412" spans="1:4">
      <c r="A412" t="s">
        <v>1074</v>
      </c>
      <c r="B412" t="str">
        <f>IF('02_Warehouse_Locations'!A411="","",'02_Warehouse_Locations'!A411)</f>
        <v/>
      </c>
      <c r="C412" t="str">
        <f t="shared" si="6"/>
        <v/>
      </c>
      <c r="D412" t="s">
        <v>1075</v>
      </c>
    </row>
    <row r="413" spans="1:4">
      <c r="A413" t="s">
        <v>1074</v>
      </c>
      <c r="B413" t="str">
        <f>IF('02_Warehouse_Locations'!A412="","",'02_Warehouse_Locations'!A412)</f>
        <v/>
      </c>
      <c r="C413" t="str">
        <f t="shared" si="6"/>
        <v/>
      </c>
      <c r="D413" t="s">
        <v>1075</v>
      </c>
    </row>
    <row r="414" spans="1:4">
      <c r="A414" t="s">
        <v>1074</v>
      </c>
      <c r="B414" t="str">
        <f>IF('02_Warehouse_Locations'!A413="","",'02_Warehouse_Locations'!A413)</f>
        <v/>
      </c>
      <c r="C414" t="str">
        <f t="shared" si="6"/>
        <v/>
      </c>
      <c r="D414" t="s">
        <v>1075</v>
      </c>
    </row>
    <row r="415" spans="1:4">
      <c r="A415" t="s">
        <v>1074</v>
      </c>
      <c r="B415" t="str">
        <f>IF('02_Warehouse_Locations'!A414="","",'02_Warehouse_Locations'!A414)</f>
        <v/>
      </c>
      <c r="C415" t="str">
        <f t="shared" si="6"/>
        <v/>
      </c>
      <c r="D415" t="s">
        <v>1075</v>
      </c>
    </row>
    <row r="416" spans="1:4">
      <c r="A416" t="s">
        <v>1074</v>
      </c>
      <c r="B416" t="str">
        <f>IF('02_Warehouse_Locations'!A415="","",'02_Warehouse_Locations'!A415)</f>
        <v/>
      </c>
      <c r="C416" t="str">
        <f t="shared" si="6"/>
        <v/>
      </c>
      <c r="D416" t="s">
        <v>1075</v>
      </c>
    </row>
    <row r="417" spans="1:4">
      <c r="A417" t="s">
        <v>1074</v>
      </c>
      <c r="B417" t="str">
        <f>IF('02_Warehouse_Locations'!A416="","",'02_Warehouse_Locations'!A416)</f>
        <v/>
      </c>
      <c r="C417" t="str">
        <f t="shared" si="6"/>
        <v/>
      </c>
      <c r="D417" t="s">
        <v>1075</v>
      </c>
    </row>
    <row r="418" spans="1:4">
      <c r="A418" t="s">
        <v>1074</v>
      </c>
      <c r="B418" t="str">
        <f>IF('02_Warehouse_Locations'!A417="","",'02_Warehouse_Locations'!A417)</f>
        <v/>
      </c>
      <c r="C418" t="str">
        <f t="shared" si="6"/>
        <v/>
      </c>
      <c r="D418" t="s">
        <v>1075</v>
      </c>
    </row>
    <row r="419" spans="1:4">
      <c r="A419" t="s">
        <v>1074</v>
      </c>
      <c r="B419" t="str">
        <f>IF('02_Warehouse_Locations'!A418="","",'02_Warehouse_Locations'!A418)</f>
        <v/>
      </c>
      <c r="C419" t="str">
        <f t="shared" si="6"/>
        <v/>
      </c>
      <c r="D419" t="s">
        <v>1075</v>
      </c>
    </row>
    <row r="420" spans="1:4">
      <c r="A420" t="s">
        <v>1074</v>
      </c>
      <c r="B420" t="str">
        <f>IF('02_Warehouse_Locations'!A419="","",'02_Warehouse_Locations'!A419)</f>
        <v/>
      </c>
      <c r="C420" t="str">
        <f t="shared" si="6"/>
        <v/>
      </c>
      <c r="D420" t="s">
        <v>1075</v>
      </c>
    </row>
    <row r="421" spans="1:4">
      <c r="A421" t="s">
        <v>1074</v>
      </c>
      <c r="B421" t="str">
        <f>IF('02_Warehouse_Locations'!A420="","",'02_Warehouse_Locations'!A420)</f>
        <v/>
      </c>
      <c r="C421" t="str">
        <f t="shared" si="6"/>
        <v/>
      </c>
      <c r="D421" t="s">
        <v>1075</v>
      </c>
    </row>
    <row r="422" spans="1:4">
      <c r="A422" t="s">
        <v>1074</v>
      </c>
      <c r="B422" t="str">
        <f>IF('02_Warehouse_Locations'!A421="","",'02_Warehouse_Locations'!A421)</f>
        <v/>
      </c>
      <c r="C422" t="str">
        <f t="shared" si="6"/>
        <v/>
      </c>
      <c r="D422" t="s">
        <v>1075</v>
      </c>
    </row>
    <row r="423" spans="1:4">
      <c r="A423" t="s">
        <v>1074</v>
      </c>
      <c r="B423" t="str">
        <f>IF('02_Warehouse_Locations'!A422="","",'02_Warehouse_Locations'!A422)</f>
        <v/>
      </c>
      <c r="C423" t="str">
        <f t="shared" si="6"/>
        <v/>
      </c>
      <c r="D423" t="s">
        <v>1075</v>
      </c>
    </row>
    <row r="424" spans="1:4">
      <c r="A424" t="s">
        <v>1074</v>
      </c>
      <c r="B424" t="str">
        <f>IF('02_Warehouse_Locations'!A423="","",'02_Warehouse_Locations'!A423)</f>
        <v/>
      </c>
      <c r="C424" t="str">
        <f t="shared" si="6"/>
        <v/>
      </c>
      <c r="D424" t="s">
        <v>1075</v>
      </c>
    </row>
    <row r="425" spans="1:4">
      <c r="A425" t="s">
        <v>1074</v>
      </c>
      <c r="B425" t="str">
        <f>IF('02_Warehouse_Locations'!A424="","",'02_Warehouse_Locations'!A424)</f>
        <v/>
      </c>
      <c r="C425" t="str">
        <f t="shared" si="6"/>
        <v/>
      </c>
      <c r="D425" t="s">
        <v>1075</v>
      </c>
    </row>
    <row r="426" spans="1:4">
      <c r="A426" t="s">
        <v>1074</v>
      </c>
      <c r="B426" t="str">
        <f>IF('02_Warehouse_Locations'!A425="","",'02_Warehouse_Locations'!A425)</f>
        <v/>
      </c>
      <c r="C426" t="str">
        <f t="shared" si="6"/>
        <v/>
      </c>
      <c r="D426" t="s">
        <v>1075</v>
      </c>
    </row>
    <row r="427" spans="1:4">
      <c r="A427" t="s">
        <v>1074</v>
      </c>
      <c r="B427" t="str">
        <f>IF('02_Warehouse_Locations'!A426="","",'02_Warehouse_Locations'!A426)</f>
        <v/>
      </c>
      <c r="C427" t="str">
        <f t="shared" si="6"/>
        <v/>
      </c>
      <c r="D427" t="s">
        <v>1075</v>
      </c>
    </row>
    <row r="428" spans="1:4">
      <c r="A428" t="s">
        <v>1074</v>
      </c>
      <c r="B428" t="str">
        <f>IF('02_Warehouse_Locations'!A427="","",'02_Warehouse_Locations'!A427)</f>
        <v/>
      </c>
      <c r="C428" t="str">
        <f t="shared" si="6"/>
        <v/>
      </c>
      <c r="D428" t="s">
        <v>1075</v>
      </c>
    </row>
    <row r="429" spans="1:4">
      <c r="A429" t="s">
        <v>1074</v>
      </c>
      <c r="B429" t="str">
        <f>IF('02_Warehouse_Locations'!A428="","",'02_Warehouse_Locations'!A428)</f>
        <v/>
      </c>
      <c r="C429" t="str">
        <f t="shared" si="6"/>
        <v/>
      </c>
      <c r="D429" t="s">
        <v>1075</v>
      </c>
    </row>
    <row r="430" spans="1:4">
      <c r="A430" t="s">
        <v>1074</v>
      </c>
      <c r="B430" t="str">
        <f>IF('02_Warehouse_Locations'!A429="","",'02_Warehouse_Locations'!A429)</f>
        <v/>
      </c>
      <c r="C430" t="str">
        <f t="shared" si="6"/>
        <v/>
      </c>
      <c r="D430" t="s">
        <v>1075</v>
      </c>
    </row>
    <row r="431" spans="1:4">
      <c r="A431" t="s">
        <v>1074</v>
      </c>
      <c r="B431" t="str">
        <f>IF('02_Warehouse_Locations'!A430="","",'02_Warehouse_Locations'!A430)</f>
        <v/>
      </c>
      <c r="C431" t="str">
        <f t="shared" si="6"/>
        <v/>
      </c>
      <c r="D431" t="s">
        <v>1075</v>
      </c>
    </row>
    <row r="432" spans="1:4">
      <c r="A432" t="s">
        <v>1074</v>
      </c>
      <c r="B432" t="str">
        <f>IF('02_Warehouse_Locations'!A431="","",'02_Warehouse_Locations'!A431)</f>
        <v/>
      </c>
      <c r="C432" t="str">
        <f t="shared" si="6"/>
        <v/>
      </c>
      <c r="D432" t="s">
        <v>1075</v>
      </c>
    </row>
    <row r="433" spans="1:4">
      <c r="A433" t="s">
        <v>1074</v>
      </c>
      <c r="B433" t="str">
        <f>IF('02_Warehouse_Locations'!A432="","",'02_Warehouse_Locations'!A432)</f>
        <v/>
      </c>
      <c r="C433" t="str">
        <f t="shared" si="6"/>
        <v/>
      </c>
      <c r="D433" t="s">
        <v>1075</v>
      </c>
    </row>
    <row r="434" spans="1:4">
      <c r="A434" t="s">
        <v>1074</v>
      </c>
      <c r="B434" t="str">
        <f>IF('02_Warehouse_Locations'!A433="","",'02_Warehouse_Locations'!A433)</f>
        <v/>
      </c>
      <c r="C434" t="str">
        <f t="shared" si="6"/>
        <v/>
      </c>
      <c r="D434" t="s">
        <v>1075</v>
      </c>
    </row>
    <row r="435" spans="1:4">
      <c r="A435" t="s">
        <v>1074</v>
      </c>
      <c r="B435" t="str">
        <f>IF('02_Warehouse_Locations'!A434="","",'02_Warehouse_Locations'!A434)</f>
        <v/>
      </c>
      <c r="C435" t="str">
        <f t="shared" si="6"/>
        <v/>
      </c>
      <c r="D435" t="s">
        <v>1075</v>
      </c>
    </row>
    <row r="436" spans="1:4">
      <c r="A436" t="s">
        <v>1074</v>
      </c>
      <c r="B436" t="str">
        <f>IF('02_Warehouse_Locations'!A435="","",'02_Warehouse_Locations'!A435)</f>
        <v/>
      </c>
      <c r="C436" t="str">
        <f t="shared" si="6"/>
        <v/>
      </c>
      <c r="D436" t="s">
        <v>1075</v>
      </c>
    </row>
    <row r="437" spans="1:4">
      <c r="A437" t="s">
        <v>1074</v>
      </c>
      <c r="B437" t="str">
        <f>IF('02_Warehouse_Locations'!A436="","",'02_Warehouse_Locations'!A436)</f>
        <v/>
      </c>
      <c r="C437" t="str">
        <f t="shared" si="6"/>
        <v/>
      </c>
      <c r="D437" t="s">
        <v>1075</v>
      </c>
    </row>
    <row r="438" spans="1:4">
      <c r="A438" t="s">
        <v>1074</v>
      </c>
      <c r="B438" t="str">
        <f>IF('02_Warehouse_Locations'!A437="","",'02_Warehouse_Locations'!A437)</f>
        <v/>
      </c>
      <c r="C438" t="str">
        <f t="shared" si="6"/>
        <v/>
      </c>
      <c r="D438" t="s">
        <v>1075</v>
      </c>
    </row>
    <row r="439" spans="1:4">
      <c r="A439" t="s">
        <v>1074</v>
      </c>
      <c r="B439" t="str">
        <f>IF('02_Warehouse_Locations'!A438="","",'02_Warehouse_Locations'!A438)</f>
        <v/>
      </c>
      <c r="C439" t="str">
        <f t="shared" si="6"/>
        <v/>
      </c>
      <c r="D439" t="s">
        <v>1075</v>
      </c>
    </row>
    <row r="440" spans="1:4">
      <c r="A440" t="s">
        <v>1074</v>
      </c>
      <c r="B440" t="str">
        <f>IF('02_Warehouse_Locations'!A439="","",'02_Warehouse_Locations'!A439)</f>
        <v/>
      </c>
      <c r="C440" t="str">
        <f t="shared" si="6"/>
        <v/>
      </c>
      <c r="D440" t="s">
        <v>1075</v>
      </c>
    </row>
    <row r="441" spans="1:4">
      <c r="A441" t="s">
        <v>1074</v>
      </c>
      <c r="B441" t="str">
        <f>IF('02_Warehouse_Locations'!A440="","",'02_Warehouse_Locations'!A440)</f>
        <v/>
      </c>
      <c r="C441" t="str">
        <f t="shared" si="6"/>
        <v/>
      </c>
      <c r="D441" t="s">
        <v>1075</v>
      </c>
    </row>
    <row r="442" spans="1:4">
      <c r="A442" t="s">
        <v>1074</v>
      </c>
      <c r="B442" t="str">
        <f>IF('02_Warehouse_Locations'!A441="","",'02_Warehouse_Locations'!A441)</f>
        <v/>
      </c>
      <c r="C442" t="str">
        <f t="shared" si="6"/>
        <v/>
      </c>
      <c r="D442" t="s">
        <v>1075</v>
      </c>
    </row>
    <row r="443" spans="1:4">
      <c r="A443" t="s">
        <v>1074</v>
      </c>
      <c r="B443" t="str">
        <f>IF('02_Warehouse_Locations'!A442="","",'02_Warehouse_Locations'!A442)</f>
        <v/>
      </c>
      <c r="C443" t="str">
        <f t="shared" si="6"/>
        <v/>
      </c>
      <c r="D443" t="s">
        <v>1075</v>
      </c>
    </row>
    <row r="444" spans="1:4">
      <c r="A444" t="s">
        <v>1074</v>
      </c>
      <c r="B444" t="str">
        <f>IF('02_Warehouse_Locations'!A443="","",'02_Warehouse_Locations'!A443)</f>
        <v/>
      </c>
      <c r="C444" t="str">
        <f t="shared" si="6"/>
        <v/>
      </c>
      <c r="D444" t="s">
        <v>1075</v>
      </c>
    </row>
    <row r="445" spans="1:4">
      <c r="A445" t="s">
        <v>1074</v>
      </c>
      <c r="B445" t="str">
        <f>IF('02_Warehouse_Locations'!A444="","",'02_Warehouse_Locations'!A444)</f>
        <v/>
      </c>
      <c r="C445" t="str">
        <f t="shared" si="6"/>
        <v/>
      </c>
      <c r="D445" t="s">
        <v>1075</v>
      </c>
    </row>
    <row r="446" spans="1:4">
      <c r="A446" t="s">
        <v>1074</v>
      </c>
      <c r="B446" t="str">
        <f>IF('02_Warehouse_Locations'!A445="","",'02_Warehouse_Locations'!A445)</f>
        <v/>
      </c>
      <c r="C446" t="str">
        <f t="shared" si="6"/>
        <v/>
      </c>
      <c r="D446" t="s">
        <v>1075</v>
      </c>
    </row>
    <row r="447" spans="1:4">
      <c r="A447" t="s">
        <v>1074</v>
      </c>
      <c r="B447" t="str">
        <f>IF('02_Warehouse_Locations'!A446="","",'02_Warehouse_Locations'!A446)</f>
        <v/>
      </c>
      <c r="C447" t="str">
        <f t="shared" si="6"/>
        <v/>
      </c>
      <c r="D447" t="s">
        <v>1075</v>
      </c>
    </row>
    <row r="448" spans="1:4">
      <c r="A448" t="s">
        <v>1074</v>
      </c>
      <c r="B448" t="str">
        <f>IF('02_Warehouse_Locations'!A447="","",'02_Warehouse_Locations'!A447)</f>
        <v/>
      </c>
      <c r="C448" t="str">
        <f t="shared" si="6"/>
        <v/>
      </c>
      <c r="D448" t="s">
        <v>1075</v>
      </c>
    </row>
    <row r="449" spans="1:4">
      <c r="A449" t="s">
        <v>1074</v>
      </c>
      <c r="B449" t="str">
        <f>IF('02_Warehouse_Locations'!A448="","",'02_Warehouse_Locations'!A448)</f>
        <v/>
      </c>
      <c r="C449" t="str">
        <f t="shared" si="6"/>
        <v/>
      </c>
      <c r="D449" t="s">
        <v>1075</v>
      </c>
    </row>
    <row r="450" spans="1:4">
      <c r="A450" t="s">
        <v>1074</v>
      </c>
      <c r="B450" t="str">
        <f>IF('02_Warehouse_Locations'!A449="","",'02_Warehouse_Locations'!A449)</f>
        <v/>
      </c>
      <c r="C450" t="str">
        <f t="shared" si="6"/>
        <v/>
      </c>
      <c r="D450" t="s">
        <v>1075</v>
      </c>
    </row>
    <row r="451" spans="1:4">
      <c r="A451" t="s">
        <v>1074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1075</v>
      </c>
    </row>
    <row r="452" spans="1:4">
      <c r="A452" t="s">
        <v>1074</v>
      </c>
      <c r="B452" t="str">
        <f>IF('02_Warehouse_Locations'!A451="","",'02_Warehouse_Locations'!A451)</f>
        <v/>
      </c>
      <c r="C452" t="str">
        <f t="shared" si="7"/>
        <v/>
      </c>
      <c r="D452" t="s">
        <v>1075</v>
      </c>
    </row>
    <row r="453" spans="1:4">
      <c r="A453" t="s">
        <v>1074</v>
      </c>
      <c r="B453" t="str">
        <f>IF('02_Warehouse_Locations'!A452="","",'02_Warehouse_Locations'!A452)</f>
        <v/>
      </c>
      <c r="C453" t="str">
        <f t="shared" si="7"/>
        <v/>
      </c>
      <c r="D453" t="s">
        <v>1075</v>
      </c>
    </row>
    <row r="454" spans="1:4">
      <c r="A454" t="s">
        <v>1074</v>
      </c>
      <c r="B454" t="str">
        <f>IF('02_Warehouse_Locations'!A453="","",'02_Warehouse_Locations'!A453)</f>
        <v/>
      </c>
      <c r="C454" t="str">
        <f t="shared" si="7"/>
        <v/>
      </c>
      <c r="D454" t="s">
        <v>1075</v>
      </c>
    </row>
    <row r="455" spans="1:4">
      <c r="A455" t="s">
        <v>1074</v>
      </c>
      <c r="B455" t="str">
        <f>IF('02_Warehouse_Locations'!A454="","",'02_Warehouse_Locations'!A454)</f>
        <v/>
      </c>
      <c r="C455" t="str">
        <f t="shared" si="7"/>
        <v/>
      </c>
      <c r="D455" t="s">
        <v>1075</v>
      </c>
    </row>
    <row r="456" spans="1:4">
      <c r="A456" t="s">
        <v>1074</v>
      </c>
      <c r="B456" t="str">
        <f>IF('02_Warehouse_Locations'!A455="","",'02_Warehouse_Locations'!A455)</f>
        <v/>
      </c>
      <c r="C456" t="str">
        <f t="shared" si="7"/>
        <v/>
      </c>
      <c r="D456" t="s">
        <v>1075</v>
      </c>
    </row>
    <row r="457" spans="1:4">
      <c r="A457" t="s">
        <v>1074</v>
      </c>
      <c r="B457" t="str">
        <f>IF('02_Warehouse_Locations'!A456="","",'02_Warehouse_Locations'!A456)</f>
        <v/>
      </c>
      <c r="C457" t="str">
        <f t="shared" si="7"/>
        <v/>
      </c>
      <c r="D457" t="s">
        <v>1075</v>
      </c>
    </row>
    <row r="458" spans="1:4">
      <c r="A458" t="s">
        <v>1074</v>
      </c>
      <c r="B458" t="str">
        <f>IF('02_Warehouse_Locations'!A457="","",'02_Warehouse_Locations'!A457)</f>
        <v/>
      </c>
      <c r="C458" t="str">
        <f t="shared" si="7"/>
        <v/>
      </c>
      <c r="D458" t="s">
        <v>1075</v>
      </c>
    </row>
    <row r="459" spans="1:4">
      <c r="A459" t="s">
        <v>1074</v>
      </c>
      <c r="B459" t="str">
        <f>IF('02_Warehouse_Locations'!A458="","",'02_Warehouse_Locations'!A458)</f>
        <v/>
      </c>
      <c r="C459" t="str">
        <f t="shared" si="7"/>
        <v/>
      </c>
      <c r="D459" t="s">
        <v>1075</v>
      </c>
    </row>
    <row r="460" spans="1:4">
      <c r="A460" t="s">
        <v>1074</v>
      </c>
      <c r="B460" t="str">
        <f>IF('02_Warehouse_Locations'!A459="","",'02_Warehouse_Locations'!A459)</f>
        <v/>
      </c>
      <c r="C460" t="str">
        <f t="shared" si="7"/>
        <v/>
      </c>
      <c r="D460" t="s">
        <v>1075</v>
      </c>
    </row>
    <row r="461" spans="1:4">
      <c r="A461" t="s">
        <v>1074</v>
      </c>
      <c r="B461" t="str">
        <f>IF('02_Warehouse_Locations'!A460="","",'02_Warehouse_Locations'!A460)</f>
        <v/>
      </c>
      <c r="C461" t="str">
        <f t="shared" si="7"/>
        <v/>
      </c>
      <c r="D461" t="s">
        <v>1075</v>
      </c>
    </row>
    <row r="462" spans="1:4">
      <c r="A462" t="s">
        <v>1074</v>
      </c>
      <c r="B462" t="str">
        <f>IF('02_Warehouse_Locations'!A461="","",'02_Warehouse_Locations'!A461)</f>
        <v/>
      </c>
      <c r="C462" t="str">
        <f t="shared" si="7"/>
        <v/>
      </c>
      <c r="D462" t="s">
        <v>1075</v>
      </c>
    </row>
    <row r="463" spans="1:4">
      <c r="A463" t="s">
        <v>1074</v>
      </c>
      <c r="B463" t="str">
        <f>IF('02_Warehouse_Locations'!A462="","",'02_Warehouse_Locations'!A462)</f>
        <v/>
      </c>
      <c r="C463" t="str">
        <f t="shared" si="7"/>
        <v/>
      </c>
      <c r="D463" t="s">
        <v>1075</v>
      </c>
    </row>
    <row r="464" spans="1:4">
      <c r="A464" t="s">
        <v>1074</v>
      </c>
      <c r="B464" t="str">
        <f>IF('02_Warehouse_Locations'!A463="","",'02_Warehouse_Locations'!A463)</f>
        <v/>
      </c>
      <c r="C464" t="str">
        <f t="shared" si="7"/>
        <v/>
      </c>
      <c r="D464" t="s">
        <v>1075</v>
      </c>
    </row>
    <row r="465" spans="1:4">
      <c r="A465" t="s">
        <v>1074</v>
      </c>
      <c r="B465" t="str">
        <f>IF('02_Warehouse_Locations'!A464="","",'02_Warehouse_Locations'!A464)</f>
        <v/>
      </c>
      <c r="C465" t="str">
        <f t="shared" si="7"/>
        <v/>
      </c>
      <c r="D465" t="s">
        <v>1075</v>
      </c>
    </row>
    <row r="466" spans="1:4">
      <c r="A466" t="s">
        <v>1074</v>
      </c>
      <c r="B466" t="str">
        <f>IF('02_Warehouse_Locations'!A465="","",'02_Warehouse_Locations'!A465)</f>
        <v/>
      </c>
      <c r="C466" t="str">
        <f t="shared" si="7"/>
        <v/>
      </c>
      <c r="D466" t="s">
        <v>1075</v>
      </c>
    </row>
    <row r="467" spans="1:4">
      <c r="A467" t="s">
        <v>1074</v>
      </c>
      <c r="B467" t="str">
        <f>IF('02_Warehouse_Locations'!A466="","",'02_Warehouse_Locations'!A466)</f>
        <v/>
      </c>
      <c r="C467" t="str">
        <f t="shared" si="7"/>
        <v/>
      </c>
      <c r="D467" t="s">
        <v>1075</v>
      </c>
    </row>
    <row r="468" spans="1:4">
      <c r="A468" t="s">
        <v>1074</v>
      </c>
      <c r="B468" t="str">
        <f>IF('02_Warehouse_Locations'!A467="","",'02_Warehouse_Locations'!A467)</f>
        <v/>
      </c>
      <c r="C468" t="str">
        <f t="shared" si="7"/>
        <v/>
      </c>
      <c r="D468" t="s">
        <v>1075</v>
      </c>
    </row>
    <row r="469" spans="1:4">
      <c r="A469" t="s">
        <v>1074</v>
      </c>
      <c r="B469" t="str">
        <f>IF('02_Warehouse_Locations'!A468="","",'02_Warehouse_Locations'!A468)</f>
        <v/>
      </c>
      <c r="C469" t="str">
        <f t="shared" si="7"/>
        <v/>
      </c>
      <c r="D469" t="s">
        <v>1075</v>
      </c>
    </row>
    <row r="470" spans="1:4">
      <c r="A470" t="s">
        <v>1074</v>
      </c>
      <c r="B470" t="str">
        <f>IF('02_Warehouse_Locations'!A469="","",'02_Warehouse_Locations'!A469)</f>
        <v/>
      </c>
      <c r="C470" t="str">
        <f t="shared" si="7"/>
        <v/>
      </c>
      <c r="D470" t="s">
        <v>1075</v>
      </c>
    </row>
    <row r="471" spans="1:4">
      <c r="A471" t="s">
        <v>1074</v>
      </c>
      <c r="B471" t="str">
        <f>IF('02_Warehouse_Locations'!A470="","",'02_Warehouse_Locations'!A470)</f>
        <v/>
      </c>
      <c r="C471" t="str">
        <f t="shared" si="7"/>
        <v/>
      </c>
      <c r="D471" t="s">
        <v>1075</v>
      </c>
    </row>
    <row r="472" spans="1:4">
      <c r="A472" t="s">
        <v>1074</v>
      </c>
      <c r="B472" t="str">
        <f>IF('02_Warehouse_Locations'!A471="","",'02_Warehouse_Locations'!A471)</f>
        <v/>
      </c>
      <c r="C472" t="str">
        <f t="shared" si="7"/>
        <v/>
      </c>
      <c r="D472" t="s">
        <v>1075</v>
      </c>
    </row>
    <row r="473" spans="1:4">
      <c r="A473" t="s">
        <v>1074</v>
      </c>
      <c r="B473" t="str">
        <f>IF('02_Warehouse_Locations'!A472="","",'02_Warehouse_Locations'!A472)</f>
        <v/>
      </c>
      <c r="C473" t="str">
        <f t="shared" si="7"/>
        <v/>
      </c>
      <c r="D473" t="s">
        <v>1075</v>
      </c>
    </row>
    <row r="474" spans="1:4">
      <c r="A474" t="s">
        <v>1074</v>
      </c>
      <c r="B474" t="str">
        <f>IF('02_Warehouse_Locations'!A473="","",'02_Warehouse_Locations'!A473)</f>
        <v/>
      </c>
      <c r="C474" t="str">
        <f t="shared" si="7"/>
        <v/>
      </c>
      <c r="D474" t="s">
        <v>1075</v>
      </c>
    </row>
    <row r="475" spans="1:4">
      <c r="A475" t="s">
        <v>1074</v>
      </c>
      <c r="B475" t="str">
        <f>IF('02_Warehouse_Locations'!A474="","",'02_Warehouse_Locations'!A474)</f>
        <v/>
      </c>
      <c r="C475" t="str">
        <f t="shared" si="7"/>
        <v/>
      </c>
      <c r="D475" t="s">
        <v>1075</v>
      </c>
    </row>
    <row r="476" spans="1:4">
      <c r="A476" t="s">
        <v>1074</v>
      </c>
      <c r="B476" t="str">
        <f>IF('02_Warehouse_Locations'!A475="","",'02_Warehouse_Locations'!A475)</f>
        <v/>
      </c>
      <c r="C476" t="str">
        <f t="shared" si="7"/>
        <v/>
      </c>
      <c r="D476" t="s">
        <v>1075</v>
      </c>
    </row>
    <row r="477" spans="1:4">
      <c r="A477" t="s">
        <v>1074</v>
      </c>
      <c r="B477" t="str">
        <f>IF('02_Warehouse_Locations'!A476="","",'02_Warehouse_Locations'!A476)</f>
        <v/>
      </c>
      <c r="C477" t="str">
        <f t="shared" si="7"/>
        <v/>
      </c>
      <c r="D477" t="s">
        <v>1075</v>
      </c>
    </row>
    <row r="478" spans="1:4">
      <c r="A478" t="s">
        <v>1074</v>
      </c>
      <c r="B478" t="str">
        <f>IF('02_Warehouse_Locations'!A477="","",'02_Warehouse_Locations'!A477)</f>
        <v/>
      </c>
      <c r="C478" t="str">
        <f t="shared" si="7"/>
        <v/>
      </c>
      <c r="D478" t="s">
        <v>1075</v>
      </c>
    </row>
    <row r="479" spans="1:4">
      <c r="A479" t="s">
        <v>1074</v>
      </c>
      <c r="B479" t="str">
        <f>IF('02_Warehouse_Locations'!A478="","",'02_Warehouse_Locations'!A478)</f>
        <v/>
      </c>
      <c r="C479" t="str">
        <f t="shared" si="7"/>
        <v/>
      </c>
      <c r="D479" t="s">
        <v>1075</v>
      </c>
    </row>
    <row r="480" spans="1:4">
      <c r="A480" t="s">
        <v>1074</v>
      </c>
      <c r="B480" t="str">
        <f>IF('02_Warehouse_Locations'!A479="","",'02_Warehouse_Locations'!A479)</f>
        <v/>
      </c>
      <c r="C480" t="str">
        <f t="shared" si="7"/>
        <v/>
      </c>
      <c r="D480" t="s">
        <v>1075</v>
      </c>
    </row>
    <row r="481" spans="1:4">
      <c r="A481" t="s">
        <v>1074</v>
      </c>
      <c r="B481" t="str">
        <f>IF('02_Warehouse_Locations'!A480="","",'02_Warehouse_Locations'!A480)</f>
        <v/>
      </c>
      <c r="C481" t="str">
        <f t="shared" si="7"/>
        <v/>
      </c>
      <c r="D481" t="s">
        <v>1075</v>
      </c>
    </row>
    <row r="482" spans="1:4">
      <c r="A482" t="s">
        <v>1074</v>
      </c>
      <c r="B482" t="str">
        <f>IF('02_Warehouse_Locations'!A481="","",'02_Warehouse_Locations'!A481)</f>
        <v/>
      </c>
      <c r="C482" t="str">
        <f t="shared" si="7"/>
        <v/>
      </c>
      <c r="D482" t="s">
        <v>1075</v>
      </c>
    </row>
    <row r="483" spans="1:4">
      <c r="A483" t="s">
        <v>1074</v>
      </c>
      <c r="B483" t="str">
        <f>IF('02_Warehouse_Locations'!A482="","",'02_Warehouse_Locations'!A482)</f>
        <v/>
      </c>
      <c r="C483" t="str">
        <f t="shared" si="7"/>
        <v/>
      </c>
      <c r="D483" t="s">
        <v>1075</v>
      </c>
    </row>
    <row r="484" spans="1:4">
      <c r="A484" t="s">
        <v>1074</v>
      </c>
      <c r="B484" t="str">
        <f>IF('02_Warehouse_Locations'!A483="","",'02_Warehouse_Locations'!A483)</f>
        <v/>
      </c>
      <c r="C484" t="str">
        <f t="shared" si="7"/>
        <v/>
      </c>
      <c r="D484" t="s">
        <v>1075</v>
      </c>
    </row>
    <row r="485" spans="1:4">
      <c r="A485" t="s">
        <v>1074</v>
      </c>
      <c r="B485" t="str">
        <f>IF('02_Warehouse_Locations'!A484="","",'02_Warehouse_Locations'!A484)</f>
        <v/>
      </c>
      <c r="C485" t="str">
        <f t="shared" si="7"/>
        <v/>
      </c>
      <c r="D485" t="s">
        <v>1075</v>
      </c>
    </row>
    <row r="486" spans="1:4">
      <c r="A486" t="s">
        <v>1074</v>
      </c>
      <c r="B486" t="str">
        <f>IF('02_Warehouse_Locations'!A485="","",'02_Warehouse_Locations'!A485)</f>
        <v/>
      </c>
      <c r="C486" t="str">
        <f t="shared" si="7"/>
        <v/>
      </c>
      <c r="D486" t="s">
        <v>1075</v>
      </c>
    </row>
    <row r="487" spans="1:4">
      <c r="A487" t="s">
        <v>1074</v>
      </c>
      <c r="B487" t="str">
        <f>IF('02_Warehouse_Locations'!A486="","",'02_Warehouse_Locations'!A486)</f>
        <v/>
      </c>
      <c r="C487" t="str">
        <f t="shared" si="7"/>
        <v/>
      </c>
      <c r="D487" t="s">
        <v>1075</v>
      </c>
    </row>
    <row r="488" spans="1:4">
      <c r="A488" t="s">
        <v>1074</v>
      </c>
      <c r="B488" t="str">
        <f>IF('02_Warehouse_Locations'!A487="","",'02_Warehouse_Locations'!A487)</f>
        <v/>
      </c>
      <c r="C488" t="str">
        <f t="shared" si="7"/>
        <v/>
      </c>
      <c r="D488" t="s">
        <v>1075</v>
      </c>
    </row>
    <row r="489" spans="1:4">
      <c r="A489" t="s">
        <v>1074</v>
      </c>
      <c r="B489" t="str">
        <f>IF('02_Warehouse_Locations'!A488="","",'02_Warehouse_Locations'!A488)</f>
        <v/>
      </c>
      <c r="C489" t="str">
        <f t="shared" si="7"/>
        <v/>
      </c>
      <c r="D489" t="s">
        <v>1075</v>
      </c>
    </row>
    <row r="490" spans="1:4">
      <c r="A490" t="s">
        <v>1074</v>
      </c>
      <c r="B490" t="str">
        <f>IF('02_Warehouse_Locations'!A489="","",'02_Warehouse_Locations'!A489)</f>
        <v/>
      </c>
      <c r="C490" t="str">
        <f t="shared" si="7"/>
        <v/>
      </c>
      <c r="D490" t="s">
        <v>1075</v>
      </c>
    </row>
    <row r="491" spans="1:4">
      <c r="A491" t="s">
        <v>1074</v>
      </c>
      <c r="B491" t="str">
        <f>IF('02_Warehouse_Locations'!A490="","",'02_Warehouse_Locations'!A490)</f>
        <v/>
      </c>
      <c r="C491" t="str">
        <f t="shared" si="7"/>
        <v/>
      </c>
      <c r="D491" t="s">
        <v>1075</v>
      </c>
    </row>
    <row r="492" spans="1:4">
      <c r="A492" t="s">
        <v>1074</v>
      </c>
      <c r="B492" t="str">
        <f>IF('02_Warehouse_Locations'!A491="","",'02_Warehouse_Locations'!A491)</f>
        <v/>
      </c>
      <c r="C492" t="str">
        <f t="shared" si="7"/>
        <v/>
      </c>
      <c r="D492" t="s">
        <v>1075</v>
      </c>
    </row>
    <row r="493" spans="1:4">
      <c r="A493" t="s">
        <v>1074</v>
      </c>
      <c r="B493" t="str">
        <f>IF('02_Warehouse_Locations'!A492="","",'02_Warehouse_Locations'!A492)</f>
        <v/>
      </c>
      <c r="C493" t="str">
        <f t="shared" si="7"/>
        <v/>
      </c>
      <c r="D493" t="s">
        <v>1075</v>
      </c>
    </row>
    <row r="494" spans="1:4">
      <c r="A494" t="s">
        <v>1074</v>
      </c>
      <c r="B494" t="str">
        <f>IF('02_Warehouse_Locations'!A493="","",'02_Warehouse_Locations'!A493)</f>
        <v/>
      </c>
      <c r="C494" t="str">
        <f t="shared" si="7"/>
        <v/>
      </c>
      <c r="D494" t="s">
        <v>1075</v>
      </c>
    </row>
    <row r="495" spans="1:4">
      <c r="A495" t="s">
        <v>1074</v>
      </c>
      <c r="B495" t="str">
        <f>IF('02_Warehouse_Locations'!A494="","",'02_Warehouse_Locations'!A494)</f>
        <v/>
      </c>
      <c r="C495" t="str">
        <f t="shared" si="7"/>
        <v/>
      </c>
      <c r="D495" t="s">
        <v>1075</v>
      </c>
    </row>
    <row r="496" spans="1:4">
      <c r="A496" t="s">
        <v>1074</v>
      </c>
      <c r="B496" t="str">
        <f>IF('02_Warehouse_Locations'!A495="","",'02_Warehouse_Locations'!A495)</f>
        <v/>
      </c>
      <c r="C496" t="str">
        <f t="shared" si="7"/>
        <v/>
      </c>
      <c r="D496" t="s">
        <v>1075</v>
      </c>
    </row>
    <row r="497" spans="1:4">
      <c r="A497" t="s">
        <v>1074</v>
      </c>
      <c r="B497" t="str">
        <f>IF('02_Warehouse_Locations'!A496="","",'02_Warehouse_Locations'!A496)</f>
        <v/>
      </c>
      <c r="C497" t="str">
        <f t="shared" si="7"/>
        <v/>
      </c>
      <c r="D497" t="s">
        <v>1075</v>
      </c>
    </row>
    <row r="498" spans="1:4">
      <c r="A498" t="s">
        <v>1074</v>
      </c>
      <c r="B498" t="str">
        <f>IF('02_Warehouse_Locations'!A497="","",'02_Warehouse_Locations'!A497)</f>
        <v/>
      </c>
      <c r="C498" t="str">
        <f t="shared" si="7"/>
        <v/>
      </c>
      <c r="D498" t="s">
        <v>1075</v>
      </c>
    </row>
    <row r="499" spans="1:4">
      <c r="A499" t="s">
        <v>1074</v>
      </c>
      <c r="B499" t="str">
        <f>IF('02_Warehouse_Locations'!A498="","",'02_Warehouse_Locations'!A498)</f>
        <v/>
      </c>
      <c r="C499" t="str">
        <f t="shared" si="7"/>
        <v/>
      </c>
      <c r="D499" t="s">
        <v>1075</v>
      </c>
    </row>
    <row r="500" spans="1:4">
      <c r="A500" t="s">
        <v>1074</v>
      </c>
      <c r="B500" t="str">
        <f>IF('02_Warehouse_Locations'!A499="","",'02_Warehouse_Locations'!A499)</f>
        <v/>
      </c>
      <c r="C500" t="str">
        <f t="shared" si="7"/>
        <v/>
      </c>
      <c r="D500" t="s">
        <v>1075</v>
      </c>
    </row>
    <row r="501" spans="1:4">
      <c r="A501" t="s">
        <v>1074</v>
      </c>
      <c r="B501" t="str">
        <f>IF('02_Warehouse_Locations'!A500="","",'02_Warehouse_Locations'!A500)</f>
        <v/>
      </c>
      <c r="C501" t="str">
        <f t="shared" si="7"/>
        <v/>
      </c>
      <c r="D501" t="s">
        <v>1075</v>
      </c>
    </row>
    <row r="502" spans="1:4">
      <c r="A502" t="s">
        <v>1074</v>
      </c>
      <c r="B502" t="str">
        <f>IF('02_Warehouse_Locations'!A501="","",'02_Warehouse_Locations'!A501)</f>
        <v/>
      </c>
      <c r="C502" t="str">
        <f t="shared" si="7"/>
        <v/>
      </c>
      <c r="D502" t="s">
        <v>1075</v>
      </c>
    </row>
    <row r="505" spans="1:4">
      <c r="A505" s="29" t="s">
        <v>1076</v>
      </c>
    </row>
    <row r="506" spans="1:4">
      <c r="A506" t="s">
        <v>1077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1078</v>
      </c>
    </row>
    <row r="507" spans="1:4">
      <c r="A507" t="s">
        <v>1077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1078</v>
      </c>
    </row>
    <row r="508" spans="1:4">
      <c r="A508" t="s">
        <v>1077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1078</v>
      </c>
    </row>
    <row r="509" spans="1:4">
      <c r="A509" t="s">
        <v>1077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1078</v>
      </c>
    </row>
    <row r="510" spans="1:4">
      <c r="A510" t="s">
        <v>1077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1078</v>
      </c>
    </row>
    <row r="511" spans="1:4">
      <c r="A511" t="s">
        <v>1077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1078</v>
      </c>
    </row>
    <row r="512" spans="1:4">
      <c r="A512" t="s">
        <v>1077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1078</v>
      </c>
    </row>
    <row r="513" spans="1:4">
      <c r="A513" t="s">
        <v>1077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1078</v>
      </c>
    </row>
    <row r="514" spans="1:4">
      <c r="A514" t="s">
        <v>1077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1078</v>
      </c>
    </row>
    <row r="515" spans="1:4">
      <c r="A515" t="s">
        <v>1077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1078</v>
      </c>
    </row>
    <row r="516" spans="1:4">
      <c r="A516" t="s">
        <v>1077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1078</v>
      </c>
    </row>
    <row r="517" spans="1:4">
      <c r="A517" t="s">
        <v>1077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1078</v>
      </c>
    </row>
    <row r="518" spans="1:4">
      <c r="A518" t="s">
        <v>1077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1078</v>
      </c>
    </row>
    <row r="519" spans="1:4">
      <c r="A519" t="s">
        <v>1077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1078</v>
      </c>
    </row>
    <row r="520" spans="1:4">
      <c r="A520" t="s">
        <v>1077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1078</v>
      </c>
    </row>
    <row r="521" spans="1:4">
      <c r="A521" t="s">
        <v>1077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1078</v>
      </c>
    </row>
    <row r="522" spans="1:4">
      <c r="A522" t="s">
        <v>1077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1078</v>
      </c>
    </row>
    <row r="523" spans="1:4">
      <c r="A523" t="s">
        <v>1077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1078</v>
      </c>
    </row>
    <row r="524" spans="1:4">
      <c r="A524" t="s">
        <v>1077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1078</v>
      </c>
    </row>
    <row r="525" spans="1:4">
      <c r="A525" t="s">
        <v>1077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1078</v>
      </c>
    </row>
    <row r="526" spans="1:4">
      <c r="A526" t="s">
        <v>1077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1078</v>
      </c>
    </row>
    <row r="527" spans="1:4">
      <c r="A527" t="s">
        <v>1077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1078</v>
      </c>
    </row>
    <row r="528" spans="1:4">
      <c r="A528" t="s">
        <v>1077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1078</v>
      </c>
    </row>
    <row r="529" spans="1:4">
      <c r="A529" t="s">
        <v>1077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1078</v>
      </c>
    </row>
    <row r="530" spans="1:4">
      <c r="A530" t="s">
        <v>1077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1078</v>
      </c>
    </row>
    <row r="531" spans="1:4">
      <c r="A531" t="s">
        <v>1077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1078</v>
      </c>
    </row>
    <row r="532" spans="1:4">
      <c r="A532" t="s">
        <v>1077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1078</v>
      </c>
    </row>
    <row r="533" spans="1:4">
      <c r="A533" t="s">
        <v>1077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1078</v>
      </c>
    </row>
    <row r="534" spans="1:4">
      <c r="A534" t="s">
        <v>1077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1078</v>
      </c>
    </row>
    <row r="535" spans="1:4">
      <c r="A535" t="s">
        <v>1077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1078</v>
      </c>
    </row>
    <row r="536" spans="1:4">
      <c r="A536" t="s">
        <v>1077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1078</v>
      </c>
    </row>
    <row r="537" spans="1:4">
      <c r="A537" t="s">
        <v>1077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1078</v>
      </c>
    </row>
    <row r="538" spans="1:4">
      <c r="A538" t="s">
        <v>1077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1078</v>
      </c>
    </row>
    <row r="539" spans="1:4">
      <c r="A539" t="s">
        <v>1077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1078</v>
      </c>
    </row>
    <row r="540" spans="1:4">
      <c r="A540" t="s">
        <v>1077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1078</v>
      </c>
    </row>
    <row r="541" spans="1:4">
      <c r="A541" t="s">
        <v>1077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1078</v>
      </c>
    </row>
    <row r="542" spans="1:4">
      <c r="A542" t="s">
        <v>1077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1078</v>
      </c>
    </row>
    <row r="543" spans="1:4">
      <c r="A543" t="s">
        <v>1077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1078</v>
      </c>
    </row>
    <row r="544" spans="1:4">
      <c r="A544" t="s">
        <v>1077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1078</v>
      </c>
    </row>
    <row r="545" spans="1:4">
      <c r="A545" t="s">
        <v>1077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1078</v>
      </c>
    </row>
    <row r="546" spans="1:4">
      <c r="A546" t="s">
        <v>1077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1078</v>
      </c>
    </row>
    <row r="547" spans="1:4">
      <c r="A547" t="s">
        <v>1077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1078</v>
      </c>
    </row>
    <row r="548" spans="1:4">
      <c r="A548" t="s">
        <v>1077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1078</v>
      </c>
    </row>
    <row r="549" spans="1:4">
      <c r="A549" t="s">
        <v>1077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1078</v>
      </c>
    </row>
    <row r="550" spans="1:4">
      <c r="A550" t="s">
        <v>1077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1078</v>
      </c>
    </row>
    <row r="551" spans="1:4">
      <c r="A551" t="s">
        <v>1077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1078</v>
      </c>
    </row>
    <row r="552" spans="1:4">
      <c r="A552" t="s">
        <v>1077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1078</v>
      </c>
    </row>
    <row r="553" spans="1:4">
      <c r="A553" t="s">
        <v>1077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1078</v>
      </c>
    </row>
    <row r="554" spans="1:4">
      <c r="A554" t="s">
        <v>1077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1078</v>
      </c>
    </row>
    <row r="555" spans="1:4">
      <c r="A555" t="s">
        <v>1077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1078</v>
      </c>
    </row>
    <row r="556" spans="1:4">
      <c r="A556" t="s">
        <v>1077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1078</v>
      </c>
    </row>
    <row r="557" spans="1:4">
      <c r="A557" t="s">
        <v>1077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1078</v>
      </c>
    </row>
    <row r="558" spans="1:4">
      <c r="A558" t="s">
        <v>1077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1078</v>
      </c>
    </row>
    <row r="559" spans="1:4">
      <c r="A559" t="s">
        <v>1077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1078</v>
      </c>
    </row>
    <row r="560" spans="1:4">
      <c r="A560" t="s">
        <v>1077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1078</v>
      </c>
    </row>
    <row r="561" spans="1:4">
      <c r="A561" t="s">
        <v>1077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1078</v>
      </c>
    </row>
    <row r="562" spans="1:4">
      <c r="A562" t="s">
        <v>1077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1078</v>
      </c>
    </row>
    <row r="563" spans="1:4">
      <c r="A563" t="s">
        <v>1077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1078</v>
      </c>
    </row>
    <row r="564" spans="1:4">
      <c r="A564" t="s">
        <v>1077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1078</v>
      </c>
    </row>
    <row r="565" spans="1:4">
      <c r="A565" t="s">
        <v>1077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1078</v>
      </c>
    </row>
    <row r="566" spans="1:4">
      <c r="A566" t="s">
        <v>1077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1078</v>
      </c>
    </row>
    <row r="567" spans="1:4">
      <c r="A567" t="s">
        <v>1077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1078</v>
      </c>
    </row>
    <row r="568" spans="1:4">
      <c r="A568" t="s">
        <v>1077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1078</v>
      </c>
    </row>
    <row r="569" spans="1:4">
      <c r="A569" t="s">
        <v>1077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1078</v>
      </c>
    </row>
    <row r="570" spans="1:4">
      <c r="A570" t="s">
        <v>1077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1078</v>
      </c>
    </row>
    <row r="571" spans="1:4">
      <c r="A571" t="s">
        <v>1077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1078</v>
      </c>
    </row>
    <row r="572" spans="1:4">
      <c r="A572" t="s">
        <v>1077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1078</v>
      </c>
    </row>
    <row r="573" spans="1:4">
      <c r="A573" t="s">
        <v>1077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1078</v>
      </c>
    </row>
    <row r="574" spans="1:4">
      <c r="A574" t="s">
        <v>1077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1078</v>
      </c>
    </row>
    <row r="575" spans="1:4">
      <c r="A575" t="s">
        <v>1077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1078</v>
      </c>
    </row>
    <row r="576" spans="1:4">
      <c r="A576" t="s">
        <v>1077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1078</v>
      </c>
    </row>
    <row r="577" spans="1:4">
      <c r="A577" t="s">
        <v>1077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1078</v>
      </c>
    </row>
    <row r="578" spans="1:4">
      <c r="A578" t="s">
        <v>1077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1078</v>
      </c>
    </row>
    <row r="579" spans="1:4">
      <c r="A579" t="s">
        <v>1077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1078</v>
      </c>
    </row>
    <row r="580" spans="1:4">
      <c r="A580" t="s">
        <v>1077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1078</v>
      </c>
    </row>
    <row r="581" spans="1:4">
      <c r="A581" t="s">
        <v>1077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1078</v>
      </c>
    </row>
    <row r="582" spans="1:4">
      <c r="A582" t="s">
        <v>1077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1078</v>
      </c>
    </row>
    <row r="583" spans="1:4">
      <c r="A583" t="s">
        <v>1077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1078</v>
      </c>
    </row>
    <row r="584" spans="1:4">
      <c r="A584" t="s">
        <v>1077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1078</v>
      </c>
    </row>
    <row r="585" spans="1:4">
      <c r="A585" t="s">
        <v>1077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1078</v>
      </c>
    </row>
    <row r="586" spans="1:4">
      <c r="A586" t="s">
        <v>1077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1078</v>
      </c>
    </row>
    <row r="587" spans="1:4">
      <c r="A587" t="s">
        <v>1077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1078</v>
      </c>
    </row>
    <row r="588" spans="1:4">
      <c r="A588" t="s">
        <v>1077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1078</v>
      </c>
    </row>
    <row r="589" spans="1:4">
      <c r="A589" t="s">
        <v>1077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1078</v>
      </c>
    </row>
    <row r="590" spans="1:4">
      <c r="A590" t="s">
        <v>1077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1078</v>
      </c>
    </row>
    <row r="591" spans="1:4">
      <c r="A591" t="s">
        <v>1077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1078</v>
      </c>
    </row>
    <row r="592" spans="1:4">
      <c r="A592" t="s">
        <v>1077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1078</v>
      </c>
    </row>
    <row r="593" spans="1:4">
      <c r="A593" t="s">
        <v>1077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1078</v>
      </c>
    </row>
    <row r="594" spans="1:4">
      <c r="A594" t="s">
        <v>1077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1078</v>
      </c>
    </row>
    <row r="595" spans="1:4">
      <c r="A595" t="s">
        <v>1077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1078</v>
      </c>
    </row>
    <row r="596" spans="1:4">
      <c r="A596" t="s">
        <v>1077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1078</v>
      </c>
    </row>
    <row r="597" spans="1:4">
      <c r="A597" t="s">
        <v>1077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1078</v>
      </c>
    </row>
    <row r="598" spans="1:4">
      <c r="A598" t="s">
        <v>1077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1078</v>
      </c>
    </row>
    <row r="599" spans="1:4">
      <c r="A599" t="s">
        <v>1077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1078</v>
      </c>
    </row>
    <row r="600" spans="1:4">
      <c r="A600" t="s">
        <v>1077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1078</v>
      </c>
    </row>
    <row r="601" spans="1:4">
      <c r="A601" t="s">
        <v>1077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1078</v>
      </c>
    </row>
    <row r="602" spans="1:4">
      <c r="A602" t="s">
        <v>1077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1078</v>
      </c>
    </row>
    <row r="603" spans="1:4">
      <c r="A603" t="s">
        <v>1077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1078</v>
      </c>
    </row>
    <row r="604" spans="1:4">
      <c r="A604" t="s">
        <v>1077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1078</v>
      </c>
    </row>
    <row r="605" spans="1:4">
      <c r="A605" t="s">
        <v>1077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1078</v>
      </c>
    </row>
    <row r="606" spans="1:4">
      <c r="A606" t="s">
        <v>1077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1078</v>
      </c>
    </row>
    <row r="607" spans="1:4">
      <c r="A607" t="s">
        <v>1077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1078</v>
      </c>
    </row>
    <row r="608" spans="1:4">
      <c r="A608" t="s">
        <v>1077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1078</v>
      </c>
    </row>
    <row r="609" spans="1:4">
      <c r="A609" t="s">
        <v>1077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1078</v>
      </c>
    </row>
    <row r="610" spans="1:4">
      <c r="A610" t="s">
        <v>1077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1078</v>
      </c>
    </row>
    <row r="611" spans="1:4">
      <c r="A611" t="s">
        <v>1077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1078</v>
      </c>
    </row>
    <row r="612" spans="1:4">
      <c r="A612" t="s">
        <v>1077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1078</v>
      </c>
    </row>
    <row r="613" spans="1:4">
      <c r="A613" t="s">
        <v>1077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1078</v>
      </c>
    </row>
    <row r="614" spans="1:4">
      <c r="A614" t="s">
        <v>1077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1078</v>
      </c>
    </row>
    <row r="615" spans="1:4">
      <c r="A615" t="s">
        <v>1077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1078</v>
      </c>
    </row>
    <row r="616" spans="1:4">
      <c r="A616" t="s">
        <v>1077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1078</v>
      </c>
    </row>
    <row r="617" spans="1:4">
      <c r="A617" t="s">
        <v>1077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1078</v>
      </c>
    </row>
    <row r="618" spans="1:4">
      <c r="A618" t="s">
        <v>1077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1078</v>
      </c>
    </row>
    <row r="619" spans="1:4">
      <c r="A619" t="s">
        <v>1077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1078</v>
      </c>
    </row>
    <row r="620" spans="1:4">
      <c r="A620" t="s">
        <v>1077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1078</v>
      </c>
    </row>
    <row r="621" spans="1:4">
      <c r="A621" t="s">
        <v>1077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1078</v>
      </c>
    </row>
    <row r="622" spans="1:4">
      <c r="A622" t="s">
        <v>1077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1078</v>
      </c>
    </row>
    <row r="623" spans="1:4">
      <c r="A623" t="s">
        <v>1077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1078</v>
      </c>
    </row>
    <row r="624" spans="1:4">
      <c r="A624" t="s">
        <v>1077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1078</v>
      </c>
    </row>
    <row r="625" spans="1:4">
      <c r="A625" t="s">
        <v>1077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1078</v>
      </c>
    </row>
    <row r="626" spans="1:4">
      <c r="A626" t="s">
        <v>1077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1078</v>
      </c>
    </row>
    <row r="627" spans="1:4">
      <c r="A627" t="s">
        <v>1077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1078</v>
      </c>
    </row>
    <row r="628" spans="1:4">
      <c r="A628" t="s">
        <v>1077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1078</v>
      </c>
    </row>
    <row r="629" spans="1:4">
      <c r="A629" t="s">
        <v>1077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1078</v>
      </c>
    </row>
    <row r="630" spans="1:4">
      <c r="A630" t="s">
        <v>1077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1078</v>
      </c>
    </row>
    <row r="631" spans="1:4">
      <c r="A631" t="s">
        <v>1077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1078</v>
      </c>
    </row>
    <row r="632" spans="1:4">
      <c r="A632" t="s">
        <v>1077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1078</v>
      </c>
    </row>
    <row r="633" spans="1:4">
      <c r="A633" t="s">
        <v>1077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1078</v>
      </c>
    </row>
    <row r="634" spans="1:4">
      <c r="A634" t="s">
        <v>1077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1078</v>
      </c>
    </row>
    <row r="635" spans="1:4">
      <c r="A635" t="s">
        <v>1077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1078</v>
      </c>
    </row>
    <row r="636" spans="1:4">
      <c r="A636" t="s">
        <v>1077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1078</v>
      </c>
    </row>
    <row r="637" spans="1:4">
      <c r="A637" t="s">
        <v>1077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1078</v>
      </c>
    </row>
    <row r="638" spans="1:4">
      <c r="A638" t="s">
        <v>1077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1078</v>
      </c>
    </row>
    <row r="639" spans="1:4">
      <c r="A639" t="s">
        <v>1077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1078</v>
      </c>
    </row>
    <row r="640" spans="1:4">
      <c r="A640" t="s">
        <v>1077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1078</v>
      </c>
    </row>
    <row r="641" spans="1:4">
      <c r="A641" t="s">
        <v>1077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1078</v>
      </c>
    </row>
    <row r="642" spans="1:4">
      <c r="A642" t="s">
        <v>1077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1078</v>
      </c>
    </row>
    <row r="643" spans="1:4">
      <c r="A643" t="s">
        <v>1077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1078</v>
      </c>
    </row>
    <row r="644" spans="1:4">
      <c r="A644" t="s">
        <v>1077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1078</v>
      </c>
    </row>
    <row r="645" spans="1:4">
      <c r="A645" t="s">
        <v>1077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1078</v>
      </c>
    </row>
    <row r="646" spans="1:4">
      <c r="A646" t="s">
        <v>1077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1078</v>
      </c>
    </row>
    <row r="647" spans="1:4">
      <c r="A647" t="s">
        <v>1077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1078</v>
      </c>
    </row>
    <row r="648" spans="1:4">
      <c r="A648" t="s">
        <v>1077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1078</v>
      </c>
    </row>
    <row r="649" spans="1:4">
      <c r="A649" t="s">
        <v>1077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1078</v>
      </c>
    </row>
    <row r="650" spans="1:4">
      <c r="A650" t="s">
        <v>1077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1078</v>
      </c>
    </row>
    <row r="651" spans="1:4">
      <c r="A651" t="s">
        <v>1077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1078</v>
      </c>
    </row>
    <row r="652" spans="1:4">
      <c r="A652" t="s">
        <v>1077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1078</v>
      </c>
    </row>
    <row r="653" spans="1:4">
      <c r="A653" t="s">
        <v>1077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1078</v>
      </c>
    </row>
    <row r="654" spans="1:4">
      <c r="A654" t="s">
        <v>1077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1078</v>
      </c>
    </row>
    <row r="655" spans="1:4">
      <c r="A655" t="s">
        <v>1077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1078</v>
      </c>
    </row>
    <row r="656" spans="1:4">
      <c r="A656" t="s">
        <v>1077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1078</v>
      </c>
    </row>
    <row r="657" spans="1:4">
      <c r="A657" t="s">
        <v>1077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1078</v>
      </c>
    </row>
    <row r="658" spans="1:4">
      <c r="A658" t="s">
        <v>1077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1078</v>
      </c>
    </row>
    <row r="659" spans="1:4">
      <c r="A659" t="s">
        <v>1077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1078</v>
      </c>
    </row>
    <row r="660" spans="1:4">
      <c r="A660" t="s">
        <v>1077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1078</v>
      </c>
    </row>
    <row r="661" spans="1:4">
      <c r="A661" t="s">
        <v>1077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1078</v>
      </c>
    </row>
    <row r="662" spans="1:4">
      <c r="A662" t="s">
        <v>1077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1078</v>
      </c>
    </row>
    <row r="663" spans="1:4">
      <c r="A663" t="s">
        <v>1077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1078</v>
      </c>
    </row>
    <row r="664" spans="1:4">
      <c r="A664" t="s">
        <v>1077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1078</v>
      </c>
    </row>
    <row r="665" spans="1:4">
      <c r="A665" t="s">
        <v>1077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1078</v>
      </c>
    </row>
    <row r="666" spans="1:4">
      <c r="A666" t="s">
        <v>1077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1078</v>
      </c>
    </row>
    <row r="667" spans="1:4">
      <c r="A667" t="s">
        <v>1077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1078</v>
      </c>
    </row>
    <row r="668" spans="1:4">
      <c r="A668" t="s">
        <v>1077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1078</v>
      </c>
    </row>
    <row r="669" spans="1:4">
      <c r="A669" t="s">
        <v>1077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1078</v>
      </c>
    </row>
    <row r="670" spans="1:4">
      <c r="A670" t="s">
        <v>1077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1078</v>
      </c>
    </row>
    <row r="671" spans="1:4">
      <c r="A671" t="s">
        <v>1077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1078</v>
      </c>
    </row>
    <row r="672" spans="1:4">
      <c r="A672" t="s">
        <v>1077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1078</v>
      </c>
    </row>
    <row r="673" spans="1:4">
      <c r="A673" t="s">
        <v>1077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1078</v>
      </c>
    </row>
    <row r="674" spans="1:4">
      <c r="A674" t="s">
        <v>1077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1078</v>
      </c>
    </row>
    <row r="675" spans="1:4">
      <c r="A675" t="s">
        <v>1077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1078</v>
      </c>
    </row>
    <row r="676" spans="1:4">
      <c r="A676" t="s">
        <v>1077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1078</v>
      </c>
    </row>
    <row r="677" spans="1:4">
      <c r="A677" t="s">
        <v>1077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1078</v>
      </c>
    </row>
    <row r="678" spans="1:4">
      <c r="A678" t="s">
        <v>1077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1078</v>
      </c>
    </row>
    <row r="679" spans="1:4">
      <c r="A679" t="s">
        <v>1077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1078</v>
      </c>
    </row>
    <row r="680" spans="1:4">
      <c r="A680" t="s">
        <v>1077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1078</v>
      </c>
    </row>
    <row r="681" spans="1:4">
      <c r="A681" t="s">
        <v>1077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1078</v>
      </c>
    </row>
    <row r="682" spans="1:4">
      <c r="A682" t="s">
        <v>1077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1078</v>
      </c>
    </row>
    <row r="683" spans="1:4">
      <c r="A683" t="s">
        <v>1077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1078</v>
      </c>
    </row>
    <row r="684" spans="1:4">
      <c r="A684" t="s">
        <v>1077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1078</v>
      </c>
    </row>
    <row r="685" spans="1:4">
      <c r="A685" t="s">
        <v>1077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1078</v>
      </c>
    </row>
    <row r="686" spans="1:4">
      <c r="A686" t="s">
        <v>1077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1078</v>
      </c>
    </row>
    <row r="687" spans="1:4">
      <c r="A687" t="s">
        <v>1077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1078</v>
      </c>
    </row>
    <row r="688" spans="1:4">
      <c r="A688" t="s">
        <v>1077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1078</v>
      </c>
    </row>
    <row r="689" spans="1:4">
      <c r="A689" t="s">
        <v>1077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1078</v>
      </c>
    </row>
    <row r="690" spans="1:4">
      <c r="A690" t="s">
        <v>1077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1078</v>
      </c>
    </row>
    <row r="691" spans="1:4">
      <c r="A691" t="s">
        <v>1077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1078</v>
      </c>
    </row>
    <row r="692" spans="1:4">
      <c r="A692" t="s">
        <v>1077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1078</v>
      </c>
    </row>
    <row r="693" spans="1:4">
      <c r="A693" t="s">
        <v>1077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1078</v>
      </c>
    </row>
    <row r="694" spans="1:4">
      <c r="A694" t="s">
        <v>1077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1078</v>
      </c>
    </row>
    <row r="695" spans="1:4">
      <c r="A695" t="s">
        <v>1077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1078</v>
      </c>
    </row>
    <row r="696" spans="1:4">
      <c r="A696" t="s">
        <v>1077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1078</v>
      </c>
    </row>
    <row r="697" spans="1:4">
      <c r="A697" t="s">
        <v>1077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1078</v>
      </c>
    </row>
    <row r="698" spans="1:4">
      <c r="A698" t="s">
        <v>1077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1078</v>
      </c>
    </row>
    <row r="699" spans="1:4">
      <c r="A699" t="s">
        <v>1077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1078</v>
      </c>
    </row>
    <row r="700" spans="1:4">
      <c r="A700" t="s">
        <v>1077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1078</v>
      </c>
    </row>
    <row r="701" spans="1:4">
      <c r="A701" t="s">
        <v>1077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1078</v>
      </c>
    </row>
    <row r="702" spans="1:4">
      <c r="A702" t="s">
        <v>1077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1078</v>
      </c>
    </row>
    <row r="703" spans="1:4">
      <c r="A703" t="s">
        <v>1077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1078</v>
      </c>
    </row>
    <row r="704" spans="1:4">
      <c r="A704" t="s">
        <v>1077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1078</v>
      </c>
    </row>
    <row r="705" spans="1:4">
      <c r="A705" t="s">
        <v>1077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1078</v>
      </c>
    </row>
    <row r="706" spans="1:4">
      <c r="A706" t="s">
        <v>1077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1078</v>
      </c>
    </row>
    <row r="707" spans="1:4">
      <c r="A707" t="s">
        <v>1077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1078</v>
      </c>
    </row>
    <row r="708" spans="1:4">
      <c r="A708" t="s">
        <v>1077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1078</v>
      </c>
    </row>
    <row r="709" spans="1:4">
      <c r="A709" t="s">
        <v>1077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1078</v>
      </c>
    </row>
    <row r="710" spans="1:4">
      <c r="A710" t="s">
        <v>1077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1078</v>
      </c>
    </row>
    <row r="711" spans="1:4">
      <c r="A711" t="s">
        <v>1077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1078</v>
      </c>
    </row>
    <row r="712" spans="1:4">
      <c r="A712" t="s">
        <v>1077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1078</v>
      </c>
    </row>
    <row r="713" spans="1:4">
      <c r="A713" t="s">
        <v>1077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1078</v>
      </c>
    </row>
    <row r="714" spans="1:4">
      <c r="A714" t="s">
        <v>1077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1078</v>
      </c>
    </row>
    <row r="715" spans="1:4">
      <c r="A715" t="s">
        <v>1077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1078</v>
      </c>
    </row>
    <row r="716" spans="1:4">
      <c r="A716" t="s">
        <v>1077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1078</v>
      </c>
    </row>
    <row r="717" spans="1:4">
      <c r="A717" t="s">
        <v>1077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1078</v>
      </c>
    </row>
    <row r="718" spans="1:4">
      <c r="A718" t="s">
        <v>1077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1078</v>
      </c>
    </row>
    <row r="719" spans="1:4">
      <c r="A719" t="s">
        <v>1077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1078</v>
      </c>
    </row>
    <row r="720" spans="1:4">
      <c r="A720" t="s">
        <v>1077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1078</v>
      </c>
    </row>
    <row r="721" spans="1:4">
      <c r="A721" t="s">
        <v>1077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1078</v>
      </c>
    </row>
    <row r="722" spans="1:4">
      <c r="A722" t="s">
        <v>1077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1078</v>
      </c>
    </row>
    <row r="723" spans="1:4">
      <c r="A723" t="s">
        <v>1077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1078</v>
      </c>
    </row>
    <row r="724" spans="1:4">
      <c r="A724" t="s">
        <v>1077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1078</v>
      </c>
    </row>
    <row r="725" spans="1:4">
      <c r="A725" t="s">
        <v>1077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1078</v>
      </c>
    </row>
    <row r="726" spans="1:4">
      <c r="A726" t="s">
        <v>1077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1078</v>
      </c>
    </row>
    <row r="727" spans="1:4">
      <c r="A727" t="s">
        <v>1077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1078</v>
      </c>
    </row>
    <row r="728" spans="1:4">
      <c r="A728" t="s">
        <v>1077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1078</v>
      </c>
    </row>
    <row r="729" spans="1:4">
      <c r="A729" t="s">
        <v>1077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1078</v>
      </c>
    </row>
    <row r="730" spans="1:4">
      <c r="A730" t="s">
        <v>1077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1078</v>
      </c>
    </row>
    <row r="731" spans="1:4">
      <c r="A731" t="s">
        <v>1077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1078</v>
      </c>
    </row>
    <row r="732" spans="1:4">
      <c r="A732" t="s">
        <v>1077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1078</v>
      </c>
    </row>
    <row r="733" spans="1:4">
      <c r="A733" t="s">
        <v>1077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1078</v>
      </c>
    </row>
    <row r="734" spans="1:4">
      <c r="A734" t="s">
        <v>1077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1078</v>
      </c>
    </row>
    <row r="735" spans="1:4">
      <c r="A735" t="s">
        <v>1077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1078</v>
      </c>
    </row>
    <row r="736" spans="1:4">
      <c r="A736" t="s">
        <v>1077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1078</v>
      </c>
    </row>
    <row r="737" spans="1:4">
      <c r="A737" t="s">
        <v>1077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1078</v>
      </c>
    </row>
    <row r="738" spans="1:4">
      <c r="A738" t="s">
        <v>1077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1078</v>
      </c>
    </row>
    <row r="739" spans="1:4">
      <c r="A739" t="s">
        <v>1077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1078</v>
      </c>
    </row>
    <row r="740" spans="1:4">
      <c r="A740" t="s">
        <v>1077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1078</v>
      </c>
    </row>
    <row r="741" spans="1:4">
      <c r="A741" t="s">
        <v>1077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1078</v>
      </c>
    </row>
    <row r="742" spans="1:4">
      <c r="A742" t="s">
        <v>1077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1078</v>
      </c>
    </row>
    <row r="743" spans="1:4">
      <c r="A743" t="s">
        <v>1077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1078</v>
      </c>
    </row>
    <row r="744" spans="1:4">
      <c r="A744" t="s">
        <v>1077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1078</v>
      </c>
    </row>
    <row r="745" spans="1:4">
      <c r="A745" t="s">
        <v>1077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1078</v>
      </c>
    </row>
    <row r="746" spans="1:4">
      <c r="A746" t="s">
        <v>1077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1078</v>
      </c>
    </row>
    <row r="747" spans="1:4">
      <c r="A747" t="s">
        <v>1077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1078</v>
      </c>
    </row>
    <row r="748" spans="1:4">
      <c r="A748" t="s">
        <v>1077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1078</v>
      </c>
    </row>
    <row r="749" spans="1:4">
      <c r="A749" t="s">
        <v>1077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1078</v>
      </c>
    </row>
    <row r="750" spans="1:4">
      <c r="A750" t="s">
        <v>1077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1078</v>
      </c>
    </row>
    <row r="751" spans="1:4">
      <c r="A751" t="s">
        <v>1077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1078</v>
      </c>
    </row>
    <row r="752" spans="1:4">
      <c r="A752" t="s">
        <v>1077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1078</v>
      </c>
    </row>
    <row r="753" spans="1:4">
      <c r="A753" t="s">
        <v>1077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1078</v>
      </c>
    </row>
    <row r="754" spans="1:4">
      <c r="A754" t="s">
        <v>1077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1078</v>
      </c>
    </row>
    <row r="755" spans="1:4">
      <c r="A755" t="s">
        <v>1077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1078</v>
      </c>
    </row>
    <row r="756" spans="1:4">
      <c r="A756" t="s">
        <v>1077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1078</v>
      </c>
    </row>
    <row r="757" spans="1:4">
      <c r="A757" t="s">
        <v>1077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1078</v>
      </c>
    </row>
    <row r="758" spans="1:4">
      <c r="A758" t="s">
        <v>1077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1078</v>
      </c>
    </row>
    <row r="759" spans="1:4">
      <c r="A759" t="s">
        <v>1077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1078</v>
      </c>
    </row>
    <row r="760" spans="1:4">
      <c r="A760" t="s">
        <v>1077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1078</v>
      </c>
    </row>
    <row r="761" spans="1:4">
      <c r="A761" t="s">
        <v>1077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1078</v>
      </c>
    </row>
    <row r="762" spans="1:4">
      <c r="A762" t="s">
        <v>1077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1078</v>
      </c>
    </row>
    <row r="763" spans="1:4">
      <c r="A763" t="s">
        <v>1077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1078</v>
      </c>
    </row>
    <row r="764" spans="1:4">
      <c r="A764" t="s">
        <v>1077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1078</v>
      </c>
    </row>
    <row r="765" spans="1:4">
      <c r="A765" t="s">
        <v>1077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1078</v>
      </c>
    </row>
    <row r="766" spans="1:4">
      <c r="A766" t="s">
        <v>1077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1078</v>
      </c>
    </row>
    <row r="767" spans="1:4">
      <c r="A767" t="s">
        <v>1077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1078</v>
      </c>
    </row>
    <row r="768" spans="1:4">
      <c r="A768" t="s">
        <v>1077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1078</v>
      </c>
    </row>
    <row r="769" spans="1:4">
      <c r="A769" t="s">
        <v>1077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1078</v>
      </c>
    </row>
    <row r="770" spans="1:4">
      <c r="A770" t="s">
        <v>1077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1078</v>
      </c>
    </row>
    <row r="771" spans="1:4">
      <c r="A771" t="s">
        <v>1077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1078</v>
      </c>
    </row>
    <row r="772" spans="1:4">
      <c r="A772" t="s">
        <v>1077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1078</v>
      </c>
    </row>
    <row r="773" spans="1:4">
      <c r="A773" t="s">
        <v>1077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1078</v>
      </c>
    </row>
    <row r="774" spans="1:4">
      <c r="A774" t="s">
        <v>1077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1078</v>
      </c>
    </row>
    <row r="775" spans="1:4">
      <c r="A775" t="s">
        <v>1077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1078</v>
      </c>
    </row>
    <row r="776" spans="1:4">
      <c r="A776" t="s">
        <v>1077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1078</v>
      </c>
    </row>
    <row r="777" spans="1:4">
      <c r="A777" t="s">
        <v>1077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1078</v>
      </c>
    </row>
    <row r="778" spans="1:4">
      <c r="A778" t="s">
        <v>1077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1078</v>
      </c>
    </row>
    <row r="779" spans="1:4">
      <c r="A779" t="s">
        <v>1077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1078</v>
      </c>
    </row>
    <row r="780" spans="1:4">
      <c r="A780" t="s">
        <v>1077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1078</v>
      </c>
    </row>
    <row r="781" spans="1:4">
      <c r="A781" t="s">
        <v>1077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1078</v>
      </c>
    </row>
    <row r="782" spans="1:4">
      <c r="A782" t="s">
        <v>1077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1078</v>
      </c>
    </row>
    <row r="783" spans="1:4">
      <c r="A783" t="s">
        <v>1077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1078</v>
      </c>
    </row>
    <row r="784" spans="1:4">
      <c r="A784" t="s">
        <v>1077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1078</v>
      </c>
    </row>
    <row r="785" spans="1:4">
      <c r="A785" t="s">
        <v>1077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1078</v>
      </c>
    </row>
    <row r="786" spans="1:4">
      <c r="A786" t="s">
        <v>1077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1078</v>
      </c>
    </row>
    <row r="787" spans="1:4">
      <c r="A787" t="s">
        <v>1077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1078</v>
      </c>
    </row>
    <row r="788" spans="1:4">
      <c r="A788" t="s">
        <v>1077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1078</v>
      </c>
    </row>
    <row r="789" spans="1:4">
      <c r="A789" t="s">
        <v>1077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1078</v>
      </c>
    </row>
    <row r="790" spans="1:4">
      <c r="A790" t="s">
        <v>1077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1078</v>
      </c>
    </row>
    <row r="791" spans="1:4">
      <c r="A791" t="s">
        <v>1077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1078</v>
      </c>
    </row>
    <row r="792" spans="1:4">
      <c r="A792" t="s">
        <v>1077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1078</v>
      </c>
    </row>
    <row r="793" spans="1:4">
      <c r="A793" t="s">
        <v>1077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1078</v>
      </c>
    </row>
    <row r="794" spans="1:4">
      <c r="A794" t="s">
        <v>1077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1078</v>
      </c>
    </row>
    <row r="795" spans="1:4">
      <c r="A795" t="s">
        <v>1077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1078</v>
      </c>
    </row>
    <row r="796" spans="1:4">
      <c r="A796" t="s">
        <v>1077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1078</v>
      </c>
    </row>
    <row r="797" spans="1:4">
      <c r="A797" t="s">
        <v>1077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1078</v>
      </c>
    </row>
    <row r="798" spans="1:4">
      <c r="A798" t="s">
        <v>1077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1078</v>
      </c>
    </row>
    <row r="799" spans="1:4">
      <c r="A799" t="s">
        <v>1077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1078</v>
      </c>
    </row>
    <row r="800" spans="1:4">
      <c r="A800" t="s">
        <v>1077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1078</v>
      </c>
    </row>
    <row r="801" spans="1:4">
      <c r="A801" t="s">
        <v>1077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1078</v>
      </c>
    </row>
    <row r="802" spans="1:4">
      <c r="A802" t="s">
        <v>1077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1078</v>
      </c>
    </row>
    <row r="803" spans="1:4">
      <c r="A803" t="s">
        <v>1077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1078</v>
      </c>
    </row>
    <row r="804" spans="1:4">
      <c r="A804" t="s">
        <v>1077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1078</v>
      </c>
    </row>
    <row r="805" spans="1:4">
      <c r="A805" t="s">
        <v>1077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1078</v>
      </c>
    </row>
    <row r="806" spans="1:4">
      <c r="A806" t="s">
        <v>1077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1078</v>
      </c>
    </row>
    <row r="807" spans="1:4">
      <c r="A807" t="s">
        <v>1077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1078</v>
      </c>
    </row>
    <row r="808" spans="1:4">
      <c r="A808" t="s">
        <v>1077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1078</v>
      </c>
    </row>
    <row r="809" spans="1:4">
      <c r="A809" t="s">
        <v>1077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1078</v>
      </c>
    </row>
    <row r="810" spans="1:4">
      <c r="A810" t="s">
        <v>1077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1078</v>
      </c>
    </row>
    <row r="811" spans="1:4">
      <c r="A811" t="s">
        <v>1077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1078</v>
      </c>
    </row>
    <row r="812" spans="1:4">
      <c r="A812" t="s">
        <v>1077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1078</v>
      </c>
    </row>
    <row r="813" spans="1:4">
      <c r="A813" t="s">
        <v>1077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1078</v>
      </c>
    </row>
    <row r="814" spans="1:4">
      <c r="A814" t="s">
        <v>1077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1078</v>
      </c>
    </row>
    <row r="815" spans="1:4">
      <c r="A815" t="s">
        <v>1077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1078</v>
      </c>
    </row>
    <row r="816" spans="1:4">
      <c r="A816" t="s">
        <v>1077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1078</v>
      </c>
    </row>
    <row r="817" spans="1:4">
      <c r="A817" t="s">
        <v>1077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1078</v>
      </c>
    </row>
    <row r="818" spans="1:4">
      <c r="A818" t="s">
        <v>1077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1078</v>
      </c>
    </row>
    <row r="819" spans="1:4">
      <c r="A819" t="s">
        <v>1077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1078</v>
      </c>
    </row>
    <row r="820" spans="1:4">
      <c r="A820" t="s">
        <v>1077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1078</v>
      </c>
    </row>
    <row r="821" spans="1:4">
      <c r="A821" t="s">
        <v>1077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1078</v>
      </c>
    </row>
    <row r="822" spans="1:4">
      <c r="A822" t="s">
        <v>1077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1078</v>
      </c>
    </row>
    <row r="823" spans="1:4">
      <c r="A823" t="s">
        <v>1077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1078</v>
      </c>
    </row>
    <row r="824" spans="1:4">
      <c r="A824" t="s">
        <v>1077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1078</v>
      </c>
    </row>
    <row r="825" spans="1:4">
      <c r="A825" t="s">
        <v>1077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1078</v>
      </c>
    </row>
    <row r="826" spans="1:4">
      <c r="A826" t="s">
        <v>1077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1078</v>
      </c>
    </row>
    <row r="827" spans="1:4">
      <c r="A827" t="s">
        <v>1077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1078</v>
      </c>
    </row>
    <row r="828" spans="1:4">
      <c r="A828" t="s">
        <v>1077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1078</v>
      </c>
    </row>
    <row r="829" spans="1:4">
      <c r="A829" t="s">
        <v>1077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1078</v>
      </c>
    </row>
    <row r="830" spans="1:4">
      <c r="A830" t="s">
        <v>1077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1078</v>
      </c>
    </row>
    <row r="831" spans="1:4">
      <c r="A831" t="s">
        <v>1077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1078</v>
      </c>
    </row>
    <row r="832" spans="1:4">
      <c r="A832" t="s">
        <v>1077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1078</v>
      </c>
    </row>
    <row r="833" spans="1:4">
      <c r="A833" t="s">
        <v>1077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1078</v>
      </c>
    </row>
    <row r="834" spans="1:4">
      <c r="A834" t="s">
        <v>1077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1078</v>
      </c>
    </row>
    <row r="835" spans="1:4">
      <c r="A835" t="s">
        <v>1077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1078</v>
      </c>
    </row>
    <row r="836" spans="1:4">
      <c r="A836" t="s">
        <v>1077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1078</v>
      </c>
    </row>
    <row r="837" spans="1:4">
      <c r="A837" t="s">
        <v>1077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1078</v>
      </c>
    </row>
    <row r="838" spans="1:4">
      <c r="A838" t="s">
        <v>1077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1078</v>
      </c>
    </row>
    <row r="839" spans="1:4">
      <c r="A839" t="s">
        <v>1077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1078</v>
      </c>
    </row>
    <row r="840" spans="1:4">
      <c r="A840" t="s">
        <v>1077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1078</v>
      </c>
    </row>
    <row r="841" spans="1:4">
      <c r="A841" t="s">
        <v>1077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1078</v>
      </c>
    </row>
    <row r="842" spans="1:4">
      <c r="A842" t="s">
        <v>1077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1078</v>
      </c>
    </row>
    <row r="843" spans="1:4">
      <c r="A843" t="s">
        <v>1077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1078</v>
      </c>
    </row>
    <row r="844" spans="1:4">
      <c r="A844" t="s">
        <v>1077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1078</v>
      </c>
    </row>
    <row r="845" spans="1:4">
      <c r="A845" t="s">
        <v>1077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1078</v>
      </c>
    </row>
    <row r="846" spans="1:4">
      <c r="A846" t="s">
        <v>1077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1078</v>
      </c>
    </row>
    <row r="847" spans="1:4">
      <c r="A847" t="s">
        <v>1077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1078</v>
      </c>
    </row>
    <row r="848" spans="1:4">
      <c r="A848" t="s">
        <v>1077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1078</v>
      </c>
    </row>
    <row r="849" spans="1:4">
      <c r="A849" t="s">
        <v>1077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1078</v>
      </c>
    </row>
    <row r="850" spans="1:4">
      <c r="A850" t="s">
        <v>1077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1078</v>
      </c>
    </row>
    <row r="851" spans="1:4">
      <c r="A851" t="s">
        <v>1077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1078</v>
      </c>
    </row>
    <row r="852" spans="1:4">
      <c r="A852" t="s">
        <v>1077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1078</v>
      </c>
    </row>
    <row r="853" spans="1:4">
      <c r="A853" t="s">
        <v>1077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1078</v>
      </c>
    </row>
    <row r="854" spans="1:4">
      <c r="A854" t="s">
        <v>1077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1078</v>
      </c>
    </row>
    <row r="855" spans="1:4">
      <c r="A855" t="s">
        <v>1077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1078</v>
      </c>
    </row>
    <row r="856" spans="1:4">
      <c r="A856" t="s">
        <v>1077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1078</v>
      </c>
    </row>
    <row r="857" spans="1:4">
      <c r="A857" t="s">
        <v>1077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1078</v>
      </c>
    </row>
    <row r="858" spans="1:4">
      <c r="A858" t="s">
        <v>1077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1078</v>
      </c>
    </row>
    <row r="859" spans="1:4">
      <c r="A859" t="s">
        <v>1077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1078</v>
      </c>
    </row>
    <row r="860" spans="1:4">
      <c r="A860" t="s">
        <v>1077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1078</v>
      </c>
    </row>
    <row r="861" spans="1:4">
      <c r="A861" t="s">
        <v>1077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1078</v>
      </c>
    </row>
    <row r="862" spans="1:4">
      <c r="A862" t="s">
        <v>1077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1078</v>
      </c>
    </row>
    <row r="863" spans="1:4">
      <c r="A863" t="s">
        <v>1077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1078</v>
      </c>
    </row>
    <row r="864" spans="1:4">
      <c r="A864" t="s">
        <v>1077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1078</v>
      </c>
    </row>
    <row r="865" spans="1:4">
      <c r="A865" t="s">
        <v>1077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1078</v>
      </c>
    </row>
    <row r="866" spans="1:4">
      <c r="A866" t="s">
        <v>1077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1078</v>
      </c>
    </row>
    <row r="867" spans="1:4">
      <c r="A867" t="s">
        <v>1077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1078</v>
      </c>
    </row>
    <row r="868" spans="1:4">
      <c r="A868" t="s">
        <v>1077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1078</v>
      </c>
    </row>
    <row r="869" spans="1:4">
      <c r="A869" t="s">
        <v>1077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1078</v>
      </c>
    </row>
    <row r="870" spans="1:4">
      <c r="A870" t="s">
        <v>1077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1078</v>
      </c>
    </row>
    <row r="871" spans="1:4">
      <c r="A871" t="s">
        <v>1077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1078</v>
      </c>
    </row>
    <row r="872" spans="1:4">
      <c r="A872" t="s">
        <v>1077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1078</v>
      </c>
    </row>
    <row r="873" spans="1:4">
      <c r="A873" t="s">
        <v>1077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1078</v>
      </c>
    </row>
    <row r="874" spans="1:4">
      <c r="A874" t="s">
        <v>1077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1078</v>
      </c>
    </row>
    <row r="875" spans="1:4">
      <c r="A875" t="s">
        <v>1077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1078</v>
      </c>
    </row>
    <row r="876" spans="1:4">
      <c r="A876" t="s">
        <v>1077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1078</v>
      </c>
    </row>
    <row r="877" spans="1:4">
      <c r="A877" t="s">
        <v>1077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1078</v>
      </c>
    </row>
    <row r="878" spans="1:4">
      <c r="A878" t="s">
        <v>1077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1078</v>
      </c>
    </row>
    <row r="879" spans="1:4">
      <c r="A879" t="s">
        <v>1077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1078</v>
      </c>
    </row>
    <row r="880" spans="1:4">
      <c r="A880" t="s">
        <v>1077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1078</v>
      </c>
    </row>
    <row r="881" spans="1:4">
      <c r="A881" t="s">
        <v>1077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1078</v>
      </c>
    </row>
    <row r="882" spans="1:4">
      <c r="A882" t="s">
        <v>1077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1078</v>
      </c>
    </row>
    <row r="883" spans="1:4">
      <c r="A883" t="s">
        <v>1077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1078</v>
      </c>
    </row>
    <row r="884" spans="1:4">
      <c r="A884" t="s">
        <v>1077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1078</v>
      </c>
    </row>
    <row r="885" spans="1:4">
      <c r="A885" t="s">
        <v>1077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1078</v>
      </c>
    </row>
    <row r="886" spans="1:4">
      <c r="A886" t="s">
        <v>1077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1078</v>
      </c>
    </row>
    <row r="887" spans="1:4">
      <c r="A887" t="s">
        <v>1077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1078</v>
      </c>
    </row>
    <row r="888" spans="1:4">
      <c r="A888" t="s">
        <v>1077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1078</v>
      </c>
    </row>
    <row r="889" spans="1:4">
      <c r="A889" t="s">
        <v>1077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1078</v>
      </c>
    </row>
    <row r="890" spans="1:4">
      <c r="A890" t="s">
        <v>1077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1078</v>
      </c>
    </row>
    <row r="891" spans="1:4">
      <c r="A891" t="s">
        <v>1077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1078</v>
      </c>
    </row>
    <row r="892" spans="1:4">
      <c r="A892" t="s">
        <v>1077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1078</v>
      </c>
    </row>
    <row r="893" spans="1:4">
      <c r="A893" t="s">
        <v>1077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1078</v>
      </c>
    </row>
    <row r="894" spans="1:4">
      <c r="A894" t="s">
        <v>1077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1078</v>
      </c>
    </row>
    <row r="895" spans="1:4">
      <c r="A895" t="s">
        <v>1077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1078</v>
      </c>
    </row>
    <row r="896" spans="1:4">
      <c r="A896" t="s">
        <v>1077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1078</v>
      </c>
    </row>
    <row r="897" spans="1:4">
      <c r="A897" t="s">
        <v>1077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1078</v>
      </c>
    </row>
    <row r="898" spans="1:4">
      <c r="A898" t="s">
        <v>1077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1078</v>
      </c>
    </row>
    <row r="899" spans="1:4">
      <c r="A899" t="s">
        <v>1077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1078</v>
      </c>
    </row>
    <row r="900" spans="1:4">
      <c r="A900" t="s">
        <v>1077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1078</v>
      </c>
    </row>
    <row r="901" spans="1:4">
      <c r="A901" t="s">
        <v>1077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1078</v>
      </c>
    </row>
    <row r="902" spans="1:4">
      <c r="A902" t="s">
        <v>1077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1078</v>
      </c>
    </row>
    <row r="903" spans="1:4">
      <c r="A903" t="s">
        <v>1077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1078</v>
      </c>
    </row>
    <row r="904" spans="1:4">
      <c r="A904" t="s">
        <v>1077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1078</v>
      </c>
    </row>
    <row r="905" spans="1:4">
      <c r="A905" t="s">
        <v>1077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1078</v>
      </c>
    </row>
    <row r="906" spans="1:4">
      <c r="A906" t="s">
        <v>1077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1078</v>
      </c>
    </row>
    <row r="907" spans="1:4">
      <c r="A907" t="s">
        <v>1077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1078</v>
      </c>
    </row>
    <row r="908" spans="1:4">
      <c r="A908" t="s">
        <v>1077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1078</v>
      </c>
    </row>
    <row r="909" spans="1:4">
      <c r="A909" t="s">
        <v>1077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1078</v>
      </c>
    </row>
    <row r="910" spans="1:4">
      <c r="A910" t="s">
        <v>1077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1078</v>
      </c>
    </row>
    <row r="911" spans="1:4">
      <c r="A911" t="s">
        <v>1077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1078</v>
      </c>
    </row>
    <row r="912" spans="1:4">
      <c r="A912" t="s">
        <v>1077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1078</v>
      </c>
    </row>
    <row r="913" spans="1:4">
      <c r="A913" t="s">
        <v>1077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1078</v>
      </c>
    </row>
    <row r="914" spans="1:4">
      <c r="A914" t="s">
        <v>1077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1078</v>
      </c>
    </row>
    <row r="915" spans="1:4">
      <c r="A915" t="s">
        <v>1077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1078</v>
      </c>
    </row>
    <row r="916" spans="1:4">
      <c r="A916" t="s">
        <v>1077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1078</v>
      </c>
    </row>
    <row r="917" spans="1:4">
      <c r="A917" t="s">
        <v>1077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1078</v>
      </c>
    </row>
    <row r="918" spans="1:4">
      <c r="A918" t="s">
        <v>1077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1078</v>
      </c>
    </row>
    <row r="919" spans="1:4">
      <c r="A919" t="s">
        <v>1077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1078</v>
      </c>
    </row>
    <row r="920" spans="1:4">
      <c r="A920" t="s">
        <v>1077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1078</v>
      </c>
    </row>
    <row r="921" spans="1:4">
      <c r="A921" t="s">
        <v>1077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1078</v>
      </c>
    </row>
    <row r="922" spans="1:4">
      <c r="A922" t="s">
        <v>1077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1078</v>
      </c>
    </row>
    <row r="923" spans="1:4">
      <c r="A923" t="s">
        <v>1077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1078</v>
      </c>
    </row>
    <row r="924" spans="1:4">
      <c r="A924" t="s">
        <v>1077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1078</v>
      </c>
    </row>
    <row r="925" spans="1:4">
      <c r="A925" t="s">
        <v>1077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1078</v>
      </c>
    </row>
    <row r="926" spans="1:4">
      <c r="A926" t="s">
        <v>1077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1078</v>
      </c>
    </row>
    <row r="927" spans="1:4">
      <c r="A927" t="s">
        <v>1077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1078</v>
      </c>
    </row>
    <row r="928" spans="1:4">
      <c r="A928" t="s">
        <v>1077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1078</v>
      </c>
    </row>
    <row r="929" spans="1:4">
      <c r="A929" t="s">
        <v>1077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1078</v>
      </c>
    </row>
    <row r="930" spans="1:4">
      <c r="A930" t="s">
        <v>1077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1078</v>
      </c>
    </row>
    <row r="931" spans="1:4">
      <c r="A931" t="s">
        <v>1077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1078</v>
      </c>
    </row>
    <row r="932" spans="1:4">
      <c r="A932" t="s">
        <v>1077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1078</v>
      </c>
    </row>
    <row r="933" spans="1:4">
      <c r="A933" t="s">
        <v>1077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1078</v>
      </c>
    </row>
    <row r="934" spans="1:4">
      <c r="A934" t="s">
        <v>1077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1078</v>
      </c>
    </row>
    <row r="935" spans="1:4">
      <c r="A935" t="s">
        <v>1077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1078</v>
      </c>
    </row>
    <row r="936" spans="1:4">
      <c r="A936" t="s">
        <v>1077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1078</v>
      </c>
    </row>
    <row r="937" spans="1:4">
      <c r="A937" t="s">
        <v>1077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1078</v>
      </c>
    </row>
    <row r="938" spans="1:4">
      <c r="A938" t="s">
        <v>1077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1078</v>
      </c>
    </row>
    <row r="939" spans="1:4">
      <c r="A939" t="s">
        <v>1077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1078</v>
      </c>
    </row>
    <row r="940" spans="1:4">
      <c r="A940" t="s">
        <v>1077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1078</v>
      </c>
    </row>
    <row r="941" spans="1:4">
      <c r="A941" t="s">
        <v>1077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1078</v>
      </c>
    </row>
    <row r="942" spans="1:4">
      <c r="A942" t="s">
        <v>1077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1078</v>
      </c>
    </row>
    <row r="943" spans="1:4">
      <c r="A943" t="s">
        <v>1077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1078</v>
      </c>
    </row>
    <row r="944" spans="1:4">
      <c r="A944" t="s">
        <v>1077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1078</v>
      </c>
    </row>
    <row r="945" spans="1:4">
      <c r="A945" t="s">
        <v>1077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1078</v>
      </c>
    </row>
    <row r="946" spans="1:4">
      <c r="A946" t="s">
        <v>1077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1078</v>
      </c>
    </row>
    <row r="947" spans="1:4">
      <c r="A947" t="s">
        <v>1077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1078</v>
      </c>
    </row>
    <row r="948" spans="1:4">
      <c r="A948" t="s">
        <v>1077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1078</v>
      </c>
    </row>
    <row r="949" spans="1:4">
      <c r="A949" t="s">
        <v>1077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1078</v>
      </c>
    </row>
    <row r="950" spans="1:4">
      <c r="A950" t="s">
        <v>1077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1078</v>
      </c>
    </row>
    <row r="951" spans="1:4">
      <c r="A951" t="s">
        <v>1077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1078</v>
      </c>
    </row>
    <row r="952" spans="1:4">
      <c r="A952" t="s">
        <v>1077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1078</v>
      </c>
    </row>
    <row r="953" spans="1:4">
      <c r="A953" t="s">
        <v>1077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1078</v>
      </c>
    </row>
    <row r="954" spans="1:4">
      <c r="A954" t="s">
        <v>1077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1078</v>
      </c>
    </row>
    <row r="955" spans="1:4">
      <c r="A955" t="s">
        <v>1077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1078</v>
      </c>
    </row>
    <row r="956" spans="1:4">
      <c r="A956" t="s">
        <v>1077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1078</v>
      </c>
    </row>
    <row r="957" spans="1:4">
      <c r="A957" t="s">
        <v>1077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1078</v>
      </c>
    </row>
    <row r="958" spans="1:4">
      <c r="A958" t="s">
        <v>1077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1078</v>
      </c>
    </row>
    <row r="959" spans="1:4">
      <c r="A959" t="s">
        <v>1077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1078</v>
      </c>
    </row>
    <row r="960" spans="1:4">
      <c r="A960" t="s">
        <v>1077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1078</v>
      </c>
    </row>
    <row r="961" spans="1:4">
      <c r="A961" t="s">
        <v>1077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1078</v>
      </c>
    </row>
    <row r="962" spans="1:4">
      <c r="A962" t="s">
        <v>1077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1078</v>
      </c>
    </row>
    <row r="963" spans="1:4">
      <c r="A963" t="s">
        <v>1077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1078</v>
      </c>
    </row>
    <row r="964" spans="1:4">
      <c r="A964" t="s">
        <v>1077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1078</v>
      </c>
    </row>
    <row r="965" spans="1:4">
      <c r="A965" t="s">
        <v>1077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1078</v>
      </c>
    </row>
    <row r="966" spans="1:4">
      <c r="A966" t="s">
        <v>1077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1078</v>
      </c>
    </row>
    <row r="967" spans="1:4">
      <c r="A967" t="s">
        <v>1077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1078</v>
      </c>
    </row>
    <row r="968" spans="1:4">
      <c r="A968" t="s">
        <v>1077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1078</v>
      </c>
    </row>
    <row r="969" spans="1:4">
      <c r="A969" t="s">
        <v>1077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1078</v>
      </c>
    </row>
    <row r="970" spans="1:4">
      <c r="A970" t="s">
        <v>1077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1078</v>
      </c>
    </row>
    <row r="971" spans="1:4">
      <c r="A971" t="s">
        <v>1077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1078</v>
      </c>
    </row>
    <row r="972" spans="1:4">
      <c r="A972" t="s">
        <v>1077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1078</v>
      </c>
    </row>
    <row r="973" spans="1:4">
      <c r="A973" t="s">
        <v>1077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1078</v>
      </c>
    </row>
    <row r="974" spans="1:4">
      <c r="A974" t="s">
        <v>1077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1078</v>
      </c>
    </row>
    <row r="975" spans="1:4">
      <c r="A975" t="s">
        <v>1077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1078</v>
      </c>
    </row>
    <row r="976" spans="1:4">
      <c r="A976" t="s">
        <v>1077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1078</v>
      </c>
    </row>
    <row r="977" spans="1:4">
      <c r="A977" t="s">
        <v>1077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1078</v>
      </c>
    </row>
    <row r="978" spans="1:4">
      <c r="A978" t="s">
        <v>1077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1078</v>
      </c>
    </row>
    <row r="979" spans="1:4">
      <c r="A979" t="s">
        <v>1077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1078</v>
      </c>
    </row>
    <row r="980" spans="1:4">
      <c r="A980" t="s">
        <v>1077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1078</v>
      </c>
    </row>
    <row r="981" spans="1:4">
      <c r="A981" t="s">
        <v>1077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1078</v>
      </c>
    </row>
    <row r="982" spans="1:4">
      <c r="A982" t="s">
        <v>1077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1078</v>
      </c>
    </row>
    <row r="983" spans="1:4">
      <c r="A983" t="s">
        <v>1077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1078</v>
      </c>
    </row>
    <row r="984" spans="1:4">
      <c r="A984" t="s">
        <v>1077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1078</v>
      </c>
    </row>
    <row r="985" spans="1:4">
      <c r="A985" t="s">
        <v>1077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1078</v>
      </c>
    </row>
    <row r="986" spans="1:4">
      <c r="A986" t="s">
        <v>1077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1078</v>
      </c>
    </row>
    <row r="987" spans="1:4">
      <c r="A987" t="s">
        <v>1077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1078</v>
      </c>
    </row>
    <row r="988" spans="1:4">
      <c r="A988" t="s">
        <v>1077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1078</v>
      </c>
    </row>
    <row r="989" spans="1:4">
      <c r="A989" t="s">
        <v>1077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1078</v>
      </c>
    </row>
    <row r="990" spans="1:4">
      <c r="A990" t="s">
        <v>1077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1078</v>
      </c>
    </row>
    <row r="991" spans="1:4">
      <c r="A991" t="s">
        <v>1077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1078</v>
      </c>
    </row>
    <row r="992" spans="1:4">
      <c r="A992" t="s">
        <v>1077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1078</v>
      </c>
    </row>
    <row r="993" spans="1:4">
      <c r="A993" t="s">
        <v>1077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1078</v>
      </c>
    </row>
    <row r="994" spans="1:4">
      <c r="A994" t="s">
        <v>1077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1078</v>
      </c>
    </row>
    <row r="995" spans="1:4">
      <c r="A995" t="s">
        <v>1077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1078</v>
      </c>
    </row>
    <row r="996" spans="1:4">
      <c r="A996" t="s">
        <v>1077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1078</v>
      </c>
    </row>
    <row r="997" spans="1:4">
      <c r="A997" t="s">
        <v>1077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1078</v>
      </c>
    </row>
    <row r="998" spans="1:4">
      <c r="A998" t="s">
        <v>1077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1078</v>
      </c>
    </row>
    <row r="999" spans="1:4">
      <c r="A999" t="s">
        <v>1077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1078</v>
      </c>
    </row>
    <row r="1000" spans="1:4">
      <c r="A1000" t="s">
        <v>1077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1078</v>
      </c>
    </row>
    <row r="1001" spans="1:4">
      <c r="A1001" t="s">
        <v>1077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1078</v>
      </c>
    </row>
    <row r="1002" spans="1:4">
      <c r="A1002" t="s">
        <v>1077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1078</v>
      </c>
    </row>
    <row r="1003" spans="1:4">
      <c r="A1003" t="s">
        <v>1077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1078</v>
      </c>
    </row>
    <row r="1004" spans="1:4">
      <c r="A1004" t="s">
        <v>1077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1078</v>
      </c>
    </row>
    <row r="1005" spans="1:4">
      <c r="A1005" t="s">
        <v>1077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1078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1079</v>
      </c>
    </row>
    <row r="3" spans="1:4">
      <c r="A3" s="31" t="s">
        <v>1080</v>
      </c>
      <c r="B3" s="4"/>
      <c r="D3" s="32" t="s">
        <v>1081</v>
      </c>
    </row>
    <row r="4" spans="1:4">
      <c r="A4" s="5"/>
      <c r="B4" s="5"/>
    </row>
    <row r="5" spans="1:4">
      <c r="A5" s="33" t="s">
        <v>1</v>
      </c>
      <c r="B5" s="34" t="str">
        <f>IFERROR(INDEX('01_Warehouse_Ledger'!$B$2:$B$2002,MATCH($B$3,'01_Warehouse_Ledger'!$A$2:$A$2002,0)),"")</f>
        <v/>
      </c>
    </row>
    <row r="6" spans="1:4">
      <c r="A6" s="33" t="s">
        <v>1082</v>
      </c>
      <c r="B6" s="34" t="str">
        <f>IFERROR(INDEX('01_Warehouse_Ledger'!$D$2:$D$2002,MATCH($B$3,'01_Warehouse_Ledger'!$A$2:$A$2002,0)),"")</f>
        <v/>
      </c>
    </row>
    <row r="7" spans="1:4">
      <c r="A7" s="33" t="s">
        <v>1083</v>
      </c>
      <c r="B7" s="34" t="str">
        <f>IFERROR(INDEX('02_Warehouse_Locations'!$J$2:$J$501,MATCH($B$6,'02_Warehouse_Locations'!$A$2:$A$501,0)),"")</f>
        <v/>
      </c>
    </row>
    <row r="8" spans="1:4">
      <c r="A8" s="33" t="s">
        <v>635</v>
      </c>
      <c r="B8" s="34" t="str">
        <f>IFERROR(INDEX('02_Warehouse_Locations'!$B$2:$B$501,MATCH($B$6,'02_Warehouse_Locations'!$A$2:$A$501,0)),"")</f>
        <v/>
      </c>
    </row>
    <row r="9" spans="1:4">
      <c r="A9" s="33" t="s">
        <v>636</v>
      </c>
      <c r="B9" s="34" t="str">
        <f>IFERROR(INDEX('02_Warehouse_Locations'!$C$2:$C$501,MATCH($B$6,'02_Warehouse_Locations'!$A$2:$A$501,0)),"")</f>
        <v/>
      </c>
    </row>
    <row r="10" spans="1:4">
      <c r="A10" s="33" t="s">
        <v>1084</v>
      </c>
      <c r="B10" s="34" t="str">
        <f>IFERROR(INDEX('02_Warehouse_Locations'!$D$2:$D$501,MATCH($B$6,'02_Warehouse_Locations'!$A$2:$A$501,0)),"")</f>
        <v/>
      </c>
    </row>
    <row r="11" spans="1:4">
      <c r="A11" s="33" t="s">
        <v>638</v>
      </c>
      <c r="B11" s="34" t="str">
        <f>IFERROR(INDEX('02_Warehouse_Locations'!$E$2:$E$501,MATCH($B$6,'02_Warehouse_Locations'!$A$2:$A$501,0)),"")</f>
        <v/>
      </c>
    </row>
    <row r="12" spans="1:4">
      <c r="A12" s="33" t="s">
        <v>1085</v>
      </c>
      <c r="B12" s="34" t="str">
        <f>IFERROR(INDEX('02_Warehouse_Locations'!$N$2:$N$501,MATCH($B$6,'02_Warehouse_Locations'!$A$2:$A$501,0)),"")</f>
        <v/>
      </c>
    </row>
    <row r="13" spans="1:4">
      <c r="A13" s="33" t="s">
        <v>646</v>
      </c>
      <c r="B13" s="34" t="str">
        <f>IFERROR(INDEX('02_Warehouse_Locations'!$O$2:$O$501,MATCH($B$6,'02_Warehouse_Locations'!$A$2:$A$501,0)),"")</f>
        <v/>
      </c>
    </row>
    <row r="14" spans="1:4">
      <c r="A14" s="33" t="s">
        <v>647</v>
      </c>
      <c r="B14" s="34" t="str">
        <f>IFERROR(INDEX('02_Warehouse_Locations'!$P$2:$P$501,MATCH($B$6,'02_Warehouse_Locations'!$A$2:$A$501,0)),"")</f>
        <v/>
      </c>
    </row>
    <row r="15" spans="1:4">
      <c r="A15" t="s">
        <v>648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1086</v>
      </c>
    </row>
    <row r="2" spans="1:21">
      <c r="A2" s="36" t="s">
        <v>1087</v>
      </c>
      <c r="B2" s="37" t="str">
        <f>IFERROR('05_Scan_Lookup'!$B$13,"")</f>
        <v/>
      </c>
    </row>
    <row r="3" spans="1:21">
      <c r="A3" s="36" t="s">
        <v>1088</v>
      </c>
      <c r="B3" s="37" t="str">
        <f>IFERROR('05_Scan_Lookup'!$B$14,"")</f>
        <v/>
      </c>
    </row>
    <row r="4" spans="1:21">
      <c r="A4" s="36" t="s">
        <v>1089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1090</v>
      </c>
      <c r="B5" s="37" t="s">
        <v>1091</v>
      </c>
    </row>
    <row r="6" spans="1:21" ht="20.100000000000001" customHeight="1">
      <c r="A6" s="40" t="s">
        <v>1092</v>
      </c>
      <c r="B6" s="40" t="s">
        <v>665</v>
      </c>
      <c r="C6" s="40" t="s">
        <v>77</v>
      </c>
      <c r="D6" s="40" t="s">
        <v>716</v>
      </c>
      <c r="E6" s="40" t="s">
        <v>741</v>
      </c>
      <c r="F6" s="40" t="s">
        <v>782</v>
      </c>
      <c r="G6" s="40" t="s">
        <v>823</v>
      </c>
      <c r="H6" s="40" t="s">
        <v>1093</v>
      </c>
      <c r="I6" s="40" t="s">
        <v>1094</v>
      </c>
      <c r="J6" s="40" t="s">
        <v>1095</v>
      </c>
      <c r="K6" s="40" t="s">
        <v>1096</v>
      </c>
      <c r="L6" s="40" t="s">
        <v>1097</v>
      </c>
      <c r="M6" s="40" t="s">
        <v>661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1098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1099</v>
      </c>
    </row>
    <row r="39" spans="1:21">
      <c r="A39" s="32" t="s">
        <v>1100</v>
      </c>
    </row>
    <row r="40" spans="1:21">
      <c r="A40" s="32" t="s">
        <v>1100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47" t="s">
        <v>0</v>
      </c>
      <c r="B1" s="47" t="s">
        <v>1101</v>
      </c>
      <c r="C1" s="47" t="s">
        <v>1102</v>
      </c>
      <c r="D1" s="47" t="s">
        <v>878</v>
      </c>
      <c r="E1" s="47" t="s">
        <v>1103</v>
      </c>
      <c r="F1" s="47" t="s">
        <v>1104</v>
      </c>
      <c r="G1" s="47" t="s">
        <v>1105</v>
      </c>
      <c r="H1" s="47" t="s">
        <v>9</v>
      </c>
      <c r="I1" s="47" t="s">
        <v>1106</v>
      </c>
      <c r="J1" s="47" t="s">
        <v>1107</v>
      </c>
      <c r="L1" s="47" t="s">
        <v>1108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1109</v>
      </c>
      <c r="B1" s="15" t="s">
        <v>1110</v>
      </c>
      <c r="C1" s="15" t="s">
        <v>1111</v>
      </c>
      <c r="D1" s="15" t="s">
        <v>1112</v>
      </c>
      <c r="E1" s="15" t="s">
        <v>1113</v>
      </c>
      <c r="F1" s="15" t="s">
        <v>1114</v>
      </c>
      <c r="G1" s="15" t="s">
        <v>1115</v>
      </c>
      <c r="H1" s="15" t="s">
        <v>9</v>
      </c>
    </row>
    <row r="2" spans="1:8" ht="20.25" customHeight="1">
      <c r="B2" t="s">
        <v>1116</v>
      </c>
      <c r="C2" t="s">
        <v>1117</v>
      </c>
      <c r="D2" s="14">
        <v>56</v>
      </c>
      <c r="E2" s="14" t="s">
        <v>1118</v>
      </c>
      <c r="F2" s="14" t="s">
        <v>1119</v>
      </c>
      <c r="G2" s="14" t="s">
        <v>1120</v>
      </c>
    </row>
    <row r="3" spans="1:8" ht="20.25" customHeight="1">
      <c r="B3" t="s">
        <v>1116</v>
      </c>
      <c r="C3" t="s">
        <v>1121</v>
      </c>
      <c r="D3" s="14">
        <v>35</v>
      </c>
      <c r="E3" s="14" t="s">
        <v>1118</v>
      </c>
      <c r="F3" s="14" t="s">
        <v>1119</v>
      </c>
      <c r="G3" s="14" t="s">
        <v>1120</v>
      </c>
    </row>
    <row r="4" spans="1:8" s="43" customFormat="1" ht="20.25" customHeight="1">
      <c r="B4" s="43" t="s">
        <v>1116</v>
      </c>
      <c r="C4" s="43" t="s">
        <v>1122</v>
      </c>
      <c r="D4" s="44">
        <v>28</v>
      </c>
      <c r="E4" s="44" t="s">
        <v>1118</v>
      </c>
      <c r="F4" s="44" t="s">
        <v>1119</v>
      </c>
      <c r="G4" s="44" t="s">
        <v>1120</v>
      </c>
    </row>
    <row r="5" spans="1:8" s="43" customFormat="1" ht="20.25" customHeight="1">
      <c r="B5" s="43" t="s">
        <v>1116</v>
      </c>
      <c r="C5" s="43" t="s">
        <v>1123</v>
      </c>
      <c r="D5" s="44">
        <v>52</v>
      </c>
      <c r="E5" s="44" t="s">
        <v>1118</v>
      </c>
      <c r="F5" s="44" t="s">
        <v>1119</v>
      </c>
      <c r="G5" s="44" t="s">
        <v>1120</v>
      </c>
    </row>
    <row r="6" spans="1:8" s="43" customFormat="1" ht="20.25" customHeight="1">
      <c r="B6" s="43" t="s">
        <v>1116</v>
      </c>
      <c r="C6" s="43" t="s">
        <v>1124</v>
      </c>
      <c r="D6" s="44">
        <v>50</v>
      </c>
      <c r="E6" s="44" t="s">
        <v>1118</v>
      </c>
      <c r="F6" s="44" t="s">
        <v>1119</v>
      </c>
      <c r="G6" s="44" t="s">
        <v>1120</v>
      </c>
    </row>
    <row r="7" spans="1:8" ht="20.25" customHeight="1">
      <c r="B7" t="s">
        <v>1116</v>
      </c>
      <c r="C7" t="s">
        <v>1125</v>
      </c>
      <c r="D7" s="14">
        <v>29</v>
      </c>
      <c r="E7" s="14" t="s">
        <v>1118</v>
      </c>
      <c r="F7" s="14" t="s">
        <v>1119</v>
      </c>
      <c r="G7" s="14" t="s">
        <v>1120</v>
      </c>
    </row>
    <row r="8" spans="1:8" s="43" customFormat="1" ht="20.25" customHeight="1">
      <c r="B8" s="43" t="s">
        <v>1116</v>
      </c>
      <c r="C8" s="43" t="s">
        <v>1126</v>
      </c>
      <c r="D8" s="44">
        <v>13</v>
      </c>
      <c r="E8" s="44" t="s">
        <v>1118</v>
      </c>
      <c r="F8" s="44" t="s">
        <v>1119</v>
      </c>
      <c r="G8" s="44" t="s">
        <v>1120</v>
      </c>
    </row>
    <row r="9" spans="1:8" s="45" customFormat="1" ht="20.25" customHeight="1">
      <c r="B9" s="45" t="s">
        <v>1116</v>
      </c>
      <c r="C9" s="45" t="s">
        <v>1127</v>
      </c>
      <c r="D9" s="46">
        <v>4</v>
      </c>
      <c r="E9" s="46" t="s">
        <v>1118</v>
      </c>
      <c r="F9" s="46" t="s">
        <v>1119</v>
      </c>
      <c r="G9" s="46" t="s">
        <v>1120</v>
      </c>
    </row>
    <row r="10" spans="1:8" ht="20.25" customHeight="1">
      <c r="B10" t="s">
        <v>1116</v>
      </c>
      <c r="C10" t="s">
        <v>1128</v>
      </c>
      <c r="D10" s="14">
        <v>2</v>
      </c>
      <c r="E10" s="14" t="s">
        <v>1118</v>
      </c>
      <c r="F10" s="14" t="s">
        <v>1119</v>
      </c>
      <c r="G10" s="14" t="s">
        <v>1120</v>
      </c>
    </row>
    <row r="11" spans="1:8" s="43" customFormat="1" ht="20.25" customHeight="1">
      <c r="B11" s="43" t="s">
        <v>1116</v>
      </c>
      <c r="C11" s="43" t="s">
        <v>1129</v>
      </c>
      <c r="D11" s="44">
        <v>2</v>
      </c>
      <c r="E11" s="44" t="s">
        <v>1118</v>
      </c>
      <c r="F11" s="44" t="s">
        <v>1119</v>
      </c>
      <c r="G11" s="44" t="s">
        <v>1120</v>
      </c>
    </row>
    <row r="12" spans="1:8" ht="20.25" customHeight="1">
      <c r="B12" t="s">
        <v>1116</v>
      </c>
      <c r="C12" t="s">
        <v>1130</v>
      </c>
      <c r="D12" s="14">
        <v>117</v>
      </c>
      <c r="E12" s="14" t="s">
        <v>1118</v>
      </c>
      <c r="F12" s="14" t="s">
        <v>1119</v>
      </c>
      <c r="G12" s="14" t="s">
        <v>1120</v>
      </c>
    </row>
    <row r="13" spans="1:8" s="43" customFormat="1" ht="20.25" customHeight="1">
      <c r="B13" s="43" t="s">
        <v>1116</v>
      </c>
      <c r="C13" s="43" t="s">
        <v>1131</v>
      </c>
      <c r="D13" s="44">
        <v>73</v>
      </c>
      <c r="E13" s="44" t="s">
        <v>1118</v>
      </c>
      <c r="F13" s="44" t="s">
        <v>1119</v>
      </c>
      <c r="G13" s="44" t="s">
        <v>1120</v>
      </c>
    </row>
    <row r="14" spans="1:8" ht="20.25" customHeight="1">
      <c r="B14" t="s">
        <v>1116</v>
      </c>
      <c r="C14" t="s">
        <v>1132</v>
      </c>
      <c r="D14" s="14">
        <v>35</v>
      </c>
      <c r="E14" s="14" t="s">
        <v>1118</v>
      </c>
      <c r="F14" s="14" t="s">
        <v>1119</v>
      </c>
      <c r="G14" s="14" t="s">
        <v>1120</v>
      </c>
    </row>
    <row r="15" spans="1:8" ht="20.25" customHeight="1">
      <c r="B15" t="s">
        <v>1116</v>
      </c>
      <c r="C15" t="s">
        <v>1133</v>
      </c>
      <c r="D15" s="14">
        <v>16</v>
      </c>
      <c r="E15" s="14" t="s">
        <v>1118</v>
      </c>
      <c r="F15" s="14" t="s">
        <v>1119</v>
      </c>
      <c r="G15" s="14" t="s">
        <v>1120</v>
      </c>
    </row>
    <row r="16" spans="1:8" ht="20.25" customHeight="1">
      <c r="B16" t="s">
        <v>1116</v>
      </c>
      <c r="C16" t="s">
        <v>1134</v>
      </c>
      <c r="D16" s="14">
        <v>122</v>
      </c>
      <c r="E16" s="14" t="s">
        <v>1118</v>
      </c>
      <c r="F16" s="14" t="s">
        <v>1135</v>
      </c>
      <c r="G16" s="14" t="s">
        <v>1135</v>
      </c>
    </row>
    <row r="17" spans="2:8" ht="20.25" customHeight="1">
      <c r="B17" t="s">
        <v>1116</v>
      </c>
      <c r="C17" t="s">
        <v>1136</v>
      </c>
      <c r="D17" s="14">
        <v>26</v>
      </c>
      <c r="E17" s="14" t="s">
        <v>1137</v>
      </c>
      <c r="F17" s="14" t="s">
        <v>1138</v>
      </c>
      <c r="G17" s="14" t="s">
        <v>1139</v>
      </c>
      <c r="H17" t="s">
        <v>1140</v>
      </c>
    </row>
    <row r="18" spans="2:8" ht="20.25" customHeight="1">
      <c r="B18" t="s">
        <v>1141</v>
      </c>
      <c r="C18" t="s">
        <v>1142</v>
      </c>
      <c r="D18" s="14">
        <v>55</v>
      </c>
      <c r="E18" s="14" t="s">
        <v>1137</v>
      </c>
      <c r="F18" s="14" t="s">
        <v>1138</v>
      </c>
      <c r="G18" s="14" t="s">
        <v>1139</v>
      </c>
      <c r="H18" t="s">
        <v>1140</v>
      </c>
    </row>
    <row r="19" spans="2:8" ht="20.25" customHeight="1">
      <c r="B19" t="s">
        <v>1141</v>
      </c>
      <c r="C19" t="s">
        <v>1143</v>
      </c>
      <c r="D19" s="14">
        <v>98</v>
      </c>
      <c r="E19" s="14" t="s">
        <v>1137</v>
      </c>
      <c r="F19" s="14" t="s">
        <v>1138</v>
      </c>
      <c r="G19" s="14" t="s">
        <v>1139</v>
      </c>
      <c r="H19" t="s">
        <v>1140</v>
      </c>
    </row>
    <row r="20" spans="2:8" ht="20.25" customHeight="1">
      <c r="B20" t="s">
        <v>1141</v>
      </c>
      <c r="C20" t="s">
        <v>1144</v>
      </c>
      <c r="D20" s="14">
        <v>45</v>
      </c>
      <c r="E20" s="14" t="s">
        <v>1137</v>
      </c>
      <c r="F20" s="14" t="s">
        <v>1138</v>
      </c>
      <c r="G20" s="14" t="s">
        <v>1145</v>
      </c>
      <c r="H20" t="s">
        <v>1146</v>
      </c>
    </row>
    <row r="21" spans="2:8" ht="20.25" customHeight="1">
      <c r="B21" t="s">
        <v>1147</v>
      </c>
      <c r="C21" t="s">
        <v>1147</v>
      </c>
      <c r="D21" s="14">
        <v>53</v>
      </c>
      <c r="E21" s="14" t="s">
        <v>1137</v>
      </c>
      <c r="F21" s="14" t="s">
        <v>1138</v>
      </c>
      <c r="G21" s="14" t="s">
        <v>1139</v>
      </c>
      <c r="H21" t="s">
        <v>1140</v>
      </c>
    </row>
    <row r="22" spans="2:8" ht="20.25" customHeight="1">
      <c r="B22" t="s">
        <v>1148</v>
      </c>
      <c r="C22" t="s">
        <v>1149</v>
      </c>
      <c r="D22" s="14">
        <v>25</v>
      </c>
      <c r="E22" s="14" t="s">
        <v>1137</v>
      </c>
      <c r="F22" s="14" t="s">
        <v>1138</v>
      </c>
      <c r="G22" s="14" t="s">
        <v>1139</v>
      </c>
      <c r="H22" t="s">
        <v>1140</v>
      </c>
    </row>
    <row r="23" spans="2:8" ht="20.25" customHeight="1">
      <c r="B23" t="s">
        <v>1150</v>
      </c>
      <c r="C23" t="s">
        <v>1150</v>
      </c>
      <c r="D23" s="14">
        <v>25</v>
      </c>
      <c r="E23" s="14" t="s">
        <v>1137</v>
      </c>
      <c r="F23" s="14" t="s">
        <v>1138</v>
      </c>
      <c r="G23" s="14" t="s">
        <v>1139</v>
      </c>
      <c r="H23" t="s">
        <v>1140</v>
      </c>
    </row>
    <row r="24" spans="2:8" ht="20.25" customHeight="1">
      <c r="B24" t="s">
        <v>1151</v>
      </c>
      <c r="C24" t="s">
        <v>1152</v>
      </c>
      <c r="D24" s="14">
        <v>45</v>
      </c>
      <c r="E24" s="14" t="s">
        <v>1137</v>
      </c>
      <c r="F24" s="14" t="s">
        <v>1138</v>
      </c>
      <c r="G24" s="14" t="s">
        <v>1153</v>
      </c>
      <c r="H24" t="s">
        <v>1146</v>
      </c>
    </row>
    <row r="25" spans="2:8" ht="20.25" customHeight="1">
      <c r="B25" t="s">
        <v>1154</v>
      </c>
      <c r="C25" t="s">
        <v>1155</v>
      </c>
      <c r="D25" s="14">
        <v>28</v>
      </c>
      <c r="E25" s="14" t="s">
        <v>1137</v>
      </c>
      <c r="F25" s="14" t="s">
        <v>1138</v>
      </c>
      <c r="G25" s="14" t="s">
        <v>1139</v>
      </c>
    </row>
    <row r="26" spans="2:8" ht="20.25" customHeight="1">
      <c r="B26" t="s">
        <v>1156</v>
      </c>
      <c r="C26" t="s">
        <v>1157</v>
      </c>
      <c r="D26" s="14">
        <v>25</v>
      </c>
      <c r="E26" s="14" t="s">
        <v>1118</v>
      </c>
      <c r="F26" s="14" t="s">
        <v>1119</v>
      </c>
      <c r="G26" s="14" t="s">
        <v>1158</v>
      </c>
    </row>
    <row r="27" spans="2:8" ht="20.25" customHeight="1">
      <c r="B27" t="s">
        <v>1141</v>
      </c>
      <c r="C27" t="s">
        <v>1159</v>
      </c>
      <c r="D27" s="14">
        <v>25</v>
      </c>
      <c r="E27" s="14" t="s">
        <v>1118</v>
      </c>
      <c r="F27" s="14" t="s">
        <v>1119</v>
      </c>
      <c r="G27" s="14" t="s">
        <v>1158</v>
      </c>
      <c r="H27" t="s">
        <v>1160</v>
      </c>
    </row>
    <row r="28" spans="2:8" ht="20.25" customHeight="1">
      <c r="B28" t="s">
        <v>1141</v>
      </c>
      <c r="C28" t="s">
        <v>1161</v>
      </c>
      <c r="D28" s="14">
        <v>4</v>
      </c>
      <c r="E28" s="14" t="s">
        <v>1118</v>
      </c>
      <c r="F28" s="14" t="s">
        <v>1119</v>
      </c>
      <c r="G28" s="14" t="s">
        <v>1139</v>
      </c>
    </row>
    <row r="29" spans="2:8" ht="20.25" customHeight="1">
      <c r="B29" t="s">
        <v>1154</v>
      </c>
      <c r="C29" s="16" t="s">
        <v>1162</v>
      </c>
      <c r="D29" s="14">
        <v>0</v>
      </c>
      <c r="E29" s="14" t="s">
        <v>1163</v>
      </c>
    </row>
    <row r="30" spans="2:8" ht="20.25" customHeight="1">
      <c r="C30" t="s">
        <v>1164</v>
      </c>
      <c r="D30" s="14">
        <v>1</v>
      </c>
    </row>
    <row r="31" spans="2:8" s="43" customFormat="1" ht="20.25" customHeight="1">
      <c r="B31" s="43" t="s">
        <v>1150</v>
      </c>
      <c r="C31" s="43" t="s">
        <v>1165</v>
      </c>
      <c r="D31" s="44">
        <v>69</v>
      </c>
      <c r="E31" s="44" t="s">
        <v>1118</v>
      </c>
      <c r="F31" s="44" t="s">
        <v>1166</v>
      </c>
      <c r="G31" s="44" t="s">
        <v>1167</v>
      </c>
      <c r="H31" s="43" t="s">
        <v>1168</v>
      </c>
    </row>
    <row r="32" spans="2:8" s="43" customFormat="1" ht="20.25" customHeight="1">
      <c r="B32" s="43" t="s">
        <v>1148</v>
      </c>
      <c r="C32" s="43" t="s">
        <v>1169</v>
      </c>
      <c r="D32" s="44">
        <v>60</v>
      </c>
      <c r="E32" s="44" t="s">
        <v>1118</v>
      </c>
      <c r="F32" s="44" t="s">
        <v>1166</v>
      </c>
      <c r="G32" s="44" t="s">
        <v>1167</v>
      </c>
      <c r="H32" s="43" t="s">
        <v>1168</v>
      </c>
    </row>
    <row r="33" spans="2:8" ht="20.25" customHeight="1">
      <c r="B33" t="s">
        <v>1141</v>
      </c>
      <c r="C33" s="43" t="s">
        <v>1170</v>
      </c>
      <c r="D33" s="14">
        <v>211</v>
      </c>
      <c r="E33" s="14" t="s">
        <v>1118</v>
      </c>
      <c r="F33" s="14" t="s">
        <v>1171</v>
      </c>
      <c r="G33" s="14" t="s">
        <v>1167</v>
      </c>
      <c r="H33" t="s">
        <v>1172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opLeftCell="A139" workbookViewId="0">
      <selection activeCell="I1" sqref="I1"/>
    </sheetView>
  </sheetViews>
  <sheetFormatPr defaultRowHeight="15"/>
  <sheetData>
    <row r="1" spans="1:81">
      <c r="A1" t="s">
        <v>1173</v>
      </c>
      <c r="B1" t="s">
        <v>1174</v>
      </c>
      <c r="C1" t="s">
        <v>1175</v>
      </c>
      <c r="D1" t="s">
        <v>1176</v>
      </c>
      <c r="E1" t="s">
        <v>1177</v>
      </c>
      <c r="F1" t="s">
        <v>1178</v>
      </c>
      <c r="G1" t="s">
        <v>1179</v>
      </c>
      <c r="H1" t="s">
        <v>1180</v>
      </c>
      <c r="I1" t="s">
        <v>1181</v>
      </c>
      <c r="J1" t="s">
        <v>1182</v>
      </c>
      <c r="K1" t="s">
        <v>1183</v>
      </c>
      <c r="L1" t="s">
        <v>1184</v>
      </c>
      <c r="M1" t="s">
        <v>1185</v>
      </c>
      <c r="N1" t="s">
        <v>1186</v>
      </c>
      <c r="O1" t="s">
        <v>1187</v>
      </c>
      <c r="P1" t="s">
        <v>1188</v>
      </c>
      <c r="Q1" t="s">
        <v>1189</v>
      </c>
      <c r="R1" t="s">
        <v>1190</v>
      </c>
      <c r="S1" t="s">
        <v>1191</v>
      </c>
      <c r="T1" t="s">
        <v>1192</v>
      </c>
      <c r="U1" t="s">
        <v>1193</v>
      </c>
      <c r="V1" t="s">
        <v>1194</v>
      </c>
      <c r="W1" t="s">
        <v>1195</v>
      </c>
      <c r="X1" t="s">
        <v>1196</v>
      </c>
      <c r="Y1" t="s">
        <v>1197</v>
      </c>
      <c r="Z1" t="s">
        <v>1198</v>
      </c>
      <c r="AA1" t="s">
        <v>1199</v>
      </c>
      <c r="AB1" t="s">
        <v>1200</v>
      </c>
      <c r="AC1" t="s">
        <v>1201</v>
      </c>
      <c r="AD1" t="s">
        <v>1202</v>
      </c>
      <c r="AE1" t="s">
        <v>1203</v>
      </c>
      <c r="AF1" t="s">
        <v>1204</v>
      </c>
      <c r="AG1" t="s">
        <v>1205</v>
      </c>
      <c r="AH1" t="s">
        <v>1206</v>
      </c>
      <c r="AI1" t="s">
        <v>1207</v>
      </c>
      <c r="AJ1" t="s">
        <v>1208</v>
      </c>
      <c r="AK1" t="s">
        <v>1209</v>
      </c>
      <c r="AL1" t="s">
        <v>1210</v>
      </c>
      <c r="AM1" t="s">
        <v>1211</v>
      </c>
      <c r="AN1" t="s">
        <v>1212</v>
      </c>
      <c r="AO1" t="s">
        <v>1213</v>
      </c>
      <c r="AP1" t="s">
        <v>1214</v>
      </c>
      <c r="AQ1" t="s">
        <v>1215</v>
      </c>
      <c r="AR1" t="s">
        <v>1216</v>
      </c>
      <c r="AS1" t="s">
        <v>1217</v>
      </c>
      <c r="AT1" t="s">
        <v>1218</v>
      </c>
      <c r="AU1" t="s">
        <v>1219</v>
      </c>
      <c r="AV1" t="s">
        <v>1220</v>
      </c>
      <c r="AW1" t="s">
        <v>1221</v>
      </c>
      <c r="AX1" t="s">
        <v>1222</v>
      </c>
      <c r="AY1" t="s">
        <v>1223</v>
      </c>
      <c r="AZ1" t="s">
        <v>1224</v>
      </c>
      <c r="BA1" t="s">
        <v>1225</v>
      </c>
      <c r="BB1" t="s">
        <v>1226</v>
      </c>
      <c r="BC1" t="s">
        <v>9</v>
      </c>
      <c r="BD1" t="s">
        <v>1227</v>
      </c>
      <c r="BE1" t="s">
        <v>1228</v>
      </c>
      <c r="BF1" t="s">
        <v>1229</v>
      </c>
      <c r="BG1" t="s">
        <v>1230</v>
      </c>
      <c r="BH1" t="s">
        <v>1231</v>
      </c>
      <c r="BI1" t="s">
        <v>1232</v>
      </c>
      <c r="BJ1" t="s">
        <v>1233</v>
      </c>
      <c r="BK1" t="s">
        <v>1234</v>
      </c>
      <c r="BL1" t="s">
        <v>1235</v>
      </c>
      <c r="BM1" t="s">
        <v>1236</v>
      </c>
      <c r="BN1" t="s">
        <v>1237</v>
      </c>
      <c r="BO1" t="s">
        <v>1238</v>
      </c>
      <c r="BP1" t="s">
        <v>1239</v>
      </c>
      <c r="BQ1" t="s">
        <v>1240</v>
      </c>
      <c r="BR1" t="s">
        <v>1241</v>
      </c>
      <c r="BS1" t="s">
        <v>1242</v>
      </c>
      <c r="BT1" t="s">
        <v>1243</v>
      </c>
      <c r="BU1" t="s">
        <v>1244</v>
      </c>
      <c r="BV1" t="s">
        <v>1245</v>
      </c>
      <c r="BW1" t="s">
        <v>1246</v>
      </c>
      <c r="BX1" t="s">
        <v>1247</v>
      </c>
      <c r="BY1" t="s">
        <v>1248</v>
      </c>
      <c r="BZ1" t="s">
        <v>1249</v>
      </c>
      <c r="CA1" t="s">
        <v>1250</v>
      </c>
      <c r="CB1" t="s">
        <v>1251</v>
      </c>
      <c r="CC1" t="s">
        <v>1252</v>
      </c>
    </row>
    <row r="2" spans="1:81">
      <c r="A2" t="s">
        <v>1151</v>
      </c>
      <c r="B2" t="s">
        <v>1253</v>
      </c>
      <c r="C2" t="s">
        <v>1253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1254</v>
      </c>
      <c r="H2" t="s">
        <v>1254</v>
      </c>
      <c r="J2" t="s">
        <v>1255</v>
      </c>
      <c r="K2" t="s">
        <v>1255</v>
      </c>
      <c r="L2" t="s">
        <v>1255</v>
      </c>
      <c r="S2" t="s">
        <v>1256</v>
      </c>
      <c r="T2" t="s">
        <v>1257</v>
      </c>
      <c r="U2" t="s">
        <v>1258</v>
      </c>
      <c r="V2" t="s">
        <v>1253</v>
      </c>
      <c r="W2" t="s">
        <v>1259</v>
      </c>
      <c r="X2" t="s">
        <v>1260</v>
      </c>
      <c r="Y2" t="s">
        <v>1261</v>
      </c>
      <c r="AA2" t="s">
        <v>1262</v>
      </c>
      <c r="AC2" t="s">
        <v>1263</v>
      </c>
      <c r="AD2" t="s">
        <v>1261</v>
      </c>
      <c r="AF2" t="s">
        <v>1264</v>
      </c>
      <c r="AG2" t="s">
        <v>1265</v>
      </c>
      <c r="AH2">
        <v>1</v>
      </c>
      <c r="AI2" t="s">
        <v>1266</v>
      </c>
      <c r="AJ2" t="s">
        <v>1267</v>
      </c>
      <c r="AK2" t="s">
        <v>1268</v>
      </c>
      <c r="AL2" t="s">
        <v>1263</v>
      </c>
      <c r="AM2" t="s">
        <v>1155</v>
      </c>
      <c r="AR2" t="s">
        <v>1261</v>
      </c>
      <c r="AS2" t="s">
        <v>1269</v>
      </c>
      <c r="AT2" t="s">
        <v>1261</v>
      </c>
      <c r="AU2" t="s">
        <v>1261</v>
      </c>
      <c r="AV2" t="s">
        <v>1261</v>
      </c>
      <c r="AW2" t="s">
        <v>1253</v>
      </c>
      <c r="AX2" t="s">
        <v>1253</v>
      </c>
      <c r="BA2">
        <v>46027</v>
      </c>
      <c r="BB2" t="s">
        <v>1253</v>
      </c>
      <c r="BD2" t="s">
        <v>1229</v>
      </c>
      <c r="BE2" t="s">
        <v>1253</v>
      </c>
      <c r="BF2" t="s">
        <v>1253</v>
      </c>
      <c r="BG2" t="s">
        <v>1253</v>
      </c>
      <c r="BH2" t="s">
        <v>1253</v>
      </c>
      <c r="BI2" t="s">
        <v>1270</v>
      </c>
      <c r="BJ2" t="s">
        <v>1253</v>
      </c>
      <c r="BK2" t="s">
        <v>1271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1151</v>
      </c>
      <c r="B3" t="s">
        <v>1253</v>
      </c>
      <c r="C3" t="s">
        <v>1253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1254</v>
      </c>
      <c r="H3" t="s">
        <v>1254</v>
      </c>
      <c r="J3" t="s">
        <v>1255</v>
      </c>
      <c r="K3" t="s">
        <v>1255</v>
      </c>
      <c r="L3" t="s">
        <v>1255</v>
      </c>
      <c r="S3" t="s">
        <v>1272</v>
      </c>
      <c r="T3" t="s">
        <v>1273</v>
      </c>
      <c r="U3" t="s">
        <v>1274</v>
      </c>
      <c r="V3" t="s">
        <v>1253</v>
      </c>
      <c r="W3" t="s">
        <v>1275</v>
      </c>
      <c r="X3" t="s">
        <v>1260</v>
      </c>
      <c r="Y3" t="s">
        <v>1261</v>
      </c>
      <c r="AA3" t="s">
        <v>1262</v>
      </c>
      <c r="AC3" t="s">
        <v>1276</v>
      </c>
      <c r="AD3" t="s">
        <v>1261</v>
      </c>
      <c r="AF3" t="s">
        <v>1264</v>
      </c>
      <c r="AG3" t="s">
        <v>1265</v>
      </c>
      <c r="AH3">
        <v>2</v>
      </c>
      <c r="AI3" t="s">
        <v>1277</v>
      </c>
      <c r="AJ3" t="s">
        <v>1267</v>
      </c>
      <c r="AK3" t="s">
        <v>1268</v>
      </c>
      <c r="AL3" t="s">
        <v>1276</v>
      </c>
      <c r="AM3" t="s">
        <v>1155</v>
      </c>
      <c r="AR3" t="s">
        <v>1261</v>
      </c>
      <c r="AS3" t="s">
        <v>1269</v>
      </c>
      <c r="AT3" t="s">
        <v>1261</v>
      </c>
      <c r="AU3" t="s">
        <v>1261</v>
      </c>
      <c r="AV3" t="s">
        <v>1261</v>
      </c>
      <c r="AW3" t="s">
        <v>1253</v>
      </c>
      <c r="AX3" t="s">
        <v>1253</v>
      </c>
      <c r="BA3">
        <v>46027</v>
      </c>
      <c r="BB3" t="s">
        <v>1253</v>
      </c>
      <c r="BD3" t="s">
        <v>1229</v>
      </c>
      <c r="BE3" t="s">
        <v>1253</v>
      </c>
      <c r="BF3" t="s">
        <v>1253</v>
      </c>
      <c r="BG3" t="s">
        <v>1253</v>
      </c>
      <c r="BH3" t="s">
        <v>1253</v>
      </c>
      <c r="BJ3" t="s">
        <v>1253</v>
      </c>
      <c r="BK3" t="s">
        <v>1271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1151</v>
      </c>
      <c r="B4" t="s">
        <v>1253</v>
      </c>
      <c r="C4" t="s">
        <v>1253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1254</v>
      </c>
      <c r="H4" t="s">
        <v>1254</v>
      </c>
      <c r="J4" t="s">
        <v>1255</v>
      </c>
      <c r="K4" t="s">
        <v>1255</v>
      </c>
      <c r="L4" t="s">
        <v>1255</v>
      </c>
      <c r="S4" t="s">
        <v>1278</v>
      </c>
      <c r="T4" t="s">
        <v>1279</v>
      </c>
      <c r="U4" t="s">
        <v>1280</v>
      </c>
      <c r="V4" t="s">
        <v>1253</v>
      </c>
      <c r="W4" t="s">
        <v>1281</v>
      </c>
      <c r="X4" t="s">
        <v>1260</v>
      </c>
      <c r="Y4" t="s">
        <v>1261</v>
      </c>
      <c r="AA4" t="s">
        <v>1262</v>
      </c>
      <c r="AC4" t="s">
        <v>1282</v>
      </c>
      <c r="AD4" t="s">
        <v>1261</v>
      </c>
      <c r="AF4" t="s">
        <v>1264</v>
      </c>
      <c r="AG4" t="s">
        <v>1265</v>
      </c>
      <c r="AH4">
        <v>3</v>
      </c>
      <c r="AI4" t="s">
        <v>1283</v>
      </c>
      <c r="AJ4" t="s">
        <v>1267</v>
      </c>
      <c r="AK4" t="s">
        <v>1268</v>
      </c>
      <c r="AL4" t="s">
        <v>1282</v>
      </c>
      <c r="AM4" t="s">
        <v>1155</v>
      </c>
      <c r="AR4" t="s">
        <v>1261</v>
      </c>
      <c r="AS4" t="s">
        <v>1269</v>
      </c>
      <c r="AT4" t="s">
        <v>1261</v>
      </c>
      <c r="AU4" t="s">
        <v>1261</v>
      </c>
      <c r="AV4" t="s">
        <v>1261</v>
      </c>
      <c r="AW4" t="s">
        <v>1253</v>
      </c>
      <c r="AX4" t="s">
        <v>1253</v>
      </c>
      <c r="BA4">
        <v>46027</v>
      </c>
      <c r="BB4" t="s">
        <v>1253</v>
      </c>
      <c r="BD4" t="s">
        <v>1229</v>
      </c>
      <c r="BE4" t="s">
        <v>1253</v>
      </c>
      <c r="BF4" t="s">
        <v>1253</v>
      </c>
      <c r="BG4" t="s">
        <v>1253</v>
      </c>
      <c r="BH4" t="s">
        <v>1253</v>
      </c>
      <c r="BJ4" t="s">
        <v>1253</v>
      </c>
      <c r="BK4" t="s">
        <v>1271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1151</v>
      </c>
      <c r="B5" t="s">
        <v>1253</v>
      </c>
      <c r="C5" t="s">
        <v>1253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1254</v>
      </c>
      <c r="H5" t="s">
        <v>1254</v>
      </c>
      <c r="J5" t="s">
        <v>1255</v>
      </c>
      <c r="K5" t="s">
        <v>1255</v>
      </c>
      <c r="L5" t="s">
        <v>1255</v>
      </c>
      <c r="S5" t="s">
        <v>1284</v>
      </c>
      <c r="T5" t="s">
        <v>1285</v>
      </c>
      <c r="U5" t="s">
        <v>1286</v>
      </c>
      <c r="V5" t="s">
        <v>1253</v>
      </c>
      <c r="W5" t="s">
        <v>1287</v>
      </c>
      <c r="X5" t="s">
        <v>1260</v>
      </c>
      <c r="Y5" t="s">
        <v>1261</v>
      </c>
      <c r="AA5" t="s">
        <v>1262</v>
      </c>
      <c r="AC5" t="s">
        <v>1288</v>
      </c>
      <c r="AD5" t="s">
        <v>1261</v>
      </c>
      <c r="AF5" t="s">
        <v>1264</v>
      </c>
      <c r="AG5" t="s">
        <v>1265</v>
      </c>
      <c r="AH5">
        <v>4</v>
      </c>
      <c r="AI5" t="s">
        <v>1289</v>
      </c>
      <c r="AJ5" t="s">
        <v>1267</v>
      </c>
      <c r="AK5" t="s">
        <v>1268</v>
      </c>
      <c r="AL5" t="s">
        <v>1288</v>
      </c>
      <c r="AM5" t="s">
        <v>1155</v>
      </c>
      <c r="AR5" t="s">
        <v>1261</v>
      </c>
      <c r="AS5" t="s">
        <v>1269</v>
      </c>
      <c r="AT5" t="s">
        <v>1261</v>
      </c>
      <c r="AU5" t="s">
        <v>1261</v>
      </c>
      <c r="AV5" t="s">
        <v>1261</v>
      </c>
      <c r="AW5" t="s">
        <v>1253</v>
      </c>
      <c r="AX5" t="s">
        <v>1253</v>
      </c>
      <c r="BA5">
        <v>46027</v>
      </c>
      <c r="BB5" t="s">
        <v>1253</v>
      </c>
      <c r="BD5" t="s">
        <v>1229</v>
      </c>
      <c r="BE5" t="s">
        <v>1253</v>
      </c>
      <c r="BF5" t="s">
        <v>1253</v>
      </c>
      <c r="BG5" t="s">
        <v>1253</v>
      </c>
      <c r="BH5" t="s">
        <v>1253</v>
      </c>
      <c r="BJ5" t="s">
        <v>1253</v>
      </c>
      <c r="BK5" t="s">
        <v>1271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1151</v>
      </c>
      <c r="B6" t="s">
        <v>1253</v>
      </c>
      <c r="C6" t="s">
        <v>1253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1254</v>
      </c>
      <c r="H6" t="s">
        <v>1254</v>
      </c>
      <c r="J6" t="s">
        <v>1255</v>
      </c>
      <c r="K6" t="s">
        <v>1255</v>
      </c>
      <c r="L6" t="s">
        <v>1255</v>
      </c>
      <c r="S6" t="s">
        <v>1290</v>
      </c>
      <c r="T6" t="s">
        <v>1291</v>
      </c>
      <c r="U6" t="s">
        <v>1292</v>
      </c>
      <c r="V6" t="s">
        <v>1253</v>
      </c>
      <c r="W6" t="s">
        <v>1293</v>
      </c>
      <c r="X6" t="s">
        <v>1260</v>
      </c>
      <c r="Y6" t="s">
        <v>1261</v>
      </c>
      <c r="AA6" t="s">
        <v>1262</v>
      </c>
      <c r="AC6" t="s">
        <v>1294</v>
      </c>
      <c r="AD6" t="s">
        <v>1261</v>
      </c>
      <c r="AF6" t="s">
        <v>1264</v>
      </c>
      <c r="AG6" t="s">
        <v>1265</v>
      </c>
      <c r="AH6">
        <v>5</v>
      </c>
      <c r="AI6" t="s">
        <v>1295</v>
      </c>
      <c r="AJ6" t="s">
        <v>1267</v>
      </c>
      <c r="AK6" t="s">
        <v>1268</v>
      </c>
      <c r="AL6" t="s">
        <v>1294</v>
      </c>
      <c r="AM6" t="s">
        <v>1155</v>
      </c>
      <c r="AR6" t="s">
        <v>1261</v>
      </c>
      <c r="AS6" t="s">
        <v>1269</v>
      </c>
      <c r="AT6" t="s">
        <v>1261</v>
      </c>
      <c r="AU6" t="s">
        <v>1261</v>
      </c>
      <c r="AV6" t="s">
        <v>1261</v>
      </c>
      <c r="AW6" t="s">
        <v>1253</v>
      </c>
      <c r="AX6" t="s">
        <v>1253</v>
      </c>
      <c r="BA6">
        <v>46027</v>
      </c>
      <c r="BB6" t="s">
        <v>1253</v>
      </c>
      <c r="BD6" t="s">
        <v>1229</v>
      </c>
      <c r="BE6" t="s">
        <v>1253</v>
      </c>
      <c r="BF6" t="s">
        <v>1253</v>
      </c>
      <c r="BG6" t="s">
        <v>1253</v>
      </c>
      <c r="BH6" t="s">
        <v>1253</v>
      </c>
      <c r="BJ6" t="s">
        <v>1253</v>
      </c>
      <c r="BK6" t="s">
        <v>1271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1151</v>
      </c>
      <c r="B7" t="s">
        <v>1253</v>
      </c>
      <c r="C7" t="s">
        <v>1253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1254</v>
      </c>
      <c r="H7" t="s">
        <v>1254</v>
      </c>
      <c r="J7" t="s">
        <v>1255</v>
      </c>
      <c r="K7" t="s">
        <v>1255</v>
      </c>
      <c r="L7" t="s">
        <v>1255</v>
      </c>
      <c r="S7" t="s">
        <v>1296</v>
      </c>
      <c r="T7" t="s">
        <v>1297</v>
      </c>
      <c r="U7" t="s">
        <v>1298</v>
      </c>
      <c r="V7" t="s">
        <v>1253</v>
      </c>
      <c r="W7" t="s">
        <v>1299</v>
      </c>
      <c r="X7" t="s">
        <v>1260</v>
      </c>
      <c r="Y7" t="s">
        <v>1261</v>
      </c>
      <c r="AA7" t="s">
        <v>1262</v>
      </c>
      <c r="AC7" t="s">
        <v>1300</v>
      </c>
      <c r="AD7" t="s">
        <v>1261</v>
      </c>
      <c r="AF7" t="s">
        <v>1264</v>
      </c>
      <c r="AG7" t="s">
        <v>1265</v>
      </c>
      <c r="AH7">
        <v>6</v>
      </c>
      <c r="AI7" t="s">
        <v>1301</v>
      </c>
      <c r="AJ7" t="s">
        <v>1267</v>
      </c>
      <c r="AK7" t="s">
        <v>1268</v>
      </c>
      <c r="AL7" t="s">
        <v>1300</v>
      </c>
      <c r="AM7" t="s">
        <v>1155</v>
      </c>
      <c r="AR7" t="s">
        <v>1261</v>
      </c>
      <c r="AS7" t="s">
        <v>1269</v>
      </c>
      <c r="AT7" t="s">
        <v>1261</v>
      </c>
      <c r="AU7" t="s">
        <v>1261</v>
      </c>
      <c r="AV7" t="s">
        <v>1261</v>
      </c>
      <c r="AW7" t="s">
        <v>1253</v>
      </c>
      <c r="AX7" t="s">
        <v>1253</v>
      </c>
      <c r="BA7">
        <v>46027</v>
      </c>
      <c r="BB7" t="s">
        <v>1253</v>
      </c>
      <c r="BD7" t="s">
        <v>1229</v>
      </c>
      <c r="BE7" t="s">
        <v>1253</v>
      </c>
      <c r="BF7" t="s">
        <v>1253</v>
      </c>
      <c r="BG7" t="s">
        <v>1253</v>
      </c>
      <c r="BH7" t="s">
        <v>1253</v>
      </c>
      <c r="BJ7" t="s">
        <v>1253</v>
      </c>
      <c r="BK7" t="s">
        <v>1271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1151</v>
      </c>
      <c r="B8" t="s">
        <v>1253</v>
      </c>
      <c r="C8" t="s">
        <v>1253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1254</v>
      </c>
      <c r="H8" t="s">
        <v>1254</v>
      </c>
      <c r="J8" t="s">
        <v>1255</v>
      </c>
      <c r="K8" t="s">
        <v>1255</v>
      </c>
      <c r="L8" t="s">
        <v>1255</v>
      </c>
      <c r="S8" t="s">
        <v>1302</v>
      </c>
      <c r="T8" t="s">
        <v>1303</v>
      </c>
      <c r="U8" t="s">
        <v>1304</v>
      </c>
      <c r="V8" t="s">
        <v>1253</v>
      </c>
      <c r="W8" t="s">
        <v>1305</v>
      </c>
      <c r="X8" t="s">
        <v>1260</v>
      </c>
      <c r="Y8" t="s">
        <v>1261</v>
      </c>
      <c r="AA8" t="s">
        <v>1262</v>
      </c>
      <c r="AC8" t="s">
        <v>1306</v>
      </c>
      <c r="AD8" t="s">
        <v>1261</v>
      </c>
      <c r="AF8" t="s">
        <v>1264</v>
      </c>
      <c r="AG8" t="s">
        <v>1265</v>
      </c>
      <c r="AH8">
        <v>7</v>
      </c>
      <c r="AI8" t="s">
        <v>1307</v>
      </c>
      <c r="AJ8" t="s">
        <v>1267</v>
      </c>
      <c r="AK8" t="s">
        <v>1268</v>
      </c>
      <c r="AL8" t="s">
        <v>1306</v>
      </c>
      <c r="AM8" t="s">
        <v>1155</v>
      </c>
      <c r="AR8" t="s">
        <v>1261</v>
      </c>
      <c r="AS8" t="s">
        <v>1269</v>
      </c>
      <c r="AT8" t="s">
        <v>1261</v>
      </c>
      <c r="AU8" t="s">
        <v>1261</v>
      </c>
      <c r="AV8" t="s">
        <v>1261</v>
      </c>
      <c r="AW8" t="s">
        <v>1253</v>
      </c>
      <c r="AX8" t="s">
        <v>1253</v>
      </c>
      <c r="BA8">
        <v>46027</v>
      </c>
      <c r="BB8" t="s">
        <v>1253</v>
      </c>
      <c r="BD8" t="s">
        <v>1229</v>
      </c>
      <c r="BE8" t="s">
        <v>1253</v>
      </c>
      <c r="BF8" t="s">
        <v>1253</v>
      </c>
      <c r="BG8" t="s">
        <v>1253</v>
      </c>
      <c r="BH8" t="s">
        <v>1253</v>
      </c>
      <c r="BJ8" t="s">
        <v>1253</v>
      </c>
      <c r="BK8" t="s">
        <v>1271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1151</v>
      </c>
      <c r="B9" t="s">
        <v>1253</v>
      </c>
      <c r="C9" t="s">
        <v>1253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1254</v>
      </c>
      <c r="H9" t="s">
        <v>1254</v>
      </c>
      <c r="J9" t="s">
        <v>1255</v>
      </c>
      <c r="K9" t="s">
        <v>1255</v>
      </c>
      <c r="L9" t="s">
        <v>1255</v>
      </c>
      <c r="S9" t="s">
        <v>1308</v>
      </c>
      <c r="T9" t="s">
        <v>1309</v>
      </c>
      <c r="U9" t="s">
        <v>1310</v>
      </c>
      <c r="V9" t="s">
        <v>1253</v>
      </c>
      <c r="W9" t="s">
        <v>1311</v>
      </c>
      <c r="X9" t="s">
        <v>1260</v>
      </c>
      <c r="Y9" t="s">
        <v>1261</v>
      </c>
      <c r="AA9" t="s">
        <v>1262</v>
      </c>
      <c r="AC9" t="s">
        <v>1312</v>
      </c>
      <c r="AD9" t="s">
        <v>1261</v>
      </c>
      <c r="AF9" t="s">
        <v>1264</v>
      </c>
      <c r="AG9" t="s">
        <v>1265</v>
      </c>
      <c r="AH9">
        <v>8</v>
      </c>
      <c r="AI9" t="s">
        <v>1313</v>
      </c>
      <c r="AJ9" t="s">
        <v>1267</v>
      </c>
      <c r="AK9" t="s">
        <v>1268</v>
      </c>
      <c r="AL9" t="s">
        <v>1312</v>
      </c>
      <c r="AM9" t="s">
        <v>1155</v>
      </c>
      <c r="AR9" t="s">
        <v>1261</v>
      </c>
      <c r="AS9" t="s">
        <v>1269</v>
      </c>
      <c r="AT9" t="s">
        <v>1261</v>
      </c>
      <c r="AU9" t="s">
        <v>1261</v>
      </c>
      <c r="AV9" t="s">
        <v>1261</v>
      </c>
      <c r="AW9" t="s">
        <v>1253</v>
      </c>
      <c r="AX9" t="s">
        <v>1253</v>
      </c>
      <c r="BA9">
        <v>46027</v>
      </c>
      <c r="BB9" t="s">
        <v>1253</v>
      </c>
      <c r="BD9" t="s">
        <v>1229</v>
      </c>
      <c r="BE9" t="s">
        <v>1253</v>
      </c>
      <c r="BF9" t="s">
        <v>1253</v>
      </c>
      <c r="BG9" t="s">
        <v>1253</v>
      </c>
      <c r="BH9" t="s">
        <v>1253</v>
      </c>
      <c r="BJ9" t="s">
        <v>1253</v>
      </c>
      <c r="BK9" t="s">
        <v>1271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1151</v>
      </c>
      <c r="B10" t="s">
        <v>1253</v>
      </c>
      <c r="C10" t="s">
        <v>1253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1254</v>
      </c>
      <c r="H10" t="s">
        <v>1254</v>
      </c>
      <c r="J10" t="s">
        <v>1255</v>
      </c>
      <c r="K10" t="s">
        <v>1255</v>
      </c>
      <c r="L10" t="s">
        <v>1255</v>
      </c>
      <c r="S10" t="s">
        <v>1314</v>
      </c>
      <c r="T10" t="s">
        <v>1315</v>
      </c>
      <c r="U10" t="s">
        <v>1316</v>
      </c>
      <c r="V10" t="s">
        <v>1253</v>
      </c>
      <c r="W10" t="s">
        <v>1317</v>
      </c>
      <c r="X10" t="s">
        <v>1260</v>
      </c>
      <c r="Y10" t="s">
        <v>1261</v>
      </c>
      <c r="AA10" t="s">
        <v>1262</v>
      </c>
      <c r="AC10" t="s">
        <v>1318</v>
      </c>
      <c r="AD10" t="s">
        <v>1261</v>
      </c>
      <c r="AF10" t="s">
        <v>1264</v>
      </c>
      <c r="AG10" t="s">
        <v>1265</v>
      </c>
      <c r="AH10">
        <v>9</v>
      </c>
      <c r="AI10" t="s">
        <v>1319</v>
      </c>
      <c r="AJ10" t="s">
        <v>1267</v>
      </c>
      <c r="AK10" t="s">
        <v>1268</v>
      </c>
      <c r="AL10" t="s">
        <v>1318</v>
      </c>
      <c r="AM10" t="s">
        <v>1155</v>
      </c>
      <c r="AR10" t="s">
        <v>1261</v>
      </c>
      <c r="AS10" t="s">
        <v>1269</v>
      </c>
      <c r="AT10" t="s">
        <v>1261</v>
      </c>
      <c r="AU10" t="s">
        <v>1261</v>
      </c>
      <c r="AV10" t="s">
        <v>1261</v>
      </c>
      <c r="AW10" t="s">
        <v>1253</v>
      </c>
      <c r="AX10" t="s">
        <v>1253</v>
      </c>
      <c r="BA10">
        <v>46027</v>
      </c>
      <c r="BB10" t="s">
        <v>1253</v>
      </c>
      <c r="BD10" t="s">
        <v>1229</v>
      </c>
      <c r="BE10" t="s">
        <v>1253</v>
      </c>
      <c r="BF10" t="s">
        <v>1253</v>
      </c>
      <c r="BG10" t="s">
        <v>1253</v>
      </c>
      <c r="BH10" t="s">
        <v>1253</v>
      </c>
      <c r="BJ10" t="s">
        <v>1253</v>
      </c>
      <c r="BK10" t="s">
        <v>1271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1151</v>
      </c>
      <c r="B11" t="s">
        <v>1253</v>
      </c>
      <c r="C11" t="s">
        <v>1253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1254</v>
      </c>
      <c r="H11" t="s">
        <v>1254</v>
      </c>
      <c r="J11" t="s">
        <v>1255</v>
      </c>
      <c r="K11" t="s">
        <v>1255</v>
      </c>
      <c r="L11" t="s">
        <v>1255</v>
      </c>
      <c r="S11" t="s">
        <v>1320</v>
      </c>
      <c r="T11" t="s">
        <v>1321</v>
      </c>
      <c r="U11" t="s">
        <v>1322</v>
      </c>
      <c r="V11" t="s">
        <v>1253</v>
      </c>
      <c r="W11" t="s">
        <v>1323</v>
      </c>
      <c r="X11" t="s">
        <v>1260</v>
      </c>
      <c r="Y11" t="s">
        <v>1261</v>
      </c>
      <c r="AA11" t="s">
        <v>1262</v>
      </c>
      <c r="AC11" t="s">
        <v>1324</v>
      </c>
      <c r="AD11" t="s">
        <v>1261</v>
      </c>
      <c r="AF11" t="s">
        <v>1264</v>
      </c>
      <c r="AG11" t="s">
        <v>1265</v>
      </c>
      <c r="AH11">
        <v>10</v>
      </c>
      <c r="AI11" t="s">
        <v>1325</v>
      </c>
      <c r="AJ11" t="s">
        <v>1267</v>
      </c>
      <c r="AK11" t="s">
        <v>1268</v>
      </c>
      <c r="AL11" t="s">
        <v>1324</v>
      </c>
      <c r="AM11" t="s">
        <v>1155</v>
      </c>
      <c r="AR11" t="s">
        <v>1261</v>
      </c>
      <c r="AS11" t="s">
        <v>1269</v>
      </c>
      <c r="AT11" t="s">
        <v>1261</v>
      </c>
      <c r="AU11" t="s">
        <v>1261</v>
      </c>
      <c r="AV11" t="s">
        <v>1261</v>
      </c>
      <c r="AW11" t="s">
        <v>1253</v>
      </c>
      <c r="AX11" t="s">
        <v>1253</v>
      </c>
      <c r="BA11">
        <v>46027</v>
      </c>
      <c r="BB11" t="s">
        <v>1253</v>
      </c>
      <c r="BD11" t="s">
        <v>1229</v>
      </c>
      <c r="BE11" t="s">
        <v>1253</v>
      </c>
      <c r="BF11" t="s">
        <v>1253</v>
      </c>
      <c r="BG11" t="s">
        <v>1253</v>
      </c>
      <c r="BH11" t="s">
        <v>1253</v>
      </c>
      <c r="BJ11" t="s">
        <v>1253</v>
      </c>
      <c r="BK11" t="s">
        <v>1271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1151</v>
      </c>
      <c r="B12" t="s">
        <v>1253</v>
      </c>
      <c r="C12" t="s">
        <v>1253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1254</v>
      </c>
      <c r="H12" t="s">
        <v>1254</v>
      </c>
      <c r="J12" t="s">
        <v>1255</v>
      </c>
      <c r="K12" t="s">
        <v>1255</v>
      </c>
      <c r="L12" t="s">
        <v>1255</v>
      </c>
      <c r="S12" t="s">
        <v>1326</v>
      </c>
      <c r="T12" t="s">
        <v>1327</v>
      </c>
      <c r="U12" t="s">
        <v>1328</v>
      </c>
      <c r="V12" t="s">
        <v>1253</v>
      </c>
      <c r="W12" t="s">
        <v>1329</v>
      </c>
      <c r="X12" t="s">
        <v>1260</v>
      </c>
      <c r="Y12" t="s">
        <v>1261</v>
      </c>
      <c r="AA12" t="s">
        <v>1262</v>
      </c>
      <c r="AC12" t="s">
        <v>1330</v>
      </c>
      <c r="AD12" t="s">
        <v>1261</v>
      </c>
      <c r="AF12" t="s">
        <v>1264</v>
      </c>
      <c r="AG12" t="s">
        <v>1265</v>
      </c>
      <c r="AH12">
        <v>11</v>
      </c>
      <c r="AI12" t="s">
        <v>1331</v>
      </c>
      <c r="AJ12" t="s">
        <v>1267</v>
      </c>
      <c r="AK12" t="s">
        <v>1268</v>
      </c>
      <c r="AL12" t="s">
        <v>1330</v>
      </c>
      <c r="AM12" t="s">
        <v>1155</v>
      </c>
      <c r="AR12" t="s">
        <v>1261</v>
      </c>
      <c r="AS12" t="s">
        <v>1269</v>
      </c>
      <c r="AT12" t="s">
        <v>1261</v>
      </c>
      <c r="AU12" t="s">
        <v>1261</v>
      </c>
      <c r="AV12" t="s">
        <v>1261</v>
      </c>
      <c r="AW12" t="s">
        <v>1253</v>
      </c>
      <c r="AX12" t="s">
        <v>1253</v>
      </c>
      <c r="BA12">
        <v>46027</v>
      </c>
      <c r="BB12" t="s">
        <v>1253</v>
      </c>
      <c r="BC12" t="s">
        <v>1332</v>
      </c>
      <c r="BD12" t="s">
        <v>1229</v>
      </c>
      <c r="BE12" t="s">
        <v>1253</v>
      </c>
      <c r="BF12" t="s">
        <v>1253</v>
      </c>
      <c r="BG12" t="s">
        <v>1253</v>
      </c>
      <c r="BH12" t="s">
        <v>1253</v>
      </c>
      <c r="BJ12" t="s">
        <v>1253</v>
      </c>
      <c r="BK12" t="s">
        <v>1271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1151</v>
      </c>
      <c r="B13" t="s">
        <v>1253</v>
      </c>
      <c r="C13" t="s">
        <v>1253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1254</v>
      </c>
      <c r="H13" t="s">
        <v>1254</v>
      </c>
      <c r="J13" t="s">
        <v>1255</v>
      </c>
      <c r="K13" t="s">
        <v>1255</v>
      </c>
      <c r="L13" t="s">
        <v>1255</v>
      </c>
      <c r="S13" t="s">
        <v>1333</v>
      </c>
      <c r="T13" t="s">
        <v>1334</v>
      </c>
      <c r="U13" t="s">
        <v>1335</v>
      </c>
      <c r="V13" t="s">
        <v>1253</v>
      </c>
      <c r="W13" t="s">
        <v>1336</v>
      </c>
      <c r="X13" t="s">
        <v>1260</v>
      </c>
      <c r="Y13" t="s">
        <v>1261</v>
      </c>
      <c r="AA13" t="s">
        <v>1262</v>
      </c>
      <c r="AC13" t="s">
        <v>1337</v>
      </c>
      <c r="AD13" t="s">
        <v>1261</v>
      </c>
      <c r="AF13" t="s">
        <v>1264</v>
      </c>
      <c r="AG13" t="s">
        <v>1265</v>
      </c>
      <c r="AH13">
        <v>12</v>
      </c>
      <c r="AI13" t="s">
        <v>1338</v>
      </c>
      <c r="AJ13" t="s">
        <v>1267</v>
      </c>
      <c r="AK13" t="s">
        <v>1268</v>
      </c>
      <c r="AL13" t="s">
        <v>1337</v>
      </c>
      <c r="AM13" t="s">
        <v>1155</v>
      </c>
      <c r="AR13" t="s">
        <v>1261</v>
      </c>
      <c r="AS13" t="s">
        <v>1269</v>
      </c>
      <c r="AT13" t="s">
        <v>1261</v>
      </c>
      <c r="AU13" t="s">
        <v>1261</v>
      </c>
      <c r="AV13" t="s">
        <v>1261</v>
      </c>
      <c r="AW13" t="s">
        <v>1253</v>
      </c>
      <c r="AX13" t="s">
        <v>1253</v>
      </c>
      <c r="BA13">
        <v>46027</v>
      </c>
      <c r="BB13" t="s">
        <v>1253</v>
      </c>
      <c r="BD13" t="s">
        <v>1229</v>
      </c>
      <c r="BE13" t="s">
        <v>1253</v>
      </c>
      <c r="BF13" t="s">
        <v>1253</v>
      </c>
      <c r="BG13" t="s">
        <v>1253</v>
      </c>
      <c r="BH13" t="s">
        <v>1253</v>
      </c>
      <c r="BJ13" t="s">
        <v>1253</v>
      </c>
      <c r="BK13" t="s">
        <v>1271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1151</v>
      </c>
      <c r="B14" t="s">
        <v>1253</v>
      </c>
      <c r="C14" t="s">
        <v>1253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1254</v>
      </c>
      <c r="H14" t="s">
        <v>1254</v>
      </c>
      <c r="J14" t="s">
        <v>1255</v>
      </c>
      <c r="K14" t="s">
        <v>1255</v>
      </c>
      <c r="L14" t="s">
        <v>1255</v>
      </c>
      <c r="S14" t="s">
        <v>1339</v>
      </c>
      <c r="T14" t="s">
        <v>1340</v>
      </c>
      <c r="U14" t="s">
        <v>1341</v>
      </c>
      <c r="V14" t="s">
        <v>1253</v>
      </c>
      <c r="W14" t="s">
        <v>1342</v>
      </c>
      <c r="X14" t="s">
        <v>1260</v>
      </c>
      <c r="Y14" t="s">
        <v>1261</v>
      </c>
      <c r="AA14" t="s">
        <v>1262</v>
      </c>
      <c r="AC14" t="s">
        <v>1343</v>
      </c>
      <c r="AD14" t="s">
        <v>1261</v>
      </c>
      <c r="AF14" t="s">
        <v>1264</v>
      </c>
      <c r="AG14" t="s">
        <v>1265</v>
      </c>
      <c r="AH14">
        <v>13</v>
      </c>
      <c r="AI14" t="s">
        <v>1344</v>
      </c>
      <c r="AJ14" t="s">
        <v>1267</v>
      </c>
      <c r="AK14" t="s">
        <v>1268</v>
      </c>
      <c r="AL14" t="s">
        <v>1343</v>
      </c>
      <c r="AM14" t="s">
        <v>1155</v>
      </c>
      <c r="AR14" t="s">
        <v>1261</v>
      </c>
      <c r="AS14" t="s">
        <v>1269</v>
      </c>
      <c r="AT14" t="s">
        <v>1261</v>
      </c>
      <c r="AU14" t="s">
        <v>1261</v>
      </c>
      <c r="AV14" t="s">
        <v>1261</v>
      </c>
      <c r="AW14" t="s">
        <v>1253</v>
      </c>
      <c r="AX14" t="s">
        <v>1253</v>
      </c>
      <c r="BA14">
        <v>46027</v>
      </c>
      <c r="BB14" t="s">
        <v>1253</v>
      </c>
      <c r="BD14" t="s">
        <v>1229</v>
      </c>
      <c r="BE14" t="s">
        <v>1253</v>
      </c>
      <c r="BF14" t="s">
        <v>1253</v>
      </c>
      <c r="BG14" t="s">
        <v>1253</v>
      </c>
      <c r="BH14" t="s">
        <v>1253</v>
      </c>
      <c r="BJ14" t="s">
        <v>1253</v>
      </c>
      <c r="BK14" t="s">
        <v>1271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1151</v>
      </c>
      <c r="B15" t="s">
        <v>1253</v>
      </c>
      <c r="C15" t="s">
        <v>1253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1254</v>
      </c>
      <c r="H15" t="s">
        <v>1254</v>
      </c>
      <c r="J15" t="s">
        <v>1255</v>
      </c>
      <c r="K15" t="s">
        <v>1255</v>
      </c>
      <c r="L15" t="s">
        <v>1255</v>
      </c>
      <c r="S15" t="s">
        <v>1345</v>
      </c>
      <c r="T15" t="s">
        <v>1346</v>
      </c>
      <c r="U15" t="s">
        <v>1347</v>
      </c>
      <c r="V15" t="s">
        <v>1253</v>
      </c>
      <c r="W15" t="s">
        <v>1348</v>
      </c>
      <c r="X15" t="s">
        <v>1260</v>
      </c>
      <c r="Y15" t="s">
        <v>1261</v>
      </c>
      <c r="AA15" t="s">
        <v>1262</v>
      </c>
      <c r="AC15" t="s">
        <v>1349</v>
      </c>
      <c r="AD15" t="s">
        <v>1261</v>
      </c>
      <c r="AF15" t="s">
        <v>1264</v>
      </c>
      <c r="AG15" t="s">
        <v>1265</v>
      </c>
      <c r="AH15">
        <v>14</v>
      </c>
      <c r="AI15" t="s">
        <v>1350</v>
      </c>
      <c r="AJ15" t="s">
        <v>1267</v>
      </c>
      <c r="AK15" t="s">
        <v>1268</v>
      </c>
      <c r="AL15" t="s">
        <v>1349</v>
      </c>
      <c r="AM15" t="s">
        <v>1155</v>
      </c>
      <c r="AR15" t="s">
        <v>1261</v>
      </c>
      <c r="AS15" t="s">
        <v>1269</v>
      </c>
      <c r="AT15" t="s">
        <v>1261</v>
      </c>
      <c r="AU15" t="s">
        <v>1261</v>
      </c>
      <c r="AV15" t="s">
        <v>1261</v>
      </c>
      <c r="AW15" t="s">
        <v>1253</v>
      </c>
      <c r="AX15" t="s">
        <v>1253</v>
      </c>
      <c r="BA15">
        <v>46027</v>
      </c>
      <c r="BB15" t="s">
        <v>1253</v>
      </c>
      <c r="BD15" t="s">
        <v>1229</v>
      </c>
      <c r="BE15" t="s">
        <v>1253</v>
      </c>
      <c r="BF15" t="s">
        <v>1253</v>
      </c>
      <c r="BG15" t="s">
        <v>1253</v>
      </c>
      <c r="BH15" t="s">
        <v>1253</v>
      </c>
      <c r="BJ15" t="s">
        <v>1253</v>
      </c>
      <c r="BK15" t="s">
        <v>1271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1151</v>
      </c>
      <c r="B16" t="s">
        <v>1253</v>
      </c>
      <c r="C16" t="s">
        <v>1253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1254</v>
      </c>
      <c r="H16" t="s">
        <v>1254</v>
      </c>
      <c r="J16" t="s">
        <v>1255</v>
      </c>
      <c r="K16" t="s">
        <v>1255</v>
      </c>
      <c r="L16" t="s">
        <v>1255</v>
      </c>
      <c r="S16" t="s">
        <v>1351</v>
      </c>
      <c r="T16" t="s">
        <v>1352</v>
      </c>
      <c r="U16" t="s">
        <v>1353</v>
      </c>
      <c r="V16" t="s">
        <v>1253</v>
      </c>
      <c r="W16" t="s">
        <v>1354</v>
      </c>
      <c r="X16" t="s">
        <v>1260</v>
      </c>
      <c r="Y16" t="s">
        <v>1261</v>
      </c>
      <c r="AA16" t="s">
        <v>1262</v>
      </c>
      <c r="AC16" t="s">
        <v>1355</v>
      </c>
      <c r="AD16" t="s">
        <v>1261</v>
      </c>
      <c r="AF16" t="s">
        <v>1264</v>
      </c>
      <c r="AG16" t="s">
        <v>1265</v>
      </c>
      <c r="AH16">
        <v>15</v>
      </c>
      <c r="AI16" t="s">
        <v>1356</v>
      </c>
      <c r="AJ16" t="s">
        <v>1267</v>
      </c>
      <c r="AK16" t="s">
        <v>1268</v>
      </c>
      <c r="AL16" t="s">
        <v>1355</v>
      </c>
      <c r="AM16" t="s">
        <v>1155</v>
      </c>
      <c r="AR16" t="s">
        <v>1261</v>
      </c>
      <c r="AS16" t="s">
        <v>1269</v>
      </c>
      <c r="AT16" t="s">
        <v>1261</v>
      </c>
      <c r="AU16" t="s">
        <v>1261</v>
      </c>
      <c r="AV16" t="s">
        <v>1261</v>
      </c>
      <c r="AW16" t="s">
        <v>1253</v>
      </c>
      <c r="AX16" t="s">
        <v>1253</v>
      </c>
      <c r="BA16">
        <v>46027</v>
      </c>
      <c r="BB16" t="s">
        <v>1253</v>
      </c>
      <c r="BD16" t="s">
        <v>1229</v>
      </c>
      <c r="BE16" t="s">
        <v>1253</v>
      </c>
      <c r="BF16" t="s">
        <v>1253</v>
      </c>
      <c r="BG16" t="s">
        <v>1253</v>
      </c>
      <c r="BH16" t="s">
        <v>1253</v>
      </c>
      <c r="BJ16" t="s">
        <v>1253</v>
      </c>
      <c r="BK16" t="s">
        <v>1271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1151</v>
      </c>
      <c r="B17" t="s">
        <v>1253</v>
      </c>
      <c r="C17" t="s">
        <v>1253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1254</v>
      </c>
      <c r="H17" t="s">
        <v>1254</v>
      </c>
      <c r="J17" t="s">
        <v>1255</v>
      </c>
      <c r="K17" t="s">
        <v>1255</v>
      </c>
      <c r="L17" t="s">
        <v>1255</v>
      </c>
      <c r="S17" t="s">
        <v>1357</v>
      </c>
      <c r="T17" t="s">
        <v>1358</v>
      </c>
      <c r="U17" t="s">
        <v>1359</v>
      </c>
      <c r="V17" t="s">
        <v>1253</v>
      </c>
      <c r="W17" t="s">
        <v>1360</v>
      </c>
      <c r="X17" t="s">
        <v>1260</v>
      </c>
      <c r="Y17" t="s">
        <v>1261</v>
      </c>
      <c r="AA17" t="s">
        <v>1262</v>
      </c>
      <c r="AC17" t="s">
        <v>1361</v>
      </c>
      <c r="AD17" t="s">
        <v>1261</v>
      </c>
      <c r="AF17" t="s">
        <v>1264</v>
      </c>
      <c r="AG17" t="s">
        <v>1265</v>
      </c>
      <c r="AH17">
        <v>16</v>
      </c>
      <c r="AI17" t="s">
        <v>1362</v>
      </c>
      <c r="AJ17" t="s">
        <v>1267</v>
      </c>
      <c r="AK17" t="s">
        <v>1268</v>
      </c>
      <c r="AL17" t="s">
        <v>1361</v>
      </c>
      <c r="AM17" t="s">
        <v>1155</v>
      </c>
      <c r="AR17" t="s">
        <v>1261</v>
      </c>
      <c r="AS17" t="s">
        <v>1269</v>
      </c>
      <c r="AT17" t="s">
        <v>1261</v>
      </c>
      <c r="AU17" t="s">
        <v>1261</v>
      </c>
      <c r="AV17" t="s">
        <v>1261</v>
      </c>
      <c r="AW17" t="s">
        <v>1253</v>
      </c>
      <c r="AX17" t="s">
        <v>1253</v>
      </c>
      <c r="BA17">
        <v>46027</v>
      </c>
      <c r="BB17" t="s">
        <v>1253</v>
      </c>
      <c r="BD17" t="s">
        <v>1229</v>
      </c>
      <c r="BE17" t="s">
        <v>1253</v>
      </c>
      <c r="BF17" t="s">
        <v>1253</v>
      </c>
      <c r="BG17" t="s">
        <v>1253</v>
      </c>
      <c r="BH17" t="s">
        <v>1253</v>
      </c>
      <c r="BJ17" t="s">
        <v>1253</v>
      </c>
      <c r="BK17" t="s">
        <v>1271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1151</v>
      </c>
      <c r="B18" t="s">
        <v>1253</v>
      </c>
      <c r="C18" t="s">
        <v>1253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1254</v>
      </c>
      <c r="H18" t="s">
        <v>1254</v>
      </c>
      <c r="J18" t="s">
        <v>1255</v>
      </c>
      <c r="K18" t="s">
        <v>1255</v>
      </c>
      <c r="L18" t="s">
        <v>1255</v>
      </c>
      <c r="S18" t="s">
        <v>1363</v>
      </c>
      <c r="T18" t="s">
        <v>1364</v>
      </c>
      <c r="U18" t="s">
        <v>1365</v>
      </c>
      <c r="V18" t="s">
        <v>1253</v>
      </c>
      <c r="W18" t="s">
        <v>1366</v>
      </c>
      <c r="X18" t="s">
        <v>1260</v>
      </c>
      <c r="Y18" t="s">
        <v>1261</v>
      </c>
      <c r="AA18" t="s">
        <v>1262</v>
      </c>
      <c r="AC18" t="s">
        <v>1367</v>
      </c>
      <c r="AD18" t="s">
        <v>1261</v>
      </c>
      <c r="AF18" t="s">
        <v>1264</v>
      </c>
      <c r="AG18" t="s">
        <v>1265</v>
      </c>
      <c r="AH18">
        <v>17</v>
      </c>
      <c r="AI18" t="s">
        <v>1368</v>
      </c>
      <c r="AJ18" t="s">
        <v>1267</v>
      </c>
      <c r="AK18" t="s">
        <v>1268</v>
      </c>
      <c r="AL18" t="s">
        <v>1367</v>
      </c>
      <c r="AM18" t="s">
        <v>1155</v>
      </c>
      <c r="AR18" t="s">
        <v>1261</v>
      </c>
      <c r="AS18" t="s">
        <v>1269</v>
      </c>
      <c r="AT18" t="s">
        <v>1261</v>
      </c>
      <c r="AU18" t="s">
        <v>1261</v>
      </c>
      <c r="AV18" t="s">
        <v>1261</v>
      </c>
      <c r="AW18" t="s">
        <v>1253</v>
      </c>
      <c r="AX18" t="s">
        <v>1253</v>
      </c>
      <c r="BA18">
        <v>46027</v>
      </c>
      <c r="BB18" t="s">
        <v>1253</v>
      </c>
      <c r="BD18" t="s">
        <v>1229</v>
      </c>
      <c r="BE18" t="s">
        <v>1253</v>
      </c>
      <c r="BF18" t="s">
        <v>1253</v>
      </c>
      <c r="BG18" t="s">
        <v>1253</v>
      </c>
      <c r="BH18" t="s">
        <v>1253</v>
      </c>
      <c r="BJ18" t="s">
        <v>1253</v>
      </c>
      <c r="BK18" t="s">
        <v>1271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1151</v>
      </c>
      <c r="B19" t="s">
        <v>1253</v>
      </c>
      <c r="C19" t="s">
        <v>1253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1254</v>
      </c>
      <c r="H19" t="s">
        <v>1254</v>
      </c>
      <c r="J19" t="s">
        <v>1255</v>
      </c>
      <c r="K19" t="s">
        <v>1255</v>
      </c>
      <c r="L19" t="s">
        <v>1255</v>
      </c>
      <c r="S19" t="s">
        <v>1369</v>
      </c>
      <c r="T19" t="s">
        <v>1370</v>
      </c>
      <c r="U19" t="s">
        <v>1371</v>
      </c>
      <c r="V19" t="s">
        <v>1253</v>
      </c>
      <c r="W19" t="s">
        <v>1372</v>
      </c>
      <c r="X19" t="s">
        <v>1260</v>
      </c>
      <c r="Y19" t="s">
        <v>1261</v>
      </c>
      <c r="AA19" t="s">
        <v>1262</v>
      </c>
      <c r="AC19" t="s">
        <v>1373</v>
      </c>
      <c r="AD19" t="s">
        <v>1261</v>
      </c>
      <c r="AF19" t="s">
        <v>1264</v>
      </c>
      <c r="AG19" t="s">
        <v>1265</v>
      </c>
      <c r="AH19">
        <v>18</v>
      </c>
      <c r="AI19" t="s">
        <v>1374</v>
      </c>
      <c r="AJ19" t="s">
        <v>1267</v>
      </c>
      <c r="AK19" t="s">
        <v>1268</v>
      </c>
      <c r="AL19" t="s">
        <v>1373</v>
      </c>
      <c r="AM19" t="s">
        <v>1155</v>
      </c>
      <c r="AR19" t="s">
        <v>1261</v>
      </c>
      <c r="AS19" t="s">
        <v>1269</v>
      </c>
      <c r="AT19" t="s">
        <v>1261</v>
      </c>
      <c r="AU19" t="s">
        <v>1261</v>
      </c>
      <c r="AV19" t="s">
        <v>1261</v>
      </c>
      <c r="AW19" t="s">
        <v>1253</v>
      </c>
      <c r="AX19" t="s">
        <v>1253</v>
      </c>
      <c r="BA19">
        <v>46027</v>
      </c>
      <c r="BB19" t="s">
        <v>1253</v>
      </c>
      <c r="BD19" t="s">
        <v>1229</v>
      </c>
      <c r="BE19" t="s">
        <v>1253</v>
      </c>
      <c r="BF19" t="s">
        <v>1253</v>
      </c>
      <c r="BG19" t="s">
        <v>1253</v>
      </c>
      <c r="BH19" t="s">
        <v>1253</v>
      </c>
      <c r="BJ19" t="s">
        <v>1253</v>
      </c>
      <c r="BK19" t="s">
        <v>1271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1151</v>
      </c>
      <c r="B20" t="s">
        <v>1253</v>
      </c>
      <c r="C20" t="s">
        <v>1253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1254</v>
      </c>
      <c r="H20" t="s">
        <v>1254</v>
      </c>
      <c r="J20" t="s">
        <v>1255</v>
      </c>
      <c r="K20" t="s">
        <v>1255</v>
      </c>
      <c r="L20" t="s">
        <v>1255</v>
      </c>
      <c r="S20" t="s">
        <v>1375</v>
      </c>
      <c r="T20" t="s">
        <v>1376</v>
      </c>
      <c r="U20" t="s">
        <v>1377</v>
      </c>
      <c r="V20" t="s">
        <v>1253</v>
      </c>
      <c r="W20" t="s">
        <v>1378</v>
      </c>
      <c r="X20" t="s">
        <v>1260</v>
      </c>
      <c r="Y20" t="s">
        <v>1261</v>
      </c>
      <c r="AA20" t="s">
        <v>1262</v>
      </c>
      <c r="AC20" t="s">
        <v>1379</v>
      </c>
      <c r="AD20" t="s">
        <v>1261</v>
      </c>
      <c r="AF20" t="s">
        <v>1264</v>
      </c>
      <c r="AG20" t="s">
        <v>1265</v>
      </c>
      <c r="AH20">
        <v>19</v>
      </c>
      <c r="AI20" t="s">
        <v>1380</v>
      </c>
      <c r="AJ20" t="s">
        <v>1267</v>
      </c>
      <c r="AK20" t="s">
        <v>1268</v>
      </c>
      <c r="AL20" t="s">
        <v>1379</v>
      </c>
      <c r="AM20" t="s">
        <v>1155</v>
      </c>
      <c r="AR20" t="s">
        <v>1261</v>
      </c>
      <c r="AS20" t="s">
        <v>1269</v>
      </c>
      <c r="AT20" t="s">
        <v>1261</v>
      </c>
      <c r="AU20" t="s">
        <v>1261</v>
      </c>
      <c r="AV20" t="s">
        <v>1261</v>
      </c>
      <c r="AW20" t="s">
        <v>1253</v>
      </c>
      <c r="AX20" t="s">
        <v>1253</v>
      </c>
      <c r="BA20">
        <v>46027</v>
      </c>
      <c r="BB20" t="s">
        <v>1253</v>
      </c>
      <c r="BD20" t="s">
        <v>1229</v>
      </c>
      <c r="BE20" t="s">
        <v>1253</v>
      </c>
      <c r="BF20" t="s">
        <v>1253</v>
      </c>
      <c r="BG20" t="s">
        <v>1253</v>
      </c>
      <c r="BH20" t="s">
        <v>1253</v>
      </c>
      <c r="BJ20" t="s">
        <v>1253</v>
      </c>
      <c r="BK20" t="s">
        <v>1271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1151</v>
      </c>
      <c r="B21" t="s">
        <v>1253</v>
      </c>
      <c r="C21" t="s">
        <v>1253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1254</v>
      </c>
      <c r="H21" t="s">
        <v>1254</v>
      </c>
      <c r="J21" t="s">
        <v>1255</v>
      </c>
      <c r="K21" t="s">
        <v>1255</v>
      </c>
      <c r="L21" t="s">
        <v>1255</v>
      </c>
      <c r="S21" t="s">
        <v>1381</v>
      </c>
      <c r="T21" t="s">
        <v>1382</v>
      </c>
      <c r="U21" t="s">
        <v>1383</v>
      </c>
      <c r="V21" t="s">
        <v>1253</v>
      </c>
      <c r="W21" t="s">
        <v>1384</v>
      </c>
      <c r="X21" t="s">
        <v>1260</v>
      </c>
      <c r="Y21" t="s">
        <v>1261</v>
      </c>
      <c r="AA21" t="s">
        <v>1262</v>
      </c>
      <c r="AC21" t="s">
        <v>1385</v>
      </c>
      <c r="AD21" t="s">
        <v>1261</v>
      </c>
      <c r="AF21" t="s">
        <v>1264</v>
      </c>
      <c r="AG21" t="s">
        <v>1265</v>
      </c>
      <c r="AH21">
        <v>20</v>
      </c>
      <c r="AI21" t="s">
        <v>1386</v>
      </c>
      <c r="AJ21" t="s">
        <v>1267</v>
      </c>
      <c r="AK21" t="s">
        <v>1268</v>
      </c>
      <c r="AL21" t="s">
        <v>1385</v>
      </c>
      <c r="AM21" t="s">
        <v>1155</v>
      </c>
      <c r="AR21" t="s">
        <v>1261</v>
      </c>
      <c r="AS21" t="s">
        <v>1269</v>
      </c>
      <c r="AT21" t="s">
        <v>1261</v>
      </c>
      <c r="AU21" t="s">
        <v>1261</v>
      </c>
      <c r="AV21" t="s">
        <v>1261</v>
      </c>
      <c r="AW21" t="s">
        <v>1253</v>
      </c>
      <c r="AX21" t="s">
        <v>1253</v>
      </c>
      <c r="BA21">
        <v>46027</v>
      </c>
      <c r="BB21" t="s">
        <v>1253</v>
      </c>
      <c r="BD21" t="s">
        <v>1229</v>
      </c>
      <c r="BE21" t="s">
        <v>1253</v>
      </c>
      <c r="BF21" t="s">
        <v>1253</v>
      </c>
      <c r="BG21" t="s">
        <v>1253</v>
      </c>
      <c r="BH21" t="s">
        <v>1253</v>
      </c>
      <c r="BJ21" t="s">
        <v>1253</v>
      </c>
      <c r="BK21" t="s">
        <v>1271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1151</v>
      </c>
      <c r="B22" t="s">
        <v>1253</v>
      </c>
      <c r="C22" t="s">
        <v>1253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1254</v>
      </c>
      <c r="H22" t="s">
        <v>1254</v>
      </c>
      <c r="J22" t="s">
        <v>1255</v>
      </c>
      <c r="K22" t="s">
        <v>1255</v>
      </c>
      <c r="L22" t="s">
        <v>1255</v>
      </c>
      <c r="S22" t="s">
        <v>1387</v>
      </c>
      <c r="T22" t="s">
        <v>1388</v>
      </c>
      <c r="U22" t="s">
        <v>1389</v>
      </c>
      <c r="V22" t="s">
        <v>1253</v>
      </c>
      <c r="W22" t="s">
        <v>1390</v>
      </c>
      <c r="X22" t="s">
        <v>1260</v>
      </c>
      <c r="Y22" t="s">
        <v>1261</v>
      </c>
      <c r="AA22" t="s">
        <v>1262</v>
      </c>
      <c r="AC22" t="s">
        <v>1391</v>
      </c>
      <c r="AD22" t="s">
        <v>1261</v>
      </c>
      <c r="AF22" t="s">
        <v>1264</v>
      </c>
      <c r="AG22" t="s">
        <v>1265</v>
      </c>
      <c r="AH22">
        <v>21</v>
      </c>
      <c r="AI22" t="s">
        <v>1392</v>
      </c>
      <c r="AJ22" t="s">
        <v>1267</v>
      </c>
      <c r="AK22" t="s">
        <v>1268</v>
      </c>
      <c r="AL22" t="s">
        <v>1391</v>
      </c>
      <c r="AM22" t="s">
        <v>1155</v>
      </c>
      <c r="AR22" t="s">
        <v>1261</v>
      </c>
      <c r="AS22" t="s">
        <v>1269</v>
      </c>
      <c r="AT22" t="s">
        <v>1261</v>
      </c>
      <c r="AU22" t="s">
        <v>1261</v>
      </c>
      <c r="AV22" t="s">
        <v>1261</v>
      </c>
      <c r="AW22" t="s">
        <v>1253</v>
      </c>
      <c r="AX22" t="s">
        <v>1253</v>
      </c>
      <c r="BA22">
        <v>46027</v>
      </c>
      <c r="BB22" t="s">
        <v>1253</v>
      </c>
      <c r="BD22" t="s">
        <v>1229</v>
      </c>
      <c r="BE22" t="s">
        <v>1253</v>
      </c>
      <c r="BF22" t="s">
        <v>1253</v>
      </c>
      <c r="BG22" t="s">
        <v>1253</v>
      </c>
      <c r="BH22" t="s">
        <v>1253</v>
      </c>
      <c r="BJ22" t="s">
        <v>1253</v>
      </c>
      <c r="BK22" t="s">
        <v>1271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1151</v>
      </c>
      <c r="B23" t="s">
        <v>1253</v>
      </c>
      <c r="C23" t="s">
        <v>1253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1254</v>
      </c>
      <c r="H23" t="s">
        <v>1254</v>
      </c>
      <c r="J23" t="s">
        <v>1255</v>
      </c>
      <c r="K23" t="s">
        <v>1255</v>
      </c>
      <c r="L23" t="s">
        <v>1255</v>
      </c>
      <c r="S23" t="s">
        <v>1393</v>
      </c>
      <c r="T23" t="s">
        <v>1394</v>
      </c>
      <c r="U23" t="s">
        <v>1395</v>
      </c>
      <c r="V23" t="s">
        <v>1253</v>
      </c>
      <c r="W23" t="s">
        <v>1396</v>
      </c>
      <c r="X23" t="s">
        <v>1260</v>
      </c>
      <c r="Y23" t="s">
        <v>1261</v>
      </c>
      <c r="AA23" t="s">
        <v>1262</v>
      </c>
      <c r="AC23" t="s">
        <v>1397</v>
      </c>
      <c r="AD23" t="s">
        <v>1261</v>
      </c>
      <c r="AF23" t="s">
        <v>1264</v>
      </c>
      <c r="AG23" t="s">
        <v>1265</v>
      </c>
      <c r="AH23">
        <v>22</v>
      </c>
      <c r="AI23" t="s">
        <v>1398</v>
      </c>
      <c r="AJ23" t="s">
        <v>1267</v>
      </c>
      <c r="AK23" t="s">
        <v>1268</v>
      </c>
      <c r="AL23" t="s">
        <v>1397</v>
      </c>
      <c r="AM23" t="s">
        <v>1155</v>
      </c>
      <c r="AR23" t="s">
        <v>1261</v>
      </c>
      <c r="AS23" t="s">
        <v>1269</v>
      </c>
      <c r="AT23" t="s">
        <v>1261</v>
      </c>
      <c r="AU23" t="s">
        <v>1261</v>
      </c>
      <c r="AV23" t="s">
        <v>1261</v>
      </c>
      <c r="AW23" t="s">
        <v>1253</v>
      </c>
      <c r="AX23" t="s">
        <v>1253</v>
      </c>
      <c r="BA23">
        <v>46027</v>
      </c>
      <c r="BB23" t="s">
        <v>1253</v>
      </c>
      <c r="BD23" t="s">
        <v>1229</v>
      </c>
      <c r="BE23" t="s">
        <v>1253</v>
      </c>
      <c r="BF23" t="s">
        <v>1253</v>
      </c>
      <c r="BG23" t="s">
        <v>1253</v>
      </c>
      <c r="BH23" t="s">
        <v>1253</v>
      </c>
      <c r="BJ23" t="s">
        <v>1253</v>
      </c>
      <c r="BK23" t="s">
        <v>1271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1151</v>
      </c>
      <c r="B24" t="s">
        <v>1253</v>
      </c>
      <c r="C24" t="s">
        <v>1253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1254</v>
      </c>
      <c r="H24" t="s">
        <v>1254</v>
      </c>
      <c r="J24" t="s">
        <v>1255</v>
      </c>
      <c r="K24" t="s">
        <v>1255</v>
      </c>
      <c r="L24" t="s">
        <v>1255</v>
      </c>
      <c r="S24" t="s">
        <v>1399</v>
      </c>
      <c r="T24" t="s">
        <v>1400</v>
      </c>
      <c r="U24" t="s">
        <v>1401</v>
      </c>
      <c r="V24" t="s">
        <v>1253</v>
      </c>
      <c r="W24" t="s">
        <v>1402</v>
      </c>
      <c r="X24" t="s">
        <v>1260</v>
      </c>
      <c r="Y24" t="s">
        <v>1261</v>
      </c>
      <c r="AA24" t="s">
        <v>1262</v>
      </c>
      <c r="AC24" t="s">
        <v>1403</v>
      </c>
      <c r="AD24" t="s">
        <v>1261</v>
      </c>
      <c r="AF24" t="s">
        <v>1264</v>
      </c>
      <c r="AG24" t="s">
        <v>1265</v>
      </c>
      <c r="AH24">
        <v>23</v>
      </c>
      <c r="AI24" t="s">
        <v>1404</v>
      </c>
      <c r="AJ24" t="s">
        <v>1267</v>
      </c>
      <c r="AK24" t="s">
        <v>1268</v>
      </c>
      <c r="AL24" t="s">
        <v>1403</v>
      </c>
      <c r="AM24" t="s">
        <v>1155</v>
      </c>
      <c r="AR24" t="s">
        <v>1261</v>
      </c>
      <c r="AS24" t="s">
        <v>1269</v>
      </c>
      <c r="AT24" t="s">
        <v>1261</v>
      </c>
      <c r="AU24" t="s">
        <v>1261</v>
      </c>
      <c r="AV24" t="s">
        <v>1261</v>
      </c>
      <c r="AW24" t="s">
        <v>1253</v>
      </c>
      <c r="AX24" t="s">
        <v>1253</v>
      </c>
      <c r="BA24">
        <v>46027</v>
      </c>
      <c r="BB24" t="s">
        <v>1253</v>
      </c>
      <c r="BD24" t="s">
        <v>1229</v>
      </c>
      <c r="BE24" t="s">
        <v>1253</v>
      </c>
      <c r="BF24" t="s">
        <v>1253</v>
      </c>
      <c r="BG24" t="s">
        <v>1253</v>
      </c>
      <c r="BH24" t="s">
        <v>1253</v>
      </c>
      <c r="BJ24" t="s">
        <v>1253</v>
      </c>
      <c r="BK24" t="s">
        <v>1271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1151</v>
      </c>
      <c r="B25" t="s">
        <v>1253</v>
      </c>
      <c r="C25" t="s">
        <v>1253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1254</v>
      </c>
      <c r="H25" t="s">
        <v>1254</v>
      </c>
      <c r="J25" t="s">
        <v>1255</v>
      </c>
      <c r="K25" t="s">
        <v>1255</v>
      </c>
      <c r="L25" t="s">
        <v>1255</v>
      </c>
      <c r="S25" t="s">
        <v>1405</v>
      </c>
      <c r="T25" t="s">
        <v>1406</v>
      </c>
      <c r="U25" t="s">
        <v>1407</v>
      </c>
      <c r="V25" t="s">
        <v>1253</v>
      </c>
      <c r="W25" t="s">
        <v>1408</v>
      </c>
      <c r="X25" t="s">
        <v>1260</v>
      </c>
      <c r="Y25" t="s">
        <v>1261</v>
      </c>
      <c r="AA25" t="s">
        <v>1262</v>
      </c>
      <c r="AC25" t="s">
        <v>1409</v>
      </c>
      <c r="AD25" t="s">
        <v>1261</v>
      </c>
      <c r="AF25" t="s">
        <v>1264</v>
      </c>
      <c r="AG25" t="s">
        <v>1265</v>
      </c>
      <c r="AH25">
        <v>24</v>
      </c>
      <c r="AI25" t="s">
        <v>1410</v>
      </c>
      <c r="AJ25" t="s">
        <v>1267</v>
      </c>
      <c r="AK25" t="s">
        <v>1268</v>
      </c>
      <c r="AL25" t="s">
        <v>1409</v>
      </c>
      <c r="AM25" t="s">
        <v>1155</v>
      </c>
      <c r="AR25" t="s">
        <v>1261</v>
      </c>
      <c r="AS25" t="s">
        <v>1269</v>
      </c>
      <c r="AT25" t="s">
        <v>1261</v>
      </c>
      <c r="AU25" t="s">
        <v>1261</v>
      </c>
      <c r="AV25" t="s">
        <v>1261</v>
      </c>
      <c r="AW25" t="s">
        <v>1253</v>
      </c>
      <c r="AX25" t="s">
        <v>1253</v>
      </c>
      <c r="BA25">
        <v>46027</v>
      </c>
      <c r="BB25" t="s">
        <v>1253</v>
      </c>
      <c r="BD25" t="s">
        <v>1229</v>
      </c>
      <c r="BE25" t="s">
        <v>1253</v>
      </c>
      <c r="BF25" t="s">
        <v>1253</v>
      </c>
      <c r="BG25" t="s">
        <v>1253</v>
      </c>
      <c r="BH25" t="s">
        <v>1253</v>
      </c>
      <c r="BJ25" t="s">
        <v>1253</v>
      </c>
      <c r="BK25" t="s">
        <v>1271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1151</v>
      </c>
      <c r="B26" t="s">
        <v>1253</v>
      </c>
      <c r="C26" t="s">
        <v>1253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1254</v>
      </c>
      <c r="H26" t="s">
        <v>1254</v>
      </c>
      <c r="J26" t="s">
        <v>1255</v>
      </c>
      <c r="K26" t="s">
        <v>1255</v>
      </c>
      <c r="L26" t="s">
        <v>1255</v>
      </c>
      <c r="S26" t="s">
        <v>1411</v>
      </c>
      <c r="T26" t="s">
        <v>1412</v>
      </c>
      <c r="U26" t="s">
        <v>1413</v>
      </c>
      <c r="V26" t="s">
        <v>1253</v>
      </c>
      <c r="W26" t="s">
        <v>1414</v>
      </c>
      <c r="X26" t="s">
        <v>1260</v>
      </c>
      <c r="Y26" t="s">
        <v>1261</v>
      </c>
      <c r="AA26" t="s">
        <v>1262</v>
      </c>
      <c r="AC26" t="s">
        <v>1415</v>
      </c>
      <c r="AD26" t="s">
        <v>1261</v>
      </c>
      <c r="AF26" t="s">
        <v>1264</v>
      </c>
      <c r="AG26" t="s">
        <v>1265</v>
      </c>
      <c r="AH26">
        <v>25</v>
      </c>
      <c r="AI26" t="s">
        <v>1416</v>
      </c>
      <c r="AJ26" t="s">
        <v>1267</v>
      </c>
      <c r="AK26" t="s">
        <v>1268</v>
      </c>
      <c r="AL26" t="s">
        <v>1415</v>
      </c>
      <c r="AM26" t="s">
        <v>1155</v>
      </c>
      <c r="AR26" t="s">
        <v>1261</v>
      </c>
      <c r="AS26" t="s">
        <v>1269</v>
      </c>
      <c r="AT26" t="s">
        <v>1261</v>
      </c>
      <c r="AU26" t="s">
        <v>1261</v>
      </c>
      <c r="AV26" t="s">
        <v>1261</v>
      </c>
      <c r="AW26" t="s">
        <v>1253</v>
      </c>
      <c r="AX26" t="s">
        <v>1253</v>
      </c>
      <c r="BA26">
        <v>46027</v>
      </c>
      <c r="BB26" t="s">
        <v>1253</v>
      </c>
      <c r="BD26" t="s">
        <v>1229</v>
      </c>
      <c r="BE26" t="s">
        <v>1253</v>
      </c>
      <c r="BF26" t="s">
        <v>1253</v>
      </c>
      <c r="BG26" t="s">
        <v>1253</v>
      </c>
      <c r="BH26" t="s">
        <v>1253</v>
      </c>
      <c r="BJ26" t="s">
        <v>1253</v>
      </c>
      <c r="BK26" t="s">
        <v>1271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1151</v>
      </c>
      <c r="B27" t="s">
        <v>1253</v>
      </c>
      <c r="C27" t="s">
        <v>1271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1254</v>
      </c>
      <c r="H27" t="s">
        <v>1254</v>
      </c>
      <c r="J27" t="s">
        <v>1255</v>
      </c>
      <c r="K27" t="s">
        <v>1255</v>
      </c>
      <c r="L27" t="s">
        <v>1255</v>
      </c>
      <c r="S27" t="s">
        <v>1417</v>
      </c>
      <c r="T27" t="s">
        <v>1418</v>
      </c>
      <c r="U27" t="s">
        <v>1419</v>
      </c>
      <c r="V27" t="s">
        <v>1253</v>
      </c>
      <c r="W27" t="s">
        <v>1420</v>
      </c>
      <c r="X27" t="s">
        <v>1260</v>
      </c>
      <c r="Y27" t="s">
        <v>1261</v>
      </c>
      <c r="AA27" t="s">
        <v>1262</v>
      </c>
      <c r="AD27" t="s">
        <v>1261</v>
      </c>
      <c r="AW27" t="s">
        <v>1253</v>
      </c>
      <c r="AX27" t="s">
        <v>1253</v>
      </c>
      <c r="BA27">
        <v>46027</v>
      </c>
      <c r="BB27" t="s">
        <v>1253</v>
      </c>
      <c r="BD27" t="s">
        <v>1229</v>
      </c>
      <c r="BE27" t="s">
        <v>1253</v>
      </c>
      <c r="BF27" t="s">
        <v>1253</v>
      </c>
      <c r="BG27" t="s">
        <v>1253</v>
      </c>
      <c r="BH27" t="s">
        <v>1253</v>
      </c>
      <c r="BJ27" t="s">
        <v>1253</v>
      </c>
      <c r="BK27" t="s">
        <v>1271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1151</v>
      </c>
      <c r="B28" t="s">
        <v>1253</v>
      </c>
      <c r="C28" t="s">
        <v>1271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1254</v>
      </c>
      <c r="H28" t="s">
        <v>1254</v>
      </c>
      <c r="J28" t="s">
        <v>1255</v>
      </c>
      <c r="K28" t="s">
        <v>1255</v>
      </c>
      <c r="L28" t="s">
        <v>1255</v>
      </c>
      <c r="S28" t="s">
        <v>1421</v>
      </c>
      <c r="T28" t="s">
        <v>1422</v>
      </c>
      <c r="U28" t="s">
        <v>1423</v>
      </c>
      <c r="V28" t="s">
        <v>1253</v>
      </c>
      <c r="W28" t="s">
        <v>1424</v>
      </c>
      <c r="X28" t="s">
        <v>1260</v>
      </c>
      <c r="Y28" t="s">
        <v>1261</v>
      </c>
      <c r="AA28" t="s">
        <v>1262</v>
      </c>
      <c r="AD28" t="s">
        <v>1261</v>
      </c>
      <c r="AW28" t="s">
        <v>1253</v>
      </c>
      <c r="AX28" t="s">
        <v>1253</v>
      </c>
      <c r="BA28">
        <v>46027</v>
      </c>
      <c r="BB28" t="s">
        <v>1253</v>
      </c>
      <c r="BD28" t="s">
        <v>1229</v>
      </c>
      <c r="BE28" t="s">
        <v>1253</v>
      </c>
      <c r="BF28" t="s">
        <v>1253</v>
      </c>
      <c r="BG28" t="s">
        <v>1253</v>
      </c>
      <c r="BH28" t="s">
        <v>1253</v>
      </c>
      <c r="BJ28" t="s">
        <v>1253</v>
      </c>
      <c r="BK28" t="s">
        <v>1271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1151</v>
      </c>
      <c r="B29" t="s">
        <v>1253</v>
      </c>
      <c r="C29" t="s">
        <v>1271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1254</v>
      </c>
      <c r="H29" t="s">
        <v>1254</v>
      </c>
      <c r="J29" t="s">
        <v>1255</v>
      </c>
      <c r="K29" t="s">
        <v>1255</v>
      </c>
      <c r="L29" t="s">
        <v>1255</v>
      </c>
      <c r="S29" t="s">
        <v>1425</v>
      </c>
      <c r="T29" t="s">
        <v>1426</v>
      </c>
      <c r="U29" t="s">
        <v>1427</v>
      </c>
      <c r="V29" t="s">
        <v>1253</v>
      </c>
      <c r="W29" t="s">
        <v>1428</v>
      </c>
      <c r="X29" t="s">
        <v>1260</v>
      </c>
      <c r="Y29" t="s">
        <v>1261</v>
      </c>
      <c r="AA29" t="s">
        <v>1262</v>
      </c>
      <c r="AD29" t="s">
        <v>1261</v>
      </c>
      <c r="AW29" t="s">
        <v>1253</v>
      </c>
      <c r="AX29" t="s">
        <v>1253</v>
      </c>
      <c r="BA29">
        <v>46027</v>
      </c>
      <c r="BB29" t="s">
        <v>1253</v>
      </c>
      <c r="BD29" t="s">
        <v>1229</v>
      </c>
      <c r="BE29" t="s">
        <v>1253</v>
      </c>
      <c r="BF29" t="s">
        <v>1253</v>
      </c>
      <c r="BG29" t="s">
        <v>1253</v>
      </c>
      <c r="BH29" t="s">
        <v>1253</v>
      </c>
      <c r="BJ29" t="s">
        <v>1253</v>
      </c>
      <c r="BK29" t="s">
        <v>1271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1151</v>
      </c>
      <c r="B30" t="s">
        <v>1271</v>
      </c>
      <c r="C30" t="s">
        <v>1271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1137</v>
      </c>
      <c r="H30" t="s">
        <v>1254</v>
      </c>
      <c r="S30" t="s">
        <v>1429</v>
      </c>
      <c r="T30" t="s">
        <v>1430</v>
      </c>
      <c r="U30" t="s">
        <v>1431</v>
      </c>
      <c r="V30" t="s">
        <v>1253</v>
      </c>
      <c r="W30" t="s">
        <v>1432</v>
      </c>
      <c r="X30" t="s">
        <v>1260</v>
      </c>
      <c r="Y30" t="s">
        <v>1261</v>
      </c>
      <c r="AD30" t="s">
        <v>1261</v>
      </c>
      <c r="AW30" t="s">
        <v>1253</v>
      </c>
      <c r="AX30" t="s">
        <v>1253</v>
      </c>
      <c r="BA30">
        <v>46027</v>
      </c>
      <c r="BB30" t="s">
        <v>1253</v>
      </c>
      <c r="BC30" t="s">
        <v>1433</v>
      </c>
      <c r="BD30" t="s">
        <v>1229</v>
      </c>
      <c r="BE30" t="s">
        <v>1253</v>
      </c>
      <c r="BF30" t="s">
        <v>1253</v>
      </c>
      <c r="BG30" t="s">
        <v>1253</v>
      </c>
      <c r="BH30" t="s">
        <v>1253</v>
      </c>
      <c r="BJ30" t="s">
        <v>1253</v>
      </c>
      <c r="BK30" t="s">
        <v>1271</v>
      </c>
      <c r="BL30" t="str">
        <f t="shared" si="3"/>
        <v>Epic Beans Relay</v>
      </c>
      <c r="BM30" t="str">
        <f t="shared" si="4"/>
        <v>Blocked</v>
      </c>
      <c r="BN30" t="s">
        <v>1434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1151</v>
      </c>
      <c r="B31" t="s">
        <v>1271</v>
      </c>
      <c r="C31" t="s">
        <v>1271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1137</v>
      </c>
      <c r="H31" t="s">
        <v>1254</v>
      </c>
      <c r="S31" t="s">
        <v>1435</v>
      </c>
      <c r="T31" t="s">
        <v>1436</v>
      </c>
      <c r="U31" t="s">
        <v>1437</v>
      </c>
      <c r="V31" t="s">
        <v>1253</v>
      </c>
      <c r="W31" t="s">
        <v>1438</v>
      </c>
      <c r="X31" t="s">
        <v>1260</v>
      </c>
      <c r="Y31" t="s">
        <v>1261</v>
      </c>
      <c r="AD31" t="s">
        <v>1261</v>
      </c>
      <c r="AW31" t="s">
        <v>1253</v>
      </c>
      <c r="AX31" t="s">
        <v>1253</v>
      </c>
      <c r="BA31">
        <v>46027</v>
      </c>
      <c r="BB31" t="s">
        <v>1253</v>
      </c>
      <c r="BC31" t="s">
        <v>1433</v>
      </c>
      <c r="BD31" t="s">
        <v>1229</v>
      </c>
      <c r="BE31" t="s">
        <v>1253</v>
      </c>
      <c r="BF31" t="s">
        <v>1253</v>
      </c>
      <c r="BG31" t="s">
        <v>1253</v>
      </c>
      <c r="BH31" t="s">
        <v>1253</v>
      </c>
      <c r="BJ31" t="s">
        <v>1253</v>
      </c>
      <c r="BK31" t="s">
        <v>1271</v>
      </c>
      <c r="BL31" t="str">
        <f t="shared" si="3"/>
        <v>Epic Beans Relay</v>
      </c>
      <c r="BM31" t="str">
        <f t="shared" si="4"/>
        <v>Blocked</v>
      </c>
      <c r="BN31" t="s">
        <v>1439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1151</v>
      </c>
      <c r="B32" t="s">
        <v>1271</v>
      </c>
      <c r="C32" t="s">
        <v>1271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1137</v>
      </c>
      <c r="H32" t="s">
        <v>1254</v>
      </c>
      <c r="S32" t="s">
        <v>1440</v>
      </c>
      <c r="T32" t="s">
        <v>1441</v>
      </c>
      <c r="U32" t="s">
        <v>1442</v>
      </c>
      <c r="V32" t="s">
        <v>1253</v>
      </c>
      <c r="W32" t="s">
        <v>1443</v>
      </c>
      <c r="X32" t="s">
        <v>1260</v>
      </c>
      <c r="Y32" t="s">
        <v>1261</v>
      </c>
      <c r="AD32" t="s">
        <v>1261</v>
      </c>
      <c r="AW32" t="s">
        <v>1253</v>
      </c>
      <c r="AX32" t="s">
        <v>1253</v>
      </c>
      <c r="BA32">
        <v>46027</v>
      </c>
      <c r="BB32" t="s">
        <v>1253</v>
      </c>
      <c r="BC32" t="s">
        <v>1433</v>
      </c>
      <c r="BD32" t="s">
        <v>1229</v>
      </c>
      <c r="BE32" t="s">
        <v>1253</v>
      </c>
      <c r="BF32" t="s">
        <v>1253</v>
      </c>
      <c r="BG32" t="s">
        <v>1253</v>
      </c>
      <c r="BH32" t="s">
        <v>1253</v>
      </c>
      <c r="BJ32" t="s">
        <v>1253</v>
      </c>
      <c r="BK32" t="s">
        <v>1271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1151</v>
      </c>
      <c r="B33" t="s">
        <v>1271</v>
      </c>
      <c r="C33" t="s">
        <v>1271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1137</v>
      </c>
      <c r="H33" t="s">
        <v>1254</v>
      </c>
      <c r="S33" t="s">
        <v>1444</v>
      </c>
      <c r="T33" t="s">
        <v>1445</v>
      </c>
      <c r="U33" t="s">
        <v>1446</v>
      </c>
      <c r="V33" t="s">
        <v>1253</v>
      </c>
      <c r="W33" t="s">
        <v>1447</v>
      </c>
      <c r="X33" t="s">
        <v>1260</v>
      </c>
      <c r="Y33" t="s">
        <v>1261</v>
      </c>
      <c r="AD33" t="s">
        <v>1261</v>
      </c>
      <c r="AW33" t="s">
        <v>1253</v>
      </c>
      <c r="AX33" t="s">
        <v>1253</v>
      </c>
      <c r="BA33">
        <v>46027</v>
      </c>
      <c r="BB33" t="s">
        <v>1253</v>
      </c>
      <c r="BC33" t="s">
        <v>1433</v>
      </c>
      <c r="BD33" t="s">
        <v>1229</v>
      </c>
      <c r="BE33" t="s">
        <v>1253</v>
      </c>
      <c r="BF33" t="s">
        <v>1253</v>
      </c>
      <c r="BG33" t="s">
        <v>1253</v>
      </c>
      <c r="BH33" t="s">
        <v>1253</v>
      </c>
      <c r="BJ33" t="s">
        <v>1253</v>
      </c>
      <c r="BK33" t="s">
        <v>1271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1151</v>
      </c>
      <c r="B34" t="s">
        <v>1253</v>
      </c>
      <c r="C34" t="s">
        <v>1271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1448</v>
      </c>
      <c r="H34" t="s">
        <v>1448</v>
      </c>
      <c r="J34" t="s">
        <v>1255</v>
      </c>
      <c r="K34" t="s">
        <v>1255</v>
      </c>
      <c r="L34" t="s">
        <v>1255</v>
      </c>
      <c r="S34" t="s">
        <v>1449</v>
      </c>
      <c r="T34" t="s">
        <v>1450</v>
      </c>
      <c r="U34" t="s">
        <v>1451</v>
      </c>
      <c r="V34" t="s">
        <v>1253</v>
      </c>
      <c r="W34" t="s">
        <v>1452</v>
      </c>
      <c r="X34" t="s">
        <v>1260</v>
      </c>
      <c r="Y34" t="s">
        <v>1261</v>
      </c>
      <c r="Z34" t="s">
        <v>1261</v>
      </c>
      <c r="AA34" t="s">
        <v>1453</v>
      </c>
      <c r="AC34" t="s">
        <v>1261</v>
      </c>
      <c r="AD34" t="s">
        <v>1454</v>
      </c>
      <c r="AF34" t="s">
        <v>1455</v>
      </c>
      <c r="AG34" t="s">
        <v>1456</v>
      </c>
      <c r="AH34" t="s">
        <v>1457</v>
      </c>
      <c r="AJ34" t="s">
        <v>1458</v>
      </c>
      <c r="AK34" t="s">
        <v>1459</v>
      </c>
      <c r="AL34" t="s">
        <v>1454</v>
      </c>
      <c r="AM34" t="s">
        <v>1155</v>
      </c>
      <c r="AN34" t="s">
        <v>1127</v>
      </c>
      <c r="AR34" t="s">
        <v>1460</v>
      </c>
      <c r="AS34" t="s">
        <v>1461</v>
      </c>
      <c r="AW34" t="s">
        <v>1253</v>
      </c>
      <c r="AX34" t="s">
        <v>1253</v>
      </c>
      <c r="BA34">
        <v>46030</v>
      </c>
      <c r="BB34" t="s">
        <v>1253</v>
      </c>
      <c r="BC34" t="s">
        <v>1448</v>
      </c>
      <c r="BD34" t="s">
        <v>1229</v>
      </c>
      <c r="BE34" t="s">
        <v>1253</v>
      </c>
      <c r="BF34" t="s">
        <v>1253</v>
      </c>
      <c r="BG34" t="s">
        <v>1253</v>
      </c>
      <c r="BH34" t="s">
        <v>1253</v>
      </c>
      <c r="BJ34" t="s">
        <v>1253</v>
      </c>
      <c r="BK34" t="s">
        <v>1271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1462</v>
      </c>
      <c r="B35" t="s">
        <v>1253</v>
      </c>
      <c r="C35" t="s">
        <v>1271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1448</v>
      </c>
      <c r="H35" t="s">
        <v>1448</v>
      </c>
      <c r="I35" t="s">
        <v>1463</v>
      </c>
      <c r="R35" t="s">
        <v>1464</v>
      </c>
      <c r="S35" t="s">
        <v>1261</v>
      </c>
      <c r="T35" t="s">
        <v>1261</v>
      </c>
      <c r="U35" t="s">
        <v>1261</v>
      </c>
      <c r="V35" t="s">
        <v>1261</v>
      </c>
      <c r="W35" t="s">
        <v>1261</v>
      </c>
      <c r="X35" t="s">
        <v>1261</v>
      </c>
      <c r="Y35" t="s">
        <v>1465</v>
      </c>
      <c r="Z35" t="s">
        <v>1466</v>
      </c>
      <c r="AA35" t="s">
        <v>1453</v>
      </c>
      <c r="AC35" t="s">
        <v>1261</v>
      </c>
      <c r="AD35" t="s">
        <v>1467</v>
      </c>
      <c r="AF35" t="s">
        <v>1455</v>
      </c>
      <c r="AG35" t="s">
        <v>1456</v>
      </c>
      <c r="AH35" t="s">
        <v>1457</v>
      </c>
      <c r="AJ35" t="s">
        <v>1458</v>
      </c>
      <c r="AK35" t="s">
        <v>1459</v>
      </c>
      <c r="AL35" t="s">
        <v>1467</v>
      </c>
      <c r="AW35" t="s">
        <v>1253</v>
      </c>
      <c r="AX35" t="s">
        <v>1253</v>
      </c>
      <c r="AY35" t="s">
        <v>1253</v>
      </c>
      <c r="BA35">
        <v>46030</v>
      </c>
      <c r="BB35" t="s">
        <v>1253</v>
      </c>
      <c r="BC35" t="s">
        <v>1448</v>
      </c>
      <c r="BD35" t="s">
        <v>1229</v>
      </c>
      <c r="BE35" t="s">
        <v>1253</v>
      </c>
      <c r="BF35" t="s">
        <v>1253</v>
      </c>
      <c r="BG35" t="s">
        <v>1253</v>
      </c>
      <c r="BH35" t="s">
        <v>1253</v>
      </c>
      <c r="BJ35" t="s">
        <v>1253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1151</v>
      </c>
      <c r="B36" t="s">
        <v>1271</v>
      </c>
      <c r="C36" t="s">
        <v>1271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1137</v>
      </c>
      <c r="H36" t="s">
        <v>1468</v>
      </c>
      <c r="J36" t="s">
        <v>1255</v>
      </c>
      <c r="K36" t="s">
        <v>1255</v>
      </c>
      <c r="L36" t="s">
        <v>1255</v>
      </c>
      <c r="S36" t="s">
        <v>1469</v>
      </c>
      <c r="T36" t="s">
        <v>1436</v>
      </c>
      <c r="W36" t="s">
        <v>1438</v>
      </c>
      <c r="BD36" t="s">
        <v>1470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1151</v>
      </c>
      <c r="B37" t="s">
        <v>1271</v>
      </c>
      <c r="C37" t="s">
        <v>1271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1137</v>
      </c>
      <c r="H37" t="s">
        <v>1468</v>
      </c>
      <c r="J37" t="s">
        <v>1255</v>
      </c>
      <c r="K37" t="s">
        <v>1255</v>
      </c>
      <c r="L37" t="s">
        <v>1255</v>
      </c>
      <c r="S37" t="s">
        <v>1471</v>
      </c>
      <c r="T37" t="s">
        <v>1472</v>
      </c>
      <c r="W37" t="s">
        <v>1473</v>
      </c>
      <c r="BD37" t="s">
        <v>1470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1151</v>
      </c>
      <c r="B38" t="s">
        <v>1271</v>
      </c>
      <c r="C38" t="s">
        <v>1271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1137</v>
      </c>
      <c r="H38" t="s">
        <v>1468</v>
      </c>
      <c r="J38" t="s">
        <v>1255</v>
      </c>
      <c r="K38" t="s">
        <v>1255</v>
      </c>
      <c r="L38" t="s">
        <v>1255</v>
      </c>
      <c r="S38" t="s">
        <v>1474</v>
      </c>
      <c r="T38" t="s">
        <v>1475</v>
      </c>
      <c r="W38" t="s">
        <v>1476</v>
      </c>
      <c r="BD38" t="s">
        <v>1470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1151</v>
      </c>
      <c r="B39" t="s">
        <v>1271</v>
      </c>
      <c r="C39" t="s">
        <v>1271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1137</v>
      </c>
      <c r="H39" t="s">
        <v>1477</v>
      </c>
      <c r="J39" t="s">
        <v>1255</v>
      </c>
      <c r="K39" t="s">
        <v>1255</v>
      </c>
      <c r="L39" t="s">
        <v>1255</v>
      </c>
      <c r="S39" t="s">
        <v>1478</v>
      </c>
      <c r="T39" t="s">
        <v>1479</v>
      </c>
      <c r="W39" t="s">
        <v>1480</v>
      </c>
      <c r="BD39" t="s">
        <v>1470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1151</v>
      </c>
      <c r="B40" t="s">
        <v>1271</v>
      </c>
      <c r="C40" t="s">
        <v>1271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1137</v>
      </c>
      <c r="H40" t="s">
        <v>1477</v>
      </c>
      <c r="J40" t="s">
        <v>1255</v>
      </c>
      <c r="K40" t="s">
        <v>1255</v>
      </c>
      <c r="L40" t="s">
        <v>1255</v>
      </c>
      <c r="S40" t="s">
        <v>1481</v>
      </c>
      <c r="T40" t="s">
        <v>1482</v>
      </c>
      <c r="W40" t="s">
        <v>1483</v>
      </c>
      <c r="BD40" t="s">
        <v>1470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1151</v>
      </c>
      <c r="B41" t="s">
        <v>1271</v>
      </c>
      <c r="C41" t="s">
        <v>1271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1137</v>
      </c>
      <c r="H41" t="s">
        <v>1477</v>
      </c>
      <c r="J41" t="s">
        <v>1255</v>
      </c>
      <c r="K41" t="s">
        <v>1255</v>
      </c>
      <c r="L41" t="s">
        <v>1255</v>
      </c>
      <c r="S41" t="s">
        <v>1484</v>
      </c>
      <c r="T41" t="s">
        <v>1485</v>
      </c>
      <c r="W41" t="s">
        <v>1486</v>
      </c>
      <c r="BD41" t="s">
        <v>1470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1151</v>
      </c>
      <c r="B42" t="s">
        <v>1271</v>
      </c>
      <c r="C42" t="s">
        <v>1271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1137</v>
      </c>
      <c r="H42" t="s">
        <v>1487</v>
      </c>
      <c r="J42" t="s">
        <v>1255</v>
      </c>
      <c r="K42" t="s">
        <v>1255</v>
      </c>
      <c r="L42" t="s">
        <v>1255</v>
      </c>
      <c r="S42" t="s">
        <v>1488</v>
      </c>
      <c r="T42" t="s">
        <v>1489</v>
      </c>
      <c r="W42" t="s">
        <v>1490</v>
      </c>
      <c r="BD42" t="s">
        <v>1470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1151</v>
      </c>
      <c r="B43" t="s">
        <v>1271</v>
      </c>
      <c r="C43" t="s">
        <v>1271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1137</v>
      </c>
      <c r="H43" t="s">
        <v>1491</v>
      </c>
      <c r="J43" t="s">
        <v>1255</v>
      </c>
      <c r="K43" t="s">
        <v>1255</v>
      </c>
      <c r="L43" t="s">
        <v>1255</v>
      </c>
      <c r="S43" t="s">
        <v>1492</v>
      </c>
      <c r="T43" t="s">
        <v>1493</v>
      </c>
      <c r="W43" t="s">
        <v>1494</v>
      </c>
      <c r="BD43" t="s">
        <v>1470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1151</v>
      </c>
      <c r="B44" t="s">
        <v>1271</v>
      </c>
      <c r="C44" t="s">
        <v>1271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1137</v>
      </c>
      <c r="H44" t="s">
        <v>1491</v>
      </c>
      <c r="J44" t="s">
        <v>1255</v>
      </c>
      <c r="K44" t="s">
        <v>1255</v>
      </c>
      <c r="L44" t="s">
        <v>1255</v>
      </c>
      <c r="S44" t="s">
        <v>1495</v>
      </c>
      <c r="T44" t="s">
        <v>1496</v>
      </c>
      <c r="W44" t="s">
        <v>1497</v>
      </c>
      <c r="BD44" t="s">
        <v>1470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1151</v>
      </c>
      <c r="B45" t="s">
        <v>1271</v>
      </c>
      <c r="C45" t="s">
        <v>1271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1137</v>
      </c>
      <c r="H45" t="s">
        <v>1491</v>
      </c>
      <c r="J45" t="s">
        <v>1255</v>
      </c>
      <c r="K45" t="s">
        <v>1255</v>
      </c>
      <c r="L45" t="s">
        <v>1255</v>
      </c>
      <c r="S45" t="s">
        <v>1498</v>
      </c>
      <c r="T45" t="s">
        <v>1499</v>
      </c>
      <c r="W45" t="s">
        <v>1500</v>
      </c>
      <c r="BD45" t="s">
        <v>1470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1151</v>
      </c>
      <c r="B46" t="s">
        <v>1271</v>
      </c>
      <c r="C46" t="s">
        <v>1271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1137</v>
      </c>
      <c r="H46" t="s">
        <v>1491</v>
      </c>
      <c r="S46" t="s">
        <v>1501</v>
      </c>
      <c r="T46" t="s">
        <v>1502</v>
      </c>
      <c r="W46" t="s">
        <v>1503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1151</v>
      </c>
      <c r="B47" t="s">
        <v>1271</v>
      </c>
      <c r="C47" t="s">
        <v>1271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1137</v>
      </c>
      <c r="H47" t="s">
        <v>1491</v>
      </c>
      <c r="J47" t="s">
        <v>1255</v>
      </c>
      <c r="K47" t="s">
        <v>1255</v>
      </c>
      <c r="L47" t="s">
        <v>1255</v>
      </c>
      <c r="S47" t="s">
        <v>1504</v>
      </c>
      <c r="T47" t="s">
        <v>1505</v>
      </c>
      <c r="W47" t="s">
        <v>1506</v>
      </c>
      <c r="BD47" t="s">
        <v>1470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1151</v>
      </c>
      <c r="B48" t="s">
        <v>1271</v>
      </c>
      <c r="C48" t="s">
        <v>1271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1137</v>
      </c>
      <c r="H48" t="s">
        <v>1491</v>
      </c>
      <c r="J48" t="s">
        <v>1255</v>
      </c>
      <c r="K48" t="s">
        <v>1255</v>
      </c>
      <c r="L48" t="s">
        <v>1255</v>
      </c>
      <c r="S48" t="s">
        <v>1507</v>
      </c>
      <c r="T48" t="s">
        <v>1508</v>
      </c>
      <c r="W48" t="s">
        <v>1509</v>
      </c>
      <c r="BD48" t="s">
        <v>1470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1151</v>
      </c>
      <c r="B49" t="s">
        <v>1271</v>
      </c>
      <c r="C49" t="s">
        <v>1271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1137</v>
      </c>
      <c r="H49" t="s">
        <v>1491</v>
      </c>
      <c r="J49" t="s">
        <v>1255</v>
      </c>
      <c r="K49" t="s">
        <v>1255</v>
      </c>
      <c r="L49" t="s">
        <v>1255</v>
      </c>
      <c r="S49" t="s">
        <v>1510</v>
      </c>
      <c r="T49" t="s">
        <v>1430</v>
      </c>
      <c r="W49" t="s">
        <v>1432</v>
      </c>
      <c r="BD49" t="s">
        <v>1470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1462</v>
      </c>
      <c r="B50" t="s">
        <v>1271</v>
      </c>
      <c r="C50" t="s">
        <v>1271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1511</v>
      </c>
      <c r="H50" t="s">
        <v>1512</v>
      </c>
      <c r="I50" t="s">
        <v>1513</v>
      </c>
      <c r="J50" t="s">
        <v>1253</v>
      </c>
      <c r="K50" t="s">
        <v>1271</v>
      </c>
      <c r="L50" t="s">
        <v>1271</v>
      </c>
      <c r="R50" t="s">
        <v>1514</v>
      </c>
      <c r="Y50" t="s">
        <v>1515</v>
      </c>
      <c r="Z50" t="s">
        <v>1516</v>
      </c>
      <c r="AJ50" t="s">
        <v>1517</v>
      </c>
      <c r="AK50" t="s">
        <v>1518</v>
      </c>
      <c r="BC50" t="s">
        <v>1519</v>
      </c>
      <c r="BD50" t="s">
        <v>1470</v>
      </c>
      <c r="BI50" t="s">
        <v>1270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1462</v>
      </c>
      <c r="B51" t="s">
        <v>1271</v>
      </c>
      <c r="C51" t="s">
        <v>1271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1511</v>
      </c>
      <c r="H51" t="s">
        <v>1512</v>
      </c>
      <c r="I51" t="s">
        <v>1513</v>
      </c>
      <c r="J51" t="s">
        <v>1253</v>
      </c>
      <c r="K51" t="s">
        <v>1271</v>
      </c>
      <c r="L51" t="s">
        <v>1271</v>
      </c>
      <c r="R51" t="s">
        <v>1520</v>
      </c>
      <c r="Y51" t="s">
        <v>1521</v>
      </c>
      <c r="Z51" t="s">
        <v>1522</v>
      </c>
      <c r="AJ51" t="s">
        <v>1517</v>
      </c>
      <c r="AK51" t="s">
        <v>1518</v>
      </c>
      <c r="BC51" t="s">
        <v>1519</v>
      </c>
      <c r="BD51" t="s">
        <v>1470</v>
      </c>
      <c r="BI51" t="s">
        <v>1270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1462</v>
      </c>
      <c r="B52" t="s">
        <v>1271</v>
      </c>
      <c r="C52" t="s">
        <v>1271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1511</v>
      </c>
      <c r="H52" t="s">
        <v>1468</v>
      </c>
      <c r="I52" t="s">
        <v>1513</v>
      </c>
      <c r="J52" t="s">
        <v>1253</v>
      </c>
      <c r="K52" t="s">
        <v>1271</v>
      </c>
      <c r="L52" t="s">
        <v>1271</v>
      </c>
      <c r="R52" t="s">
        <v>1523</v>
      </c>
      <c r="Y52" t="s">
        <v>1524</v>
      </c>
      <c r="Z52" t="s">
        <v>1525</v>
      </c>
      <c r="BC52" t="s">
        <v>1526</v>
      </c>
      <c r="BI52" t="s">
        <v>1270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1462</v>
      </c>
      <c r="B53" t="s">
        <v>1271</v>
      </c>
      <c r="C53" t="s">
        <v>1271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1511</v>
      </c>
      <c r="H53" t="s">
        <v>1468</v>
      </c>
      <c r="I53" t="s">
        <v>1513</v>
      </c>
      <c r="J53" t="s">
        <v>1253</v>
      </c>
      <c r="K53" t="s">
        <v>1271</v>
      </c>
      <c r="L53" t="s">
        <v>1271</v>
      </c>
      <c r="R53" t="s">
        <v>1527</v>
      </c>
      <c r="Y53" t="s">
        <v>1528</v>
      </c>
      <c r="Z53" t="s">
        <v>1529</v>
      </c>
      <c r="BC53" t="s">
        <v>1530</v>
      </c>
      <c r="BI53" t="s">
        <v>1270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1462</v>
      </c>
      <c r="B54" t="s">
        <v>1271</v>
      </c>
      <c r="C54" t="s">
        <v>1271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1511</v>
      </c>
      <c r="H54" t="s">
        <v>1531</v>
      </c>
      <c r="I54" t="s">
        <v>1513</v>
      </c>
      <c r="J54" t="s">
        <v>1253</v>
      </c>
      <c r="K54" t="s">
        <v>1271</v>
      </c>
      <c r="L54" t="s">
        <v>1271</v>
      </c>
      <c r="R54" t="s">
        <v>1532</v>
      </c>
      <c r="Y54" t="s">
        <v>1533</v>
      </c>
      <c r="Z54" t="s">
        <v>1534</v>
      </c>
      <c r="AJ54" t="s">
        <v>1517</v>
      </c>
      <c r="AK54" t="s">
        <v>1518</v>
      </c>
      <c r="BC54" t="s">
        <v>1535</v>
      </c>
      <c r="BD54" t="s">
        <v>1470</v>
      </c>
      <c r="BI54" t="s">
        <v>1270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1462</v>
      </c>
      <c r="B55" t="s">
        <v>1271</v>
      </c>
      <c r="C55" t="s">
        <v>1271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1511</v>
      </c>
      <c r="H55" t="s">
        <v>1531</v>
      </c>
      <c r="I55" t="s">
        <v>1513</v>
      </c>
      <c r="J55" t="s">
        <v>1253</v>
      </c>
      <c r="K55" t="s">
        <v>1271</v>
      </c>
      <c r="L55" t="s">
        <v>1271</v>
      </c>
      <c r="R55" t="s">
        <v>1536</v>
      </c>
      <c r="Y55" t="s">
        <v>1537</v>
      </c>
      <c r="Z55" t="s">
        <v>1538</v>
      </c>
      <c r="AJ55" t="s">
        <v>1517</v>
      </c>
      <c r="AK55" t="s">
        <v>1518</v>
      </c>
      <c r="BC55" t="s">
        <v>1535</v>
      </c>
      <c r="BD55" t="s">
        <v>1470</v>
      </c>
      <c r="BI55" t="s">
        <v>1270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1462</v>
      </c>
      <c r="B56" t="s">
        <v>1271</v>
      </c>
      <c r="C56" t="s">
        <v>1271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1511</v>
      </c>
      <c r="H56" t="s">
        <v>1531</v>
      </c>
      <c r="I56" t="s">
        <v>1513</v>
      </c>
      <c r="J56" t="s">
        <v>1253</v>
      </c>
      <c r="K56" t="s">
        <v>1271</v>
      </c>
      <c r="L56" t="s">
        <v>1271</v>
      </c>
      <c r="R56" t="s">
        <v>1539</v>
      </c>
      <c r="X56" t="s">
        <v>1540</v>
      </c>
      <c r="Y56" t="s">
        <v>1541</v>
      </c>
      <c r="Z56" t="s">
        <v>1542</v>
      </c>
      <c r="BD56" t="s">
        <v>1470</v>
      </c>
      <c r="BI56" t="s">
        <v>1270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1462</v>
      </c>
      <c r="B57" t="s">
        <v>1271</v>
      </c>
      <c r="C57" t="s">
        <v>1271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1511</v>
      </c>
      <c r="H57" t="s">
        <v>1531</v>
      </c>
      <c r="I57" t="s">
        <v>1513</v>
      </c>
      <c r="J57" t="s">
        <v>1253</v>
      </c>
      <c r="K57" t="s">
        <v>1271</v>
      </c>
      <c r="L57" t="s">
        <v>1271</v>
      </c>
      <c r="R57" t="s">
        <v>1543</v>
      </c>
      <c r="Y57" t="s">
        <v>1544</v>
      </c>
      <c r="Z57" t="s">
        <v>1545</v>
      </c>
      <c r="BD57" t="s">
        <v>1470</v>
      </c>
      <c r="BI57" t="s">
        <v>1270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1462</v>
      </c>
      <c r="B58" t="s">
        <v>1271</v>
      </c>
      <c r="C58" t="s">
        <v>1271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1511</v>
      </c>
      <c r="H58" t="s">
        <v>1531</v>
      </c>
      <c r="I58" t="s">
        <v>1513</v>
      </c>
      <c r="J58" t="s">
        <v>1253</v>
      </c>
      <c r="K58" t="s">
        <v>1271</v>
      </c>
      <c r="L58" t="s">
        <v>1271</v>
      </c>
      <c r="R58" t="s">
        <v>1546</v>
      </c>
      <c r="Y58" t="s">
        <v>1547</v>
      </c>
      <c r="Z58" t="s">
        <v>1548</v>
      </c>
      <c r="BD58" t="s">
        <v>1470</v>
      </c>
      <c r="BI58" t="s">
        <v>1270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1462</v>
      </c>
      <c r="B59" t="s">
        <v>1271</v>
      </c>
      <c r="C59" t="s">
        <v>1271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1511</v>
      </c>
      <c r="H59" t="s">
        <v>1531</v>
      </c>
      <c r="I59" t="s">
        <v>1513</v>
      </c>
      <c r="J59" t="s">
        <v>1253</v>
      </c>
      <c r="K59" t="s">
        <v>1271</v>
      </c>
      <c r="L59" t="s">
        <v>1271</v>
      </c>
      <c r="R59" t="s">
        <v>1549</v>
      </c>
      <c r="Y59" t="s">
        <v>1550</v>
      </c>
      <c r="Z59" t="s">
        <v>1551</v>
      </c>
      <c r="BD59" t="s">
        <v>1470</v>
      </c>
      <c r="BI59" t="s">
        <v>1270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1462</v>
      </c>
      <c r="B60" t="s">
        <v>1271</v>
      </c>
      <c r="C60" t="s">
        <v>1271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1511</v>
      </c>
      <c r="H60" t="s">
        <v>1531</v>
      </c>
      <c r="I60" t="s">
        <v>1513</v>
      </c>
      <c r="J60" t="s">
        <v>1253</v>
      </c>
      <c r="K60" t="s">
        <v>1271</v>
      </c>
      <c r="L60" t="s">
        <v>1271</v>
      </c>
      <c r="R60" t="s">
        <v>1552</v>
      </c>
      <c r="Y60" t="s">
        <v>1553</v>
      </c>
      <c r="Z60" t="s">
        <v>1554</v>
      </c>
      <c r="BD60" t="s">
        <v>1470</v>
      </c>
      <c r="BI60" t="s">
        <v>1270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1462</v>
      </c>
      <c r="B61" t="s">
        <v>1271</v>
      </c>
      <c r="C61" t="s">
        <v>1271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1511</v>
      </c>
      <c r="H61" t="s">
        <v>1531</v>
      </c>
      <c r="I61" t="s">
        <v>1513</v>
      </c>
      <c r="J61" t="s">
        <v>1253</v>
      </c>
      <c r="K61" t="s">
        <v>1271</v>
      </c>
      <c r="L61" t="s">
        <v>1271</v>
      </c>
      <c r="R61" t="s">
        <v>1555</v>
      </c>
      <c r="Y61" t="s">
        <v>1556</v>
      </c>
      <c r="Z61" t="s">
        <v>1557</v>
      </c>
      <c r="BD61" t="s">
        <v>1470</v>
      </c>
      <c r="BI61" t="s">
        <v>1270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1462</v>
      </c>
      <c r="B62" t="s">
        <v>1271</v>
      </c>
      <c r="C62" t="s">
        <v>1271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1511</v>
      </c>
      <c r="H62" t="s">
        <v>1531</v>
      </c>
      <c r="I62" t="s">
        <v>1513</v>
      </c>
      <c r="J62" t="s">
        <v>1253</v>
      </c>
      <c r="K62" t="s">
        <v>1271</v>
      </c>
      <c r="L62" t="s">
        <v>1271</v>
      </c>
      <c r="R62" t="s">
        <v>1558</v>
      </c>
      <c r="Y62" t="s">
        <v>1559</v>
      </c>
      <c r="Z62" t="s">
        <v>1560</v>
      </c>
      <c r="BD62" t="s">
        <v>1470</v>
      </c>
      <c r="BI62" t="s">
        <v>1270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1462</v>
      </c>
      <c r="B63" t="s">
        <v>1271</v>
      </c>
      <c r="C63" t="s">
        <v>1271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1511</v>
      </c>
      <c r="H63" t="s">
        <v>1531</v>
      </c>
      <c r="I63" t="s">
        <v>1513</v>
      </c>
      <c r="J63" t="s">
        <v>1253</v>
      </c>
      <c r="K63" t="s">
        <v>1271</v>
      </c>
      <c r="L63" t="s">
        <v>1271</v>
      </c>
      <c r="R63" t="s">
        <v>1561</v>
      </c>
      <c r="Y63" t="s">
        <v>1562</v>
      </c>
      <c r="Z63" t="s">
        <v>1563</v>
      </c>
      <c r="BD63" t="s">
        <v>1470</v>
      </c>
      <c r="BI63" t="s">
        <v>1270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1462</v>
      </c>
      <c r="B64" t="s">
        <v>1271</v>
      </c>
      <c r="C64" t="s">
        <v>1271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1511</v>
      </c>
      <c r="H64" t="s">
        <v>1531</v>
      </c>
      <c r="I64" t="s">
        <v>1513</v>
      </c>
      <c r="J64" t="s">
        <v>1253</v>
      </c>
      <c r="K64" t="s">
        <v>1271</v>
      </c>
      <c r="L64" t="s">
        <v>1271</v>
      </c>
      <c r="R64" t="s">
        <v>1564</v>
      </c>
      <c r="Y64" t="s">
        <v>1565</v>
      </c>
      <c r="Z64" t="s">
        <v>1566</v>
      </c>
      <c r="BD64" t="s">
        <v>1470</v>
      </c>
      <c r="BI64" t="s">
        <v>1270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1462</v>
      </c>
      <c r="B65" t="s">
        <v>1271</v>
      </c>
      <c r="C65" t="s">
        <v>1271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1511</v>
      </c>
      <c r="H65" t="s">
        <v>1531</v>
      </c>
      <c r="I65" t="s">
        <v>1513</v>
      </c>
      <c r="J65" t="s">
        <v>1253</v>
      </c>
      <c r="K65" t="s">
        <v>1271</v>
      </c>
      <c r="L65" t="s">
        <v>1271</v>
      </c>
      <c r="R65" t="s">
        <v>1567</v>
      </c>
      <c r="Y65" t="s">
        <v>1568</v>
      </c>
      <c r="Z65" t="s">
        <v>1569</v>
      </c>
      <c r="BD65" t="s">
        <v>1470</v>
      </c>
      <c r="BI65" t="s">
        <v>1270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1462</v>
      </c>
      <c r="B66" t="s">
        <v>1271</v>
      </c>
      <c r="C66" t="s">
        <v>1271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1511</v>
      </c>
      <c r="H66" t="s">
        <v>1531</v>
      </c>
      <c r="I66" t="s">
        <v>1513</v>
      </c>
      <c r="J66" t="s">
        <v>1253</v>
      </c>
      <c r="K66" t="s">
        <v>1271</v>
      </c>
      <c r="L66" t="s">
        <v>1271</v>
      </c>
      <c r="R66" t="s">
        <v>1570</v>
      </c>
      <c r="Y66" t="s">
        <v>1571</v>
      </c>
      <c r="Z66" t="s">
        <v>1572</v>
      </c>
      <c r="BI66" t="s">
        <v>1270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1462</v>
      </c>
      <c r="B67" t="s">
        <v>1271</v>
      </c>
      <c r="C67" t="s">
        <v>1271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1511</v>
      </c>
      <c r="H67" t="s">
        <v>1531</v>
      </c>
      <c r="I67" t="s">
        <v>1513</v>
      </c>
      <c r="J67" t="s">
        <v>1253</v>
      </c>
      <c r="K67" t="s">
        <v>1271</v>
      </c>
      <c r="L67" t="s">
        <v>1271</v>
      </c>
      <c r="R67" t="s">
        <v>1573</v>
      </c>
      <c r="Y67" t="s">
        <v>1574</v>
      </c>
      <c r="Z67" t="s">
        <v>1575</v>
      </c>
      <c r="BI67" t="s">
        <v>1270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1462</v>
      </c>
      <c r="B68" t="s">
        <v>1271</v>
      </c>
      <c r="C68" t="s">
        <v>1271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1511</v>
      </c>
      <c r="H68" t="s">
        <v>1531</v>
      </c>
      <c r="I68" t="s">
        <v>1513</v>
      </c>
      <c r="J68" t="s">
        <v>1253</v>
      </c>
      <c r="K68" t="s">
        <v>1271</v>
      </c>
      <c r="L68" t="s">
        <v>1271</v>
      </c>
      <c r="R68" t="s">
        <v>1576</v>
      </c>
      <c r="Y68" t="s">
        <v>1577</v>
      </c>
      <c r="Z68" t="s">
        <v>1578</v>
      </c>
      <c r="BI68" t="s">
        <v>1270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1462</v>
      </c>
      <c r="B69" t="s">
        <v>1271</v>
      </c>
      <c r="C69" t="s">
        <v>1271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1511</v>
      </c>
      <c r="H69" t="s">
        <v>1579</v>
      </c>
      <c r="I69" t="s">
        <v>1513</v>
      </c>
      <c r="J69" t="s">
        <v>1253</v>
      </c>
      <c r="K69" t="s">
        <v>1271</v>
      </c>
      <c r="L69" t="s">
        <v>1271</v>
      </c>
      <c r="R69" t="s">
        <v>1580</v>
      </c>
      <c r="Y69" t="s">
        <v>1581</v>
      </c>
      <c r="Z69" t="s">
        <v>1582</v>
      </c>
      <c r="BI69" t="s">
        <v>1270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1462</v>
      </c>
      <c r="B70" t="s">
        <v>1271</v>
      </c>
      <c r="C70" t="s">
        <v>1271</v>
      </c>
      <c r="D70" t="str">
        <f t="shared" si="10"/>
        <v/>
      </c>
      <c r="E70" t="str">
        <f t="shared" si="8"/>
        <v>No</v>
      </c>
      <c r="F70" t="str">
        <f t="shared" si="9"/>
        <v/>
      </c>
      <c r="G70" t="s">
        <v>1511</v>
      </c>
      <c r="H70" t="s">
        <v>1579</v>
      </c>
      <c r="I70" t="s">
        <v>1513</v>
      </c>
      <c r="J70" t="s">
        <v>1253</v>
      </c>
      <c r="K70" t="s">
        <v>1271</v>
      </c>
      <c r="L70" t="s">
        <v>1271</v>
      </c>
      <c r="R70" t="s">
        <v>1583</v>
      </c>
      <c r="Y70" t="s">
        <v>1584</v>
      </c>
      <c r="Z70" t="s">
        <v>1585</v>
      </c>
      <c r="BI70" t="s">
        <v>1270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1462</v>
      </c>
      <c r="B71" t="s">
        <v>1271</v>
      </c>
      <c r="C71" t="s">
        <v>1271</v>
      </c>
      <c r="D71" t="str">
        <f t="shared" si="10"/>
        <v/>
      </c>
      <c r="E71" t="str">
        <f t="shared" si="8"/>
        <v>No</v>
      </c>
      <c r="F71" t="str">
        <f t="shared" si="9"/>
        <v/>
      </c>
      <c r="G71" t="s">
        <v>1511</v>
      </c>
      <c r="H71" t="s">
        <v>1579</v>
      </c>
      <c r="I71" t="s">
        <v>1513</v>
      </c>
      <c r="J71" t="s">
        <v>1253</v>
      </c>
      <c r="K71" t="s">
        <v>1271</v>
      </c>
      <c r="L71" t="s">
        <v>1271</v>
      </c>
      <c r="R71" t="s">
        <v>1586</v>
      </c>
      <c r="Y71" t="s">
        <v>1587</v>
      </c>
      <c r="Z71" t="s">
        <v>1588</v>
      </c>
      <c r="BI71" t="s">
        <v>1270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1462</v>
      </c>
      <c r="B72" t="s">
        <v>1271</v>
      </c>
      <c r="C72" t="s">
        <v>1271</v>
      </c>
      <c r="D72" t="str">
        <f t="shared" si="10"/>
        <v/>
      </c>
      <c r="E72" t="str">
        <f t="shared" si="8"/>
        <v>No</v>
      </c>
      <c r="F72" t="str">
        <f t="shared" si="9"/>
        <v/>
      </c>
      <c r="G72" t="s">
        <v>1511</v>
      </c>
      <c r="H72" t="s">
        <v>1579</v>
      </c>
      <c r="I72" t="s">
        <v>1513</v>
      </c>
      <c r="J72" t="s">
        <v>1253</v>
      </c>
      <c r="K72" t="s">
        <v>1271</v>
      </c>
      <c r="L72" t="s">
        <v>1271</v>
      </c>
      <c r="R72" t="s">
        <v>1589</v>
      </c>
      <c r="Y72" t="s">
        <v>1590</v>
      </c>
      <c r="Z72" t="s">
        <v>1591</v>
      </c>
      <c r="BI72" t="s">
        <v>1270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1462</v>
      </c>
      <c r="B73" t="s">
        <v>1271</v>
      </c>
      <c r="C73" t="s">
        <v>1271</v>
      </c>
      <c r="D73" t="str">
        <f t="shared" si="10"/>
        <v/>
      </c>
      <c r="E73" t="str">
        <f t="shared" si="8"/>
        <v>No</v>
      </c>
      <c r="F73" t="str">
        <f t="shared" si="9"/>
        <v/>
      </c>
      <c r="G73" t="s">
        <v>1511</v>
      </c>
      <c r="H73" t="s">
        <v>1579</v>
      </c>
      <c r="I73" t="s">
        <v>1513</v>
      </c>
      <c r="J73" t="s">
        <v>1253</v>
      </c>
      <c r="K73" t="s">
        <v>1271</v>
      </c>
      <c r="L73" t="s">
        <v>1271</v>
      </c>
      <c r="R73" t="s">
        <v>1592</v>
      </c>
      <c r="Y73" t="s">
        <v>1593</v>
      </c>
      <c r="Z73" t="s">
        <v>1594</v>
      </c>
      <c r="BI73" t="s">
        <v>1270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1462</v>
      </c>
      <c r="B74" t="s">
        <v>1271</v>
      </c>
      <c r="C74" t="s">
        <v>1271</v>
      </c>
      <c r="D74" t="str">
        <f t="shared" si="10"/>
        <v/>
      </c>
      <c r="E74" t="str">
        <f t="shared" si="8"/>
        <v>No</v>
      </c>
      <c r="F74" t="str">
        <f t="shared" si="9"/>
        <v/>
      </c>
      <c r="G74" t="s">
        <v>1511</v>
      </c>
      <c r="H74" t="s">
        <v>1579</v>
      </c>
      <c r="I74" t="s">
        <v>1513</v>
      </c>
      <c r="J74" t="s">
        <v>1253</v>
      </c>
      <c r="K74" t="s">
        <v>1271</v>
      </c>
      <c r="L74" t="s">
        <v>1271</v>
      </c>
      <c r="R74" t="s">
        <v>1595</v>
      </c>
      <c r="Y74" t="s">
        <v>1596</v>
      </c>
      <c r="Z74" t="s">
        <v>1597</v>
      </c>
      <c r="BI74" t="s">
        <v>1270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1462</v>
      </c>
      <c r="B75" t="s">
        <v>1271</v>
      </c>
      <c r="C75" t="s">
        <v>1271</v>
      </c>
      <c r="D75" t="str">
        <f t="shared" si="10"/>
        <v/>
      </c>
      <c r="E75" t="str">
        <f t="shared" si="8"/>
        <v>No</v>
      </c>
      <c r="F75" t="str">
        <f t="shared" si="9"/>
        <v/>
      </c>
      <c r="G75" t="s">
        <v>1511</v>
      </c>
      <c r="H75" t="s">
        <v>1579</v>
      </c>
      <c r="I75" t="s">
        <v>1513</v>
      </c>
      <c r="J75" t="s">
        <v>1253</v>
      </c>
      <c r="K75" t="s">
        <v>1271</v>
      </c>
      <c r="L75" t="s">
        <v>1271</v>
      </c>
      <c r="R75" t="s">
        <v>1598</v>
      </c>
      <c r="Y75" t="s">
        <v>1599</v>
      </c>
      <c r="Z75" t="s">
        <v>1600</v>
      </c>
      <c r="BI75" t="s">
        <v>1270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1462</v>
      </c>
      <c r="B76" t="s">
        <v>1271</v>
      </c>
      <c r="C76" t="s">
        <v>1271</v>
      </c>
      <c r="D76" t="str">
        <f t="shared" si="10"/>
        <v/>
      </c>
      <c r="E76" t="str">
        <f t="shared" si="8"/>
        <v>No</v>
      </c>
      <c r="F76" t="str">
        <f t="shared" si="9"/>
        <v/>
      </c>
      <c r="G76" t="s">
        <v>1511</v>
      </c>
      <c r="H76" t="s">
        <v>1579</v>
      </c>
      <c r="I76" t="s">
        <v>1513</v>
      </c>
      <c r="J76" t="s">
        <v>1253</v>
      </c>
      <c r="K76" t="s">
        <v>1271</v>
      </c>
      <c r="L76" t="s">
        <v>1271</v>
      </c>
      <c r="R76" t="s">
        <v>1601</v>
      </c>
      <c r="Y76" t="s">
        <v>1602</v>
      </c>
      <c r="Z76" t="s">
        <v>1603</v>
      </c>
      <c r="BI76" t="s">
        <v>1270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1462</v>
      </c>
      <c r="B77" t="s">
        <v>1271</v>
      </c>
      <c r="C77" t="s">
        <v>1271</v>
      </c>
      <c r="D77" t="str">
        <f t="shared" si="10"/>
        <v/>
      </c>
      <c r="E77" t="str">
        <f t="shared" si="8"/>
        <v>No</v>
      </c>
      <c r="F77" t="str">
        <f t="shared" si="9"/>
        <v/>
      </c>
      <c r="G77" t="s">
        <v>1511</v>
      </c>
      <c r="H77" t="s">
        <v>1579</v>
      </c>
      <c r="I77" t="s">
        <v>1513</v>
      </c>
      <c r="J77" t="s">
        <v>1253</v>
      </c>
      <c r="K77" t="s">
        <v>1271</v>
      </c>
      <c r="L77" t="s">
        <v>1271</v>
      </c>
      <c r="R77" t="s">
        <v>1604</v>
      </c>
      <c r="Y77" t="s">
        <v>1605</v>
      </c>
      <c r="Z77" t="s">
        <v>1606</v>
      </c>
      <c r="BI77" t="s">
        <v>1270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1462</v>
      </c>
      <c r="C78" t="s">
        <v>1271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1511</v>
      </c>
      <c r="H78" t="s">
        <v>1607</v>
      </c>
      <c r="I78" t="s">
        <v>1513</v>
      </c>
      <c r="J78" t="s">
        <v>1253</v>
      </c>
      <c r="K78" t="s">
        <v>1271</v>
      </c>
      <c r="L78" t="s">
        <v>1271</v>
      </c>
      <c r="R78" t="s">
        <v>1608</v>
      </c>
      <c r="Y78" t="s">
        <v>1609</v>
      </c>
      <c r="Z78" t="s">
        <v>1610</v>
      </c>
      <c r="BI78" t="s">
        <v>1270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1462</v>
      </c>
      <c r="C79" t="s">
        <v>1271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1511</v>
      </c>
      <c r="H79" t="s">
        <v>1607</v>
      </c>
      <c r="I79" t="s">
        <v>1513</v>
      </c>
      <c r="J79" t="s">
        <v>1253</v>
      </c>
      <c r="K79" t="s">
        <v>1271</v>
      </c>
      <c r="L79" t="s">
        <v>1271</v>
      </c>
      <c r="R79" t="s">
        <v>1611</v>
      </c>
      <c r="Y79" t="s">
        <v>1612</v>
      </c>
      <c r="Z79" t="s">
        <v>1613</v>
      </c>
      <c r="BI79" t="s">
        <v>1270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1462</v>
      </c>
      <c r="C80" t="s">
        <v>1271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1511</v>
      </c>
      <c r="H80" t="s">
        <v>1607</v>
      </c>
      <c r="I80" t="s">
        <v>1513</v>
      </c>
      <c r="J80" t="s">
        <v>1253</v>
      </c>
      <c r="K80" t="s">
        <v>1271</v>
      </c>
      <c r="L80" t="s">
        <v>1271</v>
      </c>
      <c r="R80" t="s">
        <v>1614</v>
      </c>
      <c r="Y80" t="s">
        <v>1615</v>
      </c>
      <c r="Z80" t="s">
        <v>1616</v>
      </c>
      <c r="BI80" t="s">
        <v>1270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1462</v>
      </c>
      <c r="C81" t="s">
        <v>1271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1511</v>
      </c>
      <c r="H81" t="s">
        <v>1607</v>
      </c>
      <c r="I81" t="s">
        <v>1513</v>
      </c>
      <c r="J81" t="s">
        <v>1253</v>
      </c>
      <c r="K81" t="s">
        <v>1271</v>
      </c>
      <c r="L81" t="s">
        <v>1271</v>
      </c>
      <c r="R81" t="s">
        <v>1617</v>
      </c>
      <c r="Y81" t="s">
        <v>1618</v>
      </c>
      <c r="Z81" t="s">
        <v>1619</v>
      </c>
      <c r="BI81" t="s">
        <v>1270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1462</v>
      </c>
      <c r="C82" t="s">
        <v>1271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1511</v>
      </c>
      <c r="H82" t="s">
        <v>1607</v>
      </c>
      <c r="I82" t="s">
        <v>1513</v>
      </c>
      <c r="J82" t="s">
        <v>1253</v>
      </c>
      <c r="K82" t="s">
        <v>1271</v>
      </c>
      <c r="L82" t="s">
        <v>1271</v>
      </c>
      <c r="R82" t="s">
        <v>1620</v>
      </c>
      <c r="Y82" t="s">
        <v>1621</v>
      </c>
      <c r="Z82" t="s">
        <v>1622</v>
      </c>
      <c r="BI82" t="s">
        <v>1270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1462</v>
      </c>
      <c r="C83" t="s">
        <v>1271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1511</v>
      </c>
      <c r="H83" t="s">
        <v>1607</v>
      </c>
      <c r="I83" t="s">
        <v>1513</v>
      </c>
      <c r="J83" t="s">
        <v>1253</v>
      </c>
      <c r="K83" t="s">
        <v>1271</v>
      </c>
      <c r="L83" t="s">
        <v>1271</v>
      </c>
      <c r="R83" t="s">
        <v>1623</v>
      </c>
      <c r="Y83" t="s">
        <v>1624</v>
      </c>
      <c r="Z83" t="s">
        <v>1625</v>
      </c>
      <c r="BI83" t="s">
        <v>1270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1462</v>
      </c>
      <c r="C84" t="s">
        <v>1271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1511</v>
      </c>
      <c r="H84" t="s">
        <v>1607</v>
      </c>
      <c r="I84" t="s">
        <v>1513</v>
      </c>
      <c r="J84" t="s">
        <v>1253</v>
      </c>
      <c r="K84" t="s">
        <v>1271</v>
      </c>
      <c r="L84" t="s">
        <v>1271</v>
      </c>
      <c r="R84" t="s">
        <v>1626</v>
      </c>
      <c r="Y84" t="s">
        <v>1627</v>
      </c>
      <c r="Z84" t="s">
        <v>1628</v>
      </c>
      <c r="BI84" t="s">
        <v>1270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1462</v>
      </c>
      <c r="B85" t="s">
        <v>1271</v>
      </c>
      <c r="C85" t="s">
        <v>1271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1511</v>
      </c>
      <c r="H85" t="s">
        <v>1579</v>
      </c>
      <c r="I85" t="s">
        <v>1513</v>
      </c>
      <c r="J85" t="s">
        <v>1253</v>
      </c>
      <c r="K85" t="s">
        <v>1271</v>
      </c>
      <c r="L85" t="s">
        <v>1271</v>
      </c>
      <c r="R85" t="s">
        <v>1629</v>
      </c>
      <c r="Y85" t="s">
        <v>1630</v>
      </c>
      <c r="Z85" t="s">
        <v>1631</v>
      </c>
      <c r="BI85" t="s">
        <v>1270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1462</v>
      </c>
      <c r="B86" t="s">
        <v>1271</v>
      </c>
      <c r="C86" t="s">
        <v>1271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1511</v>
      </c>
      <c r="H86" t="s">
        <v>1579</v>
      </c>
      <c r="I86" t="s">
        <v>1513</v>
      </c>
      <c r="J86" t="s">
        <v>1253</v>
      </c>
      <c r="K86" t="s">
        <v>1271</v>
      </c>
      <c r="L86" t="s">
        <v>1271</v>
      </c>
      <c r="R86" t="s">
        <v>1632</v>
      </c>
      <c r="Y86" t="s">
        <v>1633</v>
      </c>
      <c r="Z86" t="s">
        <v>1634</v>
      </c>
      <c r="BI86" t="s">
        <v>1270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1462</v>
      </c>
      <c r="B87" t="s">
        <v>1271</v>
      </c>
      <c r="C87" t="s">
        <v>1271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1511</v>
      </c>
      <c r="H87" t="s">
        <v>1579</v>
      </c>
      <c r="I87" t="s">
        <v>1513</v>
      </c>
      <c r="J87" t="s">
        <v>1253</v>
      </c>
      <c r="K87" t="s">
        <v>1271</v>
      </c>
      <c r="L87" t="s">
        <v>1271</v>
      </c>
      <c r="R87" t="s">
        <v>1635</v>
      </c>
      <c r="Y87" t="s">
        <v>1636</v>
      </c>
      <c r="Z87" t="s">
        <v>1637</v>
      </c>
      <c r="BI87" t="s">
        <v>1270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1462</v>
      </c>
      <c r="B88" t="s">
        <v>1271</v>
      </c>
      <c r="C88" t="s">
        <v>1271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1511</v>
      </c>
      <c r="H88" t="s">
        <v>1579</v>
      </c>
      <c r="I88" t="s">
        <v>1513</v>
      </c>
      <c r="J88" t="s">
        <v>1253</v>
      </c>
      <c r="K88" t="s">
        <v>1271</v>
      </c>
      <c r="L88" t="s">
        <v>1271</v>
      </c>
      <c r="R88" t="s">
        <v>1638</v>
      </c>
      <c r="Y88" t="s">
        <v>1639</v>
      </c>
      <c r="Z88" t="s">
        <v>1640</v>
      </c>
      <c r="BI88" t="s">
        <v>1270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1462</v>
      </c>
      <c r="B89" t="s">
        <v>1271</v>
      </c>
      <c r="C89" t="s">
        <v>1271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1511</v>
      </c>
      <c r="H89" t="s">
        <v>1579</v>
      </c>
      <c r="I89" t="s">
        <v>1513</v>
      </c>
      <c r="J89" t="s">
        <v>1253</v>
      </c>
      <c r="K89" t="s">
        <v>1271</v>
      </c>
      <c r="L89" t="s">
        <v>1271</v>
      </c>
      <c r="R89" t="s">
        <v>1641</v>
      </c>
      <c r="Y89" t="s">
        <v>1642</v>
      </c>
      <c r="Z89" t="s">
        <v>1643</v>
      </c>
      <c r="BI89" t="s">
        <v>1270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1462</v>
      </c>
      <c r="C90" t="s">
        <v>1271</v>
      </c>
      <c r="D90" t="str">
        <f t="shared" si="10"/>
        <v/>
      </c>
      <c r="E90" t="str">
        <f t="shared" si="13"/>
        <v>No</v>
      </c>
      <c r="F90" t="str">
        <f t="shared" si="14"/>
        <v/>
      </c>
      <c r="G90" t="s">
        <v>1511</v>
      </c>
      <c r="H90" t="s">
        <v>1644</v>
      </c>
      <c r="I90" t="s">
        <v>1513</v>
      </c>
      <c r="J90" t="s">
        <v>1253</v>
      </c>
      <c r="K90" t="s">
        <v>1271</v>
      </c>
      <c r="L90" t="s">
        <v>1271</v>
      </c>
      <c r="R90" t="s">
        <v>1645</v>
      </c>
      <c r="Y90" t="s">
        <v>1646</v>
      </c>
      <c r="Z90" t="s">
        <v>1647</v>
      </c>
      <c r="BI90" t="s">
        <v>1270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1462</v>
      </c>
      <c r="C91" t="s">
        <v>1271</v>
      </c>
      <c r="D91" t="str">
        <f t="shared" si="10"/>
        <v/>
      </c>
      <c r="E91" t="str">
        <f t="shared" si="13"/>
        <v>No</v>
      </c>
      <c r="F91" t="str">
        <f t="shared" si="14"/>
        <v/>
      </c>
      <c r="G91" t="s">
        <v>1511</v>
      </c>
      <c r="H91" t="s">
        <v>1644</v>
      </c>
      <c r="I91" t="s">
        <v>1513</v>
      </c>
      <c r="J91" t="s">
        <v>1253</v>
      </c>
      <c r="K91" t="s">
        <v>1271</v>
      </c>
      <c r="L91" t="s">
        <v>1271</v>
      </c>
      <c r="R91" t="s">
        <v>1648</v>
      </c>
      <c r="Y91" t="s">
        <v>1649</v>
      </c>
      <c r="Z91" t="s">
        <v>1650</v>
      </c>
      <c r="BI91" t="s">
        <v>1270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1462</v>
      </c>
      <c r="C92" t="s">
        <v>1271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1511</v>
      </c>
      <c r="H92" t="s">
        <v>1644</v>
      </c>
      <c r="I92" t="s">
        <v>1513</v>
      </c>
      <c r="J92" t="s">
        <v>1253</v>
      </c>
      <c r="K92" t="s">
        <v>1271</v>
      </c>
      <c r="L92" t="s">
        <v>1271</v>
      </c>
      <c r="R92" t="s">
        <v>1651</v>
      </c>
      <c r="Y92" t="s">
        <v>1652</v>
      </c>
      <c r="Z92" t="s">
        <v>1653</v>
      </c>
      <c r="BI92" t="s">
        <v>1270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1462</v>
      </c>
      <c r="C93" t="s">
        <v>1271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1511</v>
      </c>
      <c r="H93" t="s">
        <v>1644</v>
      </c>
      <c r="I93" t="s">
        <v>1513</v>
      </c>
      <c r="J93" t="s">
        <v>1253</v>
      </c>
      <c r="K93" t="s">
        <v>1271</v>
      </c>
      <c r="L93" t="s">
        <v>1271</v>
      </c>
      <c r="R93" t="s">
        <v>1654</v>
      </c>
      <c r="Y93" t="s">
        <v>1655</v>
      </c>
      <c r="Z93" t="s">
        <v>1656</v>
      </c>
      <c r="BI93" t="s">
        <v>1270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1462</v>
      </c>
      <c r="C94" t="s">
        <v>1271</v>
      </c>
      <c r="D94" t="str">
        <f t="shared" si="10"/>
        <v/>
      </c>
      <c r="E94" t="str">
        <f t="shared" si="13"/>
        <v>No</v>
      </c>
      <c r="F94" t="str">
        <f t="shared" si="14"/>
        <v/>
      </c>
      <c r="G94" t="s">
        <v>1511</v>
      </c>
      <c r="H94" t="s">
        <v>1644</v>
      </c>
      <c r="I94" t="s">
        <v>1513</v>
      </c>
      <c r="J94" t="s">
        <v>1253</v>
      </c>
      <c r="K94" t="s">
        <v>1271</v>
      </c>
      <c r="L94" t="s">
        <v>1271</v>
      </c>
      <c r="R94" t="s">
        <v>1657</v>
      </c>
      <c r="Y94" t="s">
        <v>1658</v>
      </c>
      <c r="Z94" t="s">
        <v>1659</v>
      </c>
      <c r="BI94" t="s">
        <v>1270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1462</v>
      </c>
      <c r="C95" t="s">
        <v>1271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1511</v>
      </c>
      <c r="H95" t="s">
        <v>1644</v>
      </c>
      <c r="I95" t="s">
        <v>1513</v>
      </c>
      <c r="J95" t="s">
        <v>1253</v>
      </c>
      <c r="K95" t="s">
        <v>1271</v>
      </c>
      <c r="L95" t="s">
        <v>1271</v>
      </c>
      <c r="R95" t="s">
        <v>1660</v>
      </c>
      <c r="Y95" t="s">
        <v>1661</v>
      </c>
      <c r="Z95" t="s">
        <v>1662</v>
      </c>
      <c r="BI95" t="s">
        <v>1270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1462</v>
      </c>
      <c r="C96" t="s">
        <v>1271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1511</v>
      </c>
      <c r="H96" t="s">
        <v>1644</v>
      </c>
      <c r="I96" t="s">
        <v>1513</v>
      </c>
      <c r="J96" t="s">
        <v>1253</v>
      </c>
      <c r="K96" t="s">
        <v>1271</v>
      </c>
      <c r="L96" t="s">
        <v>1271</v>
      </c>
      <c r="R96" t="s">
        <v>1663</v>
      </c>
      <c r="Y96" t="s">
        <v>1664</v>
      </c>
      <c r="Z96" t="s">
        <v>1665</v>
      </c>
      <c r="BI96" t="s">
        <v>1270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1462</v>
      </c>
      <c r="C97" t="s">
        <v>1271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1511</v>
      </c>
      <c r="H97" t="s">
        <v>1644</v>
      </c>
      <c r="I97" t="s">
        <v>1513</v>
      </c>
      <c r="J97" t="s">
        <v>1253</v>
      </c>
      <c r="K97" t="s">
        <v>1271</v>
      </c>
      <c r="L97" t="s">
        <v>1271</v>
      </c>
      <c r="R97" t="s">
        <v>1666</v>
      </c>
      <c r="Y97" t="s">
        <v>1667</v>
      </c>
      <c r="Z97" t="s">
        <v>1668</v>
      </c>
      <c r="BI97" t="s">
        <v>1270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1462</v>
      </c>
      <c r="C98" t="s">
        <v>1271</v>
      </c>
      <c r="D98" t="str">
        <f t="shared" ref="D98:D129" si="15">IF($B98&lt;&gt;"Yes","",IF($C98="No","Yes",IF($C98="Yes","No","")))</f>
        <v/>
      </c>
      <c r="E98" t="str">
        <f t="shared" si="13"/>
        <v>No</v>
      </c>
      <c r="F98" t="str">
        <f t="shared" si="14"/>
        <v/>
      </c>
      <c r="G98" t="s">
        <v>1511</v>
      </c>
      <c r="H98" t="s">
        <v>1644</v>
      </c>
      <c r="I98" t="s">
        <v>1513</v>
      </c>
      <c r="J98" t="s">
        <v>1253</v>
      </c>
      <c r="K98" t="s">
        <v>1271</v>
      </c>
      <c r="L98" t="s">
        <v>1271</v>
      </c>
      <c r="R98" t="s">
        <v>1669</v>
      </c>
      <c r="Y98" t="s">
        <v>1670</v>
      </c>
      <c r="Z98" t="s">
        <v>1671</v>
      </c>
      <c r="BI98" t="s">
        <v>1270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1462</v>
      </c>
      <c r="C99" t="s">
        <v>1271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1511</v>
      </c>
      <c r="H99" t="s">
        <v>1644</v>
      </c>
      <c r="I99" t="s">
        <v>1513</v>
      </c>
      <c r="J99" t="s">
        <v>1253</v>
      </c>
      <c r="K99" t="s">
        <v>1271</v>
      </c>
      <c r="L99" t="s">
        <v>1271</v>
      </c>
      <c r="R99" t="s">
        <v>1672</v>
      </c>
      <c r="Y99" t="s">
        <v>1673</v>
      </c>
      <c r="Z99" t="s">
        <v>1674</v>
      </c>
      <c r="BI99" t="s">
        <v>1270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1462</v>
      </c>
      <c r="C100" t="s">
        <v>1271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1511</v>
      </c>
      <c r="H100" t="s">
        <v>1644</v>
      </c>
      <c r="I100" t="s">
        <v>1513</v>
      </c>
      <c r="J100" t="s">
        <v>1253</v>
      </c>
      <c r="K100" t="s">
        <v>1271</v>
      </c>
      <c r="L100" t="s">
        <v>1271</v>
      </c>
      <c r="R100" t="s">
        <v>1675</v>
      </c>
      <c r="Y100" t="s">
        <v>1676</v>
      </c>
      <c r="Z100" t="s">
        <v>1677</v>
      </c>
      <c r="BI100" t="s">
        <v>1270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1462</v>
      </c>
      <c r="B101" t="s">
        <v>1253</v>
      </c>
      <c r="C101" t="s">
        <v>1253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1678</v>
      </c>
      <c r="H101" t="s">
        <v>1678</v>
      </c>
      <c r="I101" t="s">
        <v>1513</v>
      </c>
      <c r="J101" t="s">
        <v>1253</v>
      </c>
      <c r="K101" t="s">
        <v>1253</v>
      </c>
      <c r="L101" t="s">
        <v>1253</v>
      </c>
      <c r="M101" t="s">
        <v>1679</v>
      </c>
      <c r="N101" t="s">
        <v>1680</v>
      </c>
      <c r="O101" t="s">
        <v>1261</v>
      </c>
      <c r="P101" t="s">
        <v>1681</v>
      </c>
      <c r="Q101">
        <v>46075</v>
      </c>
      <c r="R101" t="s">
        <v>1682</v>
      </c>
      <c r="S101" t="s">
        <v>1683</v>
      </c>
      <c r="T101" t="s">
        <v>1684</v>
      </c>
      <c r="U101" t="s">
        <v>1261</v>
      </c>
      <c r="Y101" t="s">
        <v>1685</v>
      </c>
      <c r="Z101" t="s">
        <v>1686</v>
      </c>
      <c r="AA101" t="s">
        <v>1453</v>
      </c>
      <c r="AD101" t="s">
        <v>1687</v>
      </c>
      <c r="AE101">
        <v>2</v>
      </c>
      <c r="AF101" t="s">
        <v>1688</v>
      </c>
      <c r="AG101" t="s">
        <v>1689</v>
      </c>
      <c r="AI101" t="s">
        <v>1690</v>
      </c>
      <c r="AJ101" t="s">
        <v>1458</v>
      </c>
      <c r="AK101" t="s">
        <v>1691</v>
      </c>
      <c r="AL101" t="s">
        <v>1687</v>
      </c>
      <c r="AM101" t="s">
        <v>1127</v>
      </c>
      <c r="AR101" t="s">
        <v>1692</v>
      </c>
      <c r="AW101" t="s">
        <v>1253</v>
      </c>
      <c r="AX101" t="s">
        <v>1253</v>
      </c>
      <c r="AY101" t="s">
        <v>1253</v>
      </c>
      <c r="AZ101" t="s">
        <v>1253</v>
      </c>
      <c r="BI101" t="s">
        <v>1270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1253</v>
      </c>
      <c r="BT101" t="s">
        <v>1253</v>
      </c>
      <c r="BU101" t="s">
        <v>1253</v>
      </c>
      <c r="BV101" t="s">
        <v>1253</v>
      </c>
      <c r="BW101" t="s">
        <v>1253</v>
      </c>
      <c r="BX101">
        <v>19200</v>
      </c>
    </row>
    <row r="102" spans="1:76">
      <c r="A102" t="s">
        <v>1462</v>
      </c>
      <c r="B102" t="s">
        <v>1253</v>
      </c>
      <c r="C102" t="s">
        <v>1253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1678</v>
      </c>
      <c r="H102" t="s">
        <v>1678</v>
      </c>
      <c r="I102" t="s">
        <v>1513</v>
      </c>
      <c r="J102" t="s">
        <v>1253</v>
      </c>
      <c r="K102" t="s">
        <v>1253</v>
      </c>
      <c r="L102" t="s">
        <v>1253</v>
      </c>
      <c r="M102" t="s">
        <v>1679</v>
      </c>
      <c r="N102" t="s">
        <v>1680</v>
      </c>
      <c r="O102" t="s">
        <v>1261</v>
      </c>
      <c r="P102" t="s">
        <v>1681</v>
      </c>
      <c r="Q102">
        <v>46075</v>
      </c>
      <c r="R102" t="s">
        <v>1693</v>
      </c>
      <c r="S102" t="s">
        <v>1694</v>
      </c>
      <c r="T102" t="s">
        <v>1695</v>
      </c>
      <c r="U102" t="s">
        <v>1261</v>
      </c>
      <c r="Y102" t="s">
        <v>1696</v>
      </c>
      <c r="Z102" t="s">
        <v>1697</v>
      </c>
      <c r="AA102" t="s">
        <v>1453</v>
      </c>
      <c r="AD102" t="s">
        <v>1698</v>
      </c>
      <c r="AE102">
        <v>2</v>
      </c>
      <c r="AF102" t="s">
        <v>1688</v>
      </c>
      <c r="AG102" t="s">
        <v>1699</v>
      </c>
      <c r="AJ102" t="s">
        <v>1458</v>
      </c>
      <c r="AK102" t="s">
        <v>1691</v>
      </c>
      <c r="AL102" t="s">
        <v>1698</v>
      </c>
      <c r="AM102" t="s">
        <v>1127</v>
      </c>
      <c r="AR102" t="s">
        <v>1700</v>
      </c>
      <c r="AW102" t="s">
        <v>1253</v>
      </c>
      <c r="AX102" t="s">
        <v>1253</v>
      </c>
      <c r="AY102" t="s">
        <v>1253</v>
      </c>
      <c r="AZ102" t="s">
        <v>1253</v>
      </c>
      <c r="BI102" t="s">
        <v>1270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1253</v>
      </c>
      <c r="BT102" t="s">
        <v>1253</v>
      </c>
      <c r="BU102" t="s">
        <v>1253</v>
      </c>
      <c r="BV102" t="s">
        <v>1253</v>
      </c>
      <c r="BW102" t="s">
        <v>1253</v>
      </c>
      <c r="BX102">
        <v>19200</v>
      </c>
    </row>
    <row r="103" spans="1:76">
      <c r="A103" t="s">
        <v>1462</v>
      </c>
      <c r="B103" t="s">
        <v>1253</v>
      </c>
      <c r="C103" t="s">
        <v>1253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1678</v>
      </c>
      <c r="H103" t="s">
        <v>1678</v>
      </c>
      <c r="I103" t="s">
        <v>1513</v>
      </c>
      <c r="J103" t="s">
        <v>1253</v>
      </c>
      <c r="K103" t="s">
        <v>1253</v>
      </c>
      <c r="L103" t="s">
        <v>1253</v>
      </c>
      <c r="M103" t="s">
        <v>1679</v>
      </c>
      <c r="N103" t="s">
        <v>1680</v>
      </c>
      <c r="O103" t="s">
        <v>1261</v>
      </c>
      <c r="P103" t="s">
        <v>1681</v>
      </c>
      <c r="Q103">
        <v>46075</v>
      </c>
      <c r="R103" t="s">
        <v>1701</v>
      </c>
      <c r="S103" t="s">
        <v>1702</v>
      </c>
      <c r="T103" t="s">
        <v>1703</v>
      </c>
      <c r="U103" t="s">
        <v>1261</v>
      </c>
      <c r="Y103" t="s">
        <v>1704</v>
      </c>
      <c r="Z103" t="s">
        <v>1705</v>
      </c>
      <c r="AA103" t="s">
        <v>1453</v>
      </c>
      <c r="AD103" t="s">
        <v>1706</v>
      </c>
      <c r="AE103">
        <v>2</v>
      </c>
      <c r="AF103" t="s">
        <v>1688</v>
      </c>
      <c r="AG103" t="s">
        <v>1707</v>
      </c>
      <c r="AJ103" t="s">
        <v>1458</v>
      </c>
      <c r="AK103" t="s">
        <v>1691</v>
      </c>
      <c r="AL103" t="s">
        <v>1706</v>
      </c>
      <c r="AM103" t="s">
        <v>1127</v>
      </c>
      <c r="AR103" t="s">
        <v>1708</v>
      </c>
      <c r="AW103" t="s">
        <v>1253</v>
      </c>
      <c r="AX103" t="s">
        <v>1253</v>
      </c>
      <c r="AY103" t="s">
        <v>1253</v>
      </c>
      <c r="AZ103" t="s">
        <v>1253</v>
      </c>
      <c r="BI103" t="s">
        <v>1270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1253</v>
      </c>
      <c r="BT103" t="s">
        <v>1253</v>
      </c>
      <c r="BU103" t="s">
        <v>1253</v>
      </c>
      <c r="BV103" t="s">
        <v>1253</v>
      </c>
      <c r="BW103" t="s">
        <v>1253</v>
      </c>
      <c r="BX103">
        <v>19200</v>
      </c>
    </row>
    <row r="104" spans="1:76">
      <c r="A104" t="s">
        <v>1462</v>
      </c>
      <c r="B104" t="s">
        <v>1253</v>
      </c>
      <c r="C104" t="s">
        <v>1253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1678</v>
      </c>
      <c r="H104" t="s">
        <v>1678</v>
      </c>
      <c r="I104" t="s">
        <v>1513</v>
      </c>
      <c r="J104" t="s">
        <v>1253</v>
      </c>
      <c r="K104" t="s">
        <v>1253</v>
      </c>
      <c r="L104" t="s">
        <v>1253</v>
      </c>
      <c r="M104" t="s">
        <v>1679</v>
      </c>
      <c r="N104" t="s">
        <v>1680</v>
      </c>
      <c r="O104" t="s">
        <v>1261</v>
      </c>
      <c r="P104" t="s">
        <v>1681</v>
      </c>
      <c r="Q104">
        <v>46075</v>
      </c>
      <c r="R104" t="s">
        <v>1709</v>
      </c>
      <c r="S104" t="s">
        <v>1710</v>
      </c>
      <c r="T104" t="s">
        <v>1711</v>
      </c>
      <c r="U104" t="s">
        <v>1261</v>
      </c>
      <c r="Y104" t="s">
        <v>1712</v>
      </c>
      <c r="Z104" t="s">
        <v>1713</v>
      </c>
      <c r="AA104" t="s">
        <v>1453</v>
      </c>
      <c r="AD104" t="s">
        <v>1714</v>
      </c>
      <c r="AE104">
        <v>2</v>
      </c>
      <c r="AF104" t="s">
        <v>1688</v>
      </c>
      <c r="AG104" t="s">
        <v>1715</v>
      </c>
      <c r="AI104" t="s">
        <v>1716</v>
      </c>
      <c r="AJ104" t="s">
        <v>1458</v>
      </c>
      <c r="AK104" t="s">
        <v>1691</v>
      </c>
      <c r="AL104" t="s">
        <v>1714</v>
      </c>
      <c r="AM104" t="s">
        <v>1127</v>
      </c>
      <c r="AR104" t="s">
        <v>1717</v>
      </c>
      <c r="AW104" t="s">
        <v>1253</v>
      </c>
      <c r="AX104" t="s">
        <v>1253</v>
      </c>
      <c r="AY104" t="s">
        <v>1253</v>
      </c>
      <c r="AZ104" t="s">
        <v>1253</v>
      </c>
      <c r="BI104" t="s">
        <v>1270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1253</v>
      </c>
      <c r="BT104" t="s">
        <v>1253</v>
      </c>
      <c r="BU104" t="s">
        <v>1253</v>
      </c>
      <c r="BV104" t="s">
        <v>1253</v>
      </c>
      <c r="BW104" t="s">
        <v>1253</v>
      </c>
      <c r="BX104">
        <v>19200</v>
      </c>
    </row>
    <row r="105" spans="1:76">
      <c r="A105" t="s">
        <v>1462</v>
      </c>
      <c r="B105" t="s">
        <v>1253</v>
      </c>
      <c r="C105" t="s">
        <v>1253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1678</v>
      </c>
      <c r="H105" t="s">
        <v>1678</v>
      </c>
      <c r="I105" t="s">
        <v>1513</v>
      </c>
      <c r="J105" t="s">
        <v>1253</v>
      </c>
      <c r="K105" t="s">
        <v>1253</v>
      </c>
      <c r="L105" t="s">
        <v>1253</v>
      </c>
      <c r="M105" t="s">
        <v>1679</v>
      </c>
      <c r="N105" t="s">
        <v>1680</v>
      </c>
      <c r="O105" t="s">
        <v>1261</v>
      </c>
      <c r="P105" t="s">
        <v>1681</v>
      </c>
      <c r="Q105">
        <v>46075</v>
      </c>
      <c r="R105" t="s">
        <v>1718</v>
      </c>
      <c r="S105" t="s">
        <v>1719</v>
      </c>
      <c r="T105" t="s">
        <v>1720</v>
      </c>
      <c r="U105" t="s">
        <v>1261</v>
      </c>
      <c r="Y105" t="s">
        <v>1721</v>
      </c>
      <c r="Z105" t="s">
        <v>1722</v>
      </c>
      <c r="AA105" t="s">
        <v>1453</v>
      </c>
      <c r="AD105" t="s">
        <v>1723</v>
      </c>
      <c r="AE105">
        <v>2</v>
      </c>
      <c r="AF105" t="s">
        <v>1688</v>
      </c>
      <c r="AG105" t="s">
        <v>1724</v>
      </c>
      <c r="AI105" t="s">
        <v>1725</v>
      </c>
      <c r="AJ105" t="s">
        <v>1458</v>
      </c>
      <c r="AK105" t="s">
        <v>1691</v>
      </c>
      <c r="AL105" t="s">
        <v>1723</v>
      </c>
      <c r="AM105" t="s">
        <v>1127</v>
      </c>
      <c r="AR105" t="s">
        <v>1726</v>
      </c>
      <c r="AW105" t="s">
        <v>1253</v>
      </c>
      <c r="AX105" t="s">
        <v>1253</v>
      </c>
      <c r="AY105" t="s">
        <v>1253</v>
      </c>
      <c r="AZ105" t="s">
        <v>1253</v>
      </c>
      <c r="BI105" t="s">
        <v>1270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1253</v>
      </c>
      <c r="BT105" t="s">
        <v>1253</v>
      </c>
      <c r="BU105" t="s">
        <v>1253</v>
      </c>
      <c r="BV105" t="s">
        <v>1253</v>
      </c>
      <c r="BW105" t="s">
        <v>1253</v>
      </c>
      <c r="BX105">
        <v>19200</v>
      </c>
    </row>
    <row r="106" spans="1:76">
      <c r="A106" t="s">
        <v>1462</v>
      </c>
      <c r="B106" t="s">
        <v>1253</v>
      </c>
      <c r="C106" t="s">
        <v>1253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1678</v>
      </c>
      <c r="H106" t="s">
        <v>1678</v>
      </c>
      <c r="I106" t="s">
        <v>1513</v>
      </c>
      <c r="J106" t="s">
        <v>1253</v>
      </c>
      <c r="K106" t="s">
        <v>1253</v>
      </c>
      <c r="L106" t="s">
        <v>1253</v>
      </c>
      <c r="M106" t="s">
        <v>1679</v>
      </c>
      <c r="N106" t="s">
        <v>1680</v>
      </c>
      <c r="O106" t="s">
        <v>1261</v>
      </c>
      <c r="P106" t="s">
        <v>1681</v>
      </c>
      <c r="Q106">
        <v>46075</v>
      </c>
      <c r="R106" t="s">
        <v>1727</v>
      </c>
      <c r="S106" t="s">
        <v>1728</v>
      </c>
      <c r="U106" t="s">
        <v>1261</v>
      </c>
      <c r="Y106" t="s">
        <v>1729</v>
      </c>
      <c r="Z106" t="s">
        <v>1730</v>
      </c>
      <c r="AA106" t="s">
        <v>1453</v>
      </c>
      <c r="AD106" t="s">
        <v>1731</v>
      </c>
      <c r="AE106">
        <v>2</v>
      </c>
      <c r="AF106" t="s">
        <v>1688</v>
      </c>
      <c r="AG106" t="s">
        <v>1732</v>
      </c>
      <c r="AJ106" t="s">
        <v>1458</v>
      </c>
      <c r="AK106" t="s">
        <v>1691</v>
      </c>
      <c r="AL106" t="s">
        <v>1731</v>
      </c>
      <c r="AM106" t="s">
        <v>1127</v>
      </c>
      <c r="AR106" t="s">
        <v>1733</v>
      </c>
      <c r="AW106" t="s">
        <v>1253</v>
      </c>
      <c r="AX106" t="s">
        <v>1253</v>
      </c>
      <c r="AY106" t="s">
        <v>1253</v>
      </c>
      <c r="AZ106" t="s">
        <v>1253</v>
      </c>
      <c r="BI106" t="s">
        <v>1270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1253</v>
      </c>
      <c r="BT106" t="s">
        <v>1253</v>
      </c>
      <c r="BU106" t="s">
        <v>1253</v>
      </c>
      <c r="BV106" t="s">
        <v>1253</v>
      </c>
      <c r="BW106" t="s">
        <v>1253</v>
      </c>
      <c r="BX106">
        <v>19200</v>
      </c>
    </row>
    <row r="107" spans="1:76">
      <c r="A107" t="s">
        <v>1462</v>
      </c>
      <c r="B107" t="s">
        <v>1253</v>
      </c>
      <c r="C107" t="s">
        <v>1253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1678</v>
      </c>
      <c r="H107" t="s">
        <v>1678</v>
      </c>
      <c r="I107" t="s">
        <v>1513</v>
      </c>
      <c r="J107" t="s">
        <v>1253</v>
      </c>
      <c r="K107" t="s">
        <v>1253</v>
      </c>
      <c r="L107" t="s">
        <v>1253</v>
      </c>
      <c r="M107" t="s">
        <v>1679</v>
      </c>
      <c r="N107" t="s">
        <v>1680</v>
      </c>
      <c r="O107" t="s">
        <v>1261</v>
      </c>
      <c r="P107" t="s">
        <v>1681</v>
      </c>
      <c r="Q107">
        <v>46075</v>
      </c>
      <c r="R107" t="s">
        <v>1734</v>
      </c>
      <c r="S107" t="s">
        <v>1735</v>
      </c>
      <c r="T107" t="s">
        <v>1736</v>
      </c>
      <c r="U107" t="s">
        <v>1261</v>
      </c>
      <c r="Y107" t="s">
        <v>1737</v>
      </c>
      <c r="Z107" t="s">
        <v>1738</v>
      </c>
      <c r="AA107" t="s">
        <v>1453</v>
      </c>
      <c r="AD107" t="s">
        <v>1739</v>
      </c>
      <c r="AE107">
        <v>2</v>
      </c>
      <c r="AF107" t="s">
        <v>1688</v>
      </c>
      <c r="AG107" t="s">
        <v>1740</v>
      </c>
      <c r="AI107" t="s">
        <v>1741</v>
      </c>
      <c r="AJ107" t="s">
        <v>1458</v>
      </c>
      <c r="AK107" t="s">
        <v>1691</v>
      </c>
      <c r="AL107" t="s">
        <v>1739</v>
      </c>
      <c r="AM107" t="s">
        <v>1127</v>
      </c>
      <c r="AR107" t="s">
        <v>1742</v>
      </c>
      <c r="AW107" t="s">
        <v>1253</v>
      </c>
      <c r="AX107" t="s">
        <v>1253</v>
      </c>
      <c r="AY107" t="s">
        <v>1253</v>
      </c>
      <c r="AZ107" t="s">
        <v>1253</v>
      </c>
      <c r="BI107" t="s">
        <v>1270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1253</v>
      </c>
      <c r="BT107" t="s">
        <v>1253</v>
      </c>
      <c r="BU107" t="s">
        <v>1253</v>
      </c>
      <c r="BV107" t="s">
        <v>1253</v>
      </c>
      <c r="BW107" t="s">
        <v>1253</v>
      </c>
      <c r="BX107">
        <v>19200</v>
      </c>
    </row>
    <row r="108" spans="1:76">
      <c r="A108" t="s">
        <v>1462</v>
      </c>
      <c r="B108" t="s">
        <v>1253</v>
      </c>
      <c r="C108" t="s">
        <v>1253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1678</v>
      </c>
      <c r="H108" t="s">
        <v>1678</v>
      </c>
      <c r="I108" t="s">
        <v>1513</v>
      </c>
      <c r="J108" t="s">
        <v>1253</v>
      </c>
      <c r="K108" t="s">
        <v>1253</v>
      </c>
      <c r="L108" t="s">
        <v>1253</v>
      </c>
      <c r="M108" t="s">
        <v>1679</v>
      </c>
      <c r="N108" t="s">
        <v>1680</v>
      </c>
      <c r="O108" t="s">
        <v>1261</v>
      </c>
      <c r="P108" t="s">
        <v>1681</v>
      </c>
      <c r="Q108">
        <v>46075</v>
      </c>
      <c r="R108" t="s">
        <v>1743</v>
      </c>
      <c r="S108" t="s">
        <v>1744</v>
      </c>
      <c r="T108" t="s">
        <v>1745</v>
      </c>
      <c r="U108" t="s">
        <v>1261</v>
      </c>
      <c r="Y108" t="s">
        <v>1746</v>
      </c>
      <c r="Z108" t="s">
        <v>1747</v>
      </c>
      <c r="AA108" t="s">
        <v>1453</v>
      </c>
      <c r="AD108" t="s">
        <v>1748</v>
      </c>
      <c r="AE108">
        <v>2</v>
      </c>
      <c r="AF108" t="s">
        <v>1688</v>
      </c>
      <c r="AG108" t="s">
        <v>1749</v>
      </c>
      <c r="AJ108" t="s">
        <v>1458</v>
      </c>
      <c r="AK108" t="s">
        <v>1691</v>
      </c>
      <c r="AL108" t="s">
        <v>1748</v>
      </c>
      <c r="AM108" t="s">
        <v>1127</v>
      </c>
      <c r="AR108" t="s">
        <v>1750</v>
      </c>
      <c r="AW108" t="s">
        <v>1253</v>
      </c>
      <c r="AX108" t="s">
        <v>1253</v>
      </c>
      <c r="AY108" t="s">
        <v>1253</v>
      </c>
      <c r="AZ108" t="s">
        <v>1253</v>
      </c>
      <c r="BI108" t="s">
        <v>1270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1253</v>
      </c>
      <c r="BT108" t="s">
        <v>1253</v>
      </c>
      <c r="BU108" t="s">
        <v>1253</v>
      </c>
      <c r="BV108" t="s">
        <v>1253</v>
      </c>
      <c r="BW108" t="s">
        <v>1253</v>
      </c>
      <c r="BX108">
        <v>19200</v>
      </c>
    </row>
    <row r="109" spans="1:76">
      <c r="A109" t="s">
        <v>1462</v>
      </c>
      <c r="B109" t="s">
        <v>1253</v>
      </c>
      <c r="C109" t="s">
        <v>1253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1678</v>
      </c>
      <c r="H109" t="s">
        <v>1678</v>
      </c>
      <c r="I109" t="s">
        <v>1513</v>
      </c>
      <c r="J109" t="s">
        <v>1253</v>
      </c>
      <c r="K109" t="s">
        <v>1253</v>
      </c>
      <c r="L109" t="s">
        <v>1253</v>
      </c>
      <c r="M109" t="s">
        <v>1679</v>
      </c>
      <c r="N109" t="s">
        <v>1680</v>
      </c>
      <c r="O109" t="s">
        <v>1261</v>
      </c>
      <c r="P109" t="s">
        <v>1681</v>
      </c>
      <c r="Q109">
        <v>46075</v>
      </c>
      <c r="R109" t="s">
        <v>1751</v>
      </c>
      <c r="S109" t="s">
        <v>1752</v>
      </c>
      <c r="T109" t="s">
        <v>1753</v>
      </c>
      <c r="U109" t="s">
        <v>1261</v>
      </c>
      <c r="Y109" t="s">
        <v>1754</v>
      </c>
      <c r="Z109" t="s">
        <v>1755</v>
      </c>
      <c r="AA109" t="s">
        <v>1453</v>
      </c>
      <c r="AD109" t="s">
        <v>1756</v>
      </c>
      <c r="AE109">
        <v>2</v>
      </c>
      <c r="AF109" t="s">
        <v>1688</v>
      </c>
      <c r="AG109" t="s">
        <v>1757</v>
      </c>
      <c r="AJ109" t="s">
        <v>1458</v>
      </c>
      <c r="AK109" t="s">
        <v>1691</v>
      </c>
      <c r="AL109" t="s">
        <v>1756</v>
      </c>
      <c r="AM109" t="s">
        <v>1127</v>
      </c>
      <c r="AR109" t="s">
        <v>1758</v>
      </c>
      <c r="AW109" t="s">
        <v>1253</v>
      </c>
      <c r="AX109" t="s">
        <v>1253</v>
      </c>
      <c r="AY109" t="s">
        <v>1253</v>
      </c>
      <c r="AZ109" t="s">
        <v>1253</v>
      </c>
      <c r="BI109" t="s">
        <v>1270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1253</v>
      </c>
      <c r="BT109" t="s">
        <v>1253</v>
      </c>
      <c r="BU109" t="s">
        <v>1253</v>
      </c>
      <c r="BV109" t="s">
        <v>1253</v>
      </c>
      <c r="BW109" t="s">
        <v>1253</v>
      </c>
      <c r="BX109">
        <v>19200</v>
      </c>
    </row>
    <row r="110" spans="1:76">
      <c r="A110" t="s">
        <v>1462</v>
      </c>
      <c r="B110" t="s">
        <v>1253</v>
      </c>
      <c r="C110" t="s">
        <v>1253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1678</v>
      </c>
      <c r="H110" t="s">
        <v>1678</v>
      </c>
      <c r="I110" t="s">
        <v>1513</v>
      </c>
      <c r="J110" t="s">
        <v>1253</v>
      </c>
      <c r="K110" t="s">
        <v>1253</v>
      </c>
      <c r="L110" t="s">
        <v>1253</v>
      </c>
      <c r="M110" t="s">
        <v>1679</v>
      </c>
      <c r="N110" t="s">
        <v>1680</v>
      </c>
      <c r="O110" t="s">
        <v>1261</v>
      </c>
      <c r="P110" t="s">
        <v>1681</v>
      </c>
      <c r="Q110">
        <v>46075</v>
      </c>
      <c r="R110" t="s">
        <v>1759</v>
      </c>
      <c r="S110" t="s">
        <v>1760</v>
      </c>
      <c r="T110" t="s">
        <v>1761</v>
      </c>
      <c r="U110" t="s">
        <v>1261</v>
      </c>
      <c r="Y110" t="s">
        <v>1762</v>
      </c>
      <c r="Z110" t="s">
        <v>1763</v>
      </c>
      <c r="AA110" t="s">
        <v>1453</v>
      </c>
      <c r="AD110" t="s">
        <v>1764</v>
      </c>
      <c r="AE110">
        <v>2</v>
      </c>
      <c r="AF110" t="s">
        <v>1688</v>
      </c>
      <c r="AG110" t="s">
        <v>1765</v>
      </c>
      <c r="AI110" t="s">
        <v>1766</v>
      </c>
      <c r="AJ110" t="s">
        <v>1458</v>
      </c>
      <c r="AK110" t="s">
        <v>1691</v>
      </c>
      <c r="AL110" t="s">
        <v>1764</v>
      </c>
      <c r="AM110" t="s">
        <v>1127</v>
      </c>
      <c r="AR110" t="s">
        <v>1767</v>
      </c>
      <c r="AW110" t="s">
        <v>1253</v>
      </c>
      <c r="AX110" t="s">
        <v>1253</v>
      </c>
      <c r="AY110" t="s">
        <v>1253</v>
      </c>
      <c r="AZ110" t="s">
        <v>1253</v>
      </c>
      <c r="BI110" t="s">
        <v>1270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1253</v>
      </c>
      <c r="BT110" t="s">
        <v>1253</v>
      </c>
      <c r="BU110" t="s">
        <v>1253</v>
      </c>
      <c r="BV110" t="s">
        <v>1253</v>
      </c>
      <c r="BW110" t="s">
        <v>1253</v>
      </c>
      <c r="BX110">
        <v>19200</v>
      </c>
    </row>
    <row r="111" spans="1:76">
      <c r="A111" t="s">
        <v>1462</v>
      </c>
      <c r="B111" t="s">
        <v>1253</v>
      </c>
      <c r="C111" t="s">
        <v>1253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1678</v>
      </c>
      <c r="H111" t="s">
        <v>1678</v>
      </c>
      <c r="I111" t="s">
        <v>1513</v>
      </c>
      <c r="J111" t="s">
        <v>1253</v>
      </c>
      <c r="K111" t="s">
        <v>1253</v>
      </c>
      <c r="L111" t="s">
        <v>1253</v>
      </c>
      <c r="M111" t="s">
        <v>1679</v>
      </c>
      <c r="N111" t="s">
        <v>1680</v>
      </c>
      <c r="O111" t="s">
        <v>1261</v>
      </c>
      <c r="P111" t="s">
        <v>1681</v>
      </c>
      <c r="Q111">
        <v>46075</v>
      </c>
      <c r="R111" t="s">
        <v>1768</v>
      </c>
      <c r="S111" t="s">
        <v>1769</v>
      </c>
      <c r="T111" t="s">
        <v>1770</v>
      </c>
      <c r="U111" t="s">
        <v>1261</v>
      </c>
      <c r="Y111" t="s">
        <v>1771</v>
      </c>
      <c r="Z111" t="s">
        <v>1772</v>
      </c>
      <c r="AA111" t="s">
        <v>1453</v>
      </c>
      <c r="AD111" t="s">
        <v>1773</v>
      </c>
      <c r="AE111">
        <v>2</v>
      </c>
      <c r="AF111" t="s">
        <v>1688</v>
      </c>
      <c r="AG111" t="s">
        <v>1774</v>
      </c>
      <c r="AJ111" t="s">
        <v>1458</v>
      </c>
      <c r="AK111" t="s">
        <v>1691</v>
      </c>
      <c r="AL111" t="s">
        <v>1773</v>
      </c>
      <c r="AM111" t="s">
        <v>1127</v>
      </c>
      <c r="AR111" t="s">
        <v>1775</v>
      </c>
      <c r="AW111" t="s">
        <v>1253</v>
      </c>
      <c r="AX111" t="s">
        <v>1253</v>
      </c>
      <c r="AY111" t="s">
        <v>1253</v>
      </c>
      <c r="AZ111" t="s">
        <v>1253</v>
      </c>
      <c r="BI111" t="s">
        <v>1270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1253</v>
      </c>
      <c r="BT111" t="s">
        <v>1253</v>
      </c>
      <c r="BU111" t="s">
        <v>1253</v>
      </c>
      <c r="BV111" t="s">
        <v>1253</v>
      </c>
      <c r="BW111" t="s">
        <v>1253</v>
      </c>
      <c r="BX111">
        <v>19200</v>
      </c>
    </row>
    <row r="112" spans="1:76">
      <c r="A112" t="s">
        <v>1462</v>
      </c>
      <c r="B112" t="s">
        <v>1253</v>
      </c>
      <c r="C112" t="s">
        <v>1253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1678</v>
      </c>
      <c r="H112" t="s">
        <v>1678</v>
      </c>
      <c r="I112" t="s">
        <v>1513</v>
      </c>
      <c r="J112" t="s">
        <v>1253</v>
      </c>
      <c r="K112" t="s">
        <v>1253</v>
      </c>
      <c r="L112" t="s">
        <v>1253</v>
      </c>
      <c r="M112" t="s">
        <v>1679</v>
      </c>
      <c r="N112" t="s">
        <v>1680</v>
      </c>
      <c r="O112" t="s">
        <v>1261</v>
      </c>
      <c r="P112" t="s">
        <v>1681</v>
      </c>
      <c r="Q112">
        <v>46075</v>
      </c>
      <c r="R112" t="s">
        <v>1776</v>
      </c>
      <c r="S112" t="s">
        <v>1777</v>
      </c>
      <c r="T112" t="s">
        <v>1778</v>
      </c>
      <c r="U112" t="s">
        <v>1261</v>
      </c>
      <c r="Y112" t="s">
        <v>1779</v>
      </c>
      <c r="Z112" t="s">
        <v>1780</v>
      </c>
      <c r="AA112" t="s">
        <v>1453</v>
      </c>
      <c r="AD112" t="s">
        <v>1781</v>
      </c>
      <c r="AE112">
        <v>2</v>
      </c>
      <c r="AF112" t="s">
        <v>1688</v>
      </c>
      <c r="AG112" t="s">
        <v>1782</v>
      </c>
      <c r="AJ112" t="s">
        <v>1458</v>
      </c>
      <c r="AK112" t="s">
        <v>1691</v>
      </c>
      <c r="AL112" t="s">
        <v>1781</v>
      </c>
      <c r="AM112" t="s">
        <v>1127</v>
      </c>
      <c r="AR112" t="s">
        <v>1783</v>
      </c>
      <c r="AW112" t="s">
        <v>1253</v>
      </c>
      <c r="AX112" t="s">
        <v>1253</v>
      </c>
      <c r="AY112" t="s">
        <v>1253</v>
      </c>
      <c r="AZ112" t="s">
        <v>1253</v>
      </c>
      <c r="BI112" t="s">
        <v>1270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1253</v>
      </c>
      <c r="BT112" t="s">
        <v>1253</v>
      </c>
      <c r="BU112" t="s">
        <v>1253</v>
      </c>
      <c r="BV112" t="s">
        <v>1253</v>
      </c>
      <c r="BW112" t="s">
        <v>1253</v>
      </c>
      <c r="BX112">
        <v>19200</v>
      </c>
    </row>
    <row r="113" spans="1:76">
      <c r="A113" t="s">
        <v>1462</v>
      </c>
      <c r="C113" t="s">
        <v>1271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1511</v>
      </c>
      <c r="H113" t="s">
        <v>1678</v>
      </c>
      <c r="I113" t="s">
        <v>1513</v>
      </c>
      <c r="J113" t="s">
        <v>1253</v>
      </c>
      <c r="K113" t="s">
        <v>1271</v>
      </c>
      <c r="L113" t="s">
        <v>1271</v>
      </c>
      <c r="R113" t="s">
        <v>1784</v>
      </c>
      <c r="Y113" t="s">
        <v>1785</v>
      </c>
      <c r="Z113" t="s">
        <v>1786</v>
      </c>
      <c r="BI113" t="s">
        <v>1270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1462</v>
      </c>
      <c r="C114" t="s">
        <v>1271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1511</v>
      </c>
      <c r="H114" t="s">
        <v>1678</v>
      </c>
      <c r="I114" t="s">
        <v>1513</v>
      </c>
      <c r="J114" t="s">
        <v>1253</v>
      </c>
      <c r="K114" t="s">
        <v>1271</v>
      </c>
      <c r="L114" t="s">
        <v>1271</v>
      </c>
      <c r="R114" t="s">
        <v>1787</v>
      </c>
      <c r="Y114" t="s">
        <v>1788</v>
      </c>
      <c r="Z114" t="s">
        <v>1789</v>
      </c>
      <c r="BI114" t="s">
        <v>1270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1462</v>
      </c>
      <c r="C115" t="s">
        <v>1271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1511</v>
      </c>
      <c r="H115" t="s">
        <v>1678</v>
      </c>
      <c r="I115" t="s">
        <v>1513</v>
      </c>
      <c r="J115" t="s">
        <v>1253</v>
      </c>
      <c r="K115" t="s">
        <v>1271</v>
      </c>
      <c r="L115" t="s">
        <v>1271</v>
      </c>
      <c r="R115" t="s">
        <v>1790</v>
      </c>
      <c r="Y115" t="s">
        <v>1791</v>
      </c>
      <c r="Z115" t="s">
        <v>1792</v>
      </c>
      <c r="BI115" t="s">
        <v>1270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1462</v>
      </c>
      <c r="C116" t="s">
        <v>1271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1511</v>
      </c>
      <c r="H116" t="s">
        <v>1678</v>
      </c>
      <c r="I116" t="s">
        <v>1513</v>
      </c>
      <c r="J116" t="s">
        <v>1253</v>
      </c>
      <c r="K116" t="s">
        <v>1271</v>
      </c>
      <c r="L116" t="s">
        <v>1271</v>
      </c>
      <c r="R116" t="s">
        <v>1793</v>
      </c>
      <c r="Y116" t="s">
        <v>1794</v>
      </c>
      <c r="Z116" t="s">
        <v>1795</v>
      </c>
      <c r="BI116" t="s">
        <v>1270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1462</v>
      </c>
      <c r="B117" t="s">
        <v>1253</v>
      </c>
      <c r="C117" t="s">
        <v>1253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1678</v>
      </c>
      <c r="H117" t="s">
        <v>1678</v>
      </c>
      <c r="I117" t="s">
        <v>1513</v>
      </c>
      <c r="J117" t="s">
        <v>1253</v>
      </c>
      <c r="K117" t="s">
        <v>1253</v>
      </c>
      <c r="L117" t="s">
        <v>1253</v>
      </c>
      <c r="M117" t="s">
        <v>1679</v>
      </c>
      <c r="N117" t="s">
        <v>1680</v>
      </c>
      <c r="O117" t="s">
        <v>1261</v>
      </c>
      <c r="P117" t="s">
        <v>1681</v>
      </c>
      <c r="Q117">
        <v>46075</v>
      </c>
      <c r="R117" t="s">
        <v>1796</v>
      </c>
      <c r="S117" t="s">
        <v>1797</v>
      </c>
      <c r="T117" t="s">
        <v>1798</v>
      </c>
      <c r="U117" t="s">
        <v>1261</v>
      </c>
      <c r="Y117" t="s">
        <v>1799</v>
      </c>
      <c r="Z117" t="s">
        <v>1800</v>
      </c>
      <c r="AA117" t="s">
        <v>1453</v>
      </c>
      <c r="AD117" t="s">
        <v>1801</v>
      </c>
      <c r="AE117">
        <v>2</v>
      </c>
      <c r="AF117" t="s">
        <v>1688</v>
      </c>
      <c r="AG117" t="s">
        <v>1802</v>
      </c>
      <c r="AJ117" t="s">
        <v>1458</v>
      </c>
      <c r="AK117" t="s">
        <v>1691</v>
      </c>
      <c r="AL117" t="s">
        <v>1801</v>
      </c>
      <c r="AM117" t="s">
        <v>1127</v>
      </c>
      <c r="AR117" t="s">
        <v>1803</v>
      </c>
      <c r="AW117" t="s">
        <v>1253</v>
      </c>
      <c r="AX117" t="s">
        <v>1253</v>
      </c>
      <c r="AY117" t="s">
        <v>1253</v>
      </c>
      <c r="AZ117" t="s">
        <v>1253</v>
      </c>
      <c r="BI117" t="s">
        <v>1270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1253</v>
      </c>
      <c r="BT117" t="s">
        <v>1253</v>
      </c>
      <c r="BU117" t="s">
        <v>1253</v>
      </c>
      <c r="BV117" t="s">
        <v>1253</v>
      </c>
      <c r="BW117" t="s">
        <v>1253</v>
      </c>
      <c r="BX117">
        <v>19200</v>
      </c>
    </row>
    <row r="118" spans="1:76">
      <c r="A118" t="s">
        <v>1462</v>
      </c>
      <c r="B118" t="s">
        <v>1253</v>
      </c>
      <c r="C118" t="s">
        <v>1253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1678</v>
      </c>
      <c r="H118" t="s">
        <v>1678</v>
      </c>
      <c r="I118" t="s">
        <v>1513</v>
      </c>
      <c r="J118" t="s">
        <v>1253</v>
      </c>
      <c r="K118" t="s">
        <v>1253</v>
      </c>
      <c r="L118" t="s">
        <v>1253</v>
      </c>
      <c r="M118" t="s">
        <v>1679</v>
      </c>
      <c r="N118" t="s">
        <v>1680</v>
      </c>
      <c r="O118" t="s">
        <v>1261</v>
      </c>
      <c r="P118" t="s">
        <v>1681</v>
      </c>
      <c r="Q118">
        <v>46075</v>
      </c>
      <c r="R118" t="s">
        <v>1804</v>
      </c>
      <c r="S118" t="s">
        <v>1805</v>
      </c>
      <c r="T118" t="s">
        <v>1806</v>
      </c>
      <c r="U118" t="s">
        <v>1261</v>
      </c>
      <c r="Y118" t="s">
        <v>1807</v>
      </c>
      <c r="Z118" t="s">
        <v>1808</v>
      </c>
      <c r="AA118" t="s">
        <v>1453</v>
      </c>
      <c r="AD118" t="s">
        <v>1809</v>
      </c>
      <c r="AE118">
        <v>2</v>
      </c>
      <c r="AF118" t="s">
        <v>1688</v>
      </c>
      <c r="AG118" t="s">
        <v>1810</v>
      </c>
      <c r="AJ118" t="s">
        <v>1458</v>
      </c>
      <c r="AK118" t="s">
        <v>1691</v>
      </c>
      <c r="AL118" t="s">
        <v>1809</v>
      </c>
      <c r="AM118" t="s">
        <v>1127</v>
      </c>
      <c r="AR118" t="s">
        <v>1811</v>
      </c>
      <c r="AW118" t="s">
        <v>1253</v>
      </c>
      <c r="AX118" t="s">
        <v>1253</v>
      </c>
      <c r="AY118" t="s">
        <v>1253</v>
      </c>
      <c r="AZ118" t="s">
        <v>1253</v>
      </c>
      <c r="BI118" t="s">
        <v>1270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1253</v>
      </c>
      <c r="BT118" t="s">
        <v>1253</v>
      </c>
      <c r="BU118" t="s">
        <v>1253</v>
      </c>
      <c r="BV118" t="s">
        <v>1253</v>
      </c>
      <c r="BW118" t="s">
        <v>1253</v>
      </c>
      <c r="BX118">
        <v>19200</v>
      </c>
    </row>
    <row r="119" spans="1:76">
      <c r="A119" t="s">
        <v>1462</v>
      </c>
      <c r="C119" t="s">
        <v>1271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1511</v>
      </c>
      <c r="H119" t="s">
        <v>1579</v>
      </c>
      <c r="I119" t="s">
        <v>1513</v>
      </c>
      <c r="J119" t="s">
        <v>1253</v>
      </c>
      <c r="K119" t="s">
        <v>1271</v>
      </c>
      <c r="L119" t="s">
        <v>1271</v>
      </c>
      <c r="R119" t="s">
        <v>1812</v>
      </c>
      <c r="Y119" t="s">
        <v>1813</v>
      </c>
      <c r="Z119" t="s">
        <v>1814</v>
      </c>
      <c r="BI119" t="s">
        <v>1270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1462</v>
      </c>
      <c r="B120" t="s">
        <v>1253</v>
      </c>
      <c r="C120" t="s">
        <v>1253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1678</v>
      </c>
      <c r="H120" t="s">
        <v>1678</v>
      </c>
      <c r="I120" t="s">
        <v>1513</v>
      </c>
      <c r="J120" t="s">
        <v>1253</v>
      </c>
      <c r="K120" t="s">
        <v>1253</v>
      </c>
      <c r="L120" t="s">
        <v>1253</v>
      </c>
      <c r="M120" t="s">
        <v>1679</v>
      </c>
      <c r="N120" t="s">
        <v>1680</v>
      </c>
      <c r="O120" t="s">
        <v>1261</v>
      </c>
      <c r="P120" t="s">
        <v>1681</v>
      </c>
      <c r="Q120">
        <v>46075</v>
      </c>
      <c r="R120" t="s">
        <v>1815</v>
      </c>
      <c r="S120" t="s">
        <v>1816</v>
      </c>
      <c r="T120" t="s">
        <v>1817</v>
      </c>
      <c r="U120" t="s">
        <v>1261</v>
      </c>
      <c r="Y120" t="s">
        <v>1818</v>
      </c>
      <c r="Z120" t="s">
        <v>1819</v>
      </c>
      <c r="AA120" t="s">
        <v>1453</v>
      </c>
      <c r="AD120" t="s">
        <v>1820</v>
      </c>
      <c r="AE120">
        <v>2</v>
      </c>
      <c r="AF120" t="s">
        <v>1688</v>
      </c>
      <c r="AG120" t="s">
        <v>1821</v>
      </c>
      <c r="AJ120" t="s">
        <v>1458</v>
      </c>
      <c r="AK120" t="s">
        <v>1691</v>
      </c>
      <c r="AL120" t="s">
        <v>1820</v>
      </c>
      <c r="AM120" t="s">
        <v>1127</v>
      </c>
      <c r="AR120" t="s">
        <v>1708</v>
      </c>
      <c r="AW120" t="s">
        <v>1253</v>
      </c>
      <c r="AX120" t="s">
        <v>1253</v>
      </c>
      <c r="AY120" t="s">
        <v>1253</v>
      </c>
      <c r="AZ120" t="s">
        <v>1253</v>
      </c>
      <c r="BI120" t="s">
        <v>1270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1253</v>
      </c>
      <c r="BT120" t="s">
        <v>1253</v>
      </c>
      <c r="BU120" t="s">
        <v>1253</v>
      </c>
      <c r="BV120" t="s">
        <v>1253</v>
      </c>
      <c r="BW120" t="s">
        <v>1253</v>
      </c>
      <c r="BX120">
        <v>19200</v>
      </c>
    </row>
    <row r="121" spans="1:76">
      <c r="A121" t="s">
        <v>1462</v>
      </c>
      <c r="C121" t="s">
        <v>1271</v>
      </c>
      <c r="D121" t="str">
        <f t="shared" si="15"/>
        <v/>
      </c>
      <c r="E121" t="str">
        <f t="shared" si="19"/>
        <v>No</v>
      </c>
      <c r="F121" t="str">
        <f t="shared" si="20"/>
        <v/>
      </c>
      <c r="G121" t="s">
        <v>1511</v>
      </c>
      <c r="H121" t="s">
        <v>1678</v>
      </c>
      <c r="I121" t="s">
        <v>1513</v>
      </c>
      <c r="J121" t="s">
        <v>1253</v>
      </c>
      <c r="K121" t="s">
        <v>1271</v>
      </c>
      <c r="L121" t="s">
        <v>1271</v>
      </c>
      <c r="R121" t="s">
        <v>1822</v>
      </c>
      <c r="Y121" t="s">
        <v>1823</v>
      </c>
      <c r="Z121" t="s">
        <v>1824</v>
      </c>
      <c r="BI121" t="s">
        <v>1270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1462</v>
      </c>
      <c r="C122" t="s">
        <v>1271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1511</v>
      </c>
      <c r="H122" t="s">
        <v>1678</v>
      </c>
      <c r="I122" t="s">
        <v>1513</v>
      </c>
      <c r="J122" t="s">
        <v>1253</v>
      </c>
      <c r="K122" t="s">
        <v>1271</v>
      </c>
      <c r="L122" t="s">
        <v>1271</v>
      </c>
      <c r="R122" t="s">
        <v>1825</v>
      </c>
      <c r="Y122" t="s">
        <v>1826</v>
      </c>
      <c r="Z122" t="s">
        <v>1827</v>
      </c>
      <c r="BI122" t="s">
        <v>1270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1462</v>
      </c>
      <c r="B123" t="s">
        <v>1253</v>
      </c>
      <c r="C123" t="s">
        <v>1253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1678</v>
      </c>
      <c r="H123" t="s">
        <v>1678</v>
      </c>
      <c r="I123" t="s">
        <v>1513</v>
      </c>
      <c r="J123" t="s">
        <v>1253</v>
      </c>
      <c r="K123" t="s">
        <v>1253</v>
      </c>
      <c r="L123" t="s">
        <v>1253</v>
      </c>
      <c r="M123" t="s">
        <v>1679</v>
      </c>
      <c r="N123" t="s">
        <v>1680</v>
      </c>
      <c r="O123" t="s">
        <v>1261</v>
      </c>
      <c r="P123" t="s">
        <v>1681</v>
      </c>
      <c r="Q123">
        <v>46075</v>
      </c>
      <c r="R123" t="s">
        <v>1828</v>
      </c>
      <c r="S123" t="s">
        <v>1829</v>
      </c>
      <c r="T123" t="s">
        <v>1830</v>
      </c>
      <c r="U123" t="s">
        <v>1261</v>
      </c>
      <c r="Y123" t="s">
        <v>1831</v>
      </c>
      <c r="Z123" t="s">
        <v>1832</v>
      </c>
      <c r="AA123" t="s">
        <v>1453</v>
      </c>
      <c r="AD123" t="s">
        <v>1833</v>
      </c>
      <c r="AE123">
        <v>2</v>
      </c>
      <c r="AF123" t="s">
        <v>1688</v>
      </c>
      <c r="AG123" t="s">
        <v>1834</v>
      </c>
      <c r="AJ123" t="s">
        <v>1458</v>
      </c>
      <c r="AK123" t="s">
        <v>1691</v>
      </c>
      <c r="AL123" t="s">
        <v>1833</v>
      </c>
      <c r="AM123" t="s">
        <v>1127</v>
      </c>
      <c r="AR123" t="s">
        <v>1835</v>
      </c>
      <c r="AW123" t="s">
        <v>1253</v>
      </c>
      <c r="AX123" t="s">
        <v>1253</v>
      </c>
      <c r="AY123" t="s">
        <v>1253</v>
      </c>
      <c r="AZ123" t="s">
        <v>1253</v>
      </c>
      <c r="BI123" t="s">
        <v>1270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1253</v>
      </c>
      <c r="BT123" t="s">
        <v>1253</v>
      </c>
      <c r="BU123" t="s">
        <v>1253</v>
      </c>
      <c r="BV123" t="s">
        <v>1253</v>
      </c>
      <c r="BW123" t="s">
        <v>1253</v>
      </c>
      <c r="BX123">
        <v>19200</v>
      </c>
    </row>
    <row r="124" spans="1:76">
      <c r="A124" t="s">
        <v>1462</v>
      </c>
      <c r="B124" t="s">
        <v>1253</v>
      </c>
      <c r="C124" t="s">
        <v>1253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1678</v>
      </c>
      <c r="H124" t="s">
        <v>1678</v>
      </c>
      <c r="I124" t="s">
        <v>1513</v>
      </c>
      <c r="J124" t="s">
        <v>1253</v>
      </c>
      <c r="K124" t="s">
        <v>1253</v>
      </c>
      <c r="L124" t="s">
        <v>1253</v>
      </c>
      <c r="M124" t="s">
        <v>1679</v>
      </c>
      <c r="N124" t="s">
        <v>1680</v>
      </c>
      <c r="O124" t="s">
        <v>1261</v>
      </c>
      <c r="P124" t="s">
        <v>1681</v>
      </c>
      <c r="Q124">
        <v>46075</v>
      </c>
      <c r="R124" t="s">
        <v>1836</v>
      </c>
      <c r="S124" t="s">
        <v>1837</v>
      </c>
      <c r="T124" t="s">
        <v>1838</v>
      </c>
      <c r="U124" t="s">
        <v>1261</v>
      </c>
      <c r="Y124" t="s">
        <v>1839</v>
      </c>
      <c r="Z124" t="s">
        <v>1840</v>
      </c>
      <c r="AA124" t="s">
        <v>1453</v>
      </c>
      <c r="AD124" t="s">
        <v>1841</v>
      </c>
      <c r="AE124">
        <v>2</v>
      </c>
      <c r="AF124" t="s">
        <v>1688</v>
      </c>
      <c r="AG124" t="s">
        <v>1842</v>
      </c>
      <c r="AJ124" t="s">
        <v>1458</v>
      </c>
      <c r="AK124" t="s">
        <v>1691</v>
      </c>
      <c r="AL124" t="s">
        <v>1841</v>
      </c>
      <c r="AM124" t="s">
        <v>1127</v>
      </c>
      <c r="AR124" t="s">
        <v>1843</v>
      </c>
      <c r="AW124" t="s">
        <v>1253</v>
      </c>
      <c r="AX124" t="s">
        <v>1253</v>
      </c>
      <c r="AY124" t="s">
        <v>1253</v>
      </c>
      <c r="AZ124" t="s">
        <v>1253</v>
      </c>
      <c r="BI124" t="s">
        <v>1270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1253</v>
      </c>
      <c r="BT124" t="s">
        <v>1253</v>
      </c>
      <c r="BU124" t="s">
        <v>1253</v>
      </c>
      <c r="BV124" t="s">
        <v>1253</v>
      </c>
      <c r="BW124" t="s">
        <v>1253</v>
      </c>
      <c r="BX124">
        <v>19200</v>
      </c>
    </row>
    <row r="125" spans="1:76">
      <c r="A125" t="s">
        <v>1462</v>
      </c>
      <c r="B125" t="s">
        <v>1253</v>
      </c>
      <c r="C125" t="s">
        <v>1253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1678</v>
      </c>
      <c r="H125" t="s">
        <v>1678</v>
      </c>
      <c r="I125" t="s">
        <v>1513</v>
      </c>
      <c r="J125" t="s">
        <v>1253</v>
      </c>
      <c r="K125" t="s">
        <v>1253</v>
      </c>
      <c r="L125" t="s">
        <v>1253</v>
      </c>
      <c r="M125" t="s">
        <v>1679</v>
      </c>
      <c r="N125" t="s">
        <v>1680</v>
      </c>
      <c r="O125" t="s">
        <v>1261</v>
      </c>
      <c r="P125" t="s">
        <v>1681</v>
      </c>
      <c r="Q125">
        <v>46075</v>
      </c>
      <c r="R125" t="s">
        <v>1844</v>
      </c>
      <c r="S125" t="s">
        <v>1845</v>
      </c>
      <c r="T125" t="s">
        <v>1846</v>
      </c>
      <c r="U125" t="s">
        <v>1261</v>
      </c>
      <c r="Y125" t="s">
        <v>1847</v>
      </c>
      <c r="Z125" t="s">
        <v>1848</v>
      </c>
      <c r="AA125" t="s">
        <v>1453</v>
      </c>
      <c r="AD125" t="s">
        <v>1849</v>
      </c>
      <c r="AE125">
        <v>2</v>
      </c>
      <c r="AF125" t="s">
        <v>1688</v>
      </c>
      <c r="AG125" t="s">
        <v>1850</v>
      </c>
      <c r="AJ125" t="s">
        <v>1458</v>
      </c>
      <c r="AK125" t="s">
        <v>1691</v>
      </c>
      <c r="AL125" t="s">
        <v>1849</v>
      </c>
      <c r="AM125" t="s">
        <v>1127</v>
      </c>
      <c r="AR125" t="s">
        <v>1851</v>
      </c>
      <c r="AW125" t="s">
        <v>1253</v>
      </c>
      <c r="AX125" t="s">
        <v>1253</v>
      </c>
      <c r="AY125" t="s">
        <v>1253</v>
      </c>
      <c r="AZ125" t="s">
        <v>1253</v>
      </c>
      <c r="BI125" t="s">
        <v>1270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1253</v>
      </c>
      <c r="BT125" t="s">
        <v>1253</v>
      </c>
      <c r="BU125" t="s">
        <v>1253</v>
      </c>
      <c r="BV125" t="s">
        <v>1253</v>
      </c>
      <c r="BW125" t="s">
        <v>1253</v>
      </c>
      <c r="BX125">
        <v>19200</v>
      </c>
    </row>
    <row r="126" spans="1:76">
      <c r="A126" t="s">
        <v>1462</v>
      </c>
      <c r="B126" t="s">
        <v>1253</v>
      </c>
      <c r="C126" t="s">
        <v>1253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1678</v>
      </c>
      <c r="H126" t="s">
        <v>1678</v>
      </c>
      <c r="I126" t="s">
        <v>1513</v>
      </c>
      <c r="J126" t="s">
        <v>1253</v>
      </c>
      <c r="K126" t="s">
        <v>1253</v>
      </c>
      <c r="L126" t="s">
        <v>1253</v>
      </c>
      <c r="M126" t="s">
        <v>1679</v>
      </c>
      <c r="N126" t="s">
        <v>1680</v>
      </c>
      <c r="O126" t="s">
        <v>1261</v>
      </c>
      <c r="P126" t="s">
        <v>1681</v>
      </c>
      <c r="Q126">
        <v>46075</v>
      </c>
      <c r="R126" t="s">
        <v>1852</v>
      </c>
      <c r="S126" t="s">
        <v>1853</v>
      </c>
      <c r="T126" t="s">
        <v>1854</v>
      </c>
      <c r="U126" t="s">
        <v>1261</v>
      </c>
      <c r="Y126" t="s">
        <v>1855</v>
      </c>
      <c r="Z126" t="s">
        <v>1856</v>
      </c>
      <c r="AA126" t="s">
        <v>1453</v>
      </c>
      <c r="AD126" t="s">
        <v>1857</v>
      </c>
      <c r="AE126">
        <v>2</v>
      </c>
      <c r="AF126" t="s">
        <v>1688</v>
      </c>
      <c r="AG126" t="s">
        <v>1858</v>
      </c>
      <c r="AJ126" t="s">
        <v>1458</v>
      </c>
      <c r="AK126" t="s">
        <v>1691</v>
      </c>
      <c r="AL126" t="s">
        <v>1857</v>
      </c>
      <c r="AM126" t="s">
        <v>1127</v>
      </c>
      <c r="AR126" t="s">
        <v>1859</v>
      </c>
      <c r="AW126" t="s">
        <v>1253</v>
      </c>
      <c r="AX126" t="s">
        <v>1253</v>
      </c>
      <c r="AY126" t="s">
        <v>1253</v>
      </c>
      <c r="AZ126" t="s">
        <v>1253</v>
      </c>
      <c r="BI126" t="s">
        <v>1270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1253</v>
      </c>
      <c r="BT126" t="s">
        <v>1253</v>
      </c>
      <c r="BU126" t="s">
        <v>1253</v>
      </c>
      <c r="BV126" t="s">
        <v>1253</v>
      </c>
      <c r="BW126" t="s">
        <v>1253</v>
      </c>
      <c r="BX126">
        <v>19200</v>
      </c>
    </row>
    <row r="127" spans="1:76">
      <c r="A127" t="s">
        <v>1462</v>
      </c>
      <c r="B127" t="s">
        <v>1253</v>
      </c>
      <c r="C127" t="s">
        <v>1253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1678</v>
      </c>
      <c r="H127" t="s">
        <v>1678</v>
      </c>
      <c r="I127" t="s">
        <v>1513</v>
      </c>
      <c r="J127" t="s">
        <v>1253</v>
      </c>
      <c r="K127" t="s">
        <v>1253</v>
      </c>
      <c r="L127" t="s">
        <v>1253</v>
      </c>
      <c r="M127" t="s">
        <v>1679</v>
      </c>
      <c r="N127" t="s">
        <v>1680</v>
      </c>
      <c r="O127" t="s">
        <v>1261</v>
      </c>
      <c r="P127" t="s">
        <v>1681</v>
      </c>
      <c r="Q127">
        <v>46075</v>
      </c>
      <c r="R127" t="s">
        <v>1860</v>
      </c>
      <c r="S127" t="s">
        <v>1861</v>
      </c>
      <c r="T127" t="s">
        <v>1862</v>
      </c>
      <c r="U127" t="s">
        <v>1261</v>
      </c>
      <c r="AA127" t="s">
        <v>1453</v>
      </c>
      <c r="AD127" t="s">
        <v>1863</v>
      </c>
      <c r="AE127">
        <v>2</v>
      </c>
      <c r="AF127" t="s">
        <v>1688</v>
      </c>
      <c r="AG127" t="s">
        <v>1864</v>
      </c>
      <c r="AJ127" t="s">
        <v>1458</v>
      </c>
      <c r="AK127" t="s">
        <v>1691</v>
      </c>
      <c r="AL127" t="s">
        <v>1863</v>
      </c>
      <c r="AM127" t="s">
        <v>1127</v>
      </c>
      <c r="AR127" t="s">
        <v>1865</v>
      </c>
      <c r="AW127" t="s">
        <v>1253</v>
      </c>
      <c r="AX127" t="s">
        <v>1253</v>
      </c>
      <c r="AY127" t="s">
        <v>1253</v>
      </c>
      <c r="AZ127" t="s">
        <v>1253</v>
      </c>
      <c r="BS127" t="s">
        <v>1253</v>
      </c>
      <c r="BT127" t="s">
        <v>1253</v>
      </c>
      <c r="BU127" t="s">
        <v>1253</v>
      </c>
      <c r="BV127" t="s">
        <v>1253</v>
      </c>
      <c r="BW127" t="s">
        <v>1253</v>
      </c>
      <c r="BX127">
        <v>19200</v>
      </c>
    </row>
    <row r="128" spans="1:76">
      <c r="A128" t="s">
        <v>1462</v>
      </c>
      <c r="B128" t="s">
        <v>1253</v>
      </c>
      <c r="C128" t="s">
        <v>1253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1678</v>
      </c>
      <c r="H128" t="s">
        <v>1678</v>
      </c>
      <c r="I128" t="s">
        <v>1513</v>
      </c>
      <c r="J128" t="s">
        <v>1253</v>
      </c>
      <c r="K128" t="s">
        <v>1253</v>
      </c>
      <c r="L128" t="s">
        <v>1253</v>
      </c>
      <c r="M128" t="s">
        <v>1679</v>
      </c>
      <c r="N128" t="s">
        <v>1680</v>
      </c>
      <c r="O128" t="s">
        <v>1261</v>
      </c>
      <c r="P128" t="s">
        <v>1681</v>
      </c>
      <c r="Q128">
        <v>46075</v>
      </c>
      <c r="R128" t="s">
        <v>1866</v>
      </c>
      <c r="S128" t="s">
        <v>1867</v>
      </c>
      <c r="T128" t="s">
        <v>1868</v>
      </c>
      <c r="U128" t="s">
        <v>1261</v>
      </c>
      <c r="Y128" t="s">
        <v>1869</v>
      </c>
      <c r="Z128" t="s">
        <v>1870</v>
      </c>
      <c r="AA128" t="s">
        <v>1453</v>
      </c>
      <c r="AD128" t="s">
        <v>1871</v>
      </c>
      <c r="AE128">
        <v>2</v>
      </c>
      <c r="AF128" t="s">
        <v>1688</v>
      </c>
      <c r="AG128" t="s">
        <v>1872</v>
      </c>
      <c r="AJ128" t="s">
        <v>1458</v>
      </c>
      <c r="AK128" t="s">
        <v>1691</v>
      </c>
      <c r="AL128" t="s">
        <v>1871</v>
      </c>
      <c r="AM128" t="s">
        <v>1127</v>
      </c>
      <c r="AR128" t="s">
        <v>1873</v>
      </c>
      <c r="AW128" t="s">
        <v>1253</v>
      </c>
      <c r="AX128" t="s">
        <v>1253</v>
      </c>
      <c r="AY128" t="s">
        <v>1253</v>
      </c>
      <c r="AZ128" t="s">
        <v>1253</v>
      </c>
      <c r="BI128" t="s">
        <v>1270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1253</v>
      </c>
      <c r="BT128" t="s">
        <v>1253</v>
      </c>
      <c r="BU128" t="s">
        <v>1253</v>
      </c>
      <c r="BV128" t="s">
        <v>1253</v>
      </c>
      <c r="BW128" t="s">
        <v>1253</v>
      </c>
      <c r="BX128">
        <v>19200</v>
      </c>
    </row>
    <row r="129" spans="1:76">
      <c r="A129" t="s">
        <v>1462</v>
      </c>
      <c r="B129" t="s">
        <v>1253</v>
      </c>
      <c r="C129" t="s">
        <v>1253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1678</v>
      </c>
      <c r="H129" t="s">
        <v>1678</v>
      </c>
      <c r="I129" t="s">
        <v>1513</v>
      </c>
      <c r="J129" t="s">
        <v>1253</v>
      </c>
      <c r="K129" t="s">
        <v>1253</v>
      </c>
      <c r="L129" t="s">
        <v>1253</v>
      </c>
      <c r="M129" t="s">
        <v>1679</v>
      </c>
      <c r="N129" t="s">
        <v>1680</v>
      </c>
      <c r="O129" t="s">
        <v>1261</v>
      </c>
      <c r="P129" t="s">
        <v>1681</v>
      </c>
      <c r="Q129">
        <v>46075</v>
      </c>
      <c r="R129" t="s">
        <v>1874</v>
      </c>
      <c r="S129" t="s">
        <v>1875</v>
      </c>
      <c r="T129" t="s">
        <v>1876</v>
      </c>
      <c r="U129" t="s">
        <v>1261</v>
      </c>
      <c r="Y129" t="s">
        <v>1877</v>
      </c>
      <c r="Z129" t="s">
        <v>1878</v>
      </c>
      <c r="AA129" t="s">
        <v>1453</v>
      </c>
      <c r="AD129" t="s">
        <v>1879</v>
      </c>
      <c r="AE129">
        <v>2</v>
      </c>
      <c r="AF129" t="s">
        <v>1688</v>
      </c>
      <c r="AG129" t="s">
        <v>1880</v>
      </c>
      <c r="AJ129" t="s">
        <v>1458</v>
      </c>
      <c r="AK129" t="s">
        <v>1691</v>
      </c>
      <c r="AL129" t="s">
        <v>1879</v>
      </c>
      <c r="AM129" t="s">
        <v>1127</v>
      </c>
      <c r="AR129" t="s">
        <v>1881</v>
      </c>
      <c r="AW129" t="s">
        <v>1253</v>
      </c>
      <c r="AX129" t="s">
        <v>1253</v>
      </c>
      <c r="AY129" t="s">
        <v>1253</v>
      </c>
      <c r="AZ129" t="s">
        <v>1253</v>
      </c>
      <c r="BI129" t="s">
        <v>1270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1253</v>
      </c>
      <c r="BT129" t="s">
        <v>1253</v>
      </c>
      <c r="BU129" t="s">
        <v>1253</v>
      </c>
      <c r="BV129" t="s">
        <v>1253</v>
      </c>
      <c r="BW129" t="s">
        <v>1253</v>
      </c>
      <c r="BX129">
        <v>19200</v>
      </c>
    </row>
    <row r="130" spans="1:76">
      <c r="A130" t="s">
        <v>1462</v>
      </c>
      <c r="B130" t="s">
        <v>1253</v>
      </c>
      <c r="C130" t="s">
        <v>1253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1678</v>
      </c>
      <c r="H130" t="s">
        <v>1678</v>
      </c>
      <c r="I130" t="s">
        <v>1513</v>
      </c>
      <c r="J130" t="s">
        <v>1253</v>
      </c>
      <c r="K130" t="s">
        <v>1253</v>
      </c>
      <c r="L130" t="s">
        <v>1253</v>
      </c>
      <c r="M130" t="s">
        <v>1679</v>
      </c>
      <c r="N130" t="s">
        <v>1680</v>
      </c>
      <c r="O130" t="s">
        <v>1261</v>
      </c>
      <c r="P130" t="s">
        <v>1681</v>
      </c>
      <c r="Q130">
        <v>46075</v>
      </c>
      <c r="R130" t="s">
        <v>1882</v>
      </c>
      <c r="S130" t="s">
        <v>1883</v>
      </c>
      <c r="T130" t="s">
        <v>1884</v>
      </c>
      <c r="U130" t="s">
        <v>1261</v>
      </c>
      <c r="Y130" t="s">
        <v>1885</v>
      </c>
      <c r="Z130" t="s">
        <v>1886</v>
      </c>
      <c r="AA130" t="s">
        <v>1453</v>
      </c>
      <c r="AD130" t="s">
        <v>1887</v>
      </c>
      <c r="AE130">
        <v>2</v>
      </c>
      <c r="AF130" t="s">
        <v>1688</v>
      </c>
      <c r="AG130" t="s">
        <v>1888</v>
      </c>
      <c r="AJ130" t="s">
        <v>1458</v>
      </c>
      <c r="AK130" t="s">
        <v>1691</v>
      </c>
      <c r="AL130" t="s">
        <v>1887</v>
      </c>
      <c r="AM130" t="s">
        <v>1127</v>
      </c>
      <c r="AR130" t="s">
        <v>1889</v>
      </c>
      <c r="AW130" t="s">
        <v>1253</v>
      </c>
      <c r="AX130" t="s">
        <v>1253</v>
      </c>
      <c r="AY130" t="s">
        <v>1253</v>
      </c>
      <c r="AZ130" t="s">
        <v>1253</v>
      </c>
      <c r="BI130" t="s">
        <v>1270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1253</v>
      </c>
      <c r="BT130" t="s">
        <v>1253</v>
      </c>
      <c r="BU130" t="s">
        <v>1253</v>
      </c>
      <c r="BV130" t="s">
        <v>1253</v>
      </c>
      <c r="BW130" t="s">
        <v>1253</v>
      </c>
      <c r="BX130">
        <v>19200</v>
      </c>
    </row>
    <row r="131" spans="1:76">
      <c r="A131" t="s">
        <v>1462</v>
      </c>
      <c r="C131" t="s">
        <v>1271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1511</v>
      </c>
      <c r="H131" t="s">
        <v>1678</v>
      </c>
      <c r="I131" t="s">
        <v>1513</v>
      </c>
      <c r="J131" t="s">
        <v>1253</v>
      </c>
      <c r="K131" t="s">
        <v>1271</v>
      </c>
      <c r="L131" t="s">
        <v>1271</v>
      </c>
      <c r="R131" t="s">
        <v>1890</v>
      </c>
      <c r="BI131" t="s">
        <v>1270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1462</v>
      </c>
      <c r="C132" t="s">
        <v>1271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1511</v>
      </c>
      <c r="H132" t="s">
        <v>1678</v>
      </c>
      <c r="I132" t="s">
        <v>1513</v>
      </c>
      <c r="J132" t="s">
        <v>1253</v>
      </c>
      <c r="K132" t="s">
        <v>1271</v>
      </c>
      <c r="L132" t="s">
        <v>1271</v>
      </c>
      <c r="R132" t="s">
        <v>1891</v>
      </c>
      <c r="BI132" t="s">
        <v>1270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1462</v>
      </c>
      <c r="C133" t="s">
        <v>1271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1511</v>
      </c>
      <c r="H133" t="s">
        <v>1678</v>
      </c>
      <c r="I133" t="s">
        <v>1513</v>
      </c>
      <c r="J133" t="s">
        <v>1253</v>
      </c>
      <c r="K133" t="s">
        <v>1271</v>
      </c>
      <c r="L133" t="s">
        <v>1271</v>
      </c>
      <c r="R133" t="s">
        <v>1892</v>
      </c>
      <c r="BI133" t="s">
        <v>1270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1462</v>
      </c>
      <c r="C134" t="s">
        <v>1271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1511</v>
      </c>
      <c r="H134" t="s">
        <v>1678</v>
      </c>
      <c r="I134" t="s">
        <v>1513</v>
      </c>
      <c r="J134" t="s">
        <v>1253</v>
      </c>
      <c r="K134" t="s">
        <v>1271</v>
      </c>
      <c r="L134" t="s">
        <v>1271</v>
      </c>
      <c r="R134" t="s">
        <v>1893</v>
      </c>
      <c r="BI134" t="s">
        <v>1270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1462</v>
      </c>
      <c r="C135" t="s">
        <v>1271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1511</v>
      </c>
      <c r="H135" t="s">
        <v>1678</v>
      </c>
      <c r="I135" t="s">
        <v>1513</v>
      </c>
      <c r="J135" t="s">
        <v>1253</v>
      </c>
      <c r="K135" t="s">
        <v>1271</v>
      </c>
      <c r="L135" t="s">
        <v>1271</v>
      </c>
      <c r="R135" t="s">
        <v>1894</v>
      </c>
      <c r="BI135" t="s">
        <v>1270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1462</v>
      </c>
      <c r="C136" t="s">
        <v>1271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1511</v>
      </c>
      <c r="H136" t="s">
        <v>1678</v>
      </c>
      <c r="I136" t="s">
        <v>1513</v>
      </c>
      <c r="J136" t="s">
        <v>1253</v>
      </c>
      <c r="K136" t="s">
        <v>1271</v>
      </c>
      <c r="L136" t="s">
        <v>1271</v>
      </c>
      <c r="R136" t="s">
        <v>1895</v>
      </c>
      <c r="BI136" t="s">
        <v>1270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1462</v>
      </c>
      <c r="C137" t="s">
        <v>1271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1511</v>
      </c>
      <c r="H137" t="s">
        <v>1678</v>
      </c>
      <c r="I137" t="s">
        <v>1513</v>
      </c>
      <c r="J137" t="s">
        <v>1253</v>
      </c>
      <c r="K137" t="s">
        <v>1271</v>
      </c>
      <c r="L137" t="s">
        <v>1271</v>
      </c>
      <c r="R137" t="s">
        <v>1896</v>
      </c>
      <c r="BI137" t="s">
        <v>1270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1462</v>
      </c>
      <c r="C138" t="s">
        <v>1271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1897</v>
      </c>
      <c r="H138" t="s">
        <v>1678</v>
      </c>
      <c r="I138" t="s">
        <v>1513</v>
      </c>
      <c r="R138" t="s">
        <v>1898</v>
      </c>
      <c r="BI138" t="s">
        <v>1270</v>
      </c>
      <c r="BL138" t="str">
        <f t="shared" si="21"/>
        <v/>
      </c>
      <c r="BM138" t="str">
        <f t="shared" si="22"/>
        <v/>
      </c>
    </row>
    <row r="139" spans="1:76">
      <c r="A139" t="s">
        <v>1462</v>
      </c>
      <c r="C139" t="s">
        <v>1271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1897</v>
      </c>
      <c r="H139" t="s">
        <v>1678</v>
      </c>
      <c r="I139" t="s">
        <v>1513</v>
      </c>
      <c r="R139" t="s">
        <v>1899</v>
      </c>
      <c r="BI139" t="s">
        <v>1270</v>
      </c>
      <c r="BL139" t="str">
        <f t="shared" si="21"/>
        <v/>
      </c>
      <c r="BM139" t="str">
        <f t="shared" si="22"/>
        <v/>
      </c>
    </row>
    <row r="140" spans="1:76">
      <c r="A140" t="s">
        <v>1462</v>
      </c>
      <c r="C140" t="s">
        <v>1271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1897</v>
      </c>
      <c r="H140" t="s">
        <v>1900</v>
      </c>
      <c r="I140" t="s">
        <v>1513</v>
      </c>
      <c r="R140" t="s">
        <v>1901</v>
      </c>
      <c r="Y140" t="s">
        <v>1902</v>
      </c>
      <c r="Z140" t="s">
        <v>1903</v>
      </c>
      <c r="BI140" t="s">
        <v>1270</v>
      </c>
      <c r="BL140" t="str">
        <f t="shared" si="21"/>
        <v/>
      </c>
      <c r="BM140" t="str">
        <f t="shared" si="22"/>
        <v/>
      </c>
    </row>
    <row r="141" spans="1:76">
      <c r="A141" t="s">
        <v>1462</v>
      </c>
      <c r="C141" t="s">
        <v>1271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/>
      </c>
      <c r="G141" t="s">
        <v>1897</v>
      </c>
      <c r="H141" t="s">
        <v>1900</v>
      </c>
      <c r="I141" t="s">
        <v>1513</v>
      </c>
      <c r="R141" t="s">
        <v>1904</v>
      </c>
      <c r="Y141" t="s">
        <v>1905</v>
      </c>
      <c r="Z141" t="s">
        <v>1906</v>
      </c>
      <c r="BI141" t="s">
        <v>1270</v>
      </c>
      <c r="BL141" t="str">
        <f t="shared" si="21"/>
        <v/>
      </c>
      <c r="BM141" t="str">
        <f t="shared" si="22"/>
        <v/>
      </c>
    </row>
    <row r="142" spans="1:76">
      <c r="A142" t="s">
        <v>1462</v>
      </c>
      <c r="C142" t="s">
        <v>1271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1897</v>
      </c>
      <c r="H142" t="s">
        <v>1900</v>
      </c>
      <c r="I142" t="s">
        <v>1513</v>
      </c>
      <c r="R142" t="s">
        <v>1907</v>
      </c>
      <c r="Y142" t="s">
        <v>1908</v>
      </c>
      <c r="Z142" t="s">
        <v>1909</v>
      </c>
      <c r="BI142" t="s">
        <v>1270</v>
      </c>
      <c r="BL142" t="str">
        <f t="shared" si="21"/>
        <v/>
      </c>
      <c r="BM142" t="str">
        <f t="shared" si="22"/>
        <v/>
      </c>
    </row>
    <row r="143" spans="1:76">
      <c r="A143" t="s">
        <v>1910</v>
      </c>
      <c r="B143" t="s">
        <v>1253</v>
      </c>
      <c r="C143" t="s">
        <v>1253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1911</v>
      </c>
      <c r="H143" t="s">
        <v>1911</v>
      </c>
      <c r="R143" t="s">
        <v>1912</v>
      </c>
      <c r="T143" t="s">
        <v>1913</v>
      </c>
      <c r="W143" t="s">
        <v>1914</v>
      </c>
      <c r="X143" t="s">
        <v>1911</v>
      </c>
      <c r="Y143" t="s">
        <v>1915</v>
      </c>
      <c r="Z143" t="s">
        <v>1916</v>
      </c>
      <c r="AA143" t="s">
        <v>1453</v>
      </c>
      <c r="AD143" t="s">
        <v>1917</v>
      </c>
      <c r="AE143">
        <v>1</v>
      </c>
      <c r="AF143" t="s">
        <v>1918</v>
      </c>
      <c r="AG143" t="s">
        <v>1919</v>
      </c>
      <c r="AJ143" t="s">
        <v>1920</v>
      </c>
      <c r="AM143" t="s">
        <v>1117</v>
      </c>
      <c r="AR143" t="s">
        <v>1921</v>
      </c>
      <c r="AS143" t="s">
        <v>1922</v>
      </c>
      <c r="AY143" t="s">
        <v>1253</v>
      </c>
      <c r="AZ143" t="s">
        <v>1253</v>
      </c>
      <c r="BB143" t="s">
        <v>1253</v>
      </c>
      <c r="BC143" t="s">
        <v>1923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1253</v>
      </c>
      <c r="BT143" t="s">
        <v>1253</v>
      </c>
      <c r="BU143" t="s">
        <v>1253</v>
      </c>
      <c r="BV143" t="s">
        <v>1253</v>
      </c>
    </row>
    <row r="144" spans="1:76">
      <c r="A144" t="s">
        <v>1910</v>
      </c>
      <c r="B144" t="s">
        <v>1253</v>
      </c>
      <c r="C144" t="s">
        <v>1253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1911</v>
      </c>
      <c r="H144" t="s">
        <v>1911</v>
      </c>
      <c r="R144" t="s">
        <v>1924</v>
      </c>
      <c r="T144" t="s">
        <v>1925</v>
      </c>
      <c r="W144" t="s">
        <v>1926</v>
      </c>
      <c r="Y144" t="s">
        <v>1927</v>
      </c>
      <c r="Z144" t="s">
        <v>1261</v>
      </c>
      <c r="AA144" t="s">
        <v>1453</v>
      </c>
      <c r="AD144" t="s">
        <v>1917</v>
      </c>
      <c r="AE144">
        <v>1</v>
      </c>
      <c r="AF144" t="s">
        <v>1928</v>
      </c>
      <c r="AG144" t="s">
        <v>1765</v>
      </c>
      <c r="AJ144" t="s">
        <v>1929</v>
      </c>
      <c r="AR144" t="s">
        <v>1151</v>
      </c>
      <c r="AS144" t="s">
        <v>1930</v>
      </c>
      <c r="AY144" t="s">
        <v>1253</v>
      </c>
      <c r="AZ144" t="s">
        <v>1253</v>
      </c>
      <c r="BB144" t="s">
        <v>1253</v>
      </c>
      <c r="BC144" t="s">
        <v>1923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1253</v>
      </c>
      <c r="BT144" t="s">
        <v>1253</v>
      </c>
      <c r="BU144" t="s">
        <v>1253</v>
      </c>
      <c r="BV144" t="s">
        <v>1253</v>
      </c>
    </row>
    <row r="145" spans="1:75">
      <c r="A145" t="s">
        <v>1910</v>
      </c>
      <c r="B145" t="s">
        <v>1253</v>
      </c>
      <c r="C145" t="s">
        <v>1253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1911</v>
      </c>
      <c r="H145" t="s">
        <v>1911</v>
      </c>
      <c r="R145" t="s">
        <v>1931</v>
      </c>
      <c r="T145" t="s">
        <v>1932</v>
      </c>
      <c r="W145" t="s">
        <v>1933</v>
      </c>
      <c r="Y145" t="s">
        <v>1934</v>
      </c>
      <c r="Z145" t="s">
        <v>1457</v>
      </c>
      <c r="AA145" t="s">
        <v>1453</v>
      </c>
      <c r="AD145" t="s">
        <v>1917</v>
      </c>
      <c r="AE145">
        <v>1</v>
      </c>
      <c r="AF145" t="s">
        <v>1928</v>
      </c>
      <c r="AG145" t="s">
        <v>1689</v>
      </c>
      <c r="AJ145" t="s">
        <v>1929</v>
      </c>
      <c r="AR145" t="s">
        <v>1151</v>
      </c>
      <c r="AS145" t="s">
        <v>1935</v>
      </c>
      <c r="AY145" t="s">
        <v>1253</v>
      </c>
      <c r="AZ145" t="s">
        <v>1271</v>
      </c>
      <c r="BB145" t="s">
        <v>1253</v>
      </c>
      <c r="BC145" t="s">
        <v>1936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1253</v>
      </c>
      <c r="BT145" t="s">
        <v>1253</v>
      </c>
      <c r="BU145" t="s">
        <v>1253</v>
      </c>
      <c r="BV145" t="s">
        <v>1253</v>
      </c>
    </row>
    <row r="146" spans="1:75">
      <c r="A146" t="s">
        <v>1910</v>
      </c>
      <c r="B146" t="s">
        <v>1253</v>
      </c>
      <c r="C146" t="s">
        <v>1253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1911</v>
      </c>
      <c r="H146" t="s">
        <v>1911</v>
      </c>
      <c r="R146" t="s">
        <v>1937</v>
      </c>
      <c r="T146" t="s">
        <v>1938</v>
      </c>
      <c r="W146" t="s">
        <v>1939</v>
      </c>
      <c r="Y146" t="s">
        <v>1940</v>
      </c>
      <c r="Z146" t="s">
        <v>1457</v>
      </c>
      <c r="AA146" t="s">
        <v>1453</v>
      </c>
      <c r="AD146" t="s">
        <v>1917</v>
      </c>
      <c r="AE146">
        <v>1</v>
      </c>
      <c r="AF146" t="s">
        <v>1928</v>
      </c>
      <c r="AG146" t="s">
        <v>1699</v>
      </c>
      <c r="AJ146" t="s">
        <v>1941</v>
      </c>
      <c r="AR146" t="s">
        <v>1151</v>
      </c>
      <c r="AS146" t="s">
        <v>1942</v>
      </c>
      <c r="AY146" t="s">
        <v>1253</v>
      </c>
      <c r="AZ146" t="s">
        <v>1271</v>
      </c>
      <c r="BB146" t="s">
        <v>1253</v>
      </c>
      <c r="BC146" t="s">
        <v>1943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1253</v>
      </c>
      <c r="BT146" t="s">
        <v>1253</v>
      </c>
      <c r="BU146" t="s">
        <v>1253</v>
      </c>
      <c r="BV146" t="s">
        <v>1253</v>
      </c>
    </row>
    <row r="147" spans="1:75">
      <c r="A147" t="s">
        <v>1910</v>
      </c>
      <c r="B147" t="s">
        <v>1253</v>
      </c>
      <c r="C147" t="s">
        <v>1253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1911</v>
      </c>
      <c r="H147" t="s">
        <v>1911</v>
      </c>
      <c r="R147" t="s">
        <v>1944</v>
      </c>
      <c r="T147" t="s">
        <v>1945</v>
      </c>
      <c r="W147" t="s">
        <v>1946</v>
      </c>
      <c r="Y147" t="s">
        <v>1947</v>
      </c>
      <c r="AA147" t="s">
        <v>1453</v>
      </c>
      <c r="AD147" t="s">
        <v>1917</v>
      </c>
      <c r="AE147">
        <v>1</v>
      </c>
      <c r="AF147" t="s">
        <v>1928</v>
      </c>
      <c r="AG147" t="s">
        <v>1724</v>
      </c>
      <c r="AJ147" t="s">
        <v>1941</v>
      </c>
      <c r="AR147" t="s">
        <v>1151</v>
      </c>
      <c r="AS147" t="s">
        <v>1930</v>
      </c>
      <c r="AY147" t="s">
        <v>1253</v>
      </c>
      <c r="AZ147" t="s">
        <v>1253</v>
      </c>
      <c r="BB147" t="s">
        <v>1253</v>
      </c>
      <c r="BC147" t="s">
        <v>1948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1253</v>
      </c>
      <c r="BT147" t="s">
        <v>1253</v>
      </c>
      <c r="BU147" t="s">
        <v>1253</v>
      </c>
      <c r="BV147" t="s">
        <v>1253</v>
      </c>
    </row>
    <row r="148" spans="1:75">
      <c r="A148" t="s">
        <v>1910</v>
      </c>
      <c r="B148" t="s">
        <v>1253</v>
      </c>
      <c r="C148" t="s">
        <v>1253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1911</v>
      </c>
      <c r="H148" t="s">
        <v>1911</v>
      </c>
      <c r="R148" t="s">
        <v>1949</v>
      </c>
      <c r="T148" t="s">
        <v>1950</v>
      </c>
      <c r="W148" t="s">
        <v>1951</v>
      </c>
      <c r="Y148" t="s">
        <v>1952</v>
      </c>
      <c r="AA148" t="s">
        <v>1453</v>
      </c>
      <c r="AD148" t="s">
        <v>1917</v>
      </c>
      <c r="AE148">
        <v>1</v>
      </c>
      <c r="AF148" t="s">
        <v>1928</v>
      </c>
      <c r="AG148" t="s">
        <v>1740</v>
      </c>
      <c r="AJ148" t="s">
        <v>1953</v>
      </c>
      <c r="AR148" t="s">
        <v>1954</v>
      </c>
      <c r="AS148" t="s">
        <v>1930</v>
      </c>
      <c r="AY148" t="s">
        <v>1253</v>
      </c>
      <c r="AZ148" t="s">
        <v>1253</v>
      </c>
      <c r="BB148" t="s">
        <v>1253</v>
      </c>
      <c r="BC148" t="s">
        <v>1955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1253</v>
      </c>
      <c r="BT148" t="s">
        <v>1253</v>
      </c>
      <c r="BU148" t="s">
        <v>1253</v>
      </c>
      <c r="BV148" t="s">
        <v>1253</v>
      </c>
    </row>
    <row r="149" spans="1:75">
      <c r="A149" t="s">
        <v>1910</v>
      </c>
      <c r="B149" t="s">
        <v>1253</v>
      </c>
      <c r="C149" t="s">
        <v>1253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1911</v>
      </c>
      <c r="H149" t="s">
        <v>1911</v>
      </c>
      <c r="R149" t="s">
        <v>1956</v>
      </c>
      <c r="T149" t="s">
        <v>1957</v>
      </c>
      <c r="W149" t="s">
        <v>1958</v>
      </c>
      <c r="Y149" t="s">
        <v>1959</v>
      </c>
      <c r="AA149" t="s">
        <v>1453</v>
      </c>
      <c r="AD149" t="s">
        <v>1917</v>
      </c>
      <c r="AE149">
        <v>1</v>
      </c>
      <c r="AF149" t="s">
        <v>1928</v>
      </c>
      <c r="AG149" t="s">
        <v>1707</v>
      </c>
      <c r="AJ149" t="s">
        <v>1929</v>
      </c>
      <c r="AR149" t="s">
        <v>1954</v>
      </c>
      <c r="AS149" t="s">
        <v>1960</v>
      </c>
      <c r="AY149" t="s">
        <v>1253</v>
      </c>
      <c r="AZ149" t="s">
        <v>1253</v>
      </c>
      <c r="BB149" t="s">
        <v>1253</v>
      </c>
      <c r="BC149" t="s">
        <v>1948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1253</v>
      </c>
      <c r="BT149" t="s">
        <v>1253</v>
      </c>
      <c r="BU149" t="s">
        <v>1253</v>
      </c>
      <c r="BV149" t="s">
        <v>1253</v>
      </c>
    </row>
    <row r="150" spans="1:75">
      <c r="A150" t="s">
        <v>1910</v>
      </c>
      <c r="B150" t="s">
        <v>1271</v>
      </c>
      <c r="C150" t="s">
        <v>1271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1911</v>
      </c>
      <c r="H150" t="s">
        <v>1911</v>
      </c>
      <c r="AA150" t="s">
        <v>1453</v>
      </c>
      <c r="AD150" t="s">
        <v>1917</v>
      </c>
      <c r="AE150">
        <v>1</v>
      </c>
      <c r="AY150" t="s">
        <v>1271</v>
      </c>
      <c r="AZ150" t="s">
        <v>1253</v>
      </c>
      <c r="BB150" t="s">
        <v>1253</v>
      </c>
      <c r="BC150" t="s">
        <v>1961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1253</v>
      </c>
      <c r="BT150" t="s">
        <v>1253</v>
      </c>
      <c r="BU150" t="s">
        <v>1253</v>
      </c>
      <c r="BV150" t="s">
        <v>1253</v>
      </c>
    </row>
    <row r="151" spans="1:75">
      <c r="A151" t="s">
        <v>1910</v>
      </c>
      <c r="B151" t="s">
        <v>1271</v>
      </c>
      <c r="C151" t="s">
        <v>1271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1911</v>
      </c>
      <c r="H151" t="s">
        <v>1911</v>
      </c>
      <c r="AA151" t="s">
        <v>1453</v>
      </c>
      <c r="AD151" t="s">
        <v>1917</v>
      </c>
      <c r="AE151">
        <v>1</v>
      </c>
      <c r="AY151" t="s">
        <v>1271</v>
      </c>
      <c r="AZ151" t="s">
        <v>1253</v>
      </c>
      <c r="BB151" t="s">
        <v>1253</v>
      </c>
      <c r="BC151" t="s">
        <v>1961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1253</v>
      </c>
      <c r="BT151" t="s">
        <v>1253</v>
      </c>
      <c r="BU151" t="s">
        <v>1253</v>
      </c>
      <c r="BV151" t="s">
        <v>1253</v>
      </c>
    </row>
    <row r="152" spans="1:75">
      <c r="A152" t="s">
        <v>1910</v>
      </c>
      <c r="B152" t="s">
        <v>1271</v>
      </c>
      <c r="C152" t="s">
        <v>1271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1911</v>
      </c>
      <c r="H152" t="s">
        <v>1911</v>
      </c>
      <c r="AA152" t="s">
        <v>1453</v>
      </c>
      <c r="AD152" t="s">
        <v>1917</v>
      </c>
      <c r="AE152">
        <v>1</v>
      </c>
      <c r="AY152" t="s">
        <v>1271</v>
      </c>
      <c r="AZ152" t="s">
        <v>1253</v>
      </c>
      <c r="BB152" t="s">
        <v>1253</v>
      </c>
      <c r="BC152" t="s">
        <v>1961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1253</v>
      </c>
      <c r="BT152" t="s">
        <v>1253</v>
      </c>
      <c r="BU152" t="s">
        <v>1253</v>
      </c>
      <c r="BV152" t="s">
        <v>1253</v>
      </c>
    </row>
    <row r="153" spans="1:75">
      <c r="A153" t="s">
        <v>1462</v>
      </c>
      <c r="B153" t="s">
        <v>1253</v>
      </c>
      <c r="C153" t="s">
        <v>1253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1487</v>
      </c>
      <c r="H153" t="s">
        <v>1487</v>
      </c>
      <c r="I153" t="s">
        <v>1962</v>
      </c>
      <c r="J153" t="s">
        <v>1963</v>
      </c>
      <c r="K153" t="s">
        <v>1964</v>
      </c>
      <c r="L153" t="s">
        <v>1964</v>
      </c>
      <c r="M153" t="s">
        <v>1965</v>
      </c>
      <c r="N153" t="s">
        <v>1966</v>
      </c>
      <c r="O153" t="s">
        <v>1261</v>
      </c>
      <c r="P153" t="s">
        <v>1967</v>
      </c>
      <c r="Q153">
        <v>46067</v>
      </c>
      <c r="R153" t="s">
        <v>1601</v>
      </c>
      <c r="U153" t="s">
        <v>1968</v>
      </c>
      <c r="Y153" t="s">
        <v>1969</v>
      </c>
      <c r="AA153" t="s">
        <v>1453</v>
      </c>
      <c r="AD153" t="s">
        <v>1970</v>
      </c>
      <c r="AE153">
        <v>2</v>
      </c>
      <c r="AF153" t="s">
        <v>1971</v>
      </c>
      <c r="AG153" t="s">
        <v>1715</v>
      </c>
      <c r="AI153">
        <v>5601483</v>
      </c>
      <c r="AJ153" t="s">
        <v>1929</v>
      </c>
      <c r="AK153" t="s">
        <v>1972</v>
      </c>
      <c r="AL153" t="s">
        <v>1973</v>
      </c>
      <c r="AM153" t="s">
        <v>1261</v>
      </c>
      <c r="AN153" t="s">
        <v>1261</v>
      </c>
      <c r="AO153" t="s">
        <v>1261</v>
      </c>
      <c r="AP153" t="s">
        <v>1261</v>
      </c>
      <c r="AQ153" t="s">
        <v>1261</v>
      </c>
      <c r="AR153" t="s">
        <v>1151</v>
      </c>
      <c r="AS153" t="s">
        <v>1974</v>
      </c>
      <c r="AY153" t="s">
        <v>1271</v>
      </c>
      <c r="AZ153" t="s">
        <v>1253</v>
      </c>
      <c r="BB153" t="s">
        <v>1253</v>
      </c>
      <c r="BI153" t="s">
        <v>1270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1271</v>
      </c>
      <c r="BT153" t="s">
        <v>1253</v>
      </c>
      <c r="BU153" t="s">
        <v>1253</v>
      </c>
      <c r="BV153" t="s">
        <v>1271</v>
      </c>
      <c r="BW153" t="s">
        <v>1253</v>
      </c>
    </row>
    <row r="154" spans="1:75">
      <c r="A154" t="s">
        <v>1462</v>
      </c>
      <c r="B154" t="s">
        <v>1253</v>
      </c>
      <c r="C154" t="s">
        <v>1253</v>
      </c>
      <c r="D154" t="str">
        <f t="shared" si="24"/>
        <v>No</v>
      </c>
      <c r="E154" t="s">
        <v>1460</v>
      </c>
      <c r="F154" t="s">
        <v>1460</v>
      </c>
      <c r="G154" t="s">
        <v>1487</v>
      </c>
      <c r="H154" t="s">
        <v>1487</v>
      </c>
      <c r="I154" t="s">
        <v>1962</v>
      </c>
      <c r="J154" t="s">
        <v>1963</v>
      </c>
      <c r="K154" t="s">
        <v>1964</v>
      </c>
      <c r="L154" t="s">
        <v>1964</v>
      </c>
      <c r="M154" t="s">
        <v>1965</v>
      </c>
      <c r="N154" t="s">
        <v>1966</v>
      </c>
      <c r="O154" t="s">
        <v>1261</v>
      </c>
      <c r="P154" t="s">
        <v>1967</v>
      </c>
      <c r="Q154">
        <v>46067</v>
      </c>
      <c r="R154" t="s">
        <v>1604</v>
      </c>
      <c r="Y154" t="s">
        <v>1975</v>
      </c>
      <c r="AA154" t="s">
        <v>1453</v>
      </c>
      <c r="AD154" t="s">
        <v>1976</v>
      </c>
      <c r="AE154">
        <v>2</v>
      </c>
      <c r="AF154" t="s">
        <v>1971</v>
      </c>
      <c r="AG154" t="s">
        <v>1699</v>
      </c>
      <c r="AI154">
        <v>5601483</v>
      </c>
      <c r="AJ154" t="s">
        <v>1929</v>
      </c>
      <c r="AK154" t="s">
        <v>1972</v>
      </c>
      <c r="AL154" t="s">
        <v>1973</v>
      </c>
      <c r="AM154" t="s">
        <v>1261</v>
      </c>
      <c r="AN154" t="s">
        <v>1261</v>
      </c>
      <c r="AO154" t="s">
        <v>1261</v>
      </c>
      <c r="AP154" t="s">
        <v>1261</v>
      </c>
      <c r="AQ154" t="s">
        <v>1261</v>
      </c>
      <c r="AR154" t="s">
        <v>1151</v>
      </c>
      <c r="AS154" t="s">
        <v>1974</v>
      </c>
      <c r="AY154" t="s">
        <v>1271</v>
      </c>
      <c r="AZ154" t="s">
        <v>1253</v>
      </c>
      <c r="BB154" t="s">
        <v>1253</v>
      </c>
      <c r="BI154" t="s">
        <v>1270</v>
      </c>
      <c r="BS154" t="s">
        <v>1271</v>
      </c>
      <c r="BT154" t="s">
        <v>1253</v>
      </c>
      <c r="BU154" t="s">
        <v>1253</v>
      </c>
      <c r="BV154" t="s">
        <v>1271</v>
      </c>
      <c r="BW154" t="s">
        <v>1253</v>
      </c>
    </row>
    <row r="155" spans="1:75">
      <c r="A155" t="s">
        <v>1462</v>
      </c>
      <c r="B155" t="s">
        <v>1253</v>
      </c>
      <c r="C155" t="s">
        <v>1253</v>
      </c>
      <c r="D155" t="str">
        <f t="shared" si="24"/>
        <v>No</v>
      </c>
      <c r="E155" t="s">
        <v>1460</v>
      </c>
      <c r="F155" t="s">
        <v>1460</v>
      </c>
      <c r="G155" t="s">
        <v>1487</v>
      </c>
      <c r="H155" t="s">
        <v>1487</v>
      </c>
      <c r="I155" t="s">
        <v>1962</v>
      </c>
      <c r="J155" t="s">
        <v>1963</v>
      </c>
      <c r="K155" t="s">
        <v>1964</v>
      </c>
      <c r="L155" t="s">
        <v>1964</v>
      </c>
      <c r="M155" t="s">
        <v>1965</v>
      </c>
      <c r="N155" t="s">
        <v>1966</v>
      </c>
      <c r="O155" t="s">
        <v>1261</v>
      </c>
      <c r="P155" t="s">
        <v>1967</v>
      </c>
      <c r="Q155">
        <v>46067</v>
      </c>
      <c r="R155" t="s">
        <v>1592</v>
      </c>
      <c r="Y155" t="s">
        <v>1977</v>
      </c>
      <c r="AA155" t="s">
        <v>1453</v>
      </c>
      <c r="AD155" t="s">
        <v>1978</v>
      </c>
      <c r="AE155">
        <v>2</v>
      </c>
      <c r="AF155" t="s">
        <v>1971</v>
      </c>
      <c r="AG155" t="s">
        <v>1724</v>
      </c>
      <c r="AI155">
        <v>5601483</v>
      </c>
      <c r="AJ155" t="s">
        <v>1929</v>
      </c>
      <c r="AK155" t="s">
        <v>1972</v>
      </c>
      <c r="AL155" t="s">
        <v>1973</v>
      </c>
      <c r="AM155" t="s">
        <v>1261</v>
      </c>
      <c r="AN155" t="s">
        <v>1261</v>
      </c>
      <c r="AO155" t="s">
        <v>1261</v>
      </c>
      <c r="AP155" t="s">
        <v>1261</v>
      </c>
      <c r="AQ155" t="s">
        <v>1261</v>
      </c>
      <c r="AR155" t="s">
        <v>1151</v>
      </c>
      <c r="AS155" t="s">
        <v>1974</v>
      </c>
      <c r="AY155" t="s">
        <v>1271</v>
      </c>
      <c r="AZ155" t="s">
        <v>1253</v>
      </c>
      <c r="BB155" t="s">
        <v>1253</v>
      </c>
      <c r="BI155" t="s">
        <v>1270</v>
      </c>
      <c r="BS155" t="s">
        <v>1271</v>
      </c>
      <c r="BT155" t="s">
        <v>1253</v>
      </c>
      <c r="BU155" t="s">
        <v>1253</v>
      </c>
      <c r="BV155" t="s">
        <v>1271</v>
      </c>
      <c r="BW155" t="s">
        <v>1253</v>
      </c>
    </row>
    <row r="156" spans="1:75">
      <c r="A156" t="s">
        <v>1462</v>
      </c>
      <c r="B156" t="s">
        <v>1253</v>
      </c>
      <c r="C156" t="s">
        <v>1253</v>
      </c>
      <c r="D156" t="str">
        <f t="shared" si="24"/>
        <v>No</v>
      </c>
      <c r="E156" t="s">
        <v>1460</v>
      </c>
      <c r="F156" t="s">
        <v>1460</v>
      </c>
      <c r="G156" t="s">
        <v>1487</v>
      </c>
      <c r="H156" t="s">
        <v>1487</v>
      </c>
      <c r="I156" t="s">
        <v>1962</v>
      </c>
      <c r="J156" t="s">
        <v>1963</v>
      </c>
      <c r="K156" t="s">
        <v>1964</v>
      </c>
      <c r="L156" t="s">
        <v>1964</v>
      </c>
      <c r="M156" t="s">
        <v>1965</v>
      </c>
      <c r="N156" t="s">
        <v>1966</v>
      </c>
      <c r="O156" t="s">
        <v>1261</v>
      </c>
      <c r="P156" t="s">
        <v>1967</v>
      </c>
      <c r="Q156">
        <v>46067</v>
      </c>
      <c r="R156" t="s">
        <v>1595</v>
      </c>
      <c r="Y156" t="s">
        <v>1979</v>
      </c>
      <c r="AA156" t="s">
        <v>1453</v>
      </c>
      <c r="AD156" t="s">
        <v>1980</v>
      </c>
      <c r="AE156">
        <v>2</v>
      </c>
      <c r="AF156" t="s">
        <v>1971</v>
      </c>
      <c r="AG156" t="s">
        <v>1740</v>
      </c>
      <c r="AI156">
        <v>5601483</v>
      </c>
      <c r="AJ156" t="s">
        <v>1929</v>
      </c>
      <c r="AK156" t="s">
        <v>1972</v>
      </c>
      <c r="AL156" t="s">
        <v>1973</v>
      </c>
      <c r="AM156" t="s">
        <v>1261</v>
      </c>
      <c r="AN156" t="s">
        <v>1261</v>
      </c>
      <c r="AO156" t="s">
        <v>1261</v>
      </c>
      <c r="AP156" t="s">
        <v>1261</v>
      </c>
      <c r="AQ156" t="s">
        <v>1261</v>
      </c>
      <c r="AR156" t="s">
        <v>1151</v>
      </c>
      <c r="AS156" t="s">
        <v>1974</v>
      </c>
      <c r="AY156" t="s">
        <v>1271</v>
      </c>
      <c r="AZ156" t="s">
        <v>1253</v>
      </c>
      <c r="BB156" t="s">
        <v>1253</v>
      </c>
      <c r="BI156" t="s">
        <v>1270</v>
      </c>
      <c r="BS156" t="s">
        <v>1271</v>
      </c>
      <c r="BT156" t="s">
        <v>1253</v>
      </c>
      <c r="BU156" t="s">
        <v>1253</v>
      </c>
      <c r="BV156" t="s">
        <v>1271</v>
      </c>
      <c r="BW156" t="s">
        <v>1253</v>
      </c>
    </row>
    <row r="157" spans="1:75">
      <c r="A157" t="s">
        <v>1462</v>
      </c>
      <c r="B157" t="s">
        <v>1253</v>
      </c>
      <c r="C157" t="s">
        <v>1253</v>
      </c>
      <c r="D157" t="str">
        <f t="shared" si="24"/>
        <v>No</v>
      </c>
      <c r="E157" t="s">
        <v>1460</v>
      </c>
      <c r="F157" t="s">
        <v>1460</v>
      </c>
      <c r="G157" t="s">
        <v>1487</v>
      </c>
      <c r="H157" t="s">
        <v>1487</v>
      </c>
      <c r="I157" t="s">
        <v>1962</v>
      </c>
      <c r="J157" t="s">
        <v>1963</v>
      </c>
      <c r="K157" t="s">
        <v>1964</v>
      </c>
      <c r="L157" t="s">
        <v>1964</v>
      </c>
      <c r="M157" t="s">
        <v>1965</v>
      </c>
      <c r="N157" t="s">
        <v>1966</v>
      </c>
      <c r="O157" t="s">
        <v>1261</v>
      </c>
      <c r="P157" t="s">
        <v>1967</v>
      </c>
      <c r="Q157">
        <v>46067</v>
      </c>
      <c r="R157" t="s">
        <v>1598</v>
      </c>
      <c r="Y157" t="s">
        <v>1981</v>
      </c>
      <c r="AA157" t="s">
        <v>1453</v>
      </c>
      <c r="AD157" t="s">
        <v>1982</v>
      </c>
      <c r="AE157">
        <v>2</v>
      </c>
      <c r="AF157" t="s">
        <v>1971</v>
      </c>
      <c r="AG157" t="s">
        <v>1765</v>
      </c>
      <c r="AI157">
        <v>5601483</v>
      </c>
      <c r="AJ157" t="s">
        <v>1929</v>
      </c>
      <c r="AK157" t="s">
        <v>1972</v>
      </c>
      <c r="AL157" t="s">
        <v>1973</v>
      </c>
      <c r="AM157" t="s">
        <v>1261</v>
      </c>
      <c r="AN157" t="s">
        <v>1261</v>
      </c>
      <c r="AO157" t="s">
        <v>1261</v>
      </c>
      <c r="AP157" t="s">
        <v>1261</v>
      </c>
      <c r="AQ157" t="s">
        <v>1261</v>
      </c>
      <c r="AR157" t="s">
        <v>1151</v>
      </c>
      <c r="AS157" t="s">
        <v>1974</v>
      </c>
      <c r="AY157" t="s">
        <v>1271</v>
      </c>
      <c r="AZ157" t="s">
        <v>1253</v>
      </c>
      <c r="BB157" t="s">
        <v>1253</v>
      </c>
      <c r="BI157" t="s">
        <v>1270</v>
      </c>
      <c r="BS157" t="s">
        <v>1271</v>
      </c>
      <c r="BT157" t="s">
        <v>1253</v>
      </c>
      <c r="BU157" t="s">
        <v>1253</v>
      </c>
      <c r="BV157" t="s">
        <v>1271</v>
      </c>
      <c r="BW157" t="s">
        <v>1253</v>
      </c>
    </row>
    <row r="158" spans="1:75">
      <c r="A158" t="s">
        <v>1462</v>
      </c>
      <c r="B158" t="s">
        <v>1253</v>
      </c>
      <c r="C158" t="s">
        <v>1253</v>
      </c>
      <c r="D158" t="str">
        <f t="shared" si="24"/>
        <v>No</v>
      </c>
      <c r="E158" t="s">
        <v>1460</v>
      </c>
      <c r="F158" t="s">
        <v>1460</v>
      </c>
      <c r="G158" t="s">
        <v>1487</v>
      </c>
      <c r="H158" t="s">
        <v>1487</v>
      </c>
      <c r="I158" t="s">
        <v>1962</v>
      </c>
      <c r="J158" t="s">
        <v>1963</v>
      </c>
      <c r="K158" t="s">
        <v>1964</v>
      </c>
      <c r="L158" t="s">
        <v>1964</v>
      </c>
      <c r="M158" t="s">
        <v>1965</v>
      </c>
      <c r="N158" t="s">
        <v>1966</v>
      </c>
      <c r="O158" t="s">
        <v>1261</v>
      </c>
      <c r="P158" t="s">
        <v>1967</v>
      </c>
      <c r="Q158">
        <v>46067</v>
      </c>
      <c r="R158" t="s">
        <v>1586</v>
      </c>
      <c r="Y158" t="s">
        <v>1983</v>
      </c>
      <c r="AA158" t="s">
        <v>1453</v>
      </c>
      <c r="AD158" t="s">
        <v>1984</v>
      </c>
      <c r="AE158">
        <v>2</v>
      </c>
      <c r="AF158" t="s">
        <v>1971</v>
      </c>
      <c r="AG158" t="s">
        <v>1689</v>
      </c>
      <c r="AI158">
        <v>5601483</v>
      </c>
      <c r="AJ158" t="s">
        <v>1929</v>
      </c>
      <c r="AK158" t="s">
        <v>1972</v>
      </c>
      <c r="AL158" t="s">
        <v>1973</v>
      </c>
      <c r="AM158" t="s">
        <v>1261</v>
      </c>
      <c r="AN158" t="s">
        <v>1261</v>
      </c>
      <c r="AO158" t="s">
        <v>1261</v>
      </c>
      <c r="AP158" t="s">
        <v>1261</v>
      </c>
      <c r="AQ158" t="s">
        <v>1261</v>
      </c>
      <c r="AR158" t="s">
        <v>1151</v>
      </c>
      <c r="AS158" t="s">
        <v>1974</v>
      </c>
      <c r="AY158" t="s">
        <v>1271</v>
      </c>
      <c r="AZ158" t="s">
        <v>1253</v>
      </c>
      <c r="BB158" t="s">
        <v>1253</v>
      </c>
      <c r="BI158" t="s">
        <v>1270</v>
      </c>
      <c r="BS158" t="s">
        <v>1271</v>
      </c>
      <c r="BT158" t="s">
        <v>1253</v>
      </c>
      <c r="BU158" t="s">
        <v>1253</v>
      </c>
      <c r="BV158" t="s">
        <v>1271</v>
      </c>
      <c r="BW158" t="s">
        <v>1253</v>
      </c>
    </row>
    <row r="159" spans="1:75">
      <c r="A159" t="s">
        <v>1462</v>
      </c>
      <c r="B159" t="s">
        <v>1253</v>
      </c>
      <c r="C159" t="s">
        <v>1253</v>
      </c>
      <c r="D159" t="str">
        <f t="shared" si="24"/>
        <v>No</v>
      </c>
      <c r="E159" t="s">
        <v>1460</v>
      </c>
      <c r="F159" t="s">
        <v>1460</v>
      </c>
      <c r="G159" t="s">
        <v>1487</v>
      </c>
      <c r="H159" t="s">
        <v>1487</v>
      </c>
      <c r="I159" t="s">
        <v>1962</v>
      </c>
      <c r="J159" t="s">
        <v>1963</v>
      </c>
      <c r="K159" t="s">
        <v>1964</v>
      </c>
      <c r="L159" t="s">
        <v>1964</v>
      </c>
      <c r="M159" t="s">
        <v>1965</v>
      </c>
      <c r="N159" t="s">
        <v>1966</v>
      </c>
      <c r="O159" t="s">
        <v>1261</v>
      </c>
      <c r="P159" t="s">
        <v>1967</v>
      </c>
      <c r="Q159">
        <v>46067</v>
      </c>
      <c r="R159" t="s">
        <v>1589</v>
      </c>
      <c r="Y159" t="s">
        <v>1985</v>
      </c>
      <c r="AA159" t="s">
        <v>1453</v>
      </c>
      <c r="AD159" t="s">
        <v>1986</v>
      </c>
      <c r="AE159">
        <v>2</v>
      </c>
      <c r="AF159" t="s">
        <v>1971</v>
      </c>
      <c r="AG159" t="s">
        <v>1774</v>
      </c>
      <c r="AI159">
        <v>5601483</v>
      </c>
      <c r="AJ159" t="s">
        <v>1929</v>
      </c>
      <c r="AK159" t="s">
        <v>1972</v>
      </c>
      <c r="AL159" t="s">
        <v>1973</v>
      </c>
      <c r="AM159" t="s">
        <v>1261</v>
      </c>
      <c r="AN159" t="s">
        <v>1261</v>
      </c>
      <c r="AO159" t="s">
        <v>1261</v>
      </c>
      <c r="AP159" t="s">
        <v>1261</v>
      </c>
      <c r="AQ159" t="s">
        <v>1261</v>
      </c>
      <c r="AR159" t="s">
        <v>1151</v>
      </c>
      <c r="AS159" t="s">
        <v>1974</v>
      </c>
      <c r="AY159" t="s">
        <v>1271</v>
      </c>
      <c r="AZ159" t="s">
        <v>1253</v>
      </c>
      <c r="BB159" t="s">
        <v>1253</v>
      </c>
      <c r="BI159" t="s">
        <v>1270</v>
      </c>
      <c r="BS159" t="s">
        <v>1271</v>
      </c>
      <c r="BT159" t="s">
        <v>1253</v>
      </c>
      <c r="BU159" t="s">
        <v>1253</v>
      </c>
      <c r="BV159" t="s">
        <v>1271</v>
      </c>
      <c r="BW159" t="s">
        <v>1253</v>
      </c>
    </row>
    <row r="160" spans="1:75">
      <c r="A160" t="s">
        <v>1462</v>
      </c>
      <c r="B160" t="s">
        <v>1253</v>
      </c>
      <c r="C160" t="s">
        <v>1253</v>
      </c>
      <c r="D160" t="str">
        <f t="shared" si="24"/>
        <v>No</v>
      </c>
      <c r="E160" t="s">
        <v>1460</v>
      </c>
      <c r="F160" t="s">
        <v>1460</v>
      </c>
      <c r="G160" t="s">
        <v>1487</v>
      </c>
      <c r="H160" t="s">
        <v>1487</v>
      </c>
      <c r="I160" t="s">
        <v>1962</v>
      </c>
      <c r="J160" t="s">
        <v>1963</v>
      </c>
      <c r="K160" t="s">
        <v>1964</v>
      </c>
      <c r="L160" t="s">
        <v>1964</v>
      </c>
      <c r="M160" t="s">
        <v>1965</v>
      </c>
      <c r="N160" t="s">
        <v>1966</v>
      </c>
      <c r="O160" t="s">
        <v>1261</v>
      </c>
      <c r="P160" t="s">
        <v>1967</v>
      </c>
      <c r="Q160">
        <v>46067</v>
      </c>
      <c r="R160" t="s">
        <v>1583</v>
      </c>
      <c r="Y160" t="s">
        <v>1987</v>
      </c>
      <c r="AA160" t="s">
        <v>1453</v>
      </c>
      <c r="AD160" t="s">
        <v>1988</v>
      </c>
      <c r="AE160">
        <v>2</v>
      </c>
      <c r="AF160" t="s">
        <v>1971</v>
      </c>
      <c r="AG160" t="s">
        <v>1707</v>
      </c>
      <c r="AI160">
        <v>5601483</v>
      </c>
      <c r="AJ160" t="s">
        <v>1929</v>
      </c>
      <c r="AK160" t="s">
        <v>1972</v>
      </c>
      <c r="AL160" t="s">
        <v>1973</v>
      </c>
      <c r="AM160" t="s">
        <v>1261</v>
      </c>
      <c r="AN160" t="s">
        <v>1261</v>
      </c>
      <c r="AO160" t="s">
        <v>1261</v>
      </c>
      <c r="AP160" t="s">
        <v>1261</v>
      </c>
      <c r="AQ160" t="s">
        <v>1261</v>
      </c>
      <c r="AR160" t="s">
        <v>1151</v>
      </c>
      <c r="AS160" t="s">
        <v>1974</v>
      </c>
      <c r="AY160" t="s">
        <v>1271</v>
      </c>
      <c r="AZ160" t="s">
        <v>1253</v>
      </c>
      <c r="BB160" t="s">
        <v>1253</v>
      </c>
      <c r="BI160" t="s">
        <v>1270</v>
      </c>
      <c r="BS160" t="s">
        <v>1271</v>
      </c>
      <c r="BT160" t="s">
        <v>1253</v>
      </c>
      <c r="BU160" t="s">
        <v>1253</v>
      </c>
      <c r="BV160" t="s">
        <v>1271</v>
      </c>
      <c r="BW160" t="s">
        <v>1253</v>
      </c>
    </row>
    <row r="161" spans="1:75">
      <c r="A161" t="s">
        <v>1462</v>
      </c>
      <c r="B161" t="s">
        <v>1253</v>
      </c>
      <c r="C161" t="s">
        <v>1253</v>
      </c>
      <c r="D161" t="str">
        <f t="shared" si="24"/>
        <v>No</v>
      </c>
      <c r="E161" t="s">
        <v>1460</v>
      </c>
      <c r="F161" t="s">
        <v>1460</v>
      </c>
      <c r="G161" t="s">
        <v>1487</v>
      </c>
      <c r="H161" t="s">
        <v>1487</v>
      </c>
      <c r="I161" t="s">
        <v>1962</v>
      </c>
      <c r="J161" t="s">
        <v>1963</v>
      </c>
      <c r="K161" t="s">
        <v>1964</v>
      </c>
      <c r="L161" t="s">
        <v>1964</v>
      </c>
      <c r="M161" t="s">
        <v>1965</v>
      </c>
      <c r="N161" t="s">
        <v>1966</v>
      </c>
      <c r="O161" t="s">
        <v>1261</v>
      </c>
      <c r="P161" t="s">
        <v>1967</v>
      </c>
      <c r="Q161">
        <v>46067</v>
      </c>
      <c r="R161" t="s">
        <v>1629</v>
      </c>
      <c r="Y161" t="s">
        <v>1989</v>
      </c>
      <c r="AA161" t="s">
        <v>1453</v>
      </c>
      <c r="AD161" t="s">
        <v>1990</v>
      </c>
      <c r="AE161">
        <v>2</v>
      </c>
      <c r="AF161" t="s">
        <v>1971</v>
      </c>
      <c r="AG161" t="s">
        <v>1991</v>
      </c>
      <c r="AI161">
        <v>5601483</v>
      </c>
      <c r="AJ161" t="s">
        <v>1929</v>
      </c>
      <c r="AK161" t="s">
        <v>1972</v>
      </c>
      <c r="AL161" t="s">
        <v>1973</v>
      </c>
      <c r="AM161" t="s">
        <v>1261</v>
      </c>
      <c r="AN161" t="s">
        <v>1261</v>
      </c>
      <c r="AO161" t="s">
        <v>1261</v>
      </c>
      <c r="AP161" t="s">
        <v>1261</v>
      </c>
      <c r="AQ161" t="s">
        <v>1261</v>
      </c>
      <c r="AR161" t="s">
        <v>1151</v>
      </c>
      <c r="AS161" t="s">
        <v>1974</v>
      </c>
      <c r="AY161" t="s">
        <v>1271</v>
      </c>
      <c r="AZ161" t="s">
        <v>1253</v>
      </c>
      <c r="BB161" t="s">
        <v>1253</v>
      </c>
      <c r="BI161" t="s">
        <v>1270</v>
      </c>
      <c r="BS161" t="s">
        <v>1271</v>
      </c>
      <c r="BT161" t="s">
        <v>1253</v>
      </c>
      <c r="BU161" t="s">
        <v>1253</v>
      </c>
      <c r="BV161" t="s">
        <v>1271</v>
      </c>
      <c r="BW161" t="s">
        <v>1253</v>
      </c>
    </row>
    <row r="162" spans="1:75">
      <c r="A162" t="s">
        <v>1462</v>
      </c>
      <c r="B162" t="s">
        <v>1271</v>
      </c>
      <c r="C162" t="s">
        <v>1992</v>
      </c>
      <c r="D162" t="str">
        <f t="shared" si="24"/>
        <v/>
      </c>
      <c r="G162" t="s">
        <v>1511</v>
      </c>
      <c r="H162" t="s">
        <v>1644</v>
      </c>
      <c r="I162" t="s">
        <v>1513</v>
      </c>
      <c r="M162" t="s">
        <v>1965</v>
      </c>
      <c r="R162" t="s">
        <v>1993</v>
      </c>
      <c r="Y162" t="s">
        <v>1994</v>
      </c>
      <c r="Z162" t="s">
        <v>1995</v>
      </c>
      <c r="BI162" t="s">
        <v>1270</v>
      </c>
    </row>
    <row r="163" spans="1:75">
      <c r="A163" t="s">
        <v>1462</v>
      </c>
      <c r="B163" t="s">
        <v>1271</v>
      </c>
      <c r="D163" t="str">
        <f t="shared" si="24"/>
        <v/>
      </c>
      <c r="G163" t="s">
        <v>1511</v>
      </c>
      <c r="H163" t="s">
        <v>1644</v>
      </c>
      <c r="I163" t="s">
        <v>1513</v>
      </c>
      <c r="R163" t="s">
        <v>1996</v>
      </c>
      <c r="Y163" t="s">
        <v>1997</v>
      </c>
      <c r="Z163" t="s">
        <v>1998</v>
      </c>
    </row>
    <row r="164" spans="1:75">
      <c r="A164" t="s">
        <v>1462</v>
      </c>
      <c r="B164" t="s">
        <v>1271</v>
      </c>
      <c r="D164" t="str">
        <f t="shared" si="24"/>
        <v/>
      </c>
      <c r="G164" t="s">
        <v>1511</v>
      </c>
      <c r="H164" t="s">
        <v>1644</v>
      </c>
      <c r="I164" t="s">
        <v>1513</v>
      </c>
      <c r="R164" t="s">
        <v>1999</v>
      </c>
      <c r="Y164" t="s">
        <v>2000</v>
      </c>
      <c r="Z164" t="s">
        <v>2001</v>
      </c>
    </row>
    <row r="165" spans="1:75">
      <c r="A165" t="s">
        <v>1462</v>
      </c>
      <c r="B165" t="s">
        <v>1271</v>
      </c>
      <c r="D165" t="str">
        <f t="shared" si="24"/>
        <v/>
      </c>
      <c r="G165" t="s">
        <v>1511</v>
      </c>
      <c r="I165" t="s">
        <v>1513</v>
      </c>
      <c r="R165" t="s">
        <v>2002</v>
      </c>
      <c r="Y165" t="s">
        <v>2003</v>
      </c>
      <c r="Z165" t="s">
        <v>2004</v>
      </c>
    </row>
    <row r="166" spans="1:75">
      <c r="A166" t="s">
        <v>1462</v>
      </c>
      <c r="B166" t="s">
        <v>1271</v>
      </c>
      <c r="D166" t="str">
        <f t="shared" si="24"/>
        <v/>
      </c>
      <c r="G166" t="s">
        <v>1511</v>
      </c>
      <c r="I166" t="s">
        <v>1513</v>
      </c>
      <c r="R166" t="s">
        <v>2005</v>
      </c>
      <c r="Y166" t="s">
        <v>2006</v>
      </c>
      <c r="Z166" t="s">
        <v>2007</v>
      </c>
    </row>
    <row r="167" spans="1:75"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4:70"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4:70"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4:70"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4:70"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4:70"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4:70"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4:70"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4:70"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4:70"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4:70"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4:70"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4:70"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4:70"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4:70"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4:70"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4:70"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4:70"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4:70"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4:70"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4:70"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4:70"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4:70"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4:70"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4:70"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4:70"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4:70"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4:70"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4:70"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4:70"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4:70"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4:70"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4:70"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4:70"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4:70"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4:70"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4:70"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4:70"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4:70"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4:70"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4:70"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4:70"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4:70"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4:70"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4:70"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4:70"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4:70"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4:70"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4:70"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4:70"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4:70"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4:70"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4:70"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4:70"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4:70"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4:70"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4:70"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4:70"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4:70"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4:70"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4:70"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4:70"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4:70"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4:70"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4:70"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4:70"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4:70"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4:70"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4:70"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4:70"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4:70"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4:70"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4:70"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4:70"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4:70"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4:70"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4:70"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4:70"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4:70"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4:70"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4:70"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4:70"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4:70"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4:70"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4:70"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4:70"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4:70"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4:70"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4:70"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4:70"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4:70"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4:70"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4:70"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4:70"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4:70"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4:70"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4:70"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4:70"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4:70"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4:70"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4:70"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4:70"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4:70"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4:70"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4:70"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4:70"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4:70"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4:70"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4:70"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4:70"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4:70"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4:70"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4:70"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4:70"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4:70"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4:70"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4:70"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4:70"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4:70"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4:70"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4:70"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4:70"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4:70"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4:70"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4:70"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4:70"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4:70"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4:70"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4:70"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4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4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4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4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4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4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4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4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4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4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4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4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4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4:70"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4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4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1151</v>
      </c>
      <c r="B531" t="s">
        <v>1253</v>
      </c>
      <c r="C531" t="s">
        <v>1253</v>
      </c>
      <c r="D531" t="str">
        <f t="shared" si="51"/>
        <v>No</v>
      </c>
      <c r="E531" t="str">
        <f t="shared" si="52"/>
        <v>Yes</v>
      </c>
      <c r="F531" t="str">
        <f t="shared" si="56"/>
        <v>Yes</v>
      </c>
      <c r="S531" t="s">
        <v>1429</v>
      </c>
      <c r="BM531" t="str">
        <f t="shared" si="55"/>
        <v/>
      </c>
    </row>
    <row r="532" spans="1:65">
      <c r="A532" t="s">
        <v>1151</v>
      </c>
      <c r="B532" t="s">
        <v>1253</v>
      </c>
      <c r="C532" t="s">
        <v>1253</v>
      </c>
      <c r="E532" t="str">
        <f t="shared" si="52"/>
        <v>Yes</v>
      </c>
      <c r="F532" t="str">
        <f t="shared" si="56"/>
        <v>Yes</v>
      </c>
      <c r="S532" t="s">
        <v>1429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1048576">
    <cfRule type="expression" dxfId="34" priority="17">
      <formula>AND($BE2&lt;&gt;"", $BD2&lt;&gt;"Yes")</formula>
    </cfRule>
    <cfRule type="expression" dxfId="33" priority="18">
      <formula>AND($BE2&lt;&gt;"", $BD2="Yes")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1048576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A2:A532 B2:B532 G2:G532 H2:H532 I2:I532 N2:N532 O2:O532 P2:P532 Q2:Q532 R2:R532 T2:T532 U2:U532 V2:V532 W2:W532 X2:X532 Y2:Y532 Z2:Z532 AA2:AA532 AB2:AB532">
    <cfRule type="expression" dxfId="13" priority="203">
      <formula>1=1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2008</v>
      </c>
      <c r="B1" s="19" t="s">
        <v>2009</v>
      </c>
      <c r="C1" s="19" t="s">
        <v>2010</v>
      </c>
      <c r="D1" s="19" t="s">
        <v>2011</v>
      </c>
      <c r="E1" s="19" t="s">
        <v>2012</v>
      </c>
      <c r="F1" s="19" t="s">
        <v>2013</v>
      </c>
      <c r="G1" s="19" t="s">
        <v>2014</v>
      </c>
      <c r="H1" s="19" t="s">
        <v>2015</v>
      </c>
      <c r="I1" s="19" t="s">
        <v>1237</v>
      </c>
    </row>
    <row r="2" spans="1:9">
      <c r="A2" t="s">
        <v>1607</v>
      </c>
      <c r="B2">
        <v>7</v>
      </c>
      <c r="C2">
        <v>7</v>
      </c>
      <c r="D2" s="51">
        <f t="shared" ref="D2:D15" si="0">(C2/B2)</f>
        <v>1</v>
      </c>
      <c r="E2" s="20">
        <v>46088</v>
      </c>
      <c r="F2">
        <f t="shared" ref="F2:F14" ca="1" si="1">E2-TODAY()</f>
        <v>6</v>
      </c>
      <c r="G2" t="s">
        <v>2016</v>
      </c>
      <c r="H2" s="17" t="s">
        <v>2017</v>
      </c>
    </row>
    <row r="3" spans="1:9">
      <c r="A3" t="s">
        <v>1487</v>
      </c>
      <c r="B3">
        <v>14</v>
      </c>
      <c r="C3">
        <v>14</v>
      </c>
      <c r="D3" s="51">
        <f t="shared" si="0"/>
        <v>1</v>
      </c>
      <c r="E3" s="20">
        <v>46067</v>
      </c>
      <c r="F3">
        <f t="shared" ca="1" si="1"/>
        <v>-15</v>
      </c>
      <c r="G3" t="s">
        <v>2018</v>
      </c>
      <c r="H3" t="s">
        <v>2019</v>
      </c>
    </row>
    <row r="4" spans="1:9">
      <c r="A4" t="s">
        <v>2020</v>
      </c>
      <c r="B4">
        <v>19</v>
      </c>
      <c r="C4">
        <v>19</v>
      </c>
      <c r="D4" s="51">
        <f t="shared" si="0"/>
        <v>1</v>
      </c>
      <c r="E4" s="20">
        <v>46081</v>
      </c>
      <c r="F4">
        <f t="shared" ca="1" si="1"/>
        <v>-1</v>
      </c>
      <c r="G4" t="s">
        <v>2021</v>
      </c>
      <c r="H4" s="17" t="s">
        <v>2022</v>
      </c>
      <c r="I4" t="s">
        <v>2023</v>
      </c>
    </row>
    <row r="5" spans="1:9">
      <c r="A5" t="s">
        <v>2024</v>
      </c>
      <c r="B5">
        <v>29</v>
      </c>
      <c r="C5">
        <v>21</v>
      </c>
      <c r="D5" s="51">
        <f t="shared" si="0"/>
        <v>0.72413793103448276</v>
      </c>
      <c r="E5" s="20">
        <v>46074</v>
      </c>
      <c r="F5">
        <f t="shared" ca="1" si="1"/>
        <v>-8</v>
      </c>
      <c r="G5" t="s">
        <v>2025</v>
      </c>
      <c r="H5" s="17" t="s">
        <v>2022</v>
      </c>
      <c r="I5" t="s">
        <v>2026</v>
      </c>
    </row>
    <row r="6" spans="1:9">
      <c r="A6" t="s">
        <v>2027</v>
      </c>
      <c r="B6">
        <v>3</v>
      </c>
      <c r="C6">
        <v>0</v>
      </c>
      <c r="D6" s="51">
        <f t="shared" si="0"/>
        <v>0</v>
      </c>
      <c r="E6" s="20">
        <v>46081</v>
      </c>
      <c r="F6">
        <f t="shared" ca="1" si="1"/>
        <v>-1</v>
      </c>
      <c r="G6" t="s">
        <v>2028</v>
      </c>
      <c r="H6" s="17" t="s">
        <v>2022</v>
      </c>
    </row>
    <row r="7" spans="1:9">
      <c r="A7" t="s">
        <v>2029</v>
      </c>
      <c r="B7">
        <v>3</v>
      </c>
      <c r="C7">
        <v>0</v>
      </c>
      <c r="D7" s="51">
        <f t="shared" si="0"/>
        <v>0</v>
      </c>
      <c r="E7" s="20">
        <v>46088</v>
      </c>
      <c r="F7">
        <f t="shared" ca="1" si="1"/>
        <v>6</v>
      </c>
      <c r="G7" t="s">
        <v>2030</v>
      </c>
    </row>
    <row r="8" spans="1:9">
      <c r="A8" t="s">
        <v>2031</v>
      </c>
      <c r="B8">
        <v>3</v>
      </c>
      <c r="C8">
        <v>0</v>
      </c>
      <c r="D8" s="51">
        <f t="shared" si="0"/>
        <v>0</v>
      </c>
      <c r="E8" t="s">
        <v>1261</v>
      </c>
      <c r="F8" t="e">
        <f t="shared" ca="1" si="1"/>
        <v>#VALUE!</v>
      </c>
      <c r="G8" t="s">
        <v>2032</v>
      </c>
    </row>
    <row r="9" spans="1:9">
      <c r="A9" t="s">
        <v>2033</v>
      </c>
      <c r="B9">
        <v>12</v>
      </c>
      <c r="C9">
        <v>12</v>
      </c>
      <c r="D9" s="51">
        <f t="shared" si="0"/>
        <v>1</v>
      </c>
      <c r="E9" s="20">
        <v>46102</v>
      </c>
      <c r="F9">
        <f t="shared" ca="1" si="1"/>
        <v>20</v>
      </c>
      <c r="G9" t="s">
        <v>2034</v>
      </c>
    </row>
    <row r="10" spans="1:9">
      <c r="A10" t="s">
        <v>2035</v>
      </c>
      <c r="B10">
        <v>18</v>
      </c>
      <c r="C10">
        <v>2</v>
      </c>
      <c r="D10" s="51">
        <f t="shared" si="0"/>
        <v>0.1111111111111111</v>
      </c>
      <c r="E10" s="20">
        <v>46103</v>
      </c>
      <c r="F10">
        <f t="shared" ca="1" si="1"/>
        <v>21</v>
      </c>
      <c r="G10" t="s">
        <v>2034</v>
      </c>
    </row>
    <row r="11" spans="1:9">
      <c r="A11" t="s">
        <v>2036</v>
      </c>
      <c r="B11">
        <v>10</v>
      </c>
      <c r="C11">
        <v>0</v>
      </c>
      <c r="D11" s="51">
        <f t="shared" si="0"/>
        <v>0</v>
      </c>
      <c r="E11" s="20">
        <v>46095</v>
      </c>
      <c r="F11">
        <f t="shared" ca="1" si="1"/>
        <v>13</v>
      </c>
      <c r="G11" t="s">
        <v>2034</v>
      </c>
    </row>
    <row r="12" spans="1:9">
      <c r="A12" t="s">
        <v>2037</v>
      </c>
      <c r="B12">
        <v>13</v>
      </c>
      <c r="C12">
        <v>0</v>
      </c>
      <c r="D12" s="51">
        <f t="shared" si="0"/>
        <v>0</v>
      </c>
      <c r="E12" s="20">
        <v>46109</v>
      </c>
      <c r="F12">
        <f t="shared" ca="1" si="1"/>
        <v>27</v>
      </c>
      <c r="G12" t="s">
        <v>2034</v>
      </c>
    </row>
    <row r="13" spans="1:9">
      <c r="A13" t="s">
        <v>2038</v>
      </c>
      <c r="B13">
        <v>22</v>
      </c>
      <c r="C13">
        <v>0</v>
      </c>
      <c r="D13" s="51">
        <f t="shared" si="0"/>
        <v>0</v>
      </c>
      <c r="E13" s="20">
        <v>46116</v>
      </c>
      <c r="F13">
        <f t="shared" ca="1" si="1"/>
        <v>34</v>
      </c>
      <c r="G13" t="s">
        <v>2034</v>
      </c>
    </row>
    <row r="14" spans="1:9">
      <c r="A14" t="s">
        <v>2039</v>
      </c>
      <c r="B14">
        <v>6</v>
      </c>
      <c r="C14">
        <v>0</v>
      </c>
      <c r="D14" s="51">
        <f t="shared" si="0"/>
        <v>0</v>
      </c>
      <c r="E14" t="s">
        <v>1261</v>
      </c>
      <c r="F14" t="e">
        <f t="shared" ca="1" si="1"/>
        <v>#VALUE!</v>
      </c>
      <c r="G14" t="s">
        <v>2034</v>
      </c>
    </row>
    <row r="15" spans="1:9">
      <c r="A15" s="18" t="s">
        <v>2040</v>
      </c>
      <c r="B15" s="18">
        <f>(SUM(B2:B14))</f>
        <v>159</v>
      </c>
      <c r="C15" s="18">
        <f>(SUM(C2:C14))</f>
        <v>75</v>
      </c>
      <c r="D15" s="52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2041</v>
      </c>
      <c r="B1" s="41" t="s">
        <v>2042</v>
      </c>
      <c r="C1" s="41" t="s">
        <v>1180</v>
      </c>
      <c r="D1" s="41" t="s">
        <v>1204</v>
      </c>
      <c r="E1" s="41" t="s">
        <v>1205</v>
      </c>
      <c r="F1" s="41" t="s">
        <v>1206</v>
      </c>
      <c r="G1" s="41" t="s">
        <v>1207</v>
      </c>
      <c r="H1" s="41" t="s">
        <v>1173</v>
      </c>
      <c r="I1" s="41" t="s">
        <v>1208</v>
      </c>
      <c r="J1" s="41" t="s">
        <v>2043</v>
      </c>
      <c r="K1" s="41" t="s">
        <v>2044</v>
      </c>
      <c r="L1" s="41" t="s">
        <v>1181</v>
      </c>
      <c r="M1" s="41" t="s">
        <v>2045</v>
      </c>
      <c r="N1" s="41" t="s">
        <v>1182</v>
      </c>
      <c r="O1" s="41" t="s">
        <v>1183</v>
      </c>
      <c r="P1" s="41" t="s">
        <v>1184</v>
      </c>
      <c r="Q1" s="41" t="s">
        <v>2046</v>
      </c>
      <c r="R1" s="41" t="s">
        <v>1224</v>
      </c>
      <c r="S1" s="41" t="s">
        <v>1223</v>
      </c>
      <c r="T1" s="41" t="s">
        <v>2047</v>
      </c>
      <c r="U1" s="41" t="s">
        <v>1222</v>
      </c>
      <c r="V1" s="41" t="s">
        <v>1226</v>
      </c>
      <c r="W1" s="41" t="s">
        <v>1227</v>
      </c>
      <c r="X1" s="41" t="s">
        <v>1235</v>
      </c>
      <c r="Y1" s="41" t="s">
        <v>9</v>
      </c>
      <c r="Z1" s="41" t="s">
        <v>1188</v>
      </c>
      <c r="AA1" s="41" t="s">
        <v>1189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1462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1151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1180</v>
      </c>
      <c r="B1" s="42" t="s">
        <v>2048</v>
      </c>
      <c r="C1" s="42" t="s">
        <v>1192</v>
      </c>
      <c r="D1" s="42" t="s">
        <v>2043</v>
      </c>
      <c r="E1" s="42" t="s">
        <v>1182</v>
      </c>
      <c r="F1" s="42" t="s">
        <v>1183</v>
      </c>
      <c r="G1" s="42" t="s">
        <v>1184</v>
      </c>
      <c r="H1" s="42" t="s">
        <v>2045</v>
      </c>
      <c r="I1" s="42" t="s">
        <v>2049</v>
      </c>
      <c r="J1" s="42" t="s">
        <v>2050</v>
      </c>
      <c r="K1" s="42" t="s">
        <v>1231</v>
      </c>
      <c r="L1" s="42" t="s">
        <v>1188</v>
      </c>
      <c r="M1" s="42" t="s">
        <v>1189</v>
      </c>
      <c r="N1" s="42" t="s">
        <v>1235</v>
      </c>
      <c r="O1" s="42" t="s">
        <v>1236</v>
      </c>
      <c r="P1" s="42" t="s">
        <v>1226</v>
      </c>
      <c r="Q1" s="42" t="s">
        <v>2051</v>
      </c>
      <c r="R1" s="42" t="s">
        <v>2052</v>
      </c>
      <c r="S1" s="42" t="s">
        <v>2053</v>
      </c>
      <c r="T1" s="42" t="s">
        <v>2054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Epic Beans Relay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Epic Beans Relay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Epic Beans Relay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Epic Beans Relay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Epic Beans Relay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Epic Beans Relay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Epic Beans Relay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Epic Beans Relay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Epic Beans Relay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Epic Beans Relay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Epic Beans Relay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Epic Beans Relay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Epic Beans Relay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Epic Beans Relay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Epic Beans Relay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Epic Beans Relay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Epic Beans Relay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Epic Beans Relay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Epic Beans Relay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Epic Beans Relay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Epic Beans Relay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Epic Beans Relay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Epic Beans Relay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Epic Beans Relay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Epic Beans Relay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Epic Beans Relay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Epic Beans Relay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Epic Beans Relay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Epic Beans Relay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Epic Beans Relay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Epic Beans Relay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Epic Beans Relay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Epic Beans Relay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Epic Beans Relay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Power Cable, Battery, Firmware Download, Device ID, Epic Beans Relay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Power Cable, Battery, Firmware Download, Device ID, Epic Beans Relay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Power Cable, Battery, Firmware Download, Device ID, Epic Beans Relay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Power Cable, Battery, Firmware Download, Device ID, Epic Beans Relay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Power Cable, Battery, Firmware Download, Device ID, Epic Beans Relay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Power Cable, Battery, Firmware Download, Device ID, Epic Beans Relay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Power Cable, Battery, Firmware Download, Device ID, Epic Beans Relay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Power Cable, Battery, Firmware Download, Device ID, Epic Beans Relay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Power Cable, Battery, Firmware Download, Device ID, Epic Beans Relay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Power Cable, Battery, Firmware Download, Device ID, Epic Beans Relay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Power Cable, Battery, Firmware Download, Device ID, Epic Beans Relay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Power Cable, Battery, Firmware Download, Device ID, Epic Beans Relay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Power Cable, Battery, Firmware Download, Device ID, Epic Beans Relay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Power Cable, Battery, Firmware Download, Device ID, Epic Beans Relay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>Firmware Download, Device ID, Epic Beans Relay</v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>Firmware Download, Device ID, Epic Beans Relay</v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>Firmware Download, Device ID, Epic Beans Relay</v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e">
        <f>'12 - Device_Configuration'!BL104</f>
        <v>#REF!</v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>Firmware Download, Device ID, Epic Beans Relay</v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>Firmware Download, Device ID, Epic Beans Relay</v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>Firmware Download, Device ID, Epic Beans Relay</v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>Firmware Download, Device ID, Epic Beans Relay</v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>Firmware Download, Device ID, Epic Beans Relay</v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>Firmware Download, Device ID, Epic Beans Relay</v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>Firmware Download, Device ID, Epic Beans Relay</v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>Firmware Download, Device ID, Epic Beans Relay</v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>Firmware Download, Device ID, Epic Beans Relay</v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>Firmware Download, Device ID, Epic Beans Relay</v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>Firmware Download, Device ID, Epic Beans Relay</v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>Firmware Download, Device ID, Epic Beans Relay</v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>Firmware Download, Device ID, Epic Beans Relay</v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>Firmware Download, Device ID, Epic Beans Relay</v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>Firmware Download, Device ID, Epic Beans Relay</v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>Firmware Download, Device ID, Epic Beans Relay</v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>Firmware Download, Device ID, Epic Beans Relay</v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/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/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/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/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Power Cable, Battery, Firmware Download, Device ID, Epic Beans Relay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Power Cable, Battery, Firmware Download, Device ID, Epic Beans Relay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Power Cable, Battery, Firmware Download, Device ID, Epic Beans Relay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>Power Cable, Battery, Firmware Download, Device ID, Epic Beans Relay</v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>Power Cable, Battery, Firmware Download, Device ID, Epic Beans Relay</v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>Power Cable, Battery, Firmware Download, Device ID, Epic Beans Relay</v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>Power Cable, Battery, Firmware Download, Device ID, Epic Beans Relay</v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47" t="s">
        <v>2078</v>
      </c>
      <c r="B1" s="47" t="s">
        <v>2079</v>
      </c>
      <c r="C1" s="47" t="s">
        <v>2080</v>
      </c>
      <c r="D1" s="47" t="s">
        <v>1173</v>
      </c>
      <c r="E1" s="47" t="s">
        <v>2081</v>
      </c>
      <c r="F1" s="47" t="s">
        <v>2082</v>
      </c>
      <c r="G1" s="47" t="s">
        <v>2083</v>
      </c>
      <c r="H1" s="47" t="s">
        <v>2055</v>
      </c>
      <c r="I1" s="47" t="s">
        <v>1203</v>
      </c>
      <c r="J1" s="47" t="s">
        <v>2084</v>
      </c>
      <c r="K1" s="47" t="s">
        <v>9</v>
      </c>
    </row>
    <row r="2" spans="1:11" ht="30">
      <c r="A2" s="3"/>
      <c r="B2" s="4" t="s">
        <v>2085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2086</v>
      </c>
      <c r="C3" s="4" t="s">
        <v>2087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2088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2089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2090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2091</v>
      </c>
      <c r="C7" s="4" t="s">
        <v>2092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2093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2094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2095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2096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2097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2098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2099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2100</v>
      </c>
      <c r="B15" s="4" t="s">
        <v>2101</v>
      </c>
      <c r="C15" s="4" t="s">
        <v>2102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2103</v>
      </c>
    </row>
    <row r="3" spans="1:6">
      <c r="A3" s="10" t="s">
        <v>2104</v>
      </c>
    </row>
    <row r="4" spans="1:6" ht="30" customHeight="1">
      <c r="A4" s="47" t="s">
        <v>1203</v>
      </c>
      <c r="B4" s="47" t="s">
        <v>2105</v>
      </c>
      <c r="C4" s="47" t="s">
        <v>2106</v>
      </c>
      <c r="D4" s="47" t="s">
        <v>2107</v>
      </c>
      <c r="E4" s="47" t="s">
        <v>1161</v>
      </c>
      <c r="F4" s="47" t="s">
        <v>2108</v>
      </c>
    </row>
    <row r="5" spans="1:6">
      <c r="A5" s="7" t="s">
        <v>2109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2110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2111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2112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2113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2114</v>
      </c>
    </row>
    <row r="14" spans="1:6">
      <c r="A14" s="47" t="s">
        <v>2115</v>
      </c>
      <c r="B14" s="47" t="s">
        <v>1112</v>
      </c>
    </row>
    <row r="15" spans="1:6">
      <c r="A15" s="7" t="s">
        <v>2116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2117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2118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2119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2120</v>
      </c>
      <c r="B19" s="8" t="e">
        <f t="array" ref="B19">SUMPRODUCT(('12 - Device_Configuration'!$T$2:$X$527&lt;&gt;"")*('12 - Device_Configuration'!$BI$2:$BM$527&lt;&gt;"Yes")*('12 - Device_Configuration'!$BI$2:$BM$527&lt;&gt;"N/A"))</f>
        <v>#REF!</v>
      </c>
    </row>
    <row r="20" spans="1:2">
      <c r="A20" s="7" t="s">
        <v>2121</v>
      </c>
      <c r="B20" s="8" t="e">
        <f t="array" ref="B20">SUMPRODUCT(('12 - Device_Configuration'!$T$2:$X$527&lt;&gt;"")*('12 - Device_Configuration'!$BJ$2:$BN$527&lt;&gt;"Yes")*('12 - Device_Configuration'!$BJ$2:$BN$527&lt;&gt;"N/A"))</f>
        <v>#REF!</v>
      </c>
    </row>
    <row r="21" spans="1:2">
      <c r="A21" s="7" t="s">
        <v>2122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2123</v>
      </c>
    </row>
    <row r="3" spans="1:7" ht="30" customHeight="1">
      <c r="A3" s="47" t="s">
        <v>2079</v>
      </c>
      <c r="B3" s="47" t="s">
        <v>2124</v>
      </c>
      <c r="C3" s="47" t="s">
        <v>2125</v>
      </c>
      <c r="D3" s="47" t="s">
        <v>2126</v>
      </c>
      <c r="E3" s="47" t="s">
        <v>2127</v>
      </c>
      <c r="F3" s="47" t="s">
        <v>2128</v>
      </c>
      <c r="G3" s="47" t="s">
        <v>9</v>
      </c>
    </row>
    <row r="4" spans="1:7" ht="150">
      <c r="A4" s="8" t="s">
        <v>1151</v>
      </c>
      <c r="B4" s="4" t="s">
        <v>2129</v>
      </c>
      <c r="C4" s="8" t="s">
        <v>1151</v>
      </c>
      <c r="D4" s="8" t="s">
        <v>2130</v>
      </c>
      <c r="E4" s="8"/>
      <c r="F4" s="12"/>
      <c r="G4" s="4"/>
    </row>
    <row r="5" spans="1:7" ht="30" customHeight="1">
      <c r="A5" s="8" t="s">
        <v>1151</v>
      </c>
      <c r="B5" s="4" t="s">
        <v>2131</v>
      </c>
      <c r="C5" s="8" t="s">
        <v>1151</v>
      </c>
      <c r="D5" s="8" t="s">
        <v>2130</v>
      </c>
      <c r="E5" s="8"/>
      <c r="F5" s="12"/>
      <c r="G5" s="4"/>
    </row>
    <row r="6" spans="1:7" ht="30" customHeight="1">
      <c r="A6" s="8" t="s">
        <v>1151</v>
      </c>
      <c r="B6" s="4" t="s">
        <v>2132</v>
      </c>
      <c r="C6" s="8" t="s">
        <v>1151</v>
      </c>
      <c r="D6" s="8" t="s">
        <v>2130</v>
      </c>
      <c r="E6" s="8"/>
      <c r="F6" s="12"/>
      <c r="G6" s="4"/>
    </row>
    <row r="7" spans="1:7" ht="30" customHeight="1">
      <c r="A7" s="8" t="s">
        <v>1151</v>
      </c>
      <c r="B7" s="4" t="s">
        <v>2133</v>
      </c>
      <c r="C7" s="8" t="s">
        <v>1151</v>
      </c>
      <c r="D7" s="8" t="s">
        <v>2130</v>
      </c>
      <c r="E7" s="8"/>
      <c r="F7" s="12"/>
      <c r="G7" s="4"/>
    </row>
    <row r="8" spans="1:7" ht="150">
      <c r="A8" s="8" t="s">
        <v>1151</v>
      </c>
      <c r="B8" s="4" t="s">
        <v>2134</v>
      </c>
      <c r="C8" s="8" t="s">
        <v>1151</v>
      </c>
      <c r="D8" s="8" t="s">
        <v>2130</v>
      </c>
      <c r="E8" s="8"/>
      <c r="F8" s="12"/>
      <c r="G8" s="4"/>
    </row>
    <row r="9" spans="1:7" ht="30" customHeight="1">
      <c r="A9" s="8" t="s">
        <v>1151</v>
      </c>
      <c r="B9" s="4" t="s">
        <v>2135</v>
      </c>
      <c r="C9" s="8" t="s">
        <v>1151</v>
      </c>
      <c r="D9" s="8" t="s">
        <v>2130</v>
      </c>
      <c r="E9" s="8"/>
      <c r="F9" s="12"/>
      <c r="G9" s="4"/>
    </row>
    <row r="10" spans="1:7" ht="45" customHeight="1">
      <c r="A10" s="8" t="s">
        <v>2136</v>
      </c>
      <c r="B10" s="4" t="s">
        <v>2137</v>
      </c>
      <c r="C10" s="8" t="s">
        <v>1151</v>
      </c>
      <c r="D10" s="8" t="s">
        <v>2130</v>
      </c>
      <c r="E10" s="8"/>
      <c r="F10" s="12"/>
      <c r="G10" s="4"/>
    </row>
    <row r="11" spans="1:7" ht="30" customHeight="1">
      <c r="A11" s="8" t="s">
        <v>2138</v>
      </c>
      <c r="B11" s="4" t="s">
        <v>2139</v>
      </c>
      <c r="C11" s="8" t="s">
        <v>2140</v>
      </c>
      <c r="D11" s="8" t="s">
        <v>2130</v>
      </c>
      <c r="E11" s="8"/>
      <c r="F11" s="12"/>
      <c r="G11" s="4"/>
    </row>
    <row r="12" spans="1:7" ht="30" customHeight="1">
      <c r="A12" s="8" t="s">
        <v>2141</v>
      </c>
      <c r="B12" s="4" t="s">
        <v>2142</v>
      </c>
      <c r="C12" s="8" t="s">
        <v>1151</v>
      </c>
      <c r="D12" s="8" t="s">
        <v>2130</v>
      </c>
      <c r="E12" s="8"/>
      <c r="F12" s="12"/>
      <c r="G12" s="4"/>
    </row>
    <row r="13" spans="1:7" ht="30" customHeight="1">
      <c r="A13" s="8" t="s">
        <v>2143</v>
      </c>
      <c r="B13" s="4" t="s">
        <v>2144</v>
      </c>
      <c r="C13" s="8" t="s">
        <v>1151</v>
      </c>
      <c r="D13" s="8" t="s">
        <v>2130</v>
      </c>
      <c r="E13" s="8"/>
      <c r="F13" s="12"/>
      <c r="G13" s="4"/>
    </row>
    <row r="14" spans="1:7" ht="30" customHeight="1">
      <c r="A14" s="8" t="s">
        <v>2145</v>
      </c>
      <c r="B14" s="4" t="s">
        <v>2146</v>
      </c>
      <c r="C14" s="8" t="s">
        <v>2147</v>
      </c>
      <c r="D14" s="8" t="s">
        <v>2130</v>
      </c>
      <c r="E14" s="8"/>
      <c r="F14" s="12"/>
      <c r="G14" s="4"/>
    </row>
    <row r="15" spans="1:7" ht="30" customHeight="1">
      <c r="A15" s="8" t="s">
        <v>2145</v>
      </c>
      <c r="B15" s="4" t="s">
        <v>2148</v>
      </c>
      <c r="C15" s="8" t="s">
        <v>1151</v>
      </c>
      <c r="D15" s="8" t="s">
        <v>2130</v>
      </c>
      <c r="E15" s="8"/>
      <c r="F15" s="12"/>
      <c r="G15" s="4"/>
    </row>
    <row r="16" spans="1:7" ht="30" customHeight="1">
      <c r="A16" s="8" t="s">
        <v>2145</v>
      </c>
      <c r="B16" s="4" t="s">
        <v>2149</v>
      </c>
      <c r="C16" s="8" t="s">
        <v>1462</v>
      </c>
      <c r="D16" s="8" t="s">
        <v>2130</v>
      </c>
      <c r="E16" s="8"/>
      <c r="F16" s="12"/>
      <c r="G16" s="4"/>
    </row>
    <row r="17" spans="1:7" ht="30" customHeight="1">
      <c r="A17" s="8" t="s">
        <v>2145</v>
      </c>
      <c r="B17" s="4" t="s">
        <v>2150</v>
      </c>
      <c r="C17" s="8" t="s">
        <v>1462</v>
      </c>
      <c r="D17" s="8" t="s">
        <v>2130</v>
      </c>
      <c r="E17" s="8"/>
      <c r="F17" s="12"/>
      <c r="G17" s="4"/>
    </row>
    <row r="18" spans="1:7" ht="150">
      <c r="A18" s="8" t="s">
        <v>2145</v>
      </c>
      <c r="B18" s="4" t="s">
        <v>2151</v>
      </c>
      <c r="C18" s="8" t="s">
        <v>1462</v>
      </c>
      <c r="D18" s="8" t="s">
        <v>2130</v>
      </c>
      <c r="E18" s="8"/>
      <c r="F18" s="12"/>
      <c r="G18" s="4"/>
    </row>
    <row r="19" spans="1:7" ht="30" customHeight="1">
      <c r="A19" s="8" t="s">
        <v>2152</v>
      </c>
      <c r="B19" s="4" t="s">
        <v>2153</v>
      </c>
      <c r="C19" s="8" t="s">
        <v>1462</v>
      </c>
      <c r="D19" s="8" t="s">
        <v>2130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2154</v>
      </c>
    </row>
    <row r="3" spans="1:8" ht="30" customHeight="1">
      <c r="A3" s="47" t="s">
        <v>2055</v>
      </c>
      <c r="B3" s="47" t="s">
        <v>2155</v>
      </c>
      <c r="C3" s="47" t="s">
        <v>2156</v>
      </c>
      <c r="D3" s="47" t="s">
        <v>2157</v>
      </c>
      <c r="E3" s="47" t="s">
        <v>2158</v>
      </c>
      <c r="F3" s="47" t="s">
        <v>2159</v>
      </c>
      <c r="G3" s="47" t="s">
        <v>2160</v>
      </c>
      <c r="H3" s="47" t="s">
        <v>9</v>
      </c>
    </row>
    <row r="4" spans="1:8" ht="75">
      <c r="A4" s="8" t="s">
        <v>2062</v>
      </c>
      <c r="B4" s="8" t="s">
        <v>2161</v>
      </c>
      <c r="C4" s="8" t="s">
        <v>2161</v>
      </c>
      <c r="D4" s="8" t="s">
        <v>2161</v>
      </c>
      <c r="E4" s="8" t="s">
        <v>2161</v>
      </c>
      <c r="F4" s="8" t="s">
        <v>2161</v>
      </c>
      <c r="G4" s="8" t="s">
        <v>2161</v>
      </c>
      <c r="H4" s="4"/>
    </row>
    <row r="5" spans="1:8" ht="75">
      <c r="A5" s="8" t="s">
        <v>2063</v>
      </c>
      <c r="B5" s="8" t="s">
        <v>2161</v>
      </c>
      <c r="C5" s="8" t="s">
        <v>2161</v>
      </c>
      <c r="D5" s="8" t="s">
        <v>2161</v>
      </c>
      <c r="E5" s="8" t="s">
        <v>2161</v>
      </c>
      <c r="F5" s="8" t="s">
        <v>2161</v>
      </c>
      <c r="G5" s="8" t="s">
        <v>2161</v>
      </c>
      <c r="H5" s="4"/>
    </row>
    <row r="6" spans="1:8" ht="75">
      <c r="A6" s="8" t="s">
        <v>2064</v>
      </c>
      <c r="B6" s="8" t="s">
        <v>2161</v>
      </c>
      <c r="C6" s="8" t="s">
        <v>2161</v>
      </c>
      <c r="D6" s="8" t="s">
        <v>2161</v>
      </c>
      <c r="E6" s="8" t="s">
        <v>2161</v>
      </c>
      <c r="F6" s="8" t="s">
        <v>2161</v>
      </c>
      <c r="G6" s="8" t="s">
        <v>2161</v>
      </c>
      <c r="H6" s="4"/>
    </row>
    <row r="7" spans="1:8" ht="75">
      <c r="A7" s="8" t="s">
        <v>1468</v>
      </c>
      <c r="B7" s="8" t="s">
        <v>2161</v>
      </c>
      <c r="C7" s="8" t="s">
        <v>2161</v>
      </c>
      <c r="D7" s="8" t="s">
        <v>2161</v>
      </c>
      <c r="E7" s="8" t="s">
        <v>2161</v>
      </c>
      <c r="F7" s="8" t="s">
        <v>2161</v>
      </c>
      <c r="G7" s="8" t="s">
        <v>2161</v>
      </c>
      <c r="H7" s="4"/>
    </row>
    <row r="8" spans="1:8" ht="75">
      <c r="A8" s="8" t="s">
        <v>2065</v>
      </c>
      <c r="B8" s="8" t="s">
        <v>2161</v>
      </c>
      <c r="C8" s="8" t="s">
        <v>2161</v>
      </c>
      <c r="D8" s="8" t="s">
        <v>2161</v>
      </c>
      <c r="E8" s="8" t="s">
        <v>2161</v>
      </c>
      <c r="F8" s="8" t="s">
        <v>2161</v>
      </c>
      <c r="G8" s="8" t="s">
        <v>2161</v>
      </c>
      <c r="H8" s="4"/>
    </row>
    <row r="9" spans="1:8" ht="75">
      <c r="A9" s="8" t="s">
        <v>1448</v>
      </c>
      <c r="B9" s="8" t="s">
        <v>2161</v>
      </c>
      <c r="C9" s="8" t="s">
        <v>2161</v>
      </c>
      <c r="D9" s="8" t="s">
        <v>2161</v>
      </c>
      <c r="E9" s="8" t="s">
        <v>2161</v>
      </c>
      <c r="F9" s="8" t="s">
        <v>2161</v>
      </c>
      <c r="G9" s="8" t="s">
        <v>2161</v>
      </c>
      <c r="H9" s="4"/>
    </row>
    <row r="10" spans="1:8" ht="75">
      <c r="A10" s="8" t="s">
        <v>2066</v>
      </c>
      <c r="B10" s="8" t="s">
        <v>2161</v>
      </c>
      <c r="C10" s="8" t="s">
        <v>2161</v>
      </c>
      <c r="D10" s="8" t="s">
        <v>2161</v>
      </c>
      <c r="E10" s="8" t="s">
        <v>2161</v>
      </c>
      <c r="F10" s="8" t="s">
        <v>2161</v>
      </c>
      <c r="G10" s="8" t="s">
        <v>2161</v>
      </c>
      <c r="H10" s="4"/>
    </row>
    <row r="11" spans="1:8" ht="75">
      <c r="A11" s="8" t="s">
        <v>2067</v>
      </c>
      <c r="B11" s="8" t="s">
        <v>2161</v>
      </c>
      <c r="C11" s="8" t="s">
        <v>2161</v>
      </c>
      <c r="D11" s="8" t="s">
        <v>2161</v>
      </c>
      <c r="E11" s="8" t="s">
        <v>2161</v>
      </c>
      <c r="F11" s="8" t="s">
        <v>2161</v>
      </c>
      <c r="G11" s="8" t="s">
        <v>2161</v>
      </c>
      <c r="H11" s="4"/>
    </row>
    <row r="12" spans="1:8" ht="75">
      <c r="A12" s="8" t="s">
        <v>2068</v>
      </c>
      <c r="B12" s="8" t="s">
        <v>2161</v>
      </c>
      <c r="C12" s="8" t="s">
        <v>2161</v>
      </c>
      <c r="D12" s="8" t="s">
        <v>2161</v>
      </c>
      <c r="E12" s="8" t="s">
        <v>2161</v>
      </c>
      <c r="F12" s="8" t="s">
        <v>2161</v>
      </c>
      <c r="G12" s="8" t="s">
        <v>2161</v>
      </c>
      <c r="H12" s="4"/>
    </row>
    <row r="13" spans="1:8" ht="75">
      <c r="A13" s="8" t="s">
        <v>2069</v>
      </c>
      <c r="B13" s="8" t="s">
        <v>2161</v>
      </c>
      <c r="C13" s="8" t="s">
        <v>2161</v>
      </c>
      <c r="D13" s="8" t="s">
        <v>2161</v>
      </c>
      <c r="E13" s="8" t="s">
        <v>2161</v>
      </c>
      <c r="F13" s="8" t="s">
        <v>2161</v>
      </c>
      <c r="G13" s="8" t="s">
        <v>2161</v>
      </c>
      <c r="H13" s="4"/>
    </row>
    <row r="14" spans="1:8" ht="75">
      <c r="A14" s="8" t="s">
        <v>2070</v>
      </c>
      <c r="B14" s="8" t="s">
        <v>2161</v>
      </c>
      <c r="C14" s="8" t="s">
        <v>2161</v>
      </c>
      <c r="D14" s="8" t="s">
        <v>2161</v>
      </c>
      <c r="E14" s="8" t="s">
        <v>2161</v>
      </c>
      <c r="F14" s="8" t="s">
        <v>2161</v>
      </c>
      <c r="G14" s="8" t="s">
        <v>2161</v>
      </c>
      <c r="H14" s="4"/>
    </row>
    <row r="15" spans="1:8" ht="75">
      <c r="A15" s="8" t="s">
        <v>2071</v>
      </c>
      <c r="B15" s="8" t="s">
        <v>2161</v>
      </c>
      <c r="C15" s="8" t="s">
        <v>2161</v>
      </c>
      <c r="D15" s="8" t="s">
        <v>2161</v>
      </c>
      <c r="E15" s="8" t="s">
        <v>2161</v>
      </c>
      <c r="F15" s="8" t="s">
        <v>2161</v>
      </c>
      <c r="G15" s="8" t="s">
        <v>2161</v>
      </c>
      <c r="H15" s="4"/>
    </row>
    <row r="16" spans="1:8" ht="75">
      <c r="A16" s="8" t="s">
        <v>2072</v>
      </c>
      <c r="B16" s="8" t="s">
        <v>2161</v>
      </c>
      <c r="C16" s="8" t="s">
        <v>2161</v>
      </c>
      <c r="D16" s="8" t="s">
        <v>2161</v>
      </c>
      <c r="E16" s="8" t="s">
        <v>2161</v>
      </c>
      <c r="F16" s="8" t="s">
        <v>2161</v>
      </c>
      <c r="G16" s="8" t="s">
        <v>2161</v>
      </c>
      <c r="H16" s="4"/>
    </row>
    <row r="17" spans="1:8" ht="75">
      <c r="A17" s="8" t="s">
        <v>2073</v>
      </c>
      <c r="B17" s="8" t="s">
        <v>2161</v>
      </c>
      <c r="C17" s="8" t="s">
        <v>2161</v>
      </c>
      <c r="D17" s="8" t="s">
        <v>2161</v>
      </c>
      <c r="E17" s="8" t="s">
        <v>2161</v>
      </c>
      <c r="F17" s="8" t="s">
        <v>2161</v>
      </c>
      <c r="G17" s="8" t="s">
        <v>2161</v>
      </c>
      <c r="H17" s="4"/>
    </row>
    <row r="18" spans="1:8" ht="75">
      <c r="A18" s="8" t="s">
        <v>2074</v>
      </c>
      <c r="B18" s="8" t="s">
        <v>2161</v>
      </c>
      <c r="C18" s="8" t="s">
        <v>2161</v>
      </c>
      <c r="D18" s="8" t="s">
        <v>2161</v>
      </c>
      <c r="E18" s="8" t="s">
        <v>2161</v>
      </c>
      <c r="F18" s="8" t="s">
        <v>2161</v>
      </c>
      <c r="G18" s="8" t="s">
        <v>2161</v>
      </c>
      <c r="H18" s="4"/>
    </row>
    <row r="19" spans="1:8" ht="75">
      <c r="A19" s="8" t="s">
        <v>2075</v>
      </c>
      <c r="B19" s="8" t="s">
        <v>2161</v>
      </c>
      <c r="C19" s="8" t="s">
        <v>2161</v>
      </c>
      <c r="D19" s="8" t="s">
        <v>2161</v>
      </c>
      <c r="E19" s="8" t="s">
        <v>2161</v>
      </c>
      <c r="F19" s="8" t="s">
        <v>2161</v>
      </c>
      <c r="G19" s="8" t="s">
        <v>2161</v>
      </c>
      <c r="H19" s="4"/>
    </row>
    <row r="20" spans="1:8" ht="75">
      <c r="A20" s="8" t="s">
        <v>2076</v>
      </c>
      <c r="B20" s="8" t="s">
        <v>2161</v>
      </c>
      <c r="C20" s="8" t="s">
        <v>2161</v>
      </c>
      <c r="D20" s="8" t="s">
        <v>2161</v>
      </c>
      <c r="E20" s="8" t="s">
        <v>2161</v>
      </c>
      <c r="F20" s="8" t="s">
        <v>2161</v>
      </c>
      <c r="G20" s="8" t="s">
        <v>2161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2162</v>
      </c>
    </row>
    <row r="3" spans="1:5" ht="90">
      <c r="A3" s="47" t="s">
        <v>2163</v>
      </c>
      <c r="B3" s="47" t="s">
        <v>2164</v>
      </c>
      <c r="C3" s="47" t="s">
        <v>2165</v>
      </c>
      <c r="D3" s="47" t="s">
        <v>2166</v>
      </c>
      <c r="E3" s="47" t="s">
        <v>2167</v>
      </c>
    </row>
    <row r="4" spans="1:5" ht="60" customHeight="1">
      <c r="A4" s="4">
        <f>374</f>
        <v>374</v>
      </c>
      <c r="B4" s="4" t="s">
        <v>2168</v>
      </c>
      <c r="C4" s="4"/>
      <c r="D4" s="4"/>
      <c r="E4" s="4"/>
    </row>
    <row r="5" spans="1:5" ht="60" customHeight="1">
      <c r="A5" s="4">
        <f>4/4</f>
        <v>1</v>
      </c>
      <c r="B5" s="4" t="s">
        <v>2169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2170</v>
      </c>
      <c r="C6" s="4"/>
      <c r="D6" s="4"/>
      <c r="E6" s="4"/>
    </row>
    <row r="7" spans="1:5" ht="30" customHeight="1">
      <c r="A7" s="4">
        <f>D22/38</f>
        <v>0</v>
      </c>
      <c r="B7" s="4" t="s">
        <v>2171</v>
      </c>
      <c r="C7" s="4"/>
      <c r="D7" s="4"/>
      <c r="E7" s="4"/>
    </row>
    <row r="8" spans="1:5" ht="30" customHeight="1">
      <c r="A8" s="4">
        <f>D23/38</f>
        <v>0</v>
      </c>
      <c r="B8" s="4" t="s">
        <v>2172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2173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2174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2175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2176</v>
      </c>
      <c r="C12" s="4"/>
      <c r="D12" s="4"/>
      <c r="E12" s="4"/>
    </row>
    <row r="13" spans="1:5" ht="30" customHeight="1">
      <c r="A13" s="4">
        <f>389/389</f>
        <v>1</v>
      </c>
      <c r="B13" s="4" t="s">
        <v>2177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2178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2179</v>
      </c>
      <c r="C15" s="4"/>
      <c r="D15" s="4"/>
      <c r="E15" s="4"/>
    </row>
    <row r="16" spans="1:5" ht="60" customHeight="1">
      <c r="A16" s="4">
        <f>COUNTA(#REF!)</f>
        <v>1</v>
      </c>
      <c r="B16" s="4" t="s">
        <v>2180</v>
      </c>
      <c r="C16" s="4"/>
      <c r="D16" s="4"/>
      <c r="E16" s="4"/>
    </row>
    <row r="17" spans="1:5" ht="30" customHeight="1">
      <c r="A17" s="4">
        <f>SUM(AY3:AY10)</f>
        <v>0</v>
      </c>
      <c r="B17" s="4" t="s">
        <v>2181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2182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2183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2184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2185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2186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2187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2188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2189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2190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2191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2192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2193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2194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2195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2196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2197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2198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2199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2200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2201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2202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2203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2204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2205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2206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2207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2208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2209</v>
      </c>
      <c r="C45" s="4"/>
      <c r="D45" s="4"/>
      <c r="E45" s="4"/>
    </row>
    <row r="46" spans="1:5" ht="30.75" customHeight="1">
      <c r="A46" s="4" t="e">
        <v>#VALUE!</v>
      </c>
      <c r="B46" s="4" t="s">
        <v>2210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2211</v>
      </c>
      <c r="C47" s="4"/>
      <c r="D47" s="4"/>
      <c r="E47" s="4"/>
    </row>
    <row r="48" spans="1:5" ht="30.75" customHeight="1">
      <c r="A48" s="4" t="e">
        <v>#VALUE!</v>
      </c>
      <c r="B48" s="4" t="s">
        <v>2212</v>
      </c>
      <c r="C48" s="4"/>
      <c r="D48" s="4"/>
      <c r="E48" s="4"/>
    </row>
    <row r="49" spans="1:5" ht="30.75" customHeight="1">
      <c r="A49" s="4" t="e">
        <v>#VALUE!</v>
      </c>
      <c r="B49" s="4" t="s">
        <v>2213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2214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2215</v>
      </c>
      <c r="C51" s="4"/>
      <c r="D51" s="4"/>
      <c r="E51" s="4"/>
    </row>
    <row r="52" spans="1:5" ht="30.75" customHeight="1">
      <c r="A52" s="4" t="e">
        <v>#VALUE!</v>
      </c>
      <c r="B52" s="4" t="s">
        <v>2216</v>
      </c>
      <c r="C52" s="4"/>
      <c r="D52" s="4"/>
      <c r="E52" s="4"/>
    </row>
    <row r="53" spans="1:5" ht="30.75" customHeight="1">
      <c r="A53" s="4" t="e">
        <v>#VALUE!</v>
      </c>
      <c r="B53" s="4" t="s">
        <v>2217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2218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2219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2220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2221</v>
      </c>
      <c r="C57" s="4"/>
      <c r="D57" s="4"/>
      <c r="E57" s="4"/>
    </row>
    <row r="58" spans="1:5" ht="30" customHeight="1">
      <c r="A58" s="4"/>
      <c r="B58" s="4" t="s">
        <v>2222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2223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2224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2225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2226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2227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2228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2229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2230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2231</v>
      </c>
    </row>
    <row r="3" spans="1:7">
      <c r="A3" t="s">
        <v>2232</v>
      </c>
      <c r="C3" t="s">
        <v>2233</v>
      </c>
      <c r="E3" t="s">
        <v>2234</v>
      </c>
      <c r="G3" t="s">
        <v>2235</v>
      </c>
    </row>
    <row r="4" spans="1:7" ht="195" customHeight="1">
      <c r="A4" s="2" t="s">
        <v>2236</v>
      </c>
      <c r="C4" s="2" t="s">
        <v>2237</v>
      </c>
      <c r="E4" s="2" t="s">
        <v>2238</v>
      </c>
      <c r="G4" s="2" t="s">
        <v>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2026-03-01T18:00:50Z</dcterms:modified>
  <cp:category/>
  <cp:contentStatus/>
</cp:coreProperties>
</file>