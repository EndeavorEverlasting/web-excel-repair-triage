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BL6PEPF00009BEA\EXCELCNV\bc9d3097-5c2b-4698-8397-50f5a1cd516e\"/>
    </mc:Choice>
  </mc:AlternateContent>
  <xr:revisionPtr revIDLastSave="0" documentId="8_{A8E6924A-25F5-4AAB-AEAE-5C9CC3E21411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<sst xmlns="http://schemas.openxmlformats.org/spreadsheetml/2006/main" count="9862" uniqueCount="2594">
  <si>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</si>
  <si>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</si>
  <si>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</si>
  <si>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</si>
  <si>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</si>
  <si>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</si>
  <si>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</si>
  <si>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</si>
  <si>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</si>
  <si>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</si>
  <si>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</si>
  <si>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</si>
  <si>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</si>
  <si>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</si>
  <si>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</si>
  <si>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</si>
  <si>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</si>
  <si>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</si>
  <si>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</si>
  <si>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</si>
  <si>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</si>
  <si>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</si>
  <si>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Color Signature</t>
  </si>
  <si>
    <t>Color Name</t>
  </si>
  <si>
    <t>Cause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</si>
  <si>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</si>
  <si>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</si>
  <si>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</si>
  <si>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</si>
  <si>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</si>
  <si>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</si>
  <si>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</si>
  <si>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fill:solid:fg(theme=4|tint=0.59999389629810485):bg(indexed=64)||font:none</t>
  </si>
  <si>
    <t>Deployments!$BL$2:$CC$532</t>
  </si>
  <si>
    <t>$L2=0</t>
  </si>
  <si>
    <t>No errors (error count = 0)</t>
  </si>
  <si>
    <t>Green</t>
  </si>
  <si>
    <t>fill:solid:fg(rgb=FF8B0000):bg(rgb=FF8B0000)||font:color(rgb=FFFFFFFF)</t>
  </si>
  <si>
    <t>Deployments!$D$2:$D$532</t>
  </si>
  <si>
    <t>Missing config (data gap)</t>
  </si>
  <si>
    <t>Yellow</t>
  </si>
  <si>
    <t>fill:solid:fg(rgb=FFFFEB9C):bg(rgb=FFFFEB9C)||font:none</t>
  </si>
  <si>
    <t>01_Warehouse_Ledger</t>
  </si>
  <si>
    <t>C8</t>
  </si>
  <si>
    <t>AND(TRIM($A8)="",OR($B8&lt;&gt;"",$C8&lt;&gt;"",$D8&lt;&gt;"",$E8&lt;&gt;"",$F8&lt;&gt;"",$I8&lt;&gt;""))</t>
  </si>
  <si>
    <t>FFF8CBAD</t>
  </si>
  <si>
    <t>fill:solid:fg(rgb=FFF4CCCC):bg(rgb=FFF4CCCC)||font:none</t>
  </si>
  <si>
    <t>AND(TRIM($A8)&lt;&gt;"",COUNTIF($A$2:$A$2002,$A8)&gt;1)</t>
  </si>
  <si>
    <t>fill:solid:fg(rgb=FFFFC7CE):bg(rgb=FFFFC7CE)||font:b|color(rgb=FF9C0006)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</si>
  <si>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</si>
  <si>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</si>
  <si>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</si>
  <si>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</si>
  <si>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fill:solid:fg(rgb=FFC6EFCE):bg(rgb=FFC6EFCE)||font:b|color(rgb=FF006100)</t>
  </si>
  <si>
    <t>AND(TRIM($A2)&lt;&gt;"",$C2&lt;&gt;"",$D2&lt;&gt;"",$D2&lt;&gt;"0",$C2&lt;&gt;$D2)</t>
  </si>
  <si>
    <t>FFFFF2CC</t>
  </si>
  <si>
    <t>fill:solid:fg(rgb=FFFCE4D6):bg(rgb=FFFCE4D6)||font:b|color(rgb=FF9C5700)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</si>
  <si>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</si>
  <si>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</si>
  <si>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</si>
  <si>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</si>
  <si>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fill::fg(none):bg(rgb=FFFFEB9C)||font:color(rgb=FF9C5700)</t>
  </si>
  <si>
    <t>A2:I132 A134:I2002</t>
  </si>
  <si>
    <t>AND(TRIM($A2)="",OR($B2&lt;&gt;"",$C2&lt;&gt;"",$D2&lt;&gt;"",$E2&lt;&gt;"",$F2&lt;&gt;"",$I2&lt;&gt;""))</t>
  </si>
  <si>
    <t>fill::fg(none):bg(rgb=FFC6EFCE)||font:color(rgb=FF006100)</t>
  </si>
  <si>
    <t>fill:solid:fg(rgb=FFC6EFCE):bg(none)||font:none</t>
  </si>
  <si>
    <t>B133:I133</t>
  </si>
  <si>
    <t>AND(TRIM(#REF!)="",OR($B133&lt;&gt;"",$C133&lt;&gt;"",$D133&lt;&gt;"",$E133&lt;&gt;"",$F133&lt;&gt;"",$I133&lt;&gt;""))</t>
  </si>
  <si>
    <t>fill:solid:fg(rgb=FFFFEB9C):bg(none)||font:none</t>
  </si>
  <si>
    <t>AND(TRIM(#REF!)&lt;&gt;"",COUNTIF($A$2:$A$2002,#REF!)&gt;1)</t>
  </si>
  <si>
    <t>fill:solid:fg(rgb=FFC6EFCE):bg(rgb=FFC6EFCE)||font:none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</si>
  <si>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</si>
  <si>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</si>
  <si>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</si>
  <si>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</si>
  <si>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</si>
  <si>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</si>
  <si>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</si>
  <si>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</si>
  <si>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</si>
  <si>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</si>
  <si>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fill::fg(none):bg(rgb=FFFFC7CE)||font:color(rgb=FF9C0006)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</si>
  <si>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</si>
  <si>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</si>
  <si>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</si>
  <si>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ZZ_Deprecated</t>
  </si>
  <si>
    <t>tblDeviceConfig</t>
  </si>
  <si>
    <t>Deployments!$BL$2:$BL$532</t>
  </si>
  <si>
    <t>$F2="Yes"</t>
  </si>
  <si>
    <t>Deprecated – regenerated rules appended below</t>
  </si>
  <si>
    <t>Deprecated</t>
  </si>
  <si>
    <t>fill:solid:fg(rgb=FFFFC7CE):bg(rgb=FFFFC7CE)||font:none</t>
  </si>
  <si>
    <t>Deployments!$BM$2:$BM$532</t>
  </si>
  <si>
    <t>AND($A2="Cybernet",$B2="Yes",$C2&lt;&gt;"Yes",LEN(TRIM(R2))=0)</t>
  </si>
  <si>
    <t>Deployments!$BN$2:$BN$532</t>
  </si>
  <si>
    <t>AND($A2="Neuron",$B2="Yes",$C2&lt;&gt;"Yes",LEN(TRIM(S2))=0)</t>
  </si>
  <si>
    <t>Deployments!$BO$2:$BO$532</t>
  </si>
  <si>
    <t>AND($A2="Cybernet",$B2="Yes",$C2&lt;&gt;"Yes",LEN(TRIM(BH2))=0)</t>
  </si>
  <si>
    <t>Deployments!$BP$2:$BP$532</t>
  </si>
  <si>
    <t>AND($C2="Yes",LEN(TRIM(INDEX($1:$1048576,ROW(),COLUMN())))=0)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</si>
  <si>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</si>
  <si>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</si>
  <si>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</si>
  <si>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</si>
  <si>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</si>
  <si>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</si>
  <si>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</si>
  <si>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</si>
  <si>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</si>
  <si>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</si>
  <si>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fill:solid:fg(rgb=FFFFE699):bg(rgb=FFFFE699)||font:none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</si>
  <si>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</si>
  <si>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</si>
  <si>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</si>
  <si>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</si>
  <si>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</si>
  <si>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</si>
  <si>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</si>
  <si>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</si>
  <si>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</si>
  <si>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fill:solid:fg(none):bg(theme=6|tint=0.79998168889431442)||font:color(rgb=FF00B050)</t>
  </si>
  <si>
    <t>F2:F14</t>
  </si>
  <si>
    <t>20</t>
  </si>
  <si>
    <t>fill:solid:fg(none):bg(rgb=FF92D050)||font:color(theme=1)</t>
  </si>
  <si>
    <t>2</t>
  </si>
  <si>
    <t>fill:solid:fg(none):bg(rgb=FFFF0000)||font:color(theme=1)</t>
  </si>
  <si>
    <t>6 | 9</t>
  </si>
  <si>
    <t>fill:solid:fg(none):bg(rgb=FFFEFFA6)||font:color(theme=1)</t>
  </si>
  <si>
    <t>3 | 5</t>
  </si>
  <si>
    <t>fill:solid:fg(none):bg(theme=9|tint=0.59999389629810485)||font:color(theme=1)</t>
  </si>
  <si>
    <t>F2:F15</t>
  </si>
  <si>
    <t>10 | 20</t>
  </si>
  <si>
    <t>fill:solid:fg(none):bg(theme=6|tint=0.79998168889431442)||font:color(theme=1)</t>
  </si>
  <si>
    <t>Deployments</t>
  </si>
  <si>
    <t>Deployments!CC2:CC532 A2:BZ49 T50:BZ100 AJ101:BZ103 AJ104:AQ104 T106:BZ149 T105:AQ105 AS104:BZ105 A50:R149 T101:AH101 T103:AH104 U102:AH102 A150:BZ531</t>
  </si>
  <si>
    <t>Duplicates/conflicts flag (DupDeployed=Yes)</t>
  </si>
  <si>
    <t>Other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</si>
  <si>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</si>
  <si>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</si>
  <si>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</si>
  <si>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</si>
  <si>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</si>
  <si>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</si>
  <si>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</si>
  <si>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</si>
  <si>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AND($A2="Cybernet",UPPER(TRIM($B2))="YES",LEN(TRIM($BI2))=0)</t>
  </si>
  <si>
    <t>71</t>
  </si>
  <si>
    <t>Cybernet Software List missing (Deployed=Yes)</t>
  </si>
  <si>
    <t>Teal</t>
  </si>
  <si>
    <t>fill:solid:fg(rgb=FF00B0F0):bg(indexed=64)||font:none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</si>
  <si>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</si>
  <si>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</si>
  <si>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</si>
  <si>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</si>
  <si>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</si>
  <si>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</si>
  <si>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</si>
  <si>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</si>
  <si>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</si>
  <si>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</si>
  <si>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</si>
  <si>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</si>
  <si>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</si>
  <si>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</si>
  <si>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</si>
  <si>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</si>
  <si>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</si>
  <si>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</si>
  <si>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</si>
  <si>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</si>
  <si>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</si>
  <si>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</si>
  <si>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</si>
  <si>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</si>
  <si>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</si>
  <si>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</si>
  <si>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</si>
  <si>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</si>
  <si>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</si>
  <si>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</si>
  <si>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DEPRECATED (sqref bounded to table end row 532): Rule – see formula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</si>
  <si>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</si>
  <si>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</si>
  <si>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</si>
  <si>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</si>
  <si>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</si>
  <si>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</si>
  <si>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</si>
  <si>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</si>
  <si>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</si>
  <si>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</si>
  <si>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</si>
  <si>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</si>
  <si>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</si>
  <si>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</si>
  <si>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</si>
  <si>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</si>
  <si>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fill::fg(none):bg(rgb=FFFFC7CE)||font:none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</si>
  <si>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</si>
  <si>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</si>
  <si>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</si>
  <si>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</si>
  <si>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</si>
  <si>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</si>
  <si>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Deployments!H2:H532 Q2:Q532 AF2:AF532 AG2:AG532 AL2:AL532 AS2:AS532 AD2:AD532</t>
  </si>
  <si>
    <t>DEPRECATED</t>
  </si>
  <si>
    <t>AND(UPPER($B2)="YES",LEN(TRIM(INDEX($1:$1048576,ROW(),COLUMN())))=0)</t>
  </si>
  <si>
    <t>DEPRECATED: split into per-field purple required-field rules; old INDEX-based blank check did not flag blanks reliably (PI_Use_Case / PI_Validated_Date).</t>
  </si>
  <si>
    <t>Purple</t>
  </si>
  <si>
    <t>Deployments!R2:R532</t>
  </si>
  <si>
    <t>204</t>
  </si>
  <si>
    <t>AND(UPPER(TRIM($B2))="YES",$A2="Cybernet",LEN(TRIM($R2))=0)</t>
  </si>
  <si>
    <t>13</t>
  </si>
  <si>
    <t>Missing required deployment field when Deployed=Yes (blank/whitespace)</t>
  </si>
  <si>
    <t>Deployed=Yes and required field is blank (Cybernet Hostname)</t>
  </si>
  <si>
    <t>Deployments!S2:S532</t>
  </si>
  <si>
    <t>205</t>
  </si>
  <si>
    <t>AND(UPPER(TRIM($B2))="YES",$A2="Neuron",LEN(TRIM($S2))=0)</t>
  </si>
  <si>
    <t>DEPRECATED (rule updated): Neuron Hostname required for Neuron or Cybernet when Deployed=Yes. Old formula used Neuron-only gate. | Missing required deployment field when Deployed=Yes (blank/whitespace)</t>
  </si>
  <si>
    <t>Deployed=Yes and required field is blank (Neuron Hostname)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</si>
  <si>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</si>
  <si>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</si>
  <si>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</si>
  <si>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</si>
  <si>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</si>
  <si>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</si>
  <si>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</si>
  <si>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</si>
  <si>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</si>
  <si>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</si>
  <si>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</si>
  <si>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</si>
  <si>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</si>
  <si>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</si>
  <si>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</si>
  <si>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</si>
  <si>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</si>
  <si>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</si>
  <si>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</si>
  <si>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</si>
  <si>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</si>
  <si>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</si>
  <si>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</si>
  <si>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</si>
  <si>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</si>
  <si>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</si>
  <si>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</si>
  <si>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</si>
  <si>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</si>
  <si>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</si>
  <si>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</si>
  <si>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</si>
  <si>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</si>
  <si>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</si>
  <si>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</si>
  <si>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</si>
  <si>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</si>
  <si>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</si>
  <si>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</si>
  <si>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</si>
  <si>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</si>
  <si>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</si>
  <si>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</si>
  <si>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Deployments!P2:P532</t>
  </si>
  <si>
    <t>148</t>
  </si>
  <si>
    <t>27</t>
  </si>
  <si>
    <t>149</t>
  </si>
  <si>
    <t>26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</si>
  <si>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</si>
  <si>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</si>
  <si>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</si>
  <si>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</si>
  <si>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</si>
  <si>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</si>
  <si>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</si>
  <si>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</si>
  <si>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Deployments!$C$2:$C$532, Deployments!$G$2:$G$532, Deployments!$H$2:$H$532, Deployments!$I$2:$I$532, Deployments!$J$2:$J$532, Deployments!$K$2:$K$532, Deployments!$L$2:$L$532, Deployments!$U$2:$U$532, Deployments!$V$2:$V$532, Deployments!$W$2:$W$532, Deployments!$AD$2:$AD$532, Deployments!$AL$2:$AL$532, Deployments!$AS$2:$AS$532, Deployments!$BI$2:$BI$532</t>
  </si>
  <si>
    <t>Varies</t>
  </si>
  <si>
    <t>Base: AND(UPPER(TRIM($B2))="YES",LEN(TRIM(&lt;COL2&gt;))=0). Software List (BI) uses Cybernet guardrail: AND(UPPER(TRIM($A2))="CYBERNET",UPPER(TRIM($B2))="YES",LEN(TRIM($BI2))=0).</t>
  </si>
  <si>
    <t>Deployment-required purple: when Deployed=Yes, flag missing required fields (location, hostnames, device metadata, peripherals, software list).</t>
  </si>
  <si>
    <t>Fill RGB FFD9B3FF; Font RGB FF000000.</t>
  </si>
  <si>
    <t>Deployments!$B$2:$B$532, Deployments!$C$2:$C$532, Deployments!$G$2:$G$532, Deployments!$H$2:$H$532, Deployments!$U$2:$U$532, Deployments!$BI$2:$BI$532</t>
  </si>
  <si>
    <t>Base: AND(LEN(TRIM($A2))&gt;0,UPPER(TRIM($B2))&lt;&gt;"YES",LEN(TRIM(&lt;COL2&gt;))=0). Cybernet-only for U and BI: AND(UPPER(TRIM($A2))="CYBERNET",UPPER(TRIM($B2))&lt;&gt;"YES",LEN(TRIM(&lt;COL2&gt;))=0).</t>
  </si>
  <si>
    <t>Config-prep purple: before deployment (Deployed not Yes), flag missing prep fields to reduce lookup time.</t>
  </si>
  <si>
    <t>Fill RGB FFE6CCFF; Font RGB FF000000.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</si>
  <si>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</si>
  <si>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</si>
  <si>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</si>
  <si>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</si>
  <si>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</si>
  <si>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</si>
  <si>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</si>
  <si>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</si>
  <si>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</si>
  <si>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</si>
  <si>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</si>
  <si>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</si>
  <si>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</si>
  <si>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</si>
  <si>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</si>
  <si>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</si>
  <si>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</si>
  <si>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</si>
  <si>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</si>
  <si>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</si>
  <si>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</si>
  <si>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</si>
  <si>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</si>
  <si>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</si>
  <si>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</si>
  <si>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</si>
  <si>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</si>
  <si>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</si>
  <si>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</si>
  <si>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</si>
  <si>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</si>
  <si>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</si>
  <si>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</si>
  <si>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</si>
  <si>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</si>
  <si>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</si>
  <si>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</si>
  <si>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</si>
  <si>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</si>
  <si>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</si>
  <si>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</si>
  <si>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</si>
  <si>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</si>
  <si>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</si>
  <si>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</si>
  <si>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</si>
  <si>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</si>
  <si>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</si>
  <si>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</si>
  <si>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</si>
  <si>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</si>
  <si>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</si>
  <si>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</si>
  <si>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</si>
  <si>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</si>
  <si>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</si>
  <si>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</si>
  <si>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</si>
  <si>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</si>
  <si>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</si>
  <si>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</si>
  <si>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</si>
  <si>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</si>
  <si>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</si>
  <si>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</si>
  <si>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</si>
  <si>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</si>
  <si>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</si>
  <si>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</si>
  <si>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</si>
  <si>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</si>
  <si>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</si>
  <si>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</si>
  <si>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</si>
  <si>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</si>
  <si>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</si>
  <si>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</si>
  <si>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</si>
  <si>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</si>
  <si>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</si>
  <si>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</si>
  <si>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</si>
  <si>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</si>
  <si>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</si>
  <si>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</si>
  <si>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</si>
  <si>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</si>
  <si>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</si>
  <si>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</si>
  <si>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</si>
  <si>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</si>
  <si>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</si>
  <si>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</si>
  <si>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</si>
  <si>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</si>
  <si>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</si>
  <si>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</si>
  <si>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</si>
  <si>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</si>
  <si>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</si>
  <si>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</si>
  <si>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</si>
  <si>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</si>
  <si>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</si>
  <si>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</si>
  <si>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</si>
  <si>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</si>
  <si>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</si>
  <si>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</si>
  <si>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</si>
  <si>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</si>
  <si>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</si>
  <si>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</si>
  <si>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</si>
  <si>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</si>
  <si>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</si>
  <si>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</si>
  <si>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</si>
  <si>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</si>
  <si>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</si>
  <si>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</si>
  <si>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</si>
  <si>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</si>
  <si>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</si>
  <si>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</si>
  <si>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</si>
  <si>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</si>
  <si>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</si>
  <si>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</si>
  <si>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</si>
  <si>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</si>
  <si>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</si>
  <si>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</si>
  <si>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</si>
  <si>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</si>
  <si>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</si>
  <si>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</si>
  <si>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</si>
  <si>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</si>
  <si>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</si>
  <si>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</si>
  <si>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</si>
  <si>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</si>
  <si>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</si>
  <si>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</si>
  <si>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</si>
  <si>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</si>
  <si>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</si>
  <si>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</si>
  <si>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</si>
  <si>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</si>
  <si>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</si>
  <si>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</si>
  <si>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</si>
  <si>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</si>
  <si>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</si>
  <si>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</si>
  <si>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</si>
  <si>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</si>
  <si>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</si>
  <si>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</si>
  <si>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</si>
  <si>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</si>
  <si>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</si>
  <si>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</si>
  <si>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</si>
  <si>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</si>
  <si>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</si>
  <si>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</si>
  <si>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</si>
  <si>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</si>
  <si>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</si>
  <si>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</si>
  <si>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</si>
  <si>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</si>
  <si>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</si>
  <si>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</si>
  <si>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</si>
  <si>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</si>
  <si>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</si>
  <si>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</si>
  <si>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</si>
  <si>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</si>
  <si>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</si>
  <si>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</si>
  <si>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</si>
  <si>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</si>
  <si>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</si>
  <si>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</si>
  <si>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</si>
  <si>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</si>
  <si>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</si>
  <si>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</si>
  <si>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</si>
  <si>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</si>
  <si>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</si>
  <si>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</si>
  <si>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</si>
  <si>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</si>
  <si>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</si>
  <si>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</si>
  <si>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</si>
  <si>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</si>
  <si>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</si>
  <si>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</si>
  <si>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</si>
  <si>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</si>
  <si>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</si>
  <si>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</si>
  <si>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</si>
  <si>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</si>
  <si>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</si>
  <si>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</si>
  <si>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</si>
  <si>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</si>
  <si>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</si>
  <si>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</si>
  <si>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</si>
  <si>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</si>
  <si>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</si>
  <si>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</si>
  <si>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</si>
  <si>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</si>
  <si>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</si>
  <si>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</si>
  <si>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</si>
  <si>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</si>
  <si>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</si>
  <si>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</si>
  <si>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</si>
  <si>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</si>
  <si>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</si>
  <si>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</si>
  <si>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</si>
  <si>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</si>
  <si>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</si>
  <si>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</si>
  <si>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</si>
  <si>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</si>
  <si>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</si>
  <si>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</si>
  <si>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</si>
  <si>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</si>
  <si>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</si>
  <si>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</si>
  <si>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</si>
  <si>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</si>
  <si>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</si>
  <si>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</si>
  <si>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</si>
  <si>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</si>
  <si>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</si>
  <si>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</si>
  <si>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</si>
  <si>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</si>
  <si>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</si>
  <si>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</si>
  <si>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</si>
  <si>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</si>
  <si>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</si>
  <si>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</si>
  <si>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</si>
  <si>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</si>
  <si>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</si>
  <si>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</si>
  <si>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</si>
  <si>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</si>
  <si>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</si>
  <si>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</si>
  <si>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</si>
  <si>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</si>
  <si>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</si>
  <si>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</si>
  <si>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</si>
  <si>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</si>
  <si>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</si>
  <si>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</si>
  <si>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</si>
  <si>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</si>
  <si>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</si>
  <si>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</si>
  <si>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</si>
  <si>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</si>
  <si>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</si>
  <si>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</si>
  <si>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</si>
  <si>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</si>
  <si>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</si>
  <si>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</si>
  <si>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</si>
  <si>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</si>
  <si>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</si>
  <si>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</si>
  <si>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</si>
  <si>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</si>
  <si>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</si>
  <si>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</si>
  <si>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</si>
  <si>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</si>
  <si>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</si>
  <si>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</si>
  <si>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</si>
  <si>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</si>
  <si>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</si>
  <si>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</si>
  <si>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</si>
  <si>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</si>
  <si>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</si>
  <si>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</si>
  <si>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</si>
  <si>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</si>
  <si>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</si>
  <si>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</si>
  <si>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</si>
  <si>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</si>
  <si>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</si>
  <si>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</si>
  <si>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</si>
  <si>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</si>
  <si>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</si>
  <si>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</si>
  <si>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</si>
  <si>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</si>
  <si>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</si>
  <si>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</si>
  <si>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</si>
  <si>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</si>
  <si>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</si>
  <si>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</si>
  <si>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</si>
  <si>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</si>
  <si>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</si>
  <si>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</si>
  <si>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</si>
  <si>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</si>
  <si>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</si>
  <si>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</si>
  <si>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</si>
  <si>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</si>
  <si>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</si>
  <si>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</si>
  <si>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</si>
  <si>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</si>
  <si>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</si>
  <si>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</si>
  <si>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</si>
  <si>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</si>
  <si>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</si>
  <si>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</si>
  <si>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</si>
  <si>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</si>
  <si>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</si>
  <si>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</si>
  <si>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</si>
  <si>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</si>
  <si>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</si>
  <si>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</si>
  <si>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</si>
  <si>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</si>
  <si>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</si>
  <si>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</si>
  <si>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</si>
  <si>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</si>
  <si>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</si>
  <si>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</si>
  <si>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</si>
  <si>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</si>
  <si>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</si>
  <si>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</si>
  <si>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</si>
  <si>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</si>
  <si>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</si>
  <si>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</si>
  <si>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</si>
  <si>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</si>
  <si>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</si>
  <si>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</si>
  <si>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</si>
  <si>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</si>
  <si>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</si>
  <si>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</si>
  <si>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</si>
  <si>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</si>
  <si>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</si>
  <si>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</si>
  <si>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</si>
  <si>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</si>
  <si>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</si>
  <si>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</si>
  <si>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</si>
  <si>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</si>
  <si>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</si>
  <si>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</si>
  <si>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</si>
  <si>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</si>
  <si>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</si>
  <si>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</si>
  <si>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</si>
  <si>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</si>
  <si>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</si>
  <si>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</si>
  <si>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</si>
  <si>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</si>
  <si>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</si>
  <si>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</si>
  <si>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</si>
  <si>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</si>
  <si>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</si>
  <si>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</si>
  <si>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</si>
  <si>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</si>
  <si>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</si>
  <si>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</si>
  <si>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</si>
  <si>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</si>
  <si>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</si>
  <si>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</si>
  <si>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</si>
  <si>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</si>
  <si>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</si>
  <si>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</si>
  <si>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</si>
  <si>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</si>
  <si>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</si>
  <si>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</si>
  <si>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</si>
  <si>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</si>
  <si>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</si>
  <si>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</si>
  <si>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</si>
  <si>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</si>
  <si>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</si>
  <si>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</si>
  <si>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</si>
  <si>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</si>
  <si>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</si>
  <si>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</si>
  <si>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</si>
  <si>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</si>
  <si>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</si>
  <si>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</si>
  <si>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</si>
  <si>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</si>
  <si>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</si>
  <si>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</si>
  <si>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</si>
  <si>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</si>
  <si>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</si>
  <si>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</si>
  <si>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</si>
  <si>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</si>
  <si>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</si>
  <si>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</si>
  <si>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</si>
  <si>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</si>
  <si>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</si>
  <si>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</si>
  <si>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</si>
  <si>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</si>
  <si>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</si>
  <si>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</si>
  <si>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</si>
  <si>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</si>
  <si>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</si>
  <si>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</si>
  <si>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</si>
  <si>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</si>
  <si>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</si>
  <si>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</si>
  <si>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</si>
  <si>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</si>
  <si>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</si>
  <si>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</si>
  <si>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</si>
  <si>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</si>
  <si>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</si>
  <si>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</si>
  <si>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</si>
  <si>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</si>
  <si>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</si>
  <si>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</si>
  <si>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</si>
  <si>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</si>
  <si>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</si>
  <si>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</si>
  <si>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</si>
  <si>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</si>
  <si>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</si>
  <si>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</si>
  <si>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</si>
  <si>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</si>
  <si>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</si>
  <si>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</si>
  <si>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</si>
  <si>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</si>
  <si>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</si>
  <si>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</si>
  <si>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</si>
  <si>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</si>
  <si>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</si>
  <si>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</si>
  <si>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</si>
  <si>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</si>
  <si>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</si>
  <si>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</si>
  <si>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</si>
  <si>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</si>
  <si>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</si>
  <si>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</si>
  <si>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</si>
  <si>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</si>
  <si>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</si>
  <si>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</si>
  <si>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</si>
  <si>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</si>
  <si>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</si>
  <si>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</si>
  <si>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</si>
  <si>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</si>
  <si>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</si>
  <si>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</si>
  <si>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</si>
  <si>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</si>
  <si>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</si>
  <si>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</si>
  <si>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</si>
  <si>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</si>
  <si>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</si>
  <si>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</si>
  <si>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</si>
  <si>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</si>
  <si>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</si>
  <si>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</si>
  <si>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</si>
  <si>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</si>
  <si>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</si>
  <si>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</si>
  <si>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</si>
  <si>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</si>
  <si>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</si>
  <si>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</si>
  <si>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</si>
  <si>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</si>
  <si>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</si>
  <si>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</si>
  <si>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</si>
  <si>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</si>
  <si>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</si>
  <si>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</si>
  <si>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</si>
  <si>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</si>
  <si>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</si>
  <si>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</si>
  <si>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</si>
  <si>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</si>
  <si>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</si>
  <si>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</si>
  <si>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</si>
  <si>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</si>
  <si>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</si>
  <si>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</si>
  <si>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</si>
  <si>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</si>
  <si>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</si>
  <si>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</si>
  <si>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</si>
  <si>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</si>
  <si>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</si>
  <si>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</si>
  <si>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</si>
  <si>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</si>
  <si>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</si>
  <si>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</si>
  <si>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</si>
  <si>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</si>
  <si>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</si>
  <si>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</si>
  <si>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</si>
  <si>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</si>
  <si>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</si>
  <si>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</si>
  <si>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</si>
  <si>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</si>
  <si>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</si>
  <si>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</si>
  <si>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</si>
  <si>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</si>
  <si>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</si>
  <si>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</si>
  <si>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</si>
  <si>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</si>
  <si>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</si>
  <si>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</si>
  <si>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</si>
  <si>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</si>
  <si>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</si>
  <si>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</si>
  <si>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</si>
  <si>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</si>
  <si>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</si>
  <si>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</si>
  <si>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</si>
  <si>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</si>
  <si>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</si>
  <si>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</si>
  <si>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</si>
  <si>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</si>
  <si>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</si>
  <si>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</si>
  <si>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</si>
  <si>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</si>
  <si>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</si>
  <si>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</si>
  <si>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</si>
  <si>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</si>
  <si>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</si>
  <si>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</si>
  <si>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</si>
  <si>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</si>
  <si>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</si>
  <si>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</si>
  <si>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</si>
  <si>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</si>
  <si>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</si>
  <si>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</si>
  <si>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</si>
  <si>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</si>
  <si>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</si>
  <si>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</si>
  <si>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</si>
  <si>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</si>
  <si>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</si>
  <si>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</si>
  <si>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</si>
  <si>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</si>
  <si>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</si>
  <si>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</si>
  <si>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</si>
  <si>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</si>
  <si>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</si>
  <si>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</si>
  <si>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</si>
  <si>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</si>
  <si>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</si>
  <si>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</si>
  <si>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</si>
  <si>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</si>
  <si>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</si>
  <si>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</si>
  <si>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</si>
  <si>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</si>
  <si>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</si>
  <si>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</si>
  <si>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</si>
  <si>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</si>
  <si>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</si>
  <si>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</si>
  <si>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</si>
  <si>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</si>
  <si>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</si>
  <si>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</si>
  <si>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</si>
  <si>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</si>
  <si>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</si>
  <si>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</si>
  <si>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</si>
  <si>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</si>
  <si>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</si>
  <si>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</si>
  <si>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</si>
  <si>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</si>
  <si>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</si>
  <si>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</si>
  <si>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</si>
  <si>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</si>
  <si>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</si>
  <si>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</si>
  <si>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</si>
  <si>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</si>
  <si>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</si>
  <si>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</si>
  <si>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</si>
  <si>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</si>
  <si>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</si>
  <si>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</si>
  <si>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</si>
  <si>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</si>
  <si>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</si>
  <si>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</si>
  <si>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</si>
  <si>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</si>
  <si>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</si>
  <si>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</si>
  <si>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</si>
  <si>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</si>
  <si>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</si>
  <si>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</si>
  <si>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</si>
  <si>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</si>
  <si>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</si>
  <si>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</si>
  <si>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</si>
  <si>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</si>
  <si>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</si>
  <si>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</si>
  <si>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</si>
  <si>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</si>
  <si>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</si>
  <si>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</si>
  <si>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</si>
  <si>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</si>
  <si>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</si>
  <si>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</si>
  <si>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</si>
  <si>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</si>
  <si>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</si>
  <si>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</si>
  <si>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</si>
  <si>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</si>
  <si>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</si>
  <si>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</si>
  <si>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</si>
  <si>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</si>
  <si>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</si>
  <si>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</si>
  <si>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</si>
  <si>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</si>
  <si>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</si>
  <si>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</si>
  <si>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</si>
  <si>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</si>
  <si>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</si>
  <si>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</si>
  <si>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</si>
  <si>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</si>
  <si>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</si>
  <si>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</si>
  <si>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</si>
  <si>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</si>
  <si>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</si>
  <si>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</si>
  <si>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</si>
  <si>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</si>
  <si>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</si>
  <si>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</si>
  <si>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</si>
  <si>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</si>
  <si>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</si>
  <si>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</si>
  <si>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</si>
  <si>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</si>
  <si>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</si>
  <si>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</si>
  <si>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</si>
  <si>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</si>
  <si>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</si>
  <si>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</si>
  <si>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</si>
  <si>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</si>
  <si>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</si>
  <si>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</si>
  <si>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</si>
  <si>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</si>
  <si>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</si>
  <si>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</si>
  <si>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</si>
  <si>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</si>
  <si>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</si>
  <si>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</si>
  <si>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</si>
  <si>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</si>
  <si>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</si>
  <si>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</si>
  <si>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</si>
  <si>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</si>
  <si>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</si>
  <si>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</si>
  <si>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</si>
  <si>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</si>
  <si>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</si>
  <si>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</si>
  <si>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</si>
  <si>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</si>
  <si>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</si>
  <si>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</si>
  <si>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</si>
  <si>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</si>
  <si>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</si>
  <si>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</si>
  <si>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</si>
  <si>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</si>
  <si>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</si>
  <si>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</si>
  <si>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</si>
  <si>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</si>
  <si>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</si>
  <si>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</si>
  <si>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</si>
  <si>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</si>
  <si>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</si>
  <si>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</si>
  <si>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</si>
  <si>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</si>
  <si>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</si>
  <si>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</si>
  <si>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</si>
  <si>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</si>
  <si>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</si>
  <si>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</si>
  <si>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</si>
  <si>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</si>
  <si>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</si>
  <si>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</si>
  <si>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</si>
  <si>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</si>
  <si>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</si>
  <si>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</si>
  <si>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</si>
  <si>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</si>
  <si>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</si>
  <si>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</si>
  <si>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</si>
  <si>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</si>
  <si>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</si>
  <si>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</si>
  <si>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</si>
  <si>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</si>
  <si>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</si>
  <si>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</si>
  <si>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</si>
  <si>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</si>
  <si>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</si>
  <si>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</si>
  <si>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</si>
  <si>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</si>
  <si>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</si>
  <si>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</si>
  <si>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</si>
  <si>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</si>
  <si>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</si>
  <si>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</si>
  <si>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</si>
  <si>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</si>
  <si>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</si>
  <si>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</si>
  <si>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</si>
  <si>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</si>
  <si>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</si>
  <si>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</si>
  <si>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</si>
  <si>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</si>
  <si>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</si>
  <si>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</si>
  <si>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</si>
  <si>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</si>
  <si>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</si>
  <si>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</si>
  <si>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</si>
  <si>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</si>
  <si>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</si>
  <si>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</si>
  <si>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</si>
  <si>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</si>
  <si>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</si>
  <si>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</si>
  <si>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</si>
  <si>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</si>
  <si>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</si>
  <si>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</si>
  <si>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</si>
  <si>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</si>
  <si>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</si>
  <si>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</si>
  <si>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</si>
  <si>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</si>
  <si>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</si>
  <si>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</si>
  <si>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</si>
  <si>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</si>
  <si>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</si>
  <si>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</si>
  <si>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</si>
  <si>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</si>
  <si>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</si>
  <si>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</si>
  <si>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</si>
  <si>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</si>
  <si>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</si>
  <si>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</si>
  <si>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</si>
  <si>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</si>
  <si>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</si>
  <si>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</si>
  <si>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</si>
  <si>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</si>
  <si>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</si>
  <si>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</si>
  <si>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</si>
  <si>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</si>
  <si>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</si>
  <si>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</si>
  <si>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</si>
  <si>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</si>
  <si>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</si>
  <si>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</si>
  <si>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</si>
  <si>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</si>
  <si>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</si>
  <si>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</si>
  <si>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</si>
  <si>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</si>
  <si>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</si>
  <si>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</si>
  <si>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</si>
  <si>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</si>
  <si>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</si>
  <si>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</si>
  <si>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</si>
  <si>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</si>
  <si>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</si>
  <si>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</si>
  <si>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</si>
  <si>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</si>
  <si>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</si>
  <si>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</si>
  <si>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</si>
  <si>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</si>
  <si>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</si>
  <si>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</si>
  <si>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</si>
  <si>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</si>
  <si>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</si>
  <si>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</si>
  <si>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</si>
  <si>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</si>
  <si>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</si>
  <si>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</si>
  <si>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</si>
  <si>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</si>
  <si>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</si>
  <si>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</si>
  <si>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</si>
  <si>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</si>
  <si>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</si>
  <si>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</si>
  <si>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</si>
  <si>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</si>
  <si>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</si>
  <si>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</si>
  <si>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</si>
  <si>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</si>
  <si>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</si>
  <si>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</si>
  <si>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</si>
  <si>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</si>
  <si>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</si>
  <si>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</si>
  <si>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</si>
  <si>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</si>
  <si>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</si>
  <si>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</si>
  <si>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</si>
  <si>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</si>
  <si>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</si>
  <si>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</si>
  <si>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</si>
  <si>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</si>
  <si>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</si>
  <si>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</si>
  <si>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</si>
  <si>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</si>
  <si>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</si>
  <si>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</si>
  <si>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</si>
  <si>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</si>
  <si>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</si>
  <si>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</si>
  <si>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</si>
  <si>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</si>
  <si>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</si>
  <si>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</si>
  <si>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</si>
  <si>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</si>
  <si>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</si>
  <si>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</si>
  <si>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</si>
  <si>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</si>
  <si>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</si>
  <si>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</si>
  <si>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</si>
  <si>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</si>
  <si>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</si>
  <si>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</si>
  <si>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</si>
  <si>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</si>
  <si>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</si>
  <si>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</si>
  <si>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</si>
  <si>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</si>
  <si>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</si>
  <si>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</si>
  <si>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</si>
  <si>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</si>
  <si>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</si>
  <si>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</si>
  <si>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</si>
  <si>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</si>
  <si>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</si>
  <si>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</si>
  <si>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</si>
  <si>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</si>
  <si>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</si>
  <si>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</si>
  <si>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</si>
  <si>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</si>
  <si>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</si>
  <si>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</si>
  <si>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</si>
  <si>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</si>
  <si>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</si>
  <si>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</si>
  <si>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</si>
  <si>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</si>
  <si>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</si>
  <si>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</si>
  <si>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</si>
  <si>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</si>
  <si>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</si>
  <si>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</si>
  <si>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</si>
  <si>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</si>
  <si>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</si>
  <si>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</si>
  <si>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</si>
  <si>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</si>
  <si>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</si>
  <si>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</si>
  <si>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</si>
  <si>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</si>
  <si>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</si>
  <si>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</si>
  <si>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</si>
  <si>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</si>
  <si>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</si>
  <si>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</si>
  <si>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</si>
  <si>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</si>
  <si>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</si>
  <si>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</si>
  <si>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</si>
  <si>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</si>
  <si>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</si>
  <si>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</si>
  <si>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</si>
  <si>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</si>
  <si>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</si>
  <si>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</si>
  <si>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</si>
  <si>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</si>
  <si>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</si>
  <si>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</si>
  <si>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</si>
  <si>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</si>
  <si>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</si>
  <si>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</si>
  <si>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</si>
  <si>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</si>
  <si>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</si>
  <si>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</si>
  <si>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</si>
  <si>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</si>
  <si>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</si>
  <si>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</si>
  <si>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</si>
  <si>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</si>
  <si>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</si>
  <si>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</si>
  <si>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</si>
  <si>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</si>
  <si>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</si>
  <si>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</si>
  <si>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</si>
  <si>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</si>
  <si>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</si>
  <si>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</si>
  <si>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</si>
  <si>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</si>
  <si>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</si>
  <si>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</si>
  <si>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</si>
  <si>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</si>
  <si>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</si>
  <si>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</si>
  <si>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</si>
  <si>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</si>
  <si>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</si>
  <si>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</si>
  <si>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</si>
  <si>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</si>
  <si>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</si>
  <si>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</si>
  <si>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</si>
  <si>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</si>
  <si>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</si>
  <si>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</si>
  <si>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</si>
  <si>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</si>
  <si>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</si>
  <si>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</si>
  <si>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</si>
  <si>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</si>
  <si>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</si>
  <si>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</si>
  <si>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</si>
  <si>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</si>
  <si>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</si>
  <si>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</si>
  <si>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</si>
  <si>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</si>
  <si>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</si>
  <si>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</si>
  <si>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</si>
  <si>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</si>
  <si>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</si>
  <si>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</si>
  <si>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</si>
  <si>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</si>
  <si>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</si>
  <si>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</si>
  <si>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</si>
  <si>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</si>
  <si>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</si>
  <si>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</si>
  <si>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</si>
  <si>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</si>
  <si>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</si>
  <si>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</si>
  <si>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</si>
  <si>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</si>
  <si>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</si>
  <si>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</si>
  <si>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</si>
  <si>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</si>
  <si>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</si>
  <si>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</si>
  <si>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</si>
  <si>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</si>
  <si>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</si>
  <si>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</si>
  <si>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</si>
  <si>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</si>
  <si>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</si>
  <si>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</si>
  <si>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</si>
  <si>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</si>
  <si>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</si>
  <si>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</si>
  <si>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</si>
  <si>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</si>
  <si>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</si>
  <si>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</si>
  <si>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</si>
  <si>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</si>
  <si>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</si>
  <si>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</si>
  <si>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</si>
  <si>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</si>
  <si>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</si>
  <si>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</si>
  <si>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</si>
  <si>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</si>
  <si>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</si>
  <si>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</si>
  <si>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</si>
  <si>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</si>
  <si>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</si>
  <si>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</si>
  <si>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</si>
  <si>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</si>
  <si>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</si>
  <si>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</si>
  <si>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</si>
  <si>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</si>
  <si>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</si>
  <si>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</si>
  <si>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</si>
  <si>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</si>
  <si>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</si>
  <si>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</si>
  <si>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</si>
  <si>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</si>
  <si>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</si>
  <si>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</si>
  <si>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</si>
  <si>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</si>
  <si>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</si>
  <si>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</si>
  <si>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</si>
  <si>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</si>
  <si>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</si>
  <si>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</si>
  <si>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</si>
  <si>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</si>
  <si>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</si>
  <si>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</si>
  <si>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</si>
  <si>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</si>
  <si>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</si>
  <si>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</si>
  <si>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</si>
  <si>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</si>
  <si>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</si>
  <si>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</si>
  <si>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</si>
  <si>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</si>
  <si>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</si>
  <si>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</si>
  <si>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</si>
  <si>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</si>
  <si>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</si>
  <si>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</si>
  <si>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</si>
  <si>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</si>
  <si>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</si>
  <si>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</si>
  <si>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</si>
  <si>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</si>
  <si>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</si>
  <si>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</si>
  <si>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</si>
  <si>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</si>
  <si>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</si>
  <si>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</si>
  <si>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</si>
  <si>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</si>
  <si>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</si>
  <si>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</si>
  <si>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</si>
  <si>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</si>
  <si>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</si>
  <si>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</si>
  <si>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</si>
  <si>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</si>
  <si>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</si>
  <si>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</si>
  <si>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</si>
  <si>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</si>
  <si>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</si>
  <si>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</si>
  <si>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</si>
  <si>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</si>
  <si>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</si>
  <si>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</si>
  <si>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</si>
  <si>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</si>
  <si>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</si>
  <si>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</si>
  <si>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</si>
  <si>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</si>
  <si>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</si>
  <si>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</si>
  <si>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</si>
  <si>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</si>
  <si>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</si>
  <si>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</si>
  <si>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</si>
  <si>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</si>
  <si>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</si>
  <si>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</si>
  <si>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</si>
  <si>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</si>
  <si>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</si>
  <si>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</si>
  <si>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</si>
  <si>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</si>
  <si>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</si>
  <si>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</si>
  <si>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</si>
  <si>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</si>
  <si>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</si>
  <si>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</si>
  <si>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</si>
  <si>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</si>
  <si>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</si>
  <si>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</si>
  <si>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</si>
  <si>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Column3</t>
  </si>
  <si>
    <t>Column4</t>
  </si>
  <si>
    <t>Column5</t>
  </si>
  <si>
    <t>Column6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</si>
  <si>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</si>
  <si>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</si>
  <si>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</si>
  <si>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</si>
  <si>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</si>
  <si>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</si>
  <si>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</si>
  <si>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</si>
  <si>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</si>
  <si>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</si>
  <si>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</si>
  <si>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</si>
  <si>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</si>
  <si>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</si>
  <si>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</si>
  <si>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</si>
  <si>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</si>
  <si>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</si>
  <si>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</si>
  <si>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</si>
  <si>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Port No.</t>
  </si>
  <si>
    <t>Manufacturer</t>
  </si>
  <si>
    <t>Medical Device Model</t>
  </si>
  <si>
    <t>Medical Device S/N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</si>
  <si>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</si>
  <si>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</si>
  <si>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</si>
  <si>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</si>
  <si>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</si>
  <si>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</si>
  <si>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</si>
  <si>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</si>
  <si>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</si>
  <si>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</si>
  <si>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</si>
  <si>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</si>
  <si>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</si>
  <si>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</si>
  <si>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</si>
  <si>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</si>
  <si>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</si>
  <si>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</si>
  <si>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</si>
  <si>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</si>
  <si>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</si>
  <si>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</si>
  <si>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</si>
  <si>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</si>
  <si>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</si>
  <si>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</si>
  <si>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</si>
  <si>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</si>
  <si>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</si>
  <si>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</si>
  <si>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</si>
  <si>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</si>
  <si>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</si>
  <si>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</si>
  <si>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</si>
  <si>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</si>
  <si>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</si>
  <si>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</si>
  <si>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</si>
  <si>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</si>
  <si>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</si>
  <si>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</si>
  <si>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</si>
  <si>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</si>
  <si>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</si>
  <si>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</si>
  <si>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</si>
  <si>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</si>
  <si>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</si>
  <si>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</si>
  <si>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</si>
  <si>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</si>
  <si>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</si>
  <si>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</si>
  <si>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</si>
  <si>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</si>
  <si>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</si>
  <si>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</si>
  <si>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</si>
  <si>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</si>
  <si>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</si>
  <si>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</si>
  <si>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</si>
  <si>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</si>
  <si>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</si>
  <si>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</si>
  <si>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</si>
  <si>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</si>
  <si>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</si>
  <si>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</si>
  <si>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</si>
  <si>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</si>
  <si>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</si>
  <si>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</si>
  <si>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</si>
  <si>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</si>
  <si>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</si>
  <si>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</si>
  <si>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</si>
  <si>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</si>
  <si>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</si>
  <si>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</si>
  <si>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</si>
  <si>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</si>
  <si>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</si>
  <si>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</si>
  <si>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</si>
  <si>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</si>
  <si>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</si>
  <si>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</si>
  <si>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</si>
  <si>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</si>
  <si>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</si>
  <si>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</si>
  <si>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</si>
  <si>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</si>
  <si>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</si>
  <si>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</si>
  <si>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</si>
  <si>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</si>
  <si>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</si>
  <si>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</si>
  <si>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</si>
  <si>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</si>
  <si>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</si>
  <si>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</si>
  <si>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</si>
  <si>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</si>
  <si>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</si>
  <si>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</si>
  <si>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</si>
  <si>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</si>
  <si>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</si>
  <si>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</si>
  <si>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</si>
  <si>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</si>
  <si>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</si>
  <si>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</si>
  <si>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</si>
  <si>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</si>
  <si>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</si>
  <si>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</si>
  <si>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</si>
  <si>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</si>
  <si>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</si>
  <si>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</si>
  <si>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</si>
  <si>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</si>
  <si>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</si>
  <si>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</si>
  <si>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</si>
  <si>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</si>
  <si>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</si>
  <si>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</si>
  <si>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</si>
  <si>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</si>
  <si>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</si>
  <si>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</si>
  <si>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</si>
  <si>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</si>
  <si>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</si>
  <si>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</si>
  <si>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</si>
  <si>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</si>
  <si>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</si>
  <si>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</si>
  <si>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</si>
  <si>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</si>
  <si>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</si>
  <si>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</si>
  <si>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</si>
  <si>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</si>
  <si>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</si>
  <si>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</si>
  <si>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</si>
  <si>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</si>
  <si>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</si>
  <si>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</si>
  <si>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</si>
  <si>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</si>
  <si>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</si>
  <si>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</si>
  <si>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</si>
  <si>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</si>
  <si>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</si>
  <si>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</si>
  <si>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</si>
  <si>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</si>
  <si>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</si>
  <si>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</si>
  <si>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</si>
  <si>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</si>
  <si>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</si>
  <si>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</si>
  <si>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</si>
  <si>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</si>
  <si>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</si>
  <si>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</si>
  <si>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</si>
  <si>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</si>
  <si>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</si>
  <si>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</si>
  <si>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</si>
  <si>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</si>
  <si>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</si>
  <si>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</si>
  <si>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</si>
  <si>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</si>
  <si>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</si>
  <si>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</si>
  <si>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</si>
  <si>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</si>
  <si>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</si>
  <si>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</si>
  <si>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</si>
  <si>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</si>
  <si>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</si>
  <si>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</si>
  <si>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</si>
  <si>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</si>
  <si>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</si>
  <si>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</si>
  <si>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</si>
  <si>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</si>
  <si>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</si>
  <si>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</si>
  <si>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</si>
  <si>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</si>
  <si>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</si>
  <si>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</si>
  <si>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</si>
  <si>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</si>
  <si>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</si>
  <si>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</si>
  <si>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</si>
  <si>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</si>
  <si>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</si>
  <si>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</si>
  <si>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</si>
  <si>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</si>
  <si>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</si>
  <si>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</si>
  <si>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</si>
  <si>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</si>
  <si>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</si>
  <si>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</si>
  <si>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</si>
  <si>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</si>
  <si>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</si>
  <si>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</si>
  <si>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</si>
  <si>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</si>
  <si>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</si>
  <si>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</si>
  <si>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</si>
  <si>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</si>
  <si>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</si>
  <si>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</si>
  <si>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</si>
  <si>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</si>
  <si>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</si>
  <si>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</si>
  <si>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</si>
  <si>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</si>
  <si>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</si>
  <si>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</si>
  <si>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</si>
  <si>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</si>
  <si>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</si>
  <si>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</si>
  <si>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</si>
  <si>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</si>
  <si>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</si>
  <si>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</si>
  <si>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</si>
  <si>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</si>
  <si>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</si>
  <si>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</si>
  <si>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</si>
  <si>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</si>
  <si>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</si>
  <si>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</si>
  <si>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</si>
  <si>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</si>
  <si>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</si>
  <si>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</si>
  <si>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</si>
  <si>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</si>
  <si>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</si>
  <si>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</si>
  <si>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</si>
  <si>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</si>
  <si>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</si>
  <si>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</si>
  <si>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</si>
  <si>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</si>
  <si>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</si>
  <si>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</si>
  <si>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</si>
  <si>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</si>
  <si>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</si>
  <si>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</si>
  <si>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</si>
  <si>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</si>
  <si>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</si>
  <si>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</si>
  <si>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</si>
  <si>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</si>
  <si>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</si>
  <si>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</si>
  <si>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</si>
  <si>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</si>
  <si>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</si>
  <si>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</si>
  <si>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</si>
  <si>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</si>
  <si>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</si>
  <si>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</si>
  <si>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</si>
  <si>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</si>
  <si>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</si>
  <si>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</si>
  <si>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</si>
  <si>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</si>
  <si>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</si>
  <si>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</si>
  <si>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</si>
  <si>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</si>
  <si>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</si>
  <si>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</si>
  <si>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</si>
  <si>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</si>
  <si>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</si>
  <si>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</si>
  <si>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</si>
  <si>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</si>
  <si>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</si>
  <si>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</si>
  <si>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</si>
  <si>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</si>
  <si>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</si>
  <si>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</si>
  <si>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</si>
  <si>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</si>
  <si>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</si>
  <si>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</si>
  <si>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</si>
  <si>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</si>
  <si>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</si>
  <si>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</si>
  <si>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</si>
  <si>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</si>
  <si>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</si>
  <si>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</si>
  <si>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</si>
  <si>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</si>
  <si>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</si>
  <si>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</si>
  <si>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</si>
  <si>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</si>
  <si>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</si>
  <si>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</si>
  <si>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</si>
  <si>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</si>
  <si>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</si>
  <si>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</si>
  <si>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</si>
  <si>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</si>
  <si>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</si>
  <si>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</si>
  <si>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</si>
  <si>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</si>
  <si>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</si>
  <si>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</si>
  <si>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</si>
  <si>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</si>
  <si>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</si>
  <si>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</si>
  <si>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</si>
  <si>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</si>
  <si>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</si>
  <si>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</si>
  <si>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</si>
  <si>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</si>
  <si>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</si>
  <si>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</si>
  <si>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</si>
  <si>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</si>
  <si>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</si>
  <si>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</si>
  <si>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</si>
  <si>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</si>
  <si>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</si>
  <si>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</si>
  <si>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</si>
  <si>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</si>
  <si>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</si>
  <si>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</si>
  <si>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</si>
  <si>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</si>
  <si>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</si>
  <si>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</si>
  <si>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</si>
  <si>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</si>
  <si>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</si>
  <si>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</si>
  <si>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</si>
  <si>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</si>
  <si>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</si>
  <si>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</si>
  <si>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</si>
  <si>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</si>
  <si>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</si>
  <si>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</si>
  <si>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</si>
  <si>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</si>
  <si>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</si>
  <si>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</si>
  <si>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</si>
  <si>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</si>
  <si>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</si>
  <si>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</si>
  <si>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</si>
  <si>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</si>
  <si>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</si>
  <si>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</si>
  <si>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</si>
  <si>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</si>
  <si>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</si>
  <si>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</si>
  <si>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</si>
  <si>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</si>
  <si>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</si>
  <si>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</si>
  <si>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</si>
  <si>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</si>
  <si>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</si>
  <si>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</si>
  <si>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</si>
  <si>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</si>
  <si>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</si>
  <si>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</si>
  <si>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</si>
  <si>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</si>
  <si>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</si>
  <si>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</si>
  <si>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</si>
  <si>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</si>
  <si>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</si>
  <si>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</si>
  <si>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</si>
  <si>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</si>
  <si>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</si>
  <si>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</si>
  <si>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</si>
  <si>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</si>
  <si>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</si>
  <si>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</si>
  <si>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</si>
  <si>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</si>
  <si>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</si>
  <si>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</si>
  <si>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</si>
  <si>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</si>
  <si>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</si>
  <si>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</si>
  <si>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</si>
  <si>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</si>
  <si>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</si>
  <si>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</si>
  <si>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</si>
  <si>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</si>
  <si>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</si>
  <si>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</si>
  <si>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</si>
  <si>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</si>
  <si>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</si>
  <si>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</si>
  <si>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</si>
  <si>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</si>
  <si>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</si>
  <si>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</si>
  <si>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</si>
  <si>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</si>
  <si>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</si>
  <si>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</si>
  <si>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</si>
  <si>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</si>
  <si>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</si>
  <si>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</si>
  <si>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</si>
  <si>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</si>
  <si>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</si>
  <si>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</si>
  <si>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</si>
  <si>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</si>
  <si>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</si>
  <si>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</si>
  <si>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</si>
  <si>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</si>
  <si>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</si>
  <si>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</si>
  <si>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</si>
  <si>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</si>
  <si>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</si>
  <si>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</si>
  <si>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</si>
  <si>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</si>
  <si>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</si>
  <si>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</si>
  <si>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</si>
  <si>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</si>
  <si>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</si>
  <si>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</si>
  <si>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</si>
  <si>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</si>
  <si>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</si>
  <si>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</si>
  <si>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</si>
  <si>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</si>
  <si>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</si>
  <si>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</si>
  <si>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</si>
  <si>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</si>
  <si>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</si>
  <si>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</si>
  <si>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</si>
  <si>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</si>
  <si>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</si>
  <si>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</si>
  <si>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</si>
  <si>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</si>
  <si>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</si>
  <si>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</si>
  <si>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</si>
  <si>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</si>
  <si>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</si>
  <si>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</si>
  <si>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</si>
  <si>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</si>
  <si>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</si>
  <si>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</si>
  <si>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</si>
  <si>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</si>
  <si>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</si>
  <si>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</si>
  <si>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</si>
  <si>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</si>
  <si>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</si>
  <si>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</si>
  <si>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</si>
  <si>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</si>
  <si>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</si>
  <si>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</si>
  <si>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</si>
  <si>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</si>
  <si>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</si>
  <si>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</si>
  <si>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</si>
  <si>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</si>
  <si>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</si>
  <si>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</si>
  <si>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</si>
  <si>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</si>
  <si>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</si>
  <si>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</si>
  <si>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</si>
  <si>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</si>
  <si>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</si>
  <si>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</si>
  <si>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</si>
  <si>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</si>
  <si>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</si>
  <si>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</si>
  <si>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</si>
  <si>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</si>
  <si>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</si>
  <si>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</si>
  <si>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</si>
  <si>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</si>
  <si>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</si>
  <si>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</si>
  <si>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</si>
  <si>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</si>
  <si>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</si>
  <si>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</si>
  <si>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</si>
  <si>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</si>
  <si>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</si>
  <si>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</si>
  <si>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</si>
  <si>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</si>
  <si>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</si>
  <si>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</si>
  <si>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</si>
  <si>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</si>
  <si>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</si>
  <si>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</si>
  <si>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</si>
  <si>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</si>
  <si>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</si>
  <si>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</si>
  <si>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</si>
  <si>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</si>
  <si>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</si>
  <si>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</si>
  <si>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</si>
  <si>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</si>
  <si>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</si>
  <si>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</si>
  <si>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</si>
  <si>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</si>
  <si>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</si>
  <si>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</si>
  <si>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</si>
  <si>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</si>
  <si>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</si>
  <si>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</si>
  <si>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</si>
  <si>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</si>
  <si>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</si>
  <si>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</si>
  <si>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</si>
  <si>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</si>
  <si>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</si>
  <si>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</si>
  <si>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</si>
  <si>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</si>
  <si>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</si>
  <si>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</si>
  <si>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</si>
  <si>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</si>
  <si>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</si>
  <si>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</si>
  <si>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</si>
  <si>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</si>
  <si>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</si>
  <si>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</si>
  <si>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</si>
  <si>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</si>
  <si>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</si>
  <si>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</si>
  <si>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NX750 - DE77668952</t>
  </si>
  <si>
    <t>WNH270OPR439</t>
  </si>
  <si>
    <t>LIJ-MACH-S</t>
  </si>
  <si>
    <t>00187DE0E379</t>
  </si>
  <si>
    <t>ASEA-0253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</si>
  <si>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</si>
  <si>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</si>
  <si>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</si>
  <si>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</si>
  <si>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</si>
  <si>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</si>
  <si>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</si>
  <si>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</si>
  <si>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</si>
  <si>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</si>
  <si>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</si>
  <si>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</si>
  <si>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</si>
  <si>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</si>
  <si>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</si>
  <si>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</si>
  <si>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</si>
  <si>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</si>
  <si>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</si>
  <si>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</si>
  <si>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</si>
  <si>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</si>
  <si>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</si>
  <si>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</si>
  <si>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</si>
  <si>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</si>
  <si>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</si>
  <si>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</si>
  <si>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</si>
  <si>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</si>
  <si>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</si>
  <si>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</si>
  <si>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</si>
  <si>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</si>
  <si>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</si>
  <si>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</si>
  <si>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</si>
  <si>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</si>
  <si>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</si>
  <si>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</si>
  <si>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</si>
  <si>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</si>
  <si>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</si>
  <si>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</si>
  <si>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</si>
  <si>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</si>
  <si>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</si>
  <si>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</si>
  <si>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</si>
  <si>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</si>
  <si>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</si>
  <si>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</si>
  <si>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</si>
  <si>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</si>
  <si>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</si>
  <si>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</si>
  <si>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</si>
  <si>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</si>
  <si>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Drager Apollo</t>
  </si>
  <si>
    <t>Phillips</t>
  </si>
  <si>
    <t>WVS900OPR026</t>
  </si>
  <si>
    <t>A0F5097FA52B</t>
  </si>
  <si>
    <t>WA23C03907</t>
  </si>
  <si>
    <t>MEDNG2425E-3698</t>
  </si>
  <si>
    <t>N/A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</si>
  <si>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</si>
  <si>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</si>
  <si>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</si>
  <si>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</si>
  <si>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</si>
  <si>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</si>
  <si>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</si>
  <si>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</si>
  <si>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</si>
  <si>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</si>
  <si>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</si>
  <si>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</si>
  <si>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</si>
  <si>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</si>
  <si>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</si>
  <si>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</si>
  <si>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</si>
  <si>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</si>
  <si>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</si>
  <si>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</si>
  <si>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</si>
  <si>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</si>
  <si>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</si>
  <si>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</si>
  <si>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</si>
  <si>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</si>
  <si>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</si>
  <si>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</si>
  <si>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</si>
  <si>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</si>
  <si>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</si>
  <si>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</si>
  <si>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</si>
  <si>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</si>
  <si>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</si>
  <si>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</si>
  <si>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</si>
  <si>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</si>
  <si>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</si>
  <si>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</si>
  <si>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</si>
  <si>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</si>
  <si>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</si>
  <si>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</si>
  <si>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</si>
  <si>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</si>
  <si>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</si>
  <si>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</si>
  <si>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</si>
  <si>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</si>
  <si>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</si>
  <si>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</si>
  <si>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</si>
  <si>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</si>
  <si>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</si>
  <si>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</si>
  <si>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</si>
  <si>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</si>
  <si>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</si>
  <si>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</si>
  <si>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</si>
  <si>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</si>
  <si>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</si>
  <si>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</si>
  <si>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</si>
  <si>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</si>
  <si>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</si>
  <si>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</si>
  <si>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</si>
  <si>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</si>
  <si>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</si>
  <si>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</si>
  <si>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</si>
  <si>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</si>
  <si>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</si>
  <si>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</si>
  <si>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</si>
  <si>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</si>
  <si>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</si>
  <si>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</si>
  <si>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</si>
  <si>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</si>
  <si>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</si>
  <si>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</si>
  <si>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</si>
  <si>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</si>
  <si>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</si>
  <si>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</si>
  <si>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</si>
  <si>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</si>
  <si>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</si>
  <si>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</si>
  <si>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</si>
  <si>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</si>
  <si>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</si>
  <si>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</si>
  <si>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</si>
  <si>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</si>
  <si>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</si>
  <si>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</si>
  <si>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</si>
  <si>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</si>
  <si>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</si>
  <si>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</si>
  <si>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</si>
  <si>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</si>
  <si>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Area/Unit</t>
  </si>
  <si>
    <t>Room</t>
  </si>
  <si>
    <t>Bay</t>
  </si>
  <si>
    <t>Credential Type (Client)</t>
  </si>
  <si>
    <t>Software List (Client Approved)</t>
  </si>
  <si>
    <t>Power Cable Present</t>
  </si>
  <si>
    <t>PI_Validated_Date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</si>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</sst>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9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fgColor rgb="FFD9B3FF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000000"/>
      </font>
      <fill>
        <patternFill patternType="solid">
          <fgColor rgb="FFE6CCFF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90">
  <autoFilter ref="A1:I90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73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72"/>
    <tableColumn id="6" xr3:uid="{00000000-0010-0000-0200-000006000000}" name="Site Locations" dataDxfId="71"/>
    <tableColumn id="8" xr3:uid="{00000000-0010-0000-0200-000008000000}" name="Area" dataDxfId="70"/>
    <tableColumn id="5" xr3:uid="{00000000-0010-0000-0200-000005000000}" name="Subarea" dataDxfId="69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1" xr3:uid="{00000000-0010-0000-0100-000042000000}" name="Device Type"/>
    <tableColumn id="2" xr3:uid="{00000000-0010-0000-0100-000048000000}" name="Deployed"/>
    <tableColumn id="3" xr3:uid="{00000000-0010-0000-0100-000040000000}" name="Installed"/>
    <tableColumn id="4" xr3:uid="{812267BB-A7AB-40FE-B62B-147AA09254FD}" name="Spare"/>
    <tableColumn id="5" xr3:uid="{65EFAC28-0400-4860-A268-27333A172767}" name="DesignationChanged"/>
    <tableColumn id="6" xr3:uid="{21557AC9-B507-4C4D-BA47-3C9660288D9E}" name="DupDeployed"/>
    <tableColumn id="7" xr3:uid="{00000000-0010-0000-0100-000044000000}" name="Current Building"/>
    <tableColumn id="8" xr3:uid="{00000000-0010-0000-0100-00001D000000}" name="Install Building"/>
    <tableColumn id="9" xr3:uid="{00000000-0010-0000-0100-000021000000}" name="Column3"/>
    <tableColumn id="10" xr3:uid="{00000000-0010-0000-0100-000022000000}" name="Column4"/>
    <tableColumn id="11" xr3:uid="{00000000-0010-0000-0100-000023000000}" name="Column5"/>
    <tableColumn id="12" xr3:uid="{00000000-0010-0000-0100-00002C000000}" name="Column6"/>
    <tableColumn id="13" xr3:uid="{00000000-0010-0000-0100-000034000000}" name="PI_Use_Case"/>
    <tableColumn id="14" xr3:uid="{00000000-0010-0000-0100-000035000000}" name="PI_Config_Shared"/>
    <tableColumn id="15" xr3:uid="{00000000-0010-0000-0100-000036000000}" name="PI_Config_Autologon"/>
    <tableColumn id="16" xr3:uid="{00000000-0010-0000-0100-000037000000}" name="PI_Imprivata"/>
    <tableColumn id="17" xr3:uid="{402EA967-1FAD-4DF2-A60D-0AA9FDA596A6}" name="PI_Imprivata_Type"/>
    <tableColumn id="18" xr3:uid="{00000000-0010-0000-0100-000038000000}" name="PI_Result"/>
    <tableColumn id="19" xr3:uid="{00000000-0010-0000-0100-000039000000}" name="PI_Rejection_Reason"/>
    <tableColumn id="20" xr3:uid="{00000000-0010-0000-0100-00003A000000}" name="PI_Validated_By"/>
    <tableColumn id="21" xr3:uid="{E153C85E-B198-4EDD-BDE3-0F019AC5E821}" name="Cybernet Hostname"/>
    <tableColumn id="22" xr3:uid="{00000000-0010-0000-0100-000015000000}" name="Neuron Hostname"/>
    <tableColumn id="23" xr3:uid="{00000000-0010-0000-0100-000041000000}" name="Neuron MAC"/>
    <tableColumn id="24" xr3:uid="{00000000-0010-0000-0100-000016000000}" name="Neuron IP"/>
    <tableColumn id="25" xr3:uid="{00000000-0010-0000-0100-000018000000}" name="Neuron Renamed"/>
    <tableColumn id="26" xr3:uid="{00000000-0010-0000-0100-000012000000}" name="Neuron S/N"/>
    <tableColumn id="27" xr3:uid="{00000000-0010-0000-0100-000019000000}" name="Neuron Profile"/>
    <tableColumn id="28" xr3:uid="{00000000-0010-0000-0100-000013000000}" name="Cybernet Serial"/>
    <tableColumn id="29" xr3:uid="{00000000-0010-0000-0100-00001F000000}" name="Cybernet MAC"/>
    <tableColumn id="30" xr3:uid="{00000000-0010-0000-0100-00001C000000}" name="Medical Device Class"/>
    <tableColumn id="31" xr3:uid="{839EA2C2-AFEC-4435-BE0F-2D38CA3734CE}" name="Asset Tag"/>
    <tableColumn id="32" xr3:uid="{00000000-0010-0000-0100-00001B000000}" name="Dialysis S/N"/>
    <tableColumn id="33" xr3:uid="{00000000-0010-0000-0100-000014000000}" name="Anesthesia S/N"/>
    <tableColumn id="34" xr3:uid="{00000000-0010-0000-0100-000043000000}" name="Wave/PO"/>
    <tableColumn id="35" xr3:uid="{00000000-0010-0000-0100-00001A000000}" name="Port No."/>
    <tableColumn id="36" xr3:uid="{00000000-0010-0000-0100-000025000000}" name="Manufacturer"/>
    <tableColumn id="37" xr3:uid="{00000000-0010-0000-0100-000020000000}" name="Medical Device Model"/>
    <tableColumn id="38" xr3:uid="{00000000-0010-0000-0100-000026000000}" name="Medical Device S/N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43" xr3:uid="{00000000-0010-0000-0100-000024000000}" name="Serial Connector Cable 5"/>
    <tableColumn id="44" xr3:uid="{00000000-0010-0000-0100-00002E000000}" name="Medical Peripheral 1"/>
    <tableColumn id="45" xr3:uid="{00000000-0010-0000-0100-00002F000000}" name="Medical Peripheral 2"/>
    <tableColumn id="46" xr3:uid="{00000000-0010-0000-0100-000030000000}" name="Medical Peripheral 3"/>
    <tableColumn id="47" xr3:uid="{00000000-0010-0000-0100-000031000000}" name="Medical Peripheral 4"/>
    <tableColumn id="48" xr3:uid="{00000000-0010-0000-0100-000032000000}" name="Medical Peripheral 5"/>
    <tableColumn id="49" xr3:uid="{00000000-0010-0000-0100-000045000000}" name="Neuron Power Cable Present"/>
    <tableColumn id="50" xr3:uid="{00000000-0010-0000-0100-000046000000}" name="Battery Present"/>
    <tableColumn id="51" xr3:uid="{00000000-0010-0000-0100-00002D000000}" name="Has Barcode Scanner"/>
    <tableColumn id="52" xr3:uid="{00000000-0010-0000-0100-000033000000}" name="Has Badge Scanner"/>
    <tableColumn id="53" xr3:uid="{00000000-0010-0000-0100-000049000000}" name="Configuration Date"/>
    <tableColumn id="54" xr3:uid="{00000000-0010-0000-0100-00000A000000}" name="Ready for Deployment"/>
    <tableColumn id="55" xr3:uid="{00000000-0010-0000-0100-00000B000000}" name="Notes"/>
    <tableColumn id="56" xr3:uid="{00000000-0010-0000-0100-000017000000}" name="IT Device Status"/>
    <tableColumn id="57" xr3:uid="{00000000-0010-0000-0100-00000C000000}" name="Firmware Downloaded"/>
    <tableColumn id="58" xr3:uid="{00000000-0010-0000-0100-00000D000000}" name="Firmware Installed"/>
    <tableColumn id="59" xr3:uid="{00000000-0010-0000-0100-000047000000}" name="Software Downloaded"/>
    <tableColumn id="60" xr3:uid="{00000000-0010-0000-0100-00001E000000}" name="Software Installed"/>
    <tableColumn id="61" xr3:uid="{00000000-0010-0000-0100-00003B000000}" name="Software List"/>
    <tableColumn id="62" xr3:uid="{00000000-0010-0000-0100-00000E000000}" name="Device ID Assigned"/>
    <tableColumn id="63" xr3:uid="{00000000-0010-0000-0100-00000F000000}" name="Epic Beans Data Sent"/>
    <tableColumn id="64" xr3:uid="{00000000-0010-0000-0100-000010000000}" name="Blocker Reason"/>
    <tableColumn id="65" xr3:uid="{00000000-0010-0000-0100-000011000000}" name="Readiness (Auto)"/>
    <tableColumn id="66" xr3:uid="{00000000-0010-0000-0100-00002B000000}" name="Column1"/>
    <tableColumn id="67" xr3:uid="{00000000-0010-0000-0100-00003C000000}" name="PalletID (Manual)"/>
    <tableColumn id="68" xr3:uid="{00000000-0010-0000-0100-00003D000000}" name="Warehouse Location (AUTO)"/>
    <tableColumn id="69" xr3:uid="{00000000-0010-0000-0100-00003E000000}" name="Pallet Status (AUTO)"/>
    <tableColumn id="70" xr3:uid="{00000000-0010-0000-0100-00003F000000}" name="Last Move TS (AUTO)"/>
    <tableColumn id="71" xr3:uid="{5DEB76ED-A566-4742-9E10-7716A1EE9B71}" name="Has Mouse"/>
    <tableColumn id="72" xr3:uid="{635ADFB6-8DB4-4F21-A784-427CF74D11EA}" name="Has Keyboard"/>
    <tableColumn id="73" xr3:uid="{3E571746-AE97-43C0-9234-38F2734CEDDF}" name="Has New Ethernet"/>
    <tableColumn id="74" xr3:uid="{C652F095-A959-469A-A7DE-86B5074A69E5}" name="Has New Breakaway"/>
    <tableColumn id="75" xr3:uid="{8DBBD79E-4015-457A-9531-F4C8A794FF19}" name="GCX Arm Deployed"/>
    <tableColumn id="76" xr3:uid="{68E1DAAD-C831-4FE1-B257-1FC9E7AB9C89}" name="Baud Rate"/>
    <tableColumn id="77" xr3:uid="{85C56C6A-33E1-4920-85AA-5EBFADFB1DD0}" name="Part Numbers"/>
    <tableColumn id="78" xr3:uid="{4999DB1B-ABA0-4487-A7C6-4111D103D61C}" name="GCX Arm Part Numbers"/>
    <tableColumn id="79" xr3:uid="{09465DF9-CDD4-44E6-B8C8-590C0ECA3E5F}" name="Pallet Association"/>
    <tableColumn id="80" xr3:uid="{A06ECD4F-4814-47CB-8809-36ABDA232FA8}" name="Column2"/>
    <tableColumn id="81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IFERROR(INDEX(tblDeviceConfig[Column6],ROW()-1),"")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IFERROR(INDEX(tblDeviceConfig[Column6],ROW()-1),"")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IFERROR(INDEX(tblDeviceConfig[Column6],ROW()-1),"")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IFERROR(INDEX(tblDeviceConfig[Column6],ROW()-1),"")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IFERROR(INDEX(tblDeviceConfig[Column6],ROW()-1),"")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IFERROR(INDEX(tblDeviceConfig[Column6],ROW()-1),"")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IFERROR(INDEX(tblDeviceConfig[Column6],ROW()-1),"")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IFERROR(INDEX(tblDeviceConfig[Column6],ROW()-1),"")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IFERROR(INDEX(tblDeviceConfig[Column6],ROW()-1),"")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IFERROR(INDEX(tblDeviceConfig[Column6],ROW()-1),"")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IFERROR(INDEX(tblDeviceConfig[Column6],ROW()-1),"")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IFERROR(INDEX(tblDeviceConfig[Column6],ROW()-1),"")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IFERROR(INDEX(tblDeviceConfig[Column6],ROW()-1),"")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IFERROR(INDEX(tblDeviceConfig[Column6],ROW()-1),"")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IFERROR(INDEX(tblDeviceConfig[Column6],ROW()-1),"")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IFERROR(INDEX(tblDeviceConfig[Column6],ROW()-1),"")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IFERROR(INDEX(tblDeviceConfig[Column6],ROW()-1),"")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IFERROR(INDEX(tblDeviceConfig[Column6],ROW()-1),"")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IFERROR(INDEX(tblDeviceConfig[Column6],ROW()-1),"")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IFERROR(INDEX(tblDeviceConfig[Column6],ROW()-1),"")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IFERROR(INDEX(tblDeviceConfig[Column6],ROW()-1),"")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IFERROR(INDEX(tblDeviceConfig[Column6],ROW()-1),"")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IFERROR(INDEX(tblDeviceConfig[Column6],ROW()-1),"")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IFERROR(INDEX(tblDeviceConfig[Column6],ROW()-1),"")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IFERROR(INDEX(tblDeviceConfig[Column6],ROW()-1),"")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IFERROR(INDEX(tblDeviceConfig[Column6],ROW()-1),"")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IFERROR(INDEX(tblDeviceConfig[Column6],ROW()-1),"")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IFERROR(INDEX(tblDeviceConfig[Column6],ROW()-1),"")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IFERROR(INDEX(tblDeviceConfig[Column6],ROW()-1),"")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IFERROR(INDEX(tblDeviceConfig[Column6],ROW()-1),"")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IFERROR(INDEX(tblDeviceConfig[Column6],ROW()-1),"")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IFERROR(INDEX(tblDeviceConfig[Column6],ROW()-1),"")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IFERROR(INDEX(tblDeviceConfig[Column6],ROW()-1),"")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IFERROR(INDEX(tblDeviceConfig[Column6],ROW()-1),"")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IFERROR(INDEX(tblDeviceConfig[Column6],ROW()-1),"")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IFERROR(INDEX(tblDeviceConfig[Column6],ROW()-1),"")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IFERROR(INDEX(tblDeviceConfig[Column6],ROW()-1),"")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IFERROR(INDEX(tblDeviceConfig[Column6],ROW()-1),"")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IFERROR(INDEX(tblDeviceConfig[Column6],ROW()-1),"")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IFERROR(INDEX(tblDeviceConfig[Column6],ROW()-1),"")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IFERROR(INDEX(tblDeviceConfig[Column6],ROW()-1),"")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IFERROR(INDEX(tblDeviceConfig[Column6],ROW()-1),"")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IFERROR(INDEX(tblDeviceConfig[Column6],ROW()-1),"")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IFERROR(INDEX(tblDeviceConfig[Column6],ROW()-1),"")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IFERROR(INDEX(tblDeviceConfig[Column6],ROW()-1),"")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IFERROR(INDEX(tblDeviceConfig[Column6],ROW()-1),"")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IFERROR(INDEX(tblDeviceConfig[Column6],ROW()-1),"")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IFERROR(INDEX(tblDeviceConfig[Column6],ROW()-1),"")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IFERROR(INDEX(tblDeviceConfig[Column6],ROW()-1),"")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IFERROR(INDEX(tblDeviceConfig[Column6],ROW()-1),"")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IFERROR(INDEX(tblDeviceConfig[Column6],ROW()-1),"")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IFERROR(INDEX(tblDeviceConfig[Column6],ROW()-1),"")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IFERROR(INDEX(tblDeviceConfig[Column6],ROW()-1),"")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IFERROR(INDEX(tblDeviceConfig[Column6],ROW()-1),"")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IFERROR(INDEX(tblDeviceConfig[Column6],ROW()-1),"")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IFERROR(INDEX(tblDeviceConfig[Column6],ROW()-1),"")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IFERROR(INDEX(tblDeviceConfig[Column6],ROW()-1),"")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IFERROR(INDEX(tblDeviceConfig[Column6],ROW()-1),"")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IFERROR(INDEX(tblDeviceConfig[Column6],ROW()-1),"")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IFERROR(INDEX(tblDeviceConfig[Column6],ROW()-1),"")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IFERROR(INDEX(tblDeviceConfig[Column6],ROW()-1),"")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IFERROR(INDEX(tblDeviceConfig[Column6],ROW()-1),"")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IFERROR(INDEX(tblDeviceConfig[Column6],ROW()-1),"")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IFERROR(INDEX(tblDeviceConfig[Column6],ROW()-1),"")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IFERROR(INDEX(tblDeviceConfig[Column6],ROW()-1),"")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IFERROR(INDEX(tblDeviceConfig[Column6],ROW()-1),"")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IFERROR(INDEX(tblDeviceConfig[Column6],ROW()-1),"")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IFERROR(INDEX(tblDeviceConfig[Column6],ROW()-1),"")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IFERROR(INDEX(tblDeviceConfig[Column6],ROW()-1),"")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IFERROR(INDEX(tblDeviceConfig[Column6],ROW()-1),"")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IFERROR(INDEX(tblDeviceConfig[Column6],ROW()-1),"")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IFERROR(INDEX(tblDeviceConfig[Column6],ROW()-1),"")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IFERROR(INDEX(tblDeviceConfig[Column6],ROW()-1),"")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IFERROR(INDEX(tblDeviceConfig[Column6],ROW()-1),"")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IFERROR(INDEX(tblDeviceConfig[Column6],ROW()-1),"")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IFERROR(INDEX(tblDeviceConfig[Column6],ROW()-1),"")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IFERROR(INDEX(tblDeviceConfig[Column6],ROW()-1),"")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IFERROR(INDEX(tblDeviceConfig[Column6],ROW()-1),"")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IFERROR(INDEX(tblDeviceConfig[Column6],ROW()-1),"")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IFERROR(INDEX(tblDeviceConfig[Column6],ROW()-1),"")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IFERROR(INDEX(tblDeviceConfig[Column6],ROW()-1),"")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IFERROR(INDEX(tblDeviceConfig[Column6],ROW()-1),"")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IFERROR(INDEX(tblDeviceConfig[Column6],ROW()-1),"")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IFERROR(INDEX(tblDeviceConfig[Column6],ROW()-1),"")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IFERROR(INDEX(tblDeviceConfig[Column6],ROW()-1),"")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IFERROR(INDEX(tblDeviceConfig[Column6],ROW()-1),"")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IFERROR(INDEX(tblDeviceConfig[Column6],ROW()-1),"")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IFERROR(INDEX(tblDeviceConfig[Column6],ROW()-1),"")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IFERROR(INDEX(tblDeviceConfig[Column6],ROW()-1),"")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IFERROR(INDEX(tblDeviceConfig[Column6],ROW()-1),"")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IFERROR(INDEX(tblDeviceConfig[Column6],ROW()-1),"")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IFERROR(INDEX(tblDeviceConfig[Column6],ROW()-1),"")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IFERROR(INDEX(tblDeviceConfig[Column6],ROW()-1),"")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IFERROR(INDEX(tblDeviceConfig[Column6],ROW()-1),"")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IFERROR(INDEX(tblDeviceConfig[Column6],ROW()-1),"")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IFERROR(INDEX(tblDeviceConfig[Column6],ROW()-1),"")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IFERROR(INDEX(tblDeviceConfig[Column6],ROW()-1),"")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IFERROR(INDEX(tblDeviceConfig[Column6],ROW()-1),"")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IFERROR(INDEX(tblDeviceConfig[Column6],ROW()-1),"")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IFERROR(INDEX(tblDeviceConfig[Column6],ROW()-1),"")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IFERROR(INDEX(tblDeviceConfig[Column6],ROW()-1),"")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IFERROR(INDEX(tblDeviceConfig[Column6],ROW()-1),"")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IFERROR(INDEX(tblDeviceConfig[Column6],ROW()-1),"")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IFERROR(INDEX(tblDeviceConfig[Column6],ROW()-1),"")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IFERROR(INDEX(tblDeviceConfig[Column6],ROW()-1),"")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IFERROR(INDEX(tblDeviceConfig[Column6],ROW()-1),"")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IFERROR(INDEX(tblDeviceConfig[Column6],ROW()-1),"")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IFERROR(INDEX(tblDeviceConfig[Column6],ROW()-1),"")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IFERROR(INDEX(tblDeviceConfig[Column6],ROW()-1),"")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IFERROR(INDEX(tblDeviceConfig[Column6],ROW()-1),"")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IFERROR(INDEX(tblDeviceConfig[Column6],ROW()-1),"")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IFERROR(INDEX(tblDeviceConfig[Column6],ROW()-1),"")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IFERROR(INDEX(tblDeviceConfig[Column6],ROW()-1),"")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IFERROR(INDEX(tblDeviceConfig[Column6],ROW()-1),"")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IFERROR(INDEX(tblDeviceConfig[Column6],ROW()-1),"")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IFERROR(INDEX(tblDeviceConfig[Column6],ROW()-1),"")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IFERROR(INDEX(tblDeviceConfig[Column6],ROW()-1),"")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IFERROR(INDEX(tblDeviceConfig[Column6],ROW()-1),"")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IFERROR(INDEX(tblDeviceConfig[Column6],ROW()-1),"")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IFERROR(INDEX(tblDeviceConfig[Column6],ROW()-1),"")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IFERROR(INDEX(tblDeviceConfig[Column6],ROW()-1),"")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IFERROR(INDEX(tblDeviceConfig[Column6],ROW()-1),"")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IFERROR(INDEX(tblDeviceConfig[Column6],ROW()-1),"")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IFERROR(INDEX(tblDeviceConfig[Column6],ROW()-1),"")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IFERROR(INDEX(tblDeviceConfig[Column6],ROW()-1),"")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IFERROR(INDEX(tblDeviceConfig[Column6],ROW()-1),"")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IFERROR(INDEX(tblDeviceConfig[Column6],ROW()-1),"")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IFERROR(INDEX(tblDeviceConfig[Column6],ROW()-1),"")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IFERROR(INDEX(tblDeviceConfig[Column6],ROW()-1),"")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IFERROR(INDEX(tblDeviceConfig[Column6],ROW()-1),"")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IFERROR(INDEX(tblDeviceConfig[Column6],ROW()-1),"")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IFERROR(INDEX(tblDeviceConfig[Column6],ROW()-1),"")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IFERROR(INDEX(tblDeviceConfig[Column6],ROW()-1),"")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IFERROR(INDEX(tblDeviceConfig[Column6],ROW()-1),"")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IFERROR(INDEX(tblDeviceConfig[Column6],ROW()-1),"")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IFERROR(INDEX(tblDeviceConfig[Column6],ROW()-1),"")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IFERROR(INDEX(tblDeviceConfig[Column6],ROW()-1),"")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IFERROR(INDEX(tblDeviceConfig[Column6],ROW()-1),"")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IFERROR(INDEX(tblDeviceConfig[Column6],ROW()-1),"")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IFERROR(INDEX(tblDeviceConfig[Column6],ROW()-1),"")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IFERROR(INDEX(tblDeviceConfig[Column6],ROW()-1),"")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IFERROR(INDEX(tblDeviceConfig[Column6],ROW()-1),"")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IFERROR(INDEX(tblDeviceConfig[Column6],ROW()-1),"")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IFERROR(INDEX(tblDeviceConfig[Column6],ROW()-1),"")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IFERROR(INDEX(tblDeviceConfig[Column6],ROW()-1),"")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IFERROR(INDEX(tblDeviceConfig[Column6],ROW()-1),"")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IFERROR(INDEX(tblDeviceConfig[Column6],ROW()-1),"")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IFERROR(INDEX(tblDeviceConfig[Column6],ROW()-1),"")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IFERROR(INDEX(tblDeviceConfig[Column6],ROW()-1),"")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IFERROR(INDEX(tblDeviceConfig[Column6],ROW()-1),"")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IFERROR(INDEX(tblDeviceConfig[Column6],ROW()-1),"")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IFERROR(INDEX(tblDeviceConfig[Column6],ROW()-1),"")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IFERROR(INDEX(tblDeviceConfig[Column6],ROW()-1),"")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IFERROR(INDEX(tblDeviceConfig[Column6],ROW()-1),"")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IFERROR(INDEX(tblDeviceConfig[Column6],ROW()-1),"")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IFERROR(INDEX(tblDeviceConfig[Column6],ROW()-1),"")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IFERROR(INDEX(tblDeviceConfig[Column6],ROW()-1),"")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IFERROR(INDEX(tblDeviceConfig[Column6],ROW()-1),"")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IFERROR(INDEX(tblDeviceConfig[Column6],ROW()-1),"")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IFERROR(INDEX(tblDeviceConfig[Column6],ROW()-1),"")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IFERROR(INDEX(tblDeviceConfig[Column6],ROW()-1),"")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IFERROR(INDEX(tblDeviceConfig[Column6],ROW()-1),"")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IFERROR(INDEX(tblDeviceConfig[Column6],ROW()-1),"")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IFERROR(INDEX(tblDeviceConfig[Column6],ROW()-1),"")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IFERROR(INDEX(tblDeviceConfig[Column6],ROW()-1),"")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IFERROR(INDEX(tblDeviceConfig[Column6],ROW()-1),"")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IFERROR(INDEX(tblDeviceConfig[Column6],ROW()-1),"")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IFERROR(INDEX(tblDeviceConfig[Column6],ROW()-1),"")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IFERROR(INDEX(tblDeviceConfig[Column6],ROW()-1),"")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IFERROR(INDEX(tblDeviceConfig[Column6],ROW()-1),"")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IFERROR(INDEX(tblDeviceConfig[Column6],ROW()-1),"")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IFERROR(INDEX(tblDeviceConfig[Column6],ROW()-1),"")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IFERROR(INDEX(tblDeviceConfig[Column6],ROW()-1),"")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IFERROR(INDEX(tblDeviceConfig[Column6],ROW()-1),"")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IFERROR(INDEX(tblDeviceConfig[Column6],ROW()-1),"")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IFERROR(INDEX(tblDeviceConfig[Column6],ROW()-1),"")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IFERROR(INDEX(tblDeviceConfig[Column6],ROW()-1),"")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IFERROR(INDEX(tblDeviceConfig[Column6],ROW()-1),"")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IFERROR(INDEX(tblDeviceConfig[Column6],ROW()-1),"")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IFERROR(INDEX(tblDeviceConfig[Column6],ROW()-1),"")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IFERROR(INDEX(tblDeviceConfig[Column6],ROW()-1),"")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IFERROR(INDEX(tblDeviceConfig[Column6],ROW()-1),"")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IFERROR(INDEX(tblDeviceConfig[Column6],ROW()-1),"")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IFERROR(INDEX(tblDeviceConfig[Column6],ROW()-1),"")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IFERROR(INDEX(tblDeviceConfig[Column6],ROW()-1),"")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IFERROR(INDEX(tblDeviceConfig[Column6],ROW()-1),"")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IFERROR(INDEX(tblDeviceConfig[Column6],ROW()-1),"")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IFERROR(INDEX(tblDeviceConfig[Column6],ROW()-1),"")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IFERROR(INDEX(tblDeviceConfig[Column6],ROW()-1),"")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IFERROR(INDEX(tblDeviceConfig[Column6],ROW()-1),"")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IFERROR(INDEX(tblDeviceConfig[Column6],ROW()-1),"")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IFERROR(INDEX(tblDeviceConfig[Column6],ROW()-1),"")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IFERROR(INDEX(tblDeviceConfig[Column6],ROW()-1),"")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IFERROR(INDEX(tblDeviceConfig[Column6],ROW()-1),"")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IFERROR(INDEX(tblDeviceConfig[Column6],ROW()-1),"")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IFERROR(INDEX(tblDeviceConfig[Column6],ROW()-1),"")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IFERROR(INDEX(tblDeviceConfig[Column6],ROW()-1),"")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IFERROR(INDEX(tblDeviceConfig[Column6],ROW()-1),"")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IFERROR(INDEX(tblDeviceConfig[Column6],ROW()-1),"")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IFERROR(INDEX(tblDeviceConfig[Column6],ROW()-1),"")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IFERROR(INDEX(tblDeviceConfig[Column6],ROW()-1),"")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IFERROR(INDEX(tblDeviceConfig[Column6],ROW()-1),"")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IFERROR(INDEX(tblDeviceConfig[Column6],ROW()-1),"")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IFERROR(INDEX(tblDeviceConfig[Column6],ROW()-1),"")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IFERROR(INDEX(tblDeviceConfig[Column6],ROW()-1),"")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IFERROR(INDEX(tblDeviceConfig[Column6],ROW()-1),"")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IFERROR(INDEX(tblDeviceConfig[Column6],ROW()-1),"")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IFERROR(INDEX(tblDeviceConfig[Column6],ROW()-1),"")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IFERROR(INDEX(tblDeviceConfig[Column6],ROW()-1),"")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IFERROR(INDEX(tblDeviceConfig[Column6],ROW()-1),"")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IFERROR(INDEX(tblDeviceConfig[Column6],ROW()-1),"")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IFERROR(INDEX(tblDeviceConfig[Column6],ROW()-1),"")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IFERROR(INDEX(tblDeviceConfig[Column6],ROW()-1),"")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IFERROR(INDEX(tblDeviceConfig[Column6],ROW()-1),"")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IFERROR(INDEX(tblDeviceConfig[Column6],ROW()-1),"")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IFERROR(INDEX(tblDeviceConfig[Column6],ROW()-1),"")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IFERROR(INDEX(tblDeviceConfig[Column6],ROW()-1),"")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IFERROR(INDEX(tblDeviceConfig[Column6],ROW()-1),"")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IFERROR(INDEX(tblDeviceConfig[Column6],ROW()-1),"")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IFERROR(INDEX(tblDeviceConfig[Column6],ROW()-1),"")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IFERROR(INDEX(tblDeviceConfig[Column6],ROW()-1),"")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IFERROR(INDEX(tblDeviceConfig[Column6],ROW()-1),"")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IFERROR(INDEX(tblDeviceConfig[Column6],ROW()-1),"")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IFERROR(INDEX(tblDeviceConfig[Column6],ROW()-1),"")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IFERROR(INDEX(tblDeviceConfig[Column6],ROW()-1),"")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IFERROR(INDEX(tblDeviceConfig[Column6],ROW()-1),"")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IFERROR(INDEX(tblDeviceConfig[Column6],ROW()-1),"")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IFERROR(INDEX(tblDeviceConfig[Column6],ROW()-1),"")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IFERROR(INDEX(tblDeviceConfig[Column6],ROW()-1),"")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IFERROR(INDEX(tblDeviceConfig[Column6],ROW()-1),"")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IFERROR(INDEX(tblDeviceConfig[Column6],ROW()-1),"")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IFERROR(INDEX(tblDeviceConfig[Column6],ROW()-1),"")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IFERROR(INDEX(tblDeviceConfig[Column6],ROW()-1),"")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IFERROR(INDEX(tblDeviceConfig[Column6],ROW()-1),"")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IFERROR(INDEX(tblDeviceConfig[Column6],ROW()-1),"")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IFERROR(INDEX(tblDeviceConfig[Column6],ROW()-1),"")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IFERROR(INDEX(tblDeviceConfig[Column6],ROW()-1),"")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IFERROR(INDEX(tblDeviceConfig[Column6],ROW()-1),"")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IFERROR(INDEX(tblDeviceConfig[Column6],ROW()-1),"")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IFERROR(INDEX(tblDeviceConfig[Column6],ROW()-1),"")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IFERROR(INDEX(tblDeviceConfig[Column6],ROW()-1),"")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IFERROR(INDEX(tblDeviceConfig[Column6],ROW()-1),"")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IFERROR(INDEX(tblDeviceConfig[Column6],ROW()-1),"")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IFERROR(INDEX(tblDeviceConfig[Column6],ROW()-1),"")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IFERROR(INDEX(tblDeviceConfig[Column6],ROW()-1),"")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IFERROR(INDEX(tblDeviceConfig[Column6],ROW()-1),"")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IFERROR(INDEX(tblDeviceConfig[Column6],ROW()-1),"")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IFERROR(INDEX(tblDeviceConfig[Column6],ROW()-1),"")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IFERROR(INDEX(tblDeviceConfig[Column6],ROW()-1),"")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IFERROR(INDEX(tblDeviceConfig[Column6],ROW()-1),"")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IFERROR(INDEX(tblDeviceConfig[Column6],ROW()-1),"")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IFERROR(INDEX(tblDeviceConfig[Column6],ROW()-1),"")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IFERROR(INDEX(tblDeviceConfig[Column6],ROW()-1),"")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IFERROR(INDEX(tblDeviceConfig[Column6],ROW()-1),"")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IFERROR(INDEX(tblDeviceConfig[Column6],ROW()-1),"")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IFERROR(INDEX(tblDeviceConfig[Column6],ROW()-1),"")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IFERROR(INDEX(tblDeviceConfig[Column6],ROW()-1),"")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IFERROR(INDEX(tblDeviceConfig[Column6],ROW()-1),"")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IFERROR(INDEX(tblDeviceConfig[Column6],ROW()-1),"")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IFERROR(INDEX(tblDeviceConfig[Column6],ROW()-1),"")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IFERROR(INDEX(tblDeviceConfig[Column6],ROW()-1),"")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IFERROR(INDEX(tblDeviceConfig[Column6],ROW()-1),"")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IFERROR(INDEX(tblDeviceConfig[Column6],ROW()-1),"")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IFERROR(INDEX(tblDeviceConfig[Column6],ROW()-1),"")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IFERROR(INDEX(tblDeviceConfig[Column6],ROW()-1),"")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IFERROR(INDEX(tblDeviceConfig[Column6],ROW()-1),"")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IFERROR(INDEX(tblDeviceConfig[Column6],ROW()-1),"")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IFERROR(INDEX(tblDeviceConfig[Column6],ROW()-1),"")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IFERROR(INDEX(tblDeviceConfig[Column6],ROW()-1),"")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IFERROR(INDEX(tblDeviceConfig[Column6],ROW()-1),"")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IFERROR(INDEX(tblDeviceConfig[Column6],ROW()-1),"")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IFERROR(INDEX(tblDeviceConfig[Column6],ROW()-1),"")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IFERROR(INDEX(tblDeviceConfig[Column6],ROW()-1),"")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IFERROR(INDEX(tblDeviceConfig[Column6],ROW()-1),"")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IFERROR(INDEX(tblDeviceConfig[Column6],ROW()-1),"")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IFERROR(INDEX(tblDeviceConfig[Column6],ROW()-1),"")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IFERROR(INDEX(tblDeviceConfig[Column6],ROW()-1),"")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IFERROR(INDEX(tblDeviceConfig[Column6],ROW()-1),"")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IFERROR(INDEX(tblDeviceConfig[Column6],ROW()-1),"")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IFERROR(INDEX(tblDeviceConfig[Column6],ROW()-1),"")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IFERROR(INDEX(tblDeviceConfig[Column6],ROW()-1),"")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IFERROR(INDEX(tblDeviceConfig[Column6],ROW()-1),"")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IFERROR(INDEX(tblDeviceConfig[Column6],ROW()-1),"")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IFERROR(INDEX(tblDeviceConfig[Column6],ROW()-1),"")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IFERROR(INDEX(tblDeviceConfig[Column6],ROW()-1),"")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IFERROR(INDEX(tblDeviceConfig[Column6],ROW()-1),"")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IFERROR(INDEX(tblDeviceConfig[Column6],ROW()-1),"")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IFERROR(INDEX(tblDeviceConfig[Column6],ROW()-1),"")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IFERROR(INDEX(tblDeviceConfig[Column6],ROW()-1),"")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IFERROR(INDEX(tblDeviceConfig[Column6],ROW()-1),"")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IFERROR(INDEX(tblDeviceConfig[Column6],ROW()-1),"")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IFERROR(INDEX(tblDeviceConfig[Column6],ROW()-1),"")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IFERROR(INDEX(tblDeviceConfig[Column6],ROW()-1),"")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IFERROR(INDEX(tblDeviceConfig[Column6],ROW()-1),"")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IFERROR(INDEX(tblDeviceConfig[Column6],ROW()-1),"")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IFERROR(INDEX(tblDeviceConfig[Column6],ROW()-1),"")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IFERROR(INDEX(tblDeviceConfig[Column6],ROW()-1),"")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IFERROR(INDEX(tblDeviceConfig[Column6],ROW()-1),"")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IFERROR(INDEX(tblDeviceConfig[Column6],ROW()-1),"")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IFERROR(INDEX(tblDeviceConfig[Column6],ROW()-1),"")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IFERROR(INDEX(tblDeviceConfig[Column6],ROW()-1),"")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IFERROR(INDEX(tblDeviceConfig[Column6],ROW()-1),"")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IFERROR(INDEX(tblDeviceConfig[Column6],ROW()-1),"")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IFERROR(INDEX(tblDeviceConfig[Column6],ROW()-1),"")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IFERROR(INDEX(tblDeviceConfig[Column6],ROW()-1),"")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IFERROR(INDEX(tblDeviceConfig[Column6],ROW()-1),"")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IFERROR(INDEX(tblDeviceConfig[Column6],ROW()-1),"")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IFERROR(INDEX(tblDeviceConfig[Column6],ROW()-1),"")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IFERROR(INDEX(tblDeviceConfig[Column6],ROW()-1),"")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IFERROR(INDEX(tblDeviceConfig[Column6],ROW()-1),"")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IFERROR(INDEX(tblDeviceConfig[Column6],ROW()-1),"")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IFERROR(INDEX(tblDeviceConfig[Column6],ROW()-1),"")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IFERROR(INDEX(tblDeviceConfig[Column6],ROW()-1),"")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IFERROR(INDEX(tblDeviceConfig[Column6],ROW()-1),"")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IFERROR(INDEX(tblDeviceConfig[Column6],ROW()-1),"")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IFERROR(INDEX(tblDeviceConfig[Column6],ROW()-1),"")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IFERROR(INDEX(tblDeviceConfig[Column6],ROW()-1),"")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IFERROR(INDEX(tblDeviceConfig[Column6],ROW()-1),"")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IFERROR(INDEX(tblDeviceConfig[Column6],ROW()-1),"")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IFERROR(INDEX(tblDeviceConfig[Column6],ROW()-1),"")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IFERROR(INDEX(tblDeviceConfig[Column6],ROW()-1),"")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IFERROR(INDEX(tblDeviceConfig[Column6],ROW()-1),"")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IFERROR(INDEX(tblDeviceConfig[Column6],ROW()-1),"")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IFERROR(INDEX(tblDeviceConfig[Column6],ROW()-1),"")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IFERROR(INDEX(tblDeviceConfig[Column6],ROW()-1),"")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IFERROR(INDEX(tblDeviceConfig[Column6],ROW()-1),"")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IFERROR(INDEX(tblDeviceConfig[Column6],ROW()-1),"")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IFERROR(INDEX(tblDeviceConfig[Column6],ROW()-1),"")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IFERROR(INDEX(tblDeviceConfig[Column6],ROW()-1),"")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IFERROR(INDEX(tblDeviceConfig[Column6],ROW()-1),"")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IFERROR(INDEX(tblDeviceConfig[Column6],ROW()-1),"")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IFERROR(INDEX(tblDeviceConfig[Column6],ROW()-1),"")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IFERROR(INDEX(tblDeviceConfig[Column6],ROW()-1),"")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IFERROR(INDEX(tblDeviceConfig[Column6],ROW()-1),"")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IFERROR(INDEX(tblDeviceConfig[Column6],ROW()-1),"")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IFERROR(INDEX(tblDeviceConfig[Column6],ROW()-1),"")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IFERROR(INDEX(tblDeviceConfig[Column6],ROW()-1),"")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IFERROR(INDEX(tblDeviceConfig[Column6],ROW()-1),"")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IFERROR(INDEX(tblDeviceConfig[Column6],ROW()-1),"")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IFERROR(INDEX(tblDeviceConfig[Column6],ROW()-1),"")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IFERROR(INDEX(tblDeviceConfig[Column6],ROW()-1),"")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IFERROR(INDEX(tblDeviceConfig[Column6],ROW()-1),"")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IFERROR(INDEX(tblDeviceConfig[Column6],ROW()-1),"")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IFERROR(INDEX(tblDeviceConfig[Column6],ROW()-1),"")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IFERROR(INDEX(tblDeviceConfig[Column6],ROW()-1),"")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IFERROR(INDEX(tblDeviceConfig[Column6],ROW()-1),"")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IFERROR(INDEX(tblDeviceConfig[Column6],ROW()-1),"")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IFERROR(INDEX(tblDeviceConfig[Column6],ROW()-1),"")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IFERROR(INDEX(tblDeviceConfig[Column6],ROW()-1),"")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IFERROR(INDEX(tblDeviceConfig[Column6],ROW()-1),"")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IFERROR(INDEX(tblDeviceConfig[Column6],ROW()-1),"")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IFERROR(INDEX(tblDeviceConfig[Column6],ROW()-1),"")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IFERROR(INDEX(tblDeviceConfig[Column6],ROW()-1),"")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IFERROR(INDEX(tblDeviceConfig[Column6],ROW()-1),"")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IFERROR(INDEX(tblDeviceConfig[Column6],ROW()-1),"")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IFERROR(INDEX(tblDeviceConfig[Column6],ROW()-1),"")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IFERROR(INDEX(tblDeviceConfig[Column6],ROW()-1),"")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IFERROR(INDEX(tblDeviceConfig[Column6],ROW()-1),"")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IFERROR(INDEX(tblDeviceConfig[Column6],ROW()-1),"")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IFERROR(INDEX(tblDeviceConfig[Column6],ROW()-1),"")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IFERROR(INDEX(tblDeviceConfig[Column6],ROW()-1),"")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IFERROR(INDEX(tblDeviceConfig[Column6],ROW()-1),"")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IFERROR(INDEX(tblDeviceConfig[Column6],ROW()-1),"")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IFERROR(INDEX(tblDeviceConfig[Column6],ROW()-1),"")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IFERROR(INDEX(tblDeviceConfig[Column6],ROW()-1),"")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IFERROR(INDEX(tblDeviceConfig[Column6],ROW()-1),"")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IFERROR(INDEX(tblDeviceConfig[Column6],ROW()-1),"")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IFERROR(INDEX(tblDeviceConfig[Column6],ROW()-1),"")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IFERROR(INDEX(tblDeviceConfig[Column6],ROW()-1),"")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IFERROR(INDEX(tblDeviceConfig[Column6],ROW()-1),"")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IFERROR(INDEX(tblDeviceConfig[Column6],ROW()-1),"")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IFERROR(INDEX(tblDeviceConfig[Column6],ROW()-1),"")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IFERROR(INDEX(tblDeviceConfig[Column6],ROW()-1),"")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IFERROR(INDEX(tblDeviceConfig[Column6],ROW()-1),"")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IFERROR(INDEX(tblDeviceConfig[Column6],ROW()-1),"")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IFERROR(INDEX(tblDeviceConfig[Column6],ROW()-1),"")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IFERROR(INDEX(tblDeviceConfig[Column6],ROW()-1),"")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IFERROR(INDEX(tblDeviceConfig[Column6],ROW()-1),"")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IFERROR(INDEX(tblDeviceConfig[Column6],ROW()-1),"")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IFERROR(INDEX(tblDeviceConfig[Column6],ROW()-1),"")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IFERROR(INDEX(tblDeviceConfig[Column6],ROW()-1),"")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IFERROR(INDEX(tblDeviceConfig[Column6],ROW()-1),"")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IFERROR(INDEX(tblDeviceConfig[Column6],ROW()-1),"")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IFERROR(INDEX(tblDeviceConfig[Column6],ROW()-1),"")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IFERROR(INDEX(tblDeviceConfig[Column6],ROW()-1),"")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IFERROR(INDEX(tblDeviceConfig[Column6],ROW()-1),"")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IFERROR(INDEX(tblDeviceConfig[Column6],ROW()-1),"")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IFERROR(INDEX(tblDeviceConfig[Column6],ROW()-1),"")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IFERROR(INDEX(tblDeviceConfig[Column6],ROW()-1),"")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IFERROR(INDEX(tblDeviceConfig[Column6],ROW()-1),"")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IFERROR(INDEX(tblDeviceConfig[Column6],ROW()-1),"")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IFERROR(INDEX(tblDeviceConfig[Column6],ROW()-1),"")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IFERROR(INDEX(tblDeviceConfig[Column6],ROW()-1),"")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IFERROR(INDEX(tblDeviceConfig[Column6],ROW()-1),"")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IFERROR(INDEX(tblDeviceConfig[Column6],ROW()-1),"")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IFERROR(INDEX(tblDeviceConfig[Column6],ROW()-1),"")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IFERROR(INDEX(tblDeviceConfig[Column6],ROW()-1),"")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IFERROR(INDEX(tblDeviceConfig[Column6],ROW()-1),"")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IFERROR(INDEX(tblDeviceConfig[Column6],ROW()-1),"")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IFERROR(INDEX(tblDeviceConfig[Column6],ROW()-1),"")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IFERROR(INDEX(tblDeviceConfig[Column6],ROW()-1),"")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IFERROR(INDEX(tblDeviceConfig[Column6],ROW()-1),"")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IFERROR(INDEX(tblDeviceConfig[Column6],ROW()-1),"")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IFERROR(INDEX(tblDeviceConfig[Column6],ROW()-1),"")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IFERROR(INDEX(tblDeviceConfig[Column6],ROW()-1),"")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IFERROR(INDEX(tblDeviceConfig[Column6],ROW()-1),"")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IFERROR(INDEX(tblDeviceConfig[Column6],ROW()-1),"")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IFERROR(INDEX(tblDeviceConfig[Column6],ROW()-1),"")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IFERROR(INDEX(tblDeviceConfig[Column6],ROW()-1),"")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IFERROR(INDEX(tblDeviceConfig[Column6],ROW()-1),"")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IFERROR(INDEX(tblDeviceConfig[Column6],ROW()-1),"")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IFERROR(INDEX(tblDeviceConfig[Column6],ROW()-1),"")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IFERROR(INDEX(tblDeviceConfig[Column6],ROW()-1),"")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IFERROR(INDEX(tblDeviceConfig[Column6],ROW()-1),"")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IFERROR(INDEX(tblDeviceConfig[Column6],ROW()-1),"")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IFERROR(INDEX(tblDeviceConfig[Column6],ROW()-1),"")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IFERROR(INDEX(tblDeviceConfig[Column6],ROW()-1),"")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IFERROR(INDEX(tblDeviceConfig[Column6],ROW()-1),"")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IFERROR(INDEX(tblDeviceConfig[Column6],ROW()-1),"")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IFERROR(INDEX(tblDeviceConfig[Column6],ROW()-1),"")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IFERROR(INDEX(tblDeviceConfig[Column6],ROW()-1),"")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IFERROR(INDEX(tblDeviceConfig[Column6],ROW()-1),"")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IFERROR(INDEX(tblDeviceConfig[Column6],ROW()-1),"")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IFERROR(INDEX(tblDeviceConfig[Column6],ROW()-1),"")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IFERROR(INDEX(tblDeviceConfig[Column6],ROW()-1),"")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IFERROR(INDEX(tblDeviceConfig[Column6],ROW()-1),"")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IFERROR(INDEX(tblDeviceConfig[Column6],ROW()-1),"")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IFERROR(INDEX(tblDeviceConfig[Column6],ROW()-1),"")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IFERROR(INDEX(tblDeviceConfig[Column6],ROW()-1),"")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IFERROR(INDEX(tblDeviceConfig[Column6],ROW()-1),"")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IFERROR(INDEX(tblDeviceConfig[Column6],ROW()-1),"")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IFERROR(INDEX(tblDeviceConfig[Column6],ROW()-1),"")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IFERROR(INDEX(tblDeviceConfig[Column6],ROW()-1),"")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IFERROR(INDEX(tblDeviceConfig[Column6],ROW()-1),"")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IFERROR(INDEX(tblDeviceConfig[Column6],ROW()-1),"")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IFERROR(INDEX(tblDeviceConfig[Column6],ROW()-1),"")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IFERROR(INDEX(tblDeviceConfig[Column6],ROW()-1),"")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IFERROR(INDEX(tblDeviceConfig[Column6],ROW()-1),"")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IFERROR(INDEX(tblDeviceConfig[Column6],ROW()-1),"")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IFERROR(INDEX(tblDeviceConfig[Column6],ROW()-1),"")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IFERROR(INDEX(tblDeviceConfig[Column6],ROW()-1),"")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IFERROR(INDEX(tblDeviceConfig[Column6],ROW()-1),"")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IFERROR(INDEX(tblDeviceConfig[Column6],ROW()-1),"")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IFERROR(INDEX(tblDeviceConfig[Column6],ROW()-1),"")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IFERROR(INDEX(tblDeviceConfig[Column6],ROW()-1),"")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IFERROR(INDEX(tblDeviceConfig[Column6],ROW()-1),"")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IFERROR(INDEX(tblDeviceConfig[Column6],ROW()-1),"")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IFERROR(INDEX(tblDeviceConfig[Column6],ROW()-1),"")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IFERROR(INDEX(tblDeviceConfig[Column6],ROW()-1),"")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IFERROR(INDEX(tblDeviceConfig[Column6],ROW()-1),"")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IFERROR(INDEX(tblDeviceConfig[Column6],ROW()-1),"")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IFERROR(INDEX(tblDeviceConfig[Column6],ROW()-1),"")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IFERROR(INDEX(tblDeviceConfig[Column6],ROW()-1),"")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IFERROR(INDEX(tblDeviceConfig[Column6],ROW()-1),"")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IFERROR(INDEX(tblDeviceConfig[Column6],ROW()-1),"")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IFERROR(INDEX(tblDeviceConfig[Column6],ROW()-1),"")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IFERROR(INDEX(tblDeviceConfig[Column6],ROW()-1),"")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IFERROR(INDEX(tblDeviceConfig[Column6],ROW()-1),"")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IFERROR(INDEX(tblDeviceConfig[Column6],ROW()-1),"")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IFERROR(INDEX(tblDeviceConfig[Column6],ROW()-1),"")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IFERROR(INDEX(tblDeviceConfig[Column6],ROW()-1),"")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IFERROR(INDEX(tblDeviceConfig[Column6],ROW()-1),"")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IFERROR(INDEX(tblDeviceConfig[Column6],ROW()-1),"")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IFERROR(INDEX(tblDeviceConfig[Column6],ROW()-1),"")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IFERROR(INDEX(tblDeviceConfig[Column6],ROW()-1),"")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IFERROR(INDEX(tblDeviceConfig[Column6],ROW()-1),"")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IFERROR(INDEX(tblDeviceConfig[Column6],ROW()-1),"")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IFERROR(INDEX(tblDeviceConfig[Column6],ROW()-1),"")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IFERROR(INDEX(tblDeviceConfig[Column6],ROW()-1),"")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IFERROR(INDEX(tblDeviceConfig[Column6],ROW()-1),"")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IFERROR(INDEX(tblDeviceConfig[Column6],ROW()-1),"")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IFERROR(INDEX(tblDeviceConfig[Column6],ROW()-1),"")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IFERROR(INDEX(tblDeviceConfig[Column6],ROW()-1),"")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IFERROR(INDEX(tblDeviceConfig[Column6],ROW()-1),"")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IFERROR(INDEX(tblDeviceConfig[Column6],ROW()-1),"")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IFERROR(INDEX(tblDeviceConfig[Column6],ROW()-1),"")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IFERROR(INDEX(tblDeviceConfig[Column6],ROW()-1),"")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IFERROR(INDEX(tblDeviceConfig[Column6],ROW()-1),"")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IFERROR(INDEX(tblDeviceConfig[Column6],ROW()-1),"")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IFERROR(INDEX(tblDeviceConfig[Column6],ROW()-1),"")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IFERROR(INDEX(tblDeviceConfig[Column6],ROW()-1),"")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IFERROR(INDEX(tblDeviceConfig[Column6],ROW()-1),"")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IFERROR(INDEX(tblDeviceConfig[Column6],ROW()-1),"")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IFERROR(INDEX(tblDeviceConfig[Column6],ROW()-1),"")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IFERROR(INDEX(tblDeviceConfig[Column6],ROW()-1),"")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IFERROR(INDEX(tblDeviceConfig[Column6],ROW()-1),"")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IFERROR(INDEX(tblDeviceConfig[Column6],ROW()-1),"")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IFERROR(INDEX(tblDeviceConfig[Column6],ROW()-1),"")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IFERROR(INDEX(tblDeviceConfig[Column6],ROW()-1),"")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IFERROR(INDEX(tblDeviceConfig[Column6],ROW()-1),"")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IFERROR(INDEX(tblDeviceConfig[Column6],ROW()-1),"")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IFERROR(INDEX(tblDeviceConfig[Column6],ROW()-1),"")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IFERROR(INDEX(tblDeviceConfig[Column6],ROW()-1),"")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IFERROR(INDEX(tblDeviceConfig[Column6],ROW()-1),"")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IFERROR(INDEX(tblDeviceConfig[Column6],ROW()-1),"")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IFERROR(INDEX(tblDeviceConfig[Column6],ROW()-1),"")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IFERROR(INDEX(tblDeviceConfig[Column6],ROW()-1),"")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IFERROR(INDEX(tblDeviceConfig[Column6],ROW()-1),"")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IFERROR(INDEX(tblDeviceConfig[Column6],ROW()-1),"")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IFERROR(INDEX(tblDeviceConfig[Column6],ROW()-1),"")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IFERROR(INDEX(tblDeviceConfig[Column6],ROW()-1),"")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IFERROR(INDEX(tblDeviceConfig[Column6],ROW()-1),"")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IFERROR(INDEX(tblDeviceConfig[Column6],ROW()-1),"")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IFERROR(INDEX(tblDeviceConfig[Column6],ROW()-1),"")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IFERROR(INDEX(tblDeviceConfig[Column6],ROW()-1),"")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IFERROR(INDEX(tblDeviceConfig[Column6],ROW()-1),"")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IFERROR(INDEX(tblDeviceConfig[Column6],ROW()-1),"")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IFERROR(INDEX(tblDeviceConfig[Column6],ROW()-1),"")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IFERROR(INDEX(tblDeviceConfig[Column6],ROW()-1),"")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IFERROR(INDEX(tblDeviceConfig[Column6],ROW()-1),"")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IFERROR(INDEX(tblDeviceConfig[Column6],ROW()-1),"")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IFERROR(INDEX(tblDeviceConfig[Column6],ROW()-1),"")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IFERROR(INDEX(tblDeviceConfig[Column6],ROW()-1),"")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IFERROR(INDEX(tblDeviceConfig[Column6],ROW()-1),"")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IFERROR(INDEX(tblDeviceConfig[Column6],ROW()-1),"")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IFERROR(INDEX(tblDeviceConfig[Column6],ROW()-1),"")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IFERROR(INDEX(tblDeviceConfig[Column6],ROW()-1),"")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IFERROR(INDEX(tblDeviceConfig[Column6],ROW()-1),"")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IFERROR(INDEX(tblDeviceConfig[Column6],ROW()-1),"")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IFERROR(INDEX(tblDeviceConfig[Column6],ROW()-1),"")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IFERROR(INDEX(tblDeviceConfig[Column6],ROW()-1),"")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IFERROR(INDEX(tblDeviceConfig[Column6],ROW()-1),"")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IFERROR(INDEX(tblDeviceConfig[Column6],ROW()-1),"")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IFERROR(INDEX(tblDeviceConfig[Column6],ROW()-1),"")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IFERROR(INDEX(tblDeviceConfig[Column6],ROW()-1),"")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IFERROR(INDEX(tblDeviceConfig[Column6],ROW()-1),"")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IFERROR(INDEX(tblDeviceConfig[Column6],ROW()-1),"")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IFERROR(INDEX(tblDeviceConfig[Column6],ROW()-1),"")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IFERROR(INDEX(tblDeviceConfig[Column6],ROW()-1),"")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IFERROR(INDEX(tblDeviceConfig[Column6],ROW()-1),"")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IFERROR(INDEX(tblDeviceConfig[Column6],ROW()-1),"")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95" priority="2">
      <formula>$L2&gt;0</formula>
    </cfRule>
    <cfRule type="expression" dxfId="94" priority="3">
      <formula>$L2=0</formula>
    </cfRule>
  </conditionalFormatting>
  <conditionalFormatting sqref="M2:M528">
    <cfRule type="expression" dxfId="93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  <c r="G2">
        <v>44</v>
      </c>
      <c r="H2" t="s">
        <v>30</v>
      </c>
      <c r="I2" t="s">
        <v>31</v>
      </c>
      <c r="J2" t="s">
        <v>32</v>
      </c>
    </row>
    <row r="3" spans="1:12">
      <c r="A3" t="s">
        <v>25</v>
      </c>
      <c r="B3" t="s">
        <v>26</v>
      </c>
      <c r="C3" t="s">
        <v>33</v>
      </c>
      <c r="D3" t="s">
        <v>28</v>
      </c>
      <c r="E3">
        <v>3</v>
      </c>
      <c r="F3" t="s">
        <v>34</v>
      </c>
      <c r="G3">
        <v>43</v>
      </c>
      <c r="H3" t="s">
        <v>35</v>
      </c>
      <c r="I3" t="s">
        <v>36</v>
      </c>
      <c r="J3" t="s">
        <v>37</v>
      </c>
    </row>
    <row r="4" spans="1:12">
      <c r="A4" t="s">
        <v>25</v>
      </c>
      <c r="B4" t="s">
        <v>26</v>
      </c>
      <c r="C4" t="s">
        <v>38</v>
      </c>
      <c r="D4" t="s">
        <v>28</v>
      </c>
      <c r="E4">
        <v>4</v>
      </c>
      <c r="F4" t="s">
        <v>29</v>
      </c>
      <c r="G4">
        <v>42</v>
      </c>
      <c r="H4" t="s">
        <v>39</v>
      </c>
      <c r="I4" t="s">
        <v>40</v>
      </c>
      <c r="J4" t="s">
        <v>41</v>
      </c>
    </row>
    <row r="5" spans="1:12">
      <c r="A5" t="s">
        <v>42</v>
      </c>
      <c r="C5" t="s">
        <v>43</v>
      </c>
      <c r="D5" t="s">
        <v>28</v>
      </c>
      <c r="E5">
        <v>1</v>
      </c>
      <c r="F5" t="s">
        <v>44</v>
      </c>
      <c r="G5">
        <v>37</v>
      </c>
      <c r="I5" t="s">
        <v>45</v>
      </c>
      <c r="J5" t="s">
        <v>46</v>
      </c>
    </row>
    <row r="6" spans="1:12">
      <c r="A6" t="s">
        <v>42</v>
      </c>
      <c r="C6" t="s">
        <v>43</v>
      </c>
      <c r="D6" t="s">
        <v>28</v>
      </c>
      <c r="E6">
        <v>2</v>
      </c>
      <c r="F6" t="s">
        <v>47</v>
      </c>
      <c r="G6">
        <v>36</v>
      </c>
      <c r="I6" t="s">
        <v>45</v>
      </c>
      <c r="J6" t="s">
        <v>48</v>
      </c>
    </row>
    <row r="7" spans="1:12">
      <c r="A7" t="s">
        <v>42</v>
      </c>
      <c r="C7" t="s">
        <v>49</v>
      </c>
      <c r="D7" t="s">
        <v>28</v>
      </c>
      <c r="E7">
        <v>3</v>
      </c>
      <c r="F7" t="s">
        <v>50</v>
      </c>
      <c r="G7">
        <v>41</v>
      </c>
      <c r="I7" t="s">
        <v>45</v>
      </c>
      <c r="J7" t="s">
        <v>48</v>
      </c>
    </row>
    <row r="8" spans="1:12">
      <c r="A8" t="s">
        <v>42</v>
      </c>
      <c r="C8" t="s">
        <v>49</v>
      </c>
      <c r="D8" t="s">
        <v>28</v>
      </c>
      <c r="E8">
        <v>4</v>
      </c>
      <c r="F8" t="s">
        <v>51</v>
      </c>
      <c r="G8">
        <v>40</v>
      </c>
      <c r="I8" t="s">
        <v>45</v>
      </c>
      <c r="J8" t="s">
        <v>41</v>
      </c>
    </row>
    <row r="9" spans="1:12">
      <c r="A9" t="s">
        <v>42</v>
      </c>
      <c r="C9" t="s">
        <v>49</v>
      </c>
      <c r="D9" t="s">
        <v>28</v>
      </c>
      <c r="E9">
        <v>5</v>
      </c>
      <c r="F9" t="s">
        <v>52</v>
      </c>
      <c r="G9">
        <v>39</v>
      </c>
      <c r="I9" t="s">
        <v>45</v>
      </c>
      <c r="J9" t="s">
        <v>53</v>
      </c>
    </row>
    <row r="10" spans="1:12">
      <c r="A10" t="s">
        <v>42</v>
      </c>
      <c r="C10" t="s">
        <v>49</v>
      </c>
      <c r="D10" t="s">
        <v>28</v>
      </c>
      <c r="E10">
        <v>6</v>
      </c>
      <c r="F10" t="s">
        <v>54</v>
      </c>
      <c r="G10">
        <v>38</v>
      </c>
      <c r="I10" t="s">
        <v>55</v>
      </c>
      <c r="J10" t="s">
        <v>56</v>
      </c>
    </row>
    <row r="11" spans="1:12">
      <c r="A11" t="s">
        <v>57</v>
      </c>
      <c r="C11" t="s">
        <v>58</v>
      </c>
      <c r="D11" t="s">
        <v>28</v>
      </c>
      <c r="E11">
        <v>1</v>
      </c>
      <c r="F11" t="s">
        <v>59</v>
      </c>
      <c r="G11">
        <v>35</v>
      </c>
      <c r="I11" t="s">
        <v>45</v>
      </c>
      <c r="J11" t="s">
        <v>48</v>
      </c>
    </row>
    <row r="12" spans="1:12">
      <c r="A12" t="s">
        <v>57</v>
      </c>
      <c r="C12" t="s">
        <v>58</v>
      </c>
      <c r="D12" t="s">
        <v>28</v>
      </c>
      <c r="E12">
        <v>2</v>
      </c>
      <c r="F12" t="s">
        <v>60</v>
      </c>
      <c r="G12">
        <v>34</v>
      </c>
      <c r="I12" t="s">
        <v>45</v>
      </c>
      <c r="J12" t="s">
        <v>61</v>
      </c>
    </row>
    <row r="13" spans="1:12">
      <c r="A13" t="s">
        <v>57</v>
      </c>
      <c r="C13" t="s">
        <v>62</v>
      </c>
      <c r="D13" t="s">
        <v>28</v>
      </c>
      <c r="E13">
        <v>3</v>
      </c>
      <c r="F13" t="s">
        <v>63</v>
      </c>
      <c r="G13">
        <v>33</v>
      </c>
      <c r="I13" t="s">
        <v>45</v>
      </c>
      <c r="J13" t="s">
        <v>64</v>
      </c>
    </row>
    <row r="14" spans="1:12">
      <c r="A14" t="s">
        <v>57</v>
      </c>
      <c r="C14" t="s">
        <v>62</v>
      </c>
      <c r="D14" t="s">
        <v>28</v>
      </c>
      <c r="E14">
        <v>4</v>
      </c>
      <c r="F14" t="s">
        <v>52</v>
      </c>
      <c r="G14">
        <v>32</v>
      </c>
      <c r="I14" t="s">
        <v>45</v>
      </c>
      <c r="J14" t="s">
        <v>65</v>
      </c>
    </row>
    <row r="15" spans="1:12">
      <c r="A15" t="s">
        <v>57</v>
      </c>
      <c r="C15" t="s">
        <v>66</v>
      </c>
      <c r="D15" t="s">
        <v>28</v>
      </c>
      <c r="E15">
        <v>116</v>
      </c>
      <c r="F15" t="s">
        <v>67</v>
      </c>
      <c r="G15">
        <v>31</v>
      </c>
      <c r="I15" t="s">
        <v>45</v>
      </c>
      <c r="J15" t="s">
        <v>68</v>
      </c>
    </row>
    <row r="16" spans="1:12">
      <c r="A16" t="s">
        <v>57</v>
      </c>
      <c r="C16" t="s">
        <v>66</v>
      </c>
      <c r="D16" t="s">
        <v>28</v>
      </c>
      <c r="E16">
        <v>117</v>
      </c>
      <c r="F16" t="s">
        <v>69</v>
      </c>
      <c r="G16">
        <v>30</v>
      </c>
      <c r="I16" t="s">
        <v>45</v>
      </c>
      <c r="J16" t="s">
        <v>70</v>
      </c>
    </row>
    <row r="17" spans="1:10">
      <c r="A17" t="s">
        <v>71</v>
      </c>
      <c r="C17" t="s">
        <v>72</v>
      </c>
      <c r="D17" t="s">
        <v>28</v>
      </c>
      <c r="E17">
        <v>1</v>
      </c>
      <c r="F17" t="s">
        <v>73</v>
      </c>
      <c r="G17">
        <v>29</v>
      </c>
      <c r="I17" t="s">
        <v>45</v>
      </c>
      <c r="J17" t="s">
        <v>41</v>
      </c>
    </row>
    <row r="18" spans="1:10">
      <c r="A18" t="s">
        <v>71</v>
      </c>
      <c r="C18" t="s">
        <v>72</v>
      </c>
      <c r="D18" t="s">
        <v>28</v>
      </c>
      <c r="E18">
        <v>4</v>
      </c>
      <c r="F18" t="s">
        <v>74</v>
      </c>
      <c r="G18">
        <v>28</v>
      </c>
      <c r="I18" t="s">
        <v>55</v>
      </c>
      <c r="J18" t="s">
        <v>46</v>
      </c>
    </row>
    <row r="19" spans="1:10">
      <c r="A19" t="s">
        <v>75</v>
      </c>
      <c r="C19" t="s">
        <v>76</v>
      </c>
      <c r="D19" t="s">
        <v>28</v>
      </c>
      <c r="E19">
        <v>3</v>
      </c>
      <c r="F19" t="s">
        <v>77</v>
      </c>
      <c r="G19">
        <v>27</v>
      </c>
      <c r="I19" t="s">
        <v>55</v>
      </c>
      <c r="J19" t="s">
        <v>64</v>
      </c>
    </row>
    <row r="20" spans="1:10">
      <c r="A20" t="s">
        <v>78</v>
      </c>
      <c r="C20" t="s">
        <v>79</v>
      </c>
      <c r="D20" t="s">
        <v>28</v>
      </c>
      <c r="E20">
        <v>1</v>
      </c>
      <c r="F20" t="s">
        <v>80</v>
      </c>
      <c r="G20">
        <v>26</v>
      </c>
      <c r="I20" t="s">
        <v>45</v>
      </c>
      <c r="J20" t="s">
        <v>81</v>
      </c>
    </row>
    <row r="21" spans="1:10">
      <c r="A21" t="s">
        <v>78</v>
      </c>
      <c r="C21" t="s">
        <v>79</v>
      </c>
      <c r="D21" t="s">
        <v>28</v>
      </c>
      <c r="E21">
        <v>2</v>
      </c>
      <c r="F21" t="s">
        <v>82</v>
      </c>
      <c r="G21">
        <v>25</v>
      </c>
      <c r="I21" t="s">
        <v>45</v>
      </c>
      <c r="J21" t="s">
        <v>41</v>
      </c>
    </row>
    <row r="22" spans="1:10">
      <c r="A22" t="s">
        <v>78</v>
      </c>
      <c r="C22" t="s">
        <v>79</v>
      </c>
      <c r="D22" t="s">
        <v>28</v>
      </c>
      <c r="E22">
        <v>3</v>
      </c>
      <c r="F22" t="s">
        <v>83</v>
      </c>
      <c r="G22">
        <v>24</v>
      </c>
      <c r="I22" t="s">
        <v>45</v>
      </c>
      <c r="J22" t="s">
        <v>56</v>
      </c>
    </row>
    <row r="23" spans="1:10">
      <c r="A23" t="s">
        <v>78</v>
      </c>
      <c r="C23" t="s">
        <v>79</v>
      </c>
      <c r="D23" t="s">
        <v>28</v>
      </c>
      <c r="E23">
        <v>4</v>
      </c>
      <c r="F23" t="s">
        <v>84</v>
      </c>
      <c r="G23">
        <v>23</v>
      </c>
      <c r="I23" t="s">
        <v>55</v>
      </c>
      <c r="J23" t="s">
        <v>48</v>
      </c>
    </row>
    <row r="24" spans="1:10">
      <c r="A24" t="s">
        <v>85</v>
      </c>
      <c r="B24" t="s">
        <v>86</v>
      </c>
      <c r="C24" t="s">
        <v>87</v>
      </c>
      <c r="D24" t="s">
        <v>28</v>
      </c>
      <c r="E24">
        <v>1</v>
      </c>
      <c r="F24" t="s">
        <v>88</v>
      </c>
      <c r="G24">
        <v>0</v>
      </c>
      <c r="H24" t="s">
        <v>89</v>
      </c>
      <c r="I24" t="s">
        <v>90</v>
      </c>
      <c r="J24" t="s">
        <v>91</v>
      </c>
    </row>
    <row r="25" spans="1:10">
      <c r="A25" t="s">
        <v>85</v>
      </c>
      <c r="B25" t="s">
        <v>86</v>
      </c>
      <c r="C25" t="s">
        <v>92</v>
      </c>
      <c r="D25" t="s">
        <v>28</v>
      </c>
      <c r="E25">
        <v>2</v>
      </c>
      <c r="F25" t="s">
        <v>93</v>
      </c>
      <c r="G25">
        <v>5</v>
      </c>
      <c r="H25" t="s">
        <v>89</v>
      </c>
      <c r="I25" t="s">
        <v>90</v>
      </c>
      <c r="J25" t="s">
        <v>41</v>
      </c>
    </row>
    <row r="26" spans="1:10">
      <c r="A26" t="s">
        <v>85</v>
      </c>
      <c r="B26" t="s">
        <v>86</v>
      </c>
      <c r="C26" t="s">
        <v>94</v>
      </c>
      <c r="D26" t="s">
        <v>28</v>
      </c>
      <c r="E26">
        <v>3</v>
      </c>
      <c r="F26" t="s">
        <v>95</v>
      </c>
      <c r="G26">
        <v>5</v>
      </c>
      <c r="H26" t="s">
        <v>89</v>
      </c>
      <c r="I26" t="s">
        <v>90</v>
      </c>
      <c r="J26" t="s">
        <v>41</v>
      </c>
    </row>
    <row r="27" spans="1:10">
      <c r="A27" t="s">
        <v>85</v>
      </c>
      <c r="B27" t="s">
        <v>86</v>
      </c>
      <c r="C27" t="s">
        <v>96</v>
      </c>
      <c r="D27" t="s">
        <v>28</v>
      </c>
      <c r="E27">
        <v>4</v>
      </c>
      <c r="F27" t="s">
        <v>97</v>
      </c>
      <c r="G27">
        <v>5</v>
      </c>
      <c r="H27" t="s">
        <v>89</v>
      </c>
      <c r="I27" t="s">
        <v>90</v>
      </c>
      <c r="J27" t="s">
        <v>41</v>
      </c>
    </row>
    <row r="28" spans="1:10">
      <c r="A28" t="s">
        <v>85</v>
      </c>
      <c r="B28" t="s">
        <v>86</v>
      </c>
      <c r="C28" t="s">
        <v>98</v>
      </c>
      <c r="D28" t="s">
        <v>28</v>
      </c>
      <c r="E28">
        <v>5</v>
      </c>
      <c r="F28" t="s">
        <v>99</v>
      </c>
      <c r="G28">
        <v>45</v>
      </c>
      <c r="H28" t="s">
        <v>89</v>
      </c>
      <c r="I28" t="s">
        <v>90</v>
      </c>
      <c r="J28" t="s">
        <v>48</v>
      </c>
    </row>
    <row r="29" spans="1:10">
      <c r="A29" t="s">
        <v>100</v>
      </c>
      <c r="B29" t="s">
        <v>101</v>
      </c>
      <c r="C29" t="s">
        <v>102</v>
      </c>
      <c r="D29" t="s">
        <v>28</v>
      </c>
      <c r="E29">
        <v>8</v>
      </c>
      <c r="F29" t="s">
        <v>103</v>
      </c>
      <c r="G29">
        <v>6</v>
      </c>
      <c r="I29" t="s">
        <v>36</v>
      </c>
      <c r="J29" t="s">
        <v>70</v>
      </c>
    </row>
    <row r="30" spans="1:10">
      <c r="A30" t="s">
        <v>100</v>
      </c>
      <c r="B30" t="s">
        <v>101</v>
      </c>
      <c r="C30" t="s">
        <v>102</v>
      </c>
      <c r="D30" t="s">
        <v>28</v>
      </c>
      <c r="E30">
        <v>9</v>
      </c>
      <c r="F30" t="s">
        <v>104</v>
      </c>
      <c r="G30">
        <v>5</v>
      </c>
      <c r="I30" t="s">
        <v>40</v>
      </c>
      <c r="J30" t="s">
        <v>41</v>
      </c>
    </row>
    <row r="31" spans="1:10">
      <c r="A31" t="s">
        <v>100</v>
      </c>
      <c r="B31" t="s">
        <v>101</v>
      </c>
      <c r="C31" t="s">
        <v>105</v>
      </c>
      <c r="D31" t="s">
        <v>28</v>
      </c>
      <c r="E31">
        <v>10</v>
      </c>
      <c r="F31" t="s">
        <v>106</v>
      </c>
      <c r="G31">
        <v>4</v>
      </c>
      <c r="I31" t="s">
        <v>31</v>
      </c>
      <c r="J31" t="s">
        <v>91</v>
      </c>
    </row>
    <row r="32" spans="1:10">
      <c r="A32" t="s">
        <v>100</v>
      </c>
      <c r="B32" t="s">
        <v>101</v>
      </c>
      <c r="C32" t="s">
        <v>107</v>
      </c>
      <c r="D32" t="s">
        <v>28</v>
      </c>
      <c r="E32">
        <v>11</v>
      </c>
      <c r="F32" t="s">
        <v>108</v>
      </c>
      <c r="G32">
        <v>3</v>
      </c>
      <c r="I32" t="s">
        <v>109</v>
      </c>
      <c r="J32" t="s">
        <v>110</v>
      </c>
    </row>
    <row r="33" spans="1:12">
      <c r="A33" t="s">
        <v>100</v>
      </c>
      <c r="B33" t="s">
        <v>101</v>
      </c>
      <c r="C33" t="s">
        <v>111</v>
      </c>
      <c r="D33" t="s">
        <v>28</v>
      </c>
      <c r="E33">
        <v>12</v>
      </c>
      <c r="F33" t="s">
        <v>112</v>
      </c>
      <c r="G33">
        <v>2</v>
      </c>
      <c r="I33" t="s">
        <v>109</v>
      </c>
      <c r="J33" t="s">
        <v>110</v>
      </c>
    </row>
    <row r="34" spans="1:12">
      <c r="A34" t="s">
        <v>100</v>
      </c>
      <c r="B34" t="s">
        <v>101</v>
      </c>
      <c r="C34" t="s">
        <v>113</v>
      </c>
      <c r="D34" t="s">
        <v>28</v>
      </c>
      <c r="E34">
        <v>13</v>
      </c>
      <c r="F34" t="s">
        <v>114</v>
      </c>
      <c r="G34">
        <v>1</v>
      </c>
      <c r="I34" t="s">
        <v>36</v>
      </c>
      <c r="J34" t="s">
        <v>70</v>
      </c>
    </row>
    <row r="35" spans="1:12">
      <c r="A35" t="s">
        <v>100</v>
      </c>
      <c r="B35" t="s">
        <v>101</v>
      </c>
      <c r="C35" t="s">
        <v>113</v>
      </c>
      <c r="D35" t="s">
        <v>28</v>
      </c>
      <c r="E35">
        <v>14</v>
      </c>
      <c r="F35" t="s">
        <v>115</v>
      </c>
      <c r="G35">
        <v>0</v>
      </c>
      <c r="I35" t="s">
        <v>31</v>
      </c>
      <c r="J35" t="s">
        <v>91</v>
      </c>
    </row>
    <row r="36" spans="1:12">
      <c r="A36" t="s">
        <v>116</v>
      </c>
      <c r="C36" t="s">
        <v>117</v>
      </c>
      <c r="D36" t="s">
        <v>118</v>
      </c>
      <c r="E36">
        <v>1</v>
      </c>
      <c r="F36" t="s">
        <v>119</v>
      </c>
      <c r="G36">
        <v>12</v>
      </c>
      <c r="J36" t="s">
        <v>120</v>
      </c>
    </row>
    <row r="37" spans="1:12">
      <c r="A37" t="s">
        <v>116</v>
      </c>
      <c r="C37" t="s">
        <v>121</v>
      </c>
      <c r="D37" t="s">
        <v>118</v>
      </c>
      <c r="E37">
        <v>2</v>
      </c>
      <c r="F37" t="s">
        <v>122</v>
      </c>
      <c r="G37">
        <v>11</v>
      </c>
      <c r="J37" t="s">
        <v>123</v>
      </c>
    </row>
    <row r="38" spans="1:12">
      <c r="A38" t="s">
        <v>116</v>
      </c>
      <c r="C38" t="s">
        <v>121</v>
      </c>
      <c r="D38" t="s">
        <v>118</v>
      </c>
      <c r="E38">
        <v>3</v>
      </c>
      <c r="F38" t="s">
        <v>124</v>
      </c>
      <c r="G38">
        <v>10</v>
      </c>
      <c r="J38" t="s">
        <v>125</v>
      </c>
    </row>
    <row r="39" spans="1:12">
      <c r="A39" t="s">
        <v>116</v>
      </c>
      <c r="C39" t="s">
        <v>121</v>
      </c>
      <c r="D39" t="s">
        <v>118</v>
      </c>
      <c r="E39">
        <v>4</v>
      </c>
      <c r="F39" t="s">
        <v>126</v>
      </c>
      <c r="G39">
        <v>9</v>
      </c>
      <c r="J39" t="s">
        <v>127</v>
      </c>
    </row>
    <row r="40" spans="1:12">
      <c r="A40" t="s">
        <v>116</v>
      </c>
      <c r="C40" t="s">
        <v>121</v>
      </c>
      <c r="D40" t="s">
        <v>118</v>
      </c>
      <c r="E40">
        <v>5</v>
      </c>
      <c r="F40" t="s">
        <v>128</v>
      </c>
      <c r="G40">
        <v>8</v>
      </c>
      <c r="J40" t="s">
        <v>129</v>
      </c>
    </row>
    <row r="41" spans="1:12">
      <c r="A41" t="s">
        <v>116</v>
      </c>
      <c r="C41" t="s">
        <v>130</v>
      </c>
      <c r="D41" t="s">
        <v>118</v>
      </c>
      <c r="E41">
        <v>6</v>
      </c>
      <c r="F41" t="s">
        <v>131</v>
      </c>
      <c r="G41">
        <v>7</v>
      </c>
      <c r="J41" t="s">
        <v>132</v>
      </c>
    </row>
    <row r="42" spans="1:12">
      <c r="A42" t="s">
        <v>133</v>
      </c>
      <c r="B42" t="s">
        <v>86</v>
      </c>
      <c r="C42" t="s">
        <v>134</v>
      </c>
      <c r="D42" t="s">
        <v>28</v>
      </c>
      <c r="E42">
        <v>1</v>
      </c>
      <c r="F42" t="s">
        <v>88</v>
      </c>
      <c r="G42">
        <v>43</v>
      </c>
      <c r="H42" t="s">
        <v>135</v>
      </c>
      <c r="I42" t="s">
        <v>136</v>
      </c>
      <c r="J42" t="s">
        <v>37</v>
      </c>
    </row>
    <row r="43" spans="1:12">
      <c r="A43" t="s">
        <v>133</v>
      </c>
      <c r="B43" t="s">
        <v>86</v>
      </c>
      <c r="C43" t="s">
        <v>137</v>
      </c>
      <c r="D43" t="s">
        <v>28</v>
      </c>
      <c r="E43">
        <v>4</v>
      </c>
      <c r="F43" t="s">
        <v>138</v>
      </c>
      <c r="G43">
        <v>42</v>
      </c>
      <c r="H43" t="s">
        <v>139</v>
      </c>
      <c r="I43" t="s">
        <v>40</v>
      </c>
      <c r="J43" t="s">
        <v>41</v>
      </c>
    </row>
    <row r="44" spans="1:12">
      <c r="A44" t="s">
        <v>133</v>
      </c>
      <c r="B44" t="s">
        <v>86</v>
      </c>
      <c r="C44" t="s">
        <v>140</v>
      </c>
      <c r="D44" t="s">
        <v>28</v>
      </c>
      <c r="E44">
        <v>5</v>
      </c>
      <c r="F44" t="s">
        <v>141</v>
      </c>
      <c r="G44">
        <v>38</v>
      </c>
      <c r="H44" t="s">
        <v>139</v>
      </c>
      <c r="I44" t="s">
        <v>136</v>
      </c>
      <c r="J44" t="s">
        <v>56</v>
      </c>
    </row>
    <row r="45" spans="1:12">
      <c r="A45" t="s">
        <v>133</v>
      </c>
      <c r="B45" t="s">
        <v>86</v>
      </c>
      <c r="C45" t="s">
        <v>142</v>
      </c>
      <c r="D45" t="s">
        <v>28</v>
      </c>
      <c r="E45">
        <v>7</v>
      </c>
      <c r="F45" t="s">
        <v>143</v>
      </c>
      <c r="G45">
        <v>40</v>
      </c>
      <c r="H45" t="s">
        <v>139</v>
      </c>
      <c r="I45" t="s">
        <v>40</v>
      </c>
      <c r="J45" t="s">
        <v>41</v>
      </c>
    </row>
    <row r="46" spans="1:12">
      <c r="A46" t="s">
        <v>133</v>
      </c>
      <c r="B46" t="s">
        <v>86</v>
      </c>
      <c r="C46" t="s">
        <v>144</v>
      </c>
      <c r="D46" t="s">
        <v>28</v>
      </c>
      <c r="E46">
        <v>17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148</v>
      </c>
      <c r="L46" t="s">
        <v>150</v>
      </c>
    </row>
    <row r="47" spans="1:12">
      <c r="A47" t="s">
        <v>133</v>
      </c>
      <c r="B47" t="s">
        <v>86</v>
      </c>
      <c r="C47" t="s">
        <v>144</v>
      </c>
      <c r="D47" t="s">
        <v>28</v>
      </c>
      <c r="E47">
        <v>18</v>
      </c>
      <c r="F47" t="s">
        <v>151</v>
      </c>
      <c r="G47">
        <v>33</v>
      </c>
      <c r="H47" t="s">
        <v>152</v>
      </c>
      <c r="I47" t="s">
        <v>36</v>
      </c>
      <c r="J47" t="s">
        <v>153</v>
      </c>
      <c r="K47" t="s">
        <v>36</v>
      </c>
      <c r="L47" t="s">
        <v>154</v>
      </c>
    </row>
    <row r="48" spans="1:12">
      <c r="A48" t="s">
        <v>133</v>
      </c>
      <c r="B48" t="s">
        <v>86</v>
      </c>
      <c r="C48" t="s">
        <v>155</v>
      </c>
      <c r="D48" t="s">
        <v>28</v>
      </c>
      <c r="E48">
        <v>25</v>
      </c>
      <c r="F48" t="s">
        <v>156</v>
      </c>
      <c r="G48">
        <v>32</v>
      </c>
      <c r="H48" t="s">
        <v>139</v>
      </c>
      <c r="I48" t="s">
        <v>36</v>
      </c>
      <c r="J48" t="s">
        <v>65</v>
      </c>
    </row>
    <row r="49" spans="1:10">
      <c r="A49" t="s">
        <v>133</v>
      </c>
      <c r="B49" t="s">
        <v>86</v>
      </c>
      <c r="C49" t="s">
        <v>155</v>
      </c>
      <c r="D49" t="s">
        <v>28</v>
      </c>
      <c r="E49">
        <v>26</v>
      </c>
      <c r="F49" t="s">
        <v>157</v>
      </c>
      <c r="G49">
        <v>31</v>
      </c>
      <c r="H49" t="s">
        <v>139</v>
      </c>
      <c r="I49" t="s">
        <v>40</v>
      </c>
      <c r="J49" t="s">
        <v>68</v>
      </c>
    </row>
    <row r="50" spans="1:10">
      <c r="A50" t="s">
        <v>133</v>
      </c>
      <c r="B50" t="s">
        <v>86</v>
      </c>
      <c r="C50" t="s">
        <v>158</v>
      </c>
      <c r="D50" t="s">
        <v>28</v>
      </c>
      <c r="E50">
        <v>32</v>
      </c>
      <c r="F50" t="s">
        <v>159</v>
      </c>
      <c r="G50">
        <v>36</v>
      </c>
      <c r="H50" t="s">
        <v>160</v>
      </c>
      <c r="I50" t="s">
        <v>31</v>
      </c>
      <c r="J50" t="s">
        <v>48</v>
      </c>
    </row>
    <row r="51" spans="1:10">
      <c r="A51" t="s">
        <v>133</v>
      </c>
      <c r="B51" t="s">
        <v>86</v>
      </c>
      <c r="C51" t="s">
        <v>161</v>
      </c>
      <c r="D51" t="s">
        <v>28</v>
      </c>
      <c r="E51">
        <v>33</v>
      </c>
      <c r="F51" t="s">
        <v>162</v>
      </c>
      <c r="G51">
        <v>35</v>
      </c>
      <c r="H51" t="s">
        <v>160</v>
      </c>
      <c r="I51" t="s">
        <v>31</v>
      </c>
      <c r="J51" t="s">
        <v>48</v>
      </c>
    </row>
    <row r="52" spans="1:10">
      <c r="A52" t="s">
        <v>133</v>
      </c>
      <c r="B52" t="s">
        <v>86</v>
      </c>
      <c r="C52" t="s">
        <v>163</v>
      </c>
      <c r="D52" t="s">
        <v>28</v>
      </c>
      <c r="E52">
        <v>102</v>
      </c>
      <c r="F52" t="s">
        <v>164</v>
      </c>
      <c r="G52">
        <v>16</v>
      </c>
      <c r="H52" t="s">
        <v>160</v>
      </c>
      <c r="I52" t="s">
        <v>31</v>
      </c>
      <c r="J52" t="s">
        <v>48</v>
      </c>
    </row>
    <row r="53" spans="1:10">
      <c r="A53" t="s">
        <v>133</v>
      </c>
      <c r="B53" t="s">
        <v>86</v>
      </c>
      <c r="C53" t="s">
        <v>165</v>
      </c>
      <c r="D53" t="s">
        <v>28</v>
      </c>
      <c r="E53">
        <v>103</v>
      </c>
      <c r="F53" t="s">
        <v>166</v>
      </c>
      <c r="G53">
        <v>39</v>
      </c>
      <c r="H53" t="s">
        <v>139</v>
      </c>
      <c r="I53" t="s">
        <v>36</v>
      </c>
      <c r="J53" t="s">
        <v>53</v>
      </c>
    </row>
    <row r="54" spans="1:10">
      <c r="A54" t="s">
        <v>133</v>
      </c>
      <c r="B54" t="s">
        <v>86</v>
      </c>
      <c r="C54" t="s">
        <v>167</v>
      </c>
      <c r="D54" t="s">
        <v>28</v>
      </c>
      <c r="E54">
        <v>105</v>
      </c>
      <c r="F54" t="s">
        <v>168</v>
      </c>
      <c r="G54">
        <v>37</v>
      </c>
      <c r="H54" t="s">
        <v>160</v>
      </c>
      <c r="I54" t="s">
        <v>136</v>
      </c>
      <c r="J54" t="s">
        <v>46</v>
      </c>
    </row>
    <row r="55" spans="1:10">
      <c r="A55" t="s">
        <v>133</v>
      </c>
      <c r="B55" t="s">
        <v>86</v>
      </c>
      <c r="C55" t="s">
        <v>169</v>
      </c>
      <c r="D55" t="s">
        <v>28</v>
      </c>
      <c r="E55">
        <v>107</v>
      </c>
      <c r="F55" t="s">
        <v>170</v>
      </c>
      <c r="G55">
        <v>41</v>
      </c>
      <c r="H55" t="s">
        <v>171</v>
      </c>
      <c r="I55" t="s">
        <v>31</v>
      </c>
      <c r="J55" t="s">
        <v>48</v>
      </c>
    </row>
    <row r="56" spans="1:10">
      <c r="A56" t="s">
        <v>133</v>
      </c>
      <c r="B56" t="s">
        <v>86</v>
      </c>
      <c r="C56" t="s">
        <v>172</v>
      </c>
      <c r="D56" t="s">
        <v>28</v>
      </c>
      <c r="E56">
        <v>144</v>
      </c>
      <c r="F56" t="s">
        <v>173</v>
      </c>
      <c r="G56">
        <v>30</v>
      </c>
      <c r="H56" t="s">
        <v>139</v>
      </c>
      <c r="I56" t="s">
        <v>36</v>
      </c>
      <c r="J56" t="s">
        <v>70</v>
      </c>
    </row>
    <row r="57" spans="1:10">
      <c r="A57" t="s">
        <v>133</v>
      </c>
      <c r="B57" t="s">
        <v>86</v>
      </c>
      <c r="C57" t="s">
        <v>174</v>
      </c>
      <c r="D57" t="s">
        <v>28</v>
      </c>
      <c r="E57">
        <v>146</v>
      </c>
      <c r="F57" t="s">
        <v>175</v>
      </c>
      <c r="G57">
        <v>29</v>
      </c>
      <c r="H57" t="s">
        <v>139</v>
      </c>
      <c r="I57" t="s">
        <v>40</v>
      </c>
      <c r="J57" t="s">
        <v>41</v>
      </c>
    </row>
    <row r="58" spans="1:10">
      <c r="A58" t="s">
        <v>133</v>
      </c>
      <c r="B58" t="s">
        <v>86</v>
      </c>
      <c r="C58" t="s">
        <v>176</v>
      </c>
      <c r="D58" t="s">
        <v>28</v>
      </c>
      <c r="E58">
        <v>147</v>
      </c>
      <c r="F58" t="s">
        <v>177</v>
      </c>
      <c r="G58">
        <v>28</v>
      </c>
      <c r="H58" t="s">
        <v>139</v>
      </c>
      <c r="I58" t="s">
        <v>136</v>
      </c>
      <c r="J58" t="s">
        <v>46</v>
      </c>
    </row>
    <row r="59" spans="1:10">
      <c r="A59" t="s">
        <v>133</v>
      </c>
      <c r="B59" t="s">
        <v>86</v>
      </c>
      <c r="C59" t="s">
        <v>178</v>
      </c>
      <c r="D59" t="s">
        <v>28</v>
      </c>
      <c r="E59">
        <v>148</v>
      </c>
      <c r="F59" t="s">
        <v>179</v>
      </c>
      <c r="G59">
        <v>27</v>
      </c>
      <c r="H59" t="s">
        <v>180</v>
      </c>
      <c r="I59" t="s">
        <v>36</v>
      </c>
      <c r="J59" t="s">
        <v>64</v>
      </c>
    </row>
    <row r="60" spans="1:10">
      <c r="A60" t="s">
        <v>133</v>
      </c>
      <c r="B60" t="s">
        <v>86</v>
      </c>
      <c r="C60" t="s">
        <v>178</v>
      </c>
      <c r="D60" t="s">
        <v>28</v>
      </c>
      <c r="E60">
        <v>149</v>
      </c>
      <c r="F60" t="s">
        <v>181</v>
      </c>
      <c r="G60">
        <v>26</v>
      </c>
      <c r="H60" t="s">
        <v>180</v>
      </c>
      <c r="I60" t="s">
        <v>31</v>
      </c>
      <c r="J60" t="s">
        <v>81</v>
      </c>
    </row>
    <row r="61" spans="1:10">
      <c r="A61" t="s">
        <v>133</v>
      </c>
      <c r="B61" t="s">
        <v>86</v>
      </c>
      <c r="C61" t="s">
        <v>172</v>
      </c>
      <c r="D61" t="s">
        <v>28</v>
      </c>
      <c r="E61">
        <v>150</v>
      </c>
      <c r="F61" t="s">
        <v>182</v>
      </c>
      <c r="G61">
        <v>25</v>
      </c>
      <c r="H61" t="s">
        <v>139</v>
      </c>
      <c r="I61" t="s">
        <v>40</v>
      </c>
      <c r="J61" t="s">
        <v>41</v>
      </c>
    </row>
    <row r="62" spans="1:10">
      <c r="A62" t="s">
        <v>133</v>
      </c>
      <c r="B62" t="s">
        <v>86</v>
      </c>
      <c r="C62" t="s">
        <v>183</v>
      </c>
      <c r="D62" t="s">
        <v>28</v>
      </c>
      <c r="E62">
        <v>152</v>
      </c>
      <c r="F62" t="s">
        <v>184</v>
      </c>
      <c r="G62">
        <v>24</v>
      </c>
      <c r="H62" t="s">
        <v>139</v>
      </c>
      <c r="I62" t="s">
        <v>136</v>
      </c>
      <c r="J62" t="s">
        <v>56</v>
      </c>
    </row>
    <row r="63" spans="1:10">
      <c r="A63" t="s">
        <v>133</v>
      </c>
      <c r="B63" t="s">
        <v>86</v>
      </c>
      <c r="C63" t="s">
        <v>185</v>
      </c>
      <c r="D63" t="s">
        <v>28</v>
      </c>
      <c r="E63">
        <v>154</v>
      </c>
      <c r="F63" t="s">
        <v>186</v>
      </c>
      <c r="G63">
        <v>23</v>
      </c>
      <c r="H63" t="s">
        <v>160</v>
      </c>
      <c r="I63" t="s">
        <v>31</v>
      </c>
      <c r="J63" t="s">
        <v>48</v>
      </c>
    </row>
    <row r="64" spans="1:10">
      <c r="A64" t="s">
        <v>133</v>
      </c>
      <c r="B64" t="s">
        <v>86</v>
      </c>
      <c r="C64" t="s">
        <v>187</v>
      </c>
      <c r="D64" t="s">
        <v>28</v>
      </c>
      <c r="E64">
        <v>155</v>
      </c>
      <c r="F64" t="s">
        <v>188</v>
      </c>
      <c r="G64">
        <v>22</v>
      </c>
      <c r="H64" t="s">
        <v>160</v>
      </c>
      <c r="I64" t="s">
        <v>136</v>
      </c>
      <c r="J64" t="s">
        <v>46</v>
      </c>
    </row>
    <row r="65" spans="1:12">
      <c r="A65" t="s">
        <v>133</v>
      </c>
      <c r="B65" t="s">
        <v>86</v>
      </c>
      <c r="C65" t="s">
        <v>189</v>
      </c>
      <c r="D65" t="s">
        <v>28</v>
      </c>
      <c r="E65">
        <v>157</v>
      </c>
      <c r="F65" t="s">
        <v>190</v>
      </c>
      <c r="G65">
        <v>21</v>
      </c>
      <c r="H65" t="s">
        <v>160</v>
      </c>
      <c r="I65" t="s">
        <v>31</v>
      </c>
      <c r="J65" t="s">
        <v>48</v>
      </c>
    </row>
    <row r="66" spans="1:12">
      <c r="A66" t="s">
        <v>133</v>
      </c>
      <c r="B66" t="s">
        <v>86</v>
      </c>
      <c r="C66" t="s">
        <v>191</v>
      </c>
      <c r="D66" t="s">
        <v>28</v>
      </c>
      <c r="E66">
        <v>158</v>
      </c>
      <c r="F66" t="s">
        <v>192</v>
      </c>
      <c r="G66">
        <v>20</v>
      </c>
      <c r="H66" t="s">
        <v>160</v>
      </c>
      <c r="I66" t="s">
        <v>31</v>
      </c>
      <c r="J66" t="s">
        <v>48</v>
      </c>
    </row>
    <row r="67" spans="1:12">
      <c r="A67" t="s">
        <v>133</v>
      </c>
      <c r="B67" t="s">
        <v>86</v>
      </c>
      <c r="C67" t="s">
        <v>193</v>
      </c>
      <c r="D67" t="s">
        <v>28</v>
      </c>
      <c r="E67">
        <v>159</v>
      </c>
      <c r="F67" t="s">
        <v>194</v>
      </c>
      <c r="G67">
        <v>19</v>
      </c>
      <c r="H67" t="s">
        <v>160</v>
      </c>
      <c r="I67" t="s">
        <v>31</v>
      </c>
      <c r="J67" t="s">
        <v>48</v>
      </c>
    </row>
    <row r="68" spans="1:12">
      <c r="A68" t="s">
        <v>133</v>
      </c>
      <c r="B68" t="s">
        <v>86</v>
      </c>
      <c r="C68" t="s">
        <v>195</v>
      </c>
      <c r="D68" t="s">
        <v>28</v>
      </c>
      <c r="E68">
        <v>165</v>
      </c>
      <c r="F68" t="s">
        <v>196</v>
      </c>
      <c r="G68">
        <v>18</v>
      </c>
      <c r="H68" t="s">
        <v>139</v>
      </c>
      <c r="I68" t="s">
        <v>31</v>
      </c>
      <c r="J68" t="s">
        <v>197</v>
      </c>
    </row>
    <row r="69" spans="1:12">
      <c r="A69" t="s">
        <v>133</v>
      </c>
      <c r="B69" t="s">
        <v>86</v>
      </c>
      <c r="C69" t="s">
        <v>198</v>
      </c>
      <c r="D69" t="s">
        <v>28</v>
      </c>
      <c r="E69">
        <v>173</v>
      </c>
      <c r="F69" t="s">
        <v>199</v>
      </c>
      <c r="G69">
        <v>17</v>
      </c>
      <c r="H69" t="s">
        <v>160</v>
      </c>
      <c r="I69" t="s">
        <v>31</v>
      </c>
      <c r="J69" t="s">
        <v>48</v>
      </c>
    </row>
    <row r="70" spans="1:12">
      <c r="A70" t="s">
        <v>133</v>
      </c>
      <c r="B70" t="s">
        <v>86</v>
      </c>
      <c r="C70" t="s">
        <v>200</v>
      </c>
      <c r="D70" t="s">
        <v>28</v>
      </c>
      <c r="E70">
        <v>197</v>
      </c>
      <c r="F70" t="s">
        <v>201</v>
      </c>
      <c r="G70">
        <v>15</v>
      </c>
      <c r="H70" t="s">
        <v>160</v>
      </c>
      <c r="I70" t="s">
        <v>31</v>
      </c>
      <c r="J70" t="s">
        <v>48</v>
      </c>
    </row>
    <row r="71" spans="1:12">
      <c r="A71" t="s">
        <v>133</v>
      </c>
      <c r="B71" t="s">
        <v>86</v>
      </c>
      <c r="C71" t="s">
        <v>202</v>
      </c>
      <c r="D71" t="s">
        <v>28</v>
      </c>
      <c r="E71">
        <v>202</v>
      </c>
      <c r="F71" t="s">
        <v>203</v>
      </c>
      <c r="G71">
        <v>14</v>
      </c>
      <c r="H71" t="s">
        <v>171</v>
      </c>
      <c r="I71" t="s">
        <v>31</v>
      </c>
      <c r="J71" t="s">
        <v>48</v>
      </c>
    </row>
    <row r="72" spans="1:12">
      <c r="A72" t="s">
        <v>133</v>
      </c>
      <c r="B72" t="s">
        <v>86</v>
      </c>
      <c r="C72" t="s">
        <v>204</v>
      </c>
      <c r="D72" t="s">
        <v>28</v>
      </c>
      <c r="E72" t="s">
        <v>205</v>
      </c>
      <c r="F72" t="s">
        <v>206</v>
      </c>
      <c r="G72">
        <v>13</v>
      </c>
      <c r="H72" t="s">
        <v>207</v>
      </c>
      <c r="I72" t="s">
        <v>90</v>
      </c>
      <c r="J72" t="s">
        <v>32</v>
      </c>
      <c r="K72" t="s">
        <v>208</v>
      </c>
      <c r="L72" t="s">
        <v>205</v>
      </c>
    </row>
    <row r="73" spans="1:12">
      <c r="A73" t="s">
        <v>133</v>
      </c>
      <c r="B73" t="s">
        <v>86</v>
      </c>
      <c r="C73" t="s">
        <v>209</v>
      </c>
      <c r="D73" t="s">
        <v>28</v>
      </c>
      <c r="E73" t="s">
        <v>210</v>
      </c>
      <c r="F73" t="s">
        <v>211</v>
      </c>
      <c r="G73" t="s">
        <v>212</v>
      </c>
      <c r="H73" t="s">
        <v>213</v>
      </c>
      <c r="I73" t="s">
        <v>208</v>
      </c>
      <c r="J73" t="s">
        <v>32</v>
      </c>
      <c r="K73" t="s">
        <v>208</v>
      </c>
      <c r="L73" t="s">
        <v>214</v>
      </c>
    </row>
    <row r="74" spans="1:12">
      <c r="A74" t="s">
        <v>133</v>
      </c>
      <c r="B74" t="s">
        <v>86</v>
      </c>
      <c r="C74" t="s">
        <v>215</v>
      </c>
      <c r="D74" t="s">
        <v>28</v>
      </c>
      <c r="E74" t="s">
        <v>216</v>
      </c>
      <c r="F74" t="s">
        <v>217</v>
      </c>
      <c r="G74" t="s">
        <v>212</v>
      </c>
      <c r="H74" t="s">
        <v>218</v>
      </c>
      <c r="I74" t="s">
        <v>208</v>
      </c>
      <c r="J74" t="s">
        <v>32</v>
      </c>
      <c r="K74" t="s">
        <v>208</v>
      </c>
      <c r="L74" t="s">
        <v>219</v>
      </c>
    </row>
    <row r="75" spans="1:12">
      <c r="A75" t="s">
        <v>133</v>
      </c>
      <c r="B75" t="s">
        <v>86</v>
      </c>
      <c r="C75" t="s">
        <v>220</v>
      </c>
      <c r="D75" t="s">
        <v>28</v>
      </c>
      <c r="E75" t="s">
        <v>221</v>
      </c>
      <c r="F75" t="s">
        <v>222</v>
      </c>
      <c r="G75" t="s">
        <v>212</v>
      </c>
      <c r="H75" t="s">
        <v>223</v>
      </c>
      <c r="I75" t="s">
        <v>208</v>
      </c>
      <c r="J75" t="s">
        <v>32</v>
      </c>
      <c r="K75" t="s">
        <v>208</v>
      </c>
      <c r="L75" t="s">
        <v>224</v>
      </c>
    </row>
    <row r="76" spans="1:12">
      <c r="A76" t="s">
        <v>133</v>
      </c>
      <c r="B76" t="s">
        <v>86</v>
      </c>
      <c r="C76" t="s">
        <v>142</v>
      </c>
      <c r="D76" t="s">
        <v>28</v>
      </c>
      <c r="E76" t="s">
        <v>225</v>
      </c>
      <c r="F76" t="s">
        <v>226</v>
      </c>
      <c r="G76" t="s">
        <v>212</v>
      </c>
      <c r="H76" t="s">
        <v>227</v>
      </c>
      <c r="I76" t="s">
        <v>208</v>
      </c>
      <c r="J76" t="s">
        <v>32</v>
      </c>
      <c r="K76" t="s">
        <v>208</v>
      </c>
      <c r="L76" t="s">
        <v>228</v>
      </c>
    </row>
    <row r="77" spans="1:12">
      <c r="A77" t="s">
        <v>133</v>
      </c>
      <c r="B77" t="s">
        <v>86</v>
      </c>
      <c r="C77" t="s">
        <v>229</v>
      </c>
      <c r="D77" t="s">
        <v>28</v>
      </c>
      <c r="E77" t="s">
        <v>230</v>
      </c>
      <c r="F77" t="s">
        <v>231</v>
      </c>
      <c r="G77" t="s">
        <v>212</v>
      </c>
      <c r="H77" t="s">
        <v>232</v>
      </c>
      <c r="I77" t="s">
        <v>208</v>
      </c>
      <c r="J77" t="s">
        <v>32</v>
      </c>
      <c r="K77" t="s">
        <v>208</v>
      </c>
      <c r="L77" t="s">
        <v>233</v>
      </c>
    </row>
    <row r="78" spans="1:12">
      <c r="A78" t="s">
        <v>133</v>
      </c>
      <c r="B78" t="s">
        <v>86</v>
      </c>
      <c r="C78" t="s">
        <v>234</v>
      </c>
      <c r="D78" t="s">
        <v>28</v>
      </c>
      <c r="E78" t="s">
        <v>235</v>
      </c>
      <c r="F78" t="s">
        <v>236</v>
      </c>
      <c r="G78" t="s">
        <v>212</v>
      </c>
      <c r="H78" t="s">
        <v>237</v>
      </c>
      <c r="I78" t="s">
        <v>208</v>
      </c>
      <c r="J78" t="s">
        <v>32</v>
      </c>
      <c r="K78" t="s">
        <v>208</v>
      </c>
      <c r="L78" t="s">
        <v>238</v>
      </c>
    </row>
    <row r="79" spans="1:12">
      <c r="A79" t="s">
        <v>133</v>
      </c>
      <c r="B79" t="s">
        <v>86</v>
      </c>
      <c r="C79" t="s">
        <v>239</v>
      </c>
      <c r="D79" t="s">
        <v>28</v>
      </c>
      <c r="E79" t="s">
        <v>240</v>
      </c>
      <c r="F79" t="s">
        <v>241</v>
      </c>
      <c r="G79" t="s">
        <v>212</v>
      </c>
      <c r="H79" t="s">
        <v>242</v>
      </c>
      <c r="I79" t="s">
        <v>208</v>
      </c>
      <c r="J79" t="s">
        <v>32</v>
      </c>
      <c r="K79" t="s">
        <v>208</v>
      </c>
      <c r="L79" t="s">
        <v>243</v>
      </c>
    </row>
    <row r="80" spans="1:12">
      <c r="A80" t="s">
        <v>133</v>
      </c>
      <c r="B80" t="s">
        <v>86</v>
      </c>
      <c r="C80" t="s">
        <v>193</v>
      </c>
      <c r="D80" t="s">
        <v>28</v>
      </c>
      <c r="E80" t="s">
        <v>244</v>
      </c>
      <c r="F80" t="s">
        <v>245</v>
      </c>
      <c r="G80" t="s">
        <v>212</v>
      </c>
      <c r="H80" t="s">
        <v>246</v>
      </c>
      <c r="I80" t="s">
        <v>208</v>
      </c>
      <c r="J80" t="s">
        <v>32</v>
      </c>
      <c r="K80" t="s">
        <v>208</v>
      </c>
      <c r="L80" t="s">
        <v>247</v>
      </c>
    </row>
    <row r="81" spans="1:12">
      <c r="A81" t="s">
        <v>133</v>
      </c>
      <c r="B81" t="s">
        <v>86</v>
      </c>
      <c r="C81" t="s">
        <v>248</v>
      </c>
      <c r="D81" t="s">
        <v>28</v>
      </c>
      <c r="E81" t="s">
        <v>249</v>
      </c>
      <c r="F81" t="s">
        <v>250</v>
      </c>
      <c r="G81" t="s">
        <v>212</v>
      </c>
      <c r="H81" t="s">
        <v>251</v>
      </c>
      <c r="I81" t="s">
        <v>208</v>
      </c>
      <c r="J81" t="s">
        <v>32</v>
      </c>
      <c r="K81" t="s">
        <v>208</v>
      </c>
      <c r="L81" t="s">
        <v>252</v>
      </c>
    </row>
    <row r="82" spans="1:12">
      <c r="A82" t="s">
        <v>133</v>
      </c>
      <c r="B82" t="s">
        <v>86</v>
      </c>
      <c r="C82" t="s">
        <v>191</v>
      </c>
      <c r="D82" t="s">
        <v>28</v>
      </c>
      <c r="E82" t="s">
        <v>253</v>
      </c>
      <c r="F82" t="s">
        <v>254</v>
      </c>
      <c r="G82" t="s">
        <v>212</v>
      </c>
      <c r="H82" t="s">
        <v>255</v>
      </c>
      <c r="I82" t="s">
        <v>208</v>
      </c>
      <c r="J82" t="s">
        <v>32</v>
      </c>
      <c r="K82" t="s">
        <v>208</v>
      </c>
      <c r="L82" t="s">
        <v>256</v>
      </c>
    </row>
    <row r="83" spans="1:12">
      <c r="A83" t="s">
        <v>133</v>
      </c>
      <c r="B83" t="s">
        <v>86</v>
      </c>
      <c r="C83" t="s">
        <v>215</v>
      </c>
      <c r="D83" t="s">
        <v>28</v>
      </c>
      <c r="E83" t="s">
        <v>216</v>
      </c>
      <c r="F83" t="s">
        <v>257</v>
      </c>
      <c r="G83" t="s">
        <v>212</v>
      </c>
      <c r="H83" t="s">
        <v>258</v>
      </c>
      <c r="I83" t="s">
        <v>208</v>
      </c>
      <c r="J83" t="s">
        <v>32</v>
      </c>
    </row>
    <row r="84" spans="1:12">
      <c r="A84" t="s">
        <v>133</v>
      </c>
      <c r="B84" t="s">
        <v>86</v>
      </c>
      <c r="C84" t="s">
        <v>259</v>
      </c>
      <c r="D84" t="s">
        <v>28</v>
      </c>
      <c r="E84" t="s">
        <v>260</v>
      </c>
      <c r="F84" t="s">
        <v>261</v>
      </c>
      <c r="G84" t="s">
        <v>212</v>
      </c>
      <c r="H84" t="s">
        <v>262</v>
      </c>
      <c r="I84" t="s">
        <v>208</v>
      </c>
      <c r="J84" t="s">
        <v>32</v>
      </c>
    </row>
    <row r="85" spans="1:12">
      <c r="A85" t="s">
        <v>133</v>
      </c>
      <c r="B85" t="s">
        <v>86</v>
      </c>
      <c r="C85" t="s">
        <v>263</v>
      </c>
      <c r="D85" t="s">
        <v>28</v>
      </c>
      <c r="E85" t="s">
        <v>264</v>
      </c>
      <c r="F85" t="s">
        <v>179</v>
      </c>
      <c r="G85" t="s">
        <v>265</v>
      </c>
      <c r="H85" t="s">
        <v>139</v>
      </c>
      <c r="I85" t="s">
        <v>36</v>
      </c>
      <c r="J85" t="s">
        <v>64</v>
      </c>
    </row>
    <row r="86" spans="1:12">
      <c r="A86" t="s">
        <v>133</v>
      </c>
      <c r="B86" t="s">
        <v>86</v>
      </c>
      <c r="C86" t="s">
        <v>263</v>
      </c>
      <c r="D86" t="s">
        <v>28</v>
      </c>
      <c r="E86" t="s">
        <v>266</v>
      </c>
      <c r="F86" t="s">
        <v>181</v>
      </c>
      <c r="G86" t="s">
        <v>267</v>
      </c>
      <c r="H86" t="s">
        <v>139</v>
      </c>
      <c r="I86" t="s">
        <v>31</v>
      </c>
      <c r="J86" t="s">
        <v>81</v>
      </c>
    </row>
    <row r="87" spans="1:12">
      <c r="A87" t="s">
        <v>133</v>
      </c>
      <c r="B87" t="s">
        <v>86</v>
      </c>
      <c r="C87" t="s">
        <v>268</v>
      </c>
      <c r="D87" t="s">
        <v>28</v>
      </c>
      <c r="E87" t="s">
        <v>269</v>
      </c>
      <c r="F87" t="s">
        <v>270</v>
      </c>
      <c r="G87" t="s">
        <v>212</v>
      </c>
      <c r="H87" t="s">
        <v>271</v>
      </c>
      <c r="I87" t="s">
        <v>208</v>
      </c>
      <c r="J87" t="s">
        <v>32</v>
      </c>
    </row>
    <row r="88" spans="1:12">
      <c r="A88" t="s">
        <v>133</v>
      </c>
      <c r="B88" t="s">
        <v>86</v>
      </c>
      <c r="C88" t="s">
        <v>272</v>
      </c>
      <c r="D88" t="s">
        <v>28</v>
      </c>
      <c r="E88" t="s">
        <v>273</v>
      </c>
      <c r="F88" t="s">
        <v>274</v>
      </c>
      <c r="G88" t="s">
        <v>212</v>
      </c>
      <c r="H88" t="s">
        <v>275</v>
      </c>
      <c r="I88" t="s">
        <v>208</v>
      </c>
      <c r="J88" t="s">
        <v>32</v>
      </c>
    </row>
    <row r="89" spans="1:12">
      <c r="A89" t="s">
        <v>133</v>
      </c>
      <c r="B89" t="s">
        <v>86</v>
      </c>
      <c r="C89" t="s">
        <v>276</v>
      </c>
      <c r="D89" t="s">
        <v>28</v>
      </c>
      <c r="E89" t="s">
        <v>277</v>
      </c>
      <c r="F89" t="s">
        <v>278</v>
      </c>
      <c r="G89">
        <v>73</v>
      </c>
      <c r="H89" t="s">
        <v>279</v>
      </c>
      <c r="I89" t="s">
        <v>280</v>
      </c>
    </row>
    <row r="90" spans="1:12">
      <c r="A90" t="s">
        <v>133</v>
      </c>
      <c r="B90" t="s">
        <v>86</v>
      </c>
      <c r="C90" t="s">
        <v>281</v>
      </c>
      <c r="D90" t="s">
        <v>28</v>
      </c>
      <c r="E90" t="s">
        <v>277</v>
      </c>
      <c r="F90" t="s">
        <v>282</v>
      </c>
      <c r="G90">
        <v>74</v>
      </c>
      <c r="H90" t="s">
        <v>283</v>
      </c>
      <c r="I90" t="s">
        <v>284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285</v>
      </c>
      <c r="B1" s="62"/>
      <c r="C1" s="62"/>
      <c r="D1" s="62"/>
    </row>
    <row r="2" spans="1:4" ht="15" customHeight="1">
      <c r="A2" s="60" t="s">
        <v>286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287</v>
      </c>
      <c r="B4" s="43" t="s">
        <v>288</v>
      </c>
      <c r="C4" s="43" t="s">
        <v>289</v>
      </c>
      <c r="D4" s="43" t="s">
        <v>290</v>
      </c>
    </row>
    <row r="5" spans="1:4" ht="15" customHeight="1">
      <c r="A5" s="44" t="s">
        <v>42</v>
      </c>
      <c r="B5" s="44" t="s">
        <v>291</v>
      </c>
      <c r="C5" s="44" t="s">
        <v>292</v>
      </c>
      <c r="D5" s="44" t="s">
        <v>293</v>
      </c>
    </row>
    <row r="6" spans="1:4" ht="15" customHeight="1">
      <c r="A6" s="44" t="s">
        <v>71</v>
      </c>
      <c r="B6" s="44" t="s">
        <v>294</v>
      </c>
      <c r="C6" s="44" t="s">
        <v>295</v>
      </c>
      <c r="D6" s="44" t="s">
        <v>296</v>
      </c>
    </row>
    <row r="7" spans="1:4" ht="15" customHeight="1">
      <c r="A7" s="44" t="s">
        <v>57</v>
      </c>
      <c r="B7" s="44" t="s">
        <v>297</v>
      </c>
      <c r="C7" s="44" t="s">
        <v>298</v>
      </c>
      <c r="D7" s="44" t="s">
        <v>299</v>
      </c>
    </row>
    <row r="8" spans="1:4" ht="15" customHeight="1">
      <c r="A8" s="44" t="s">
        <v>75</v>
      </c>
      <c r="B8" s="44" t="s">
        <v>300</v>
      </c>
      <c r="C8" s="44" t="s">
        <v>301</v>
      </c>
      <c r="D8" s="44" t="s">
        <v>302</v>
      </c>
    </row>
    <row r="9" spans="1:4" ht="15" customHeight="1">
      <c r="A9" s="44" t="s">
        <v>78</v>
      </c>
      <c r="B9" s="44" t="s">
        <v>303</v>
      </c>
      <c r="C9" s="44" t="s">
        <v>304</v>
      </c>
      <c r="D9" s="44" t="s">
        <v>305</v>
      </c>
    </row>
    <row r="10" spans="1:4" ht="15" customHeight="1">
      <c r="A10" s="44" t="s">
        <v>306</v>
      </c>
      <c r="B10" s="44" t="s">
        <v>133</v>
      </c>
      <c r="C10" s="44" t="s">
        <v>307</v>
      </c>
      <c r="D10" s="44" t="s">
        <v>308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309</v>
      </c>
      <c r="B13" s="62"/>
      <c r="C13" s="62"/>
      <c r="D13" s="62"/>
    </row>
    <row r="14" spans="1:4" ht="15" customHeight="1">
      <c r="A14" s="49" t="s">
        <v>310</v>
      </c>
      <c r="B14" s="58" t="s">
        <v>311</v>
      </c>
      <c r="C14" s="62"/>
      <c r="D14" s="62"/>
    </row>
    <row r="15" spans="1:4" ht="15" customHeight="1">
      <c r="A15" s="49" t="s">
        <v>312</v>
      </c>
      <c r="B15" s="58" t="s">
        <v>313</v>
      </c>
      <c r="C15" s="62"/>
      <c r="D15" s="62"/>
    </row>
    <row r="16" spans="1:4" ht="15" customHeight="1">
      <c r="A16" s="49" t="s">
        <v>314</v>
      </c>
      <c r="B16" s="58" t="s">
        <v>315</v>
      </c>
      <c r="C16" s="62"/>
      <c r="D16" s="62"/>
    </row>
    <row r="17" spans="1:4" ht="15" customHeight="1">
      <c r="A17" s="49" t="s">
        <v>316</v>
      </c>
      <c r="B17" s="58" t="s">
        <v>317</v>
      </c>
      <c r="C17" s="62"/>
      <c r="D17" s="62"/>
    </row>
    <row r="18" spans="1:4" ht="15" customHeight="1">
      <c r="A18" s="49" t="s">
        <v>318</v>
      </c>
      <c r="B18" s="58" t="s">
        <v>319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320</v>
      </c>
      <c r="B20" s="62"/>
      <c r="C20" s="62"/>
      <c r="D20" s="62"/>
    </row>
    <row r="21" spans="1:4" ht="15" customHeight="1">
      <c r="A21" s="58" t="s">
        <v>321</v>
      </c>
      <c r="B21" s="62"/>
      <c r="C21" s="62"/>
      <c r="D21" s="62"/>
    </row>
    <row r="22" spans="1:4" ht="15" customHeight="1">
      <c r="A22" s="58" t="s">
        <v>322</v>
      </c>
      <c r="B22" s="62"/>
      <c r="C22" s="62"/>
      <c r="D22" s="62"/>
    </row>
    <row r="23" spans="1:4" ht="15" customHeight="1">
      <c r="A23" s="58" t="s">
        <v>323</v>
      </c>
      <c r="B23" s="62"/>
      <c r="C23" s="62"/>
      <c r="D23" s="62"/>
    </row>
    <row r="24" spans="1:4" ht="15" customHeight="1">
      <c r="A24" s="58" t="s">
        <v>324</v>
      </c>
      <c r="B24" s="62"/>
      <c r="C24" s="62"/>
      <c r="D24" s="62"/>
    </row>
    <row r="25" spans="1:4" ht="15" customHeight="1">
      <c r="A25" s="58" t="s">
        <v>325</v>
      </c>
      <c r="B25" s="62"/>
      <c r="C25" s="62"/>
      <c r="D25" s="62"/>
    </row>
    <row r="26" spans="1:4" ht="41.25" customHeight="1">
      <c r="A26" s="49" t="s">
        <v>326</v>
      </c>
      <c r="B26" s="49"/>
      <c r="C26" s="49"/>
      <c r="D26" s="49"/>
    </row>
    <row r="27" spans="1:4" ht="15.75" customHeight="1">
      <c r="A27" s="59" t="s">
        <v>327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328</v>
      </c>
      <c r="B29" s="62"/>
      <c r="C29" s="62"/>
      <c r="D29" s="62"/>
    </row>
    <row r="30" spans="1:4" ht="15" customHeight="1">
      <c r="A30" s="58" t="s">
        <v>329</v>
      </c>
      <c r="B30" s="62"/>
      <c r="C30" s="62"/>
      <c r="D30" s="62"/>
    </row>
    <row r="31" spans="1:4" ht="15" customHeight="1">
      <c r="A31" s="58" t="s">
        <v>330</v>
      </c>
      <c r="B31" s="62"/>
      <c r="C31" s="62"/>
      <c r="D31" s="62"/>
    </row>
    <row r="32" spans="1:4" ht="94.5" customHeight="1">
      <c r="A32" s="49" t="s">
        <v>331</v>
      </c>
      <c r="B32" s="49"/>
      <c r="C32" s="49"/>
      <c r="D32" s="49"/>
    </row>
    <row r="33" spans="1:4" ht="94.5" customHeight="1">
      <c r="A33" s="49" t="s">
        <v>332</v>
      </c>
      <c r="B33" s="49"/>
      <c r="C33" s="49"/>
      <c r="D33" s="49"/>
    </row>
    <row r="34" spans="1:4" ht="68.25" customHeight="1">
      <c r="A34" s="49" t="s">
        <v>333</v>
      </c>
      <c r="B34" s="49"/>
      <c r="C34" s="49"/>
      <c r="D34" s="49"/>
    </row>
    <row r="35" spans="1:4" ht="68.25" customHeight="1">
      <c r="A35" s="49" t="s">
        <v>334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335</v>
      </c>
      <c r="B37" s="49"/>
      <c r="C37" s="49"/>
      <c r="D37" s="49"/>
    </row>
    <row r="38" spans="1:4" ht="54.75" customHeight="1">
      <c r="A38" s="49" t="s">
        <v>336</v>
      </c>
      <c r="B38" s="49"/>
      <c r="C38" s="49"/>
      <c r="D38" s="49"/>
    </row>
    <row r="39" spans="1:4" ht="54.75" customHeight="1">
      <c r="A39" s="49" t="s">
        <v>337</v>
      </c>
      <c r="B39" s="49"/>
      <c r="C39" s="49"/>
      <c r="D39" s="49"/>
    </row>
    <row r="40" spans="1:4" ht="68.25" customHeight="1">
      <c r="A40" s="49" t="s">
        <v>338</v>
      </c>
      <c r="B40" s="49"/>
      <c r="C40" s="49"/>
      <c r="D40" s="49"/>
    </row>
    <row r="41" spans="1:4" ht="68.25" customHeight="1">
      <c r="A41" s="49" t="s">
        <v>339</v>
      </c>
      <c r="B41" s="49"/>
      <c r="C41" s="49"/>
      <c r="D41" s="49"/>
    </row>
    <row r="42" spans="1:4" ht="54.75" customHeight="1">
      <c r="A42" s="49" t="s">
        <v>340</v>
      </c>
      <c r="B42" s="49"/>
      <c r="C42" s="49"/>
      <c r="D42" s="49"/>
    </row>
    <row r="43" spans="1:4" ht="54.75" customHeight="1">
      <c r="A43" s="49" t="s">
        <v>341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60">
      <c r="A45" s="56" t="s">
        <v>342</v>
      </c>
      <c r="B45" s="49"/>
      <c r="C45" s="49"/>
      <c r="D45" s="49"/>
    </row>
    <row r="46" spans="1:4" ht="45">
      <c r="A46" s="49" t="s">
        <v>343</v>
      </c>
      <c r="B46" s="49"/>
      <c r="C46" s="49"/>
      <c r="D46" s="49"/>
    </row>
    <row r="47" spans="1:4" ht="60">
      <c r="A47" s="49" t="s">
        <v>344</v>
      </c>
      <c r="B47" s="49"/>
      <c r="C47" s="49"/>
      <c r="D47" s="49"/>
    </row>
    <row r="48" spans="1:4" ht="60">
      <c r="A48" s="49" t="s">
        <v>345</v>
      </c>
      <c r="B48" s="49"/>
      <c r="C48" s="49"/>
      <c r="D48" s="49"/>
    </row>
    <row r="49" spans="1:4" ht="75">
      <c r="A49" s="49" t="s">
        <v>346</v>
      </c>
      <c r="B49" s="49"/>
      <c r="C49" s="49"/>
      <c r="D49" s="49"/>
    </row>
    <row r="50" spans="1:4" ht="75">
      <c r="A50" s="49" t="s">
        <v>347</v>
      </c>
      <c r="B50" s="49"/>
      <c r="C50" s="49"/>
      <c r="D50" s="49"/>
    </row>
    <row r="51" spans="1:4">
      <c r="A51" s="49" t="s">
        <v>348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349</v>
      </c>
      <c r="B53" s="49"/>
      <c r="C53" s="49"/>
      <c r="D53" s="49"/>
    </row>
    <row r="54" spans="1:4" ht="60">
      <c r="A54" s="49" t="s">
        <v>350</v>
      </c>
      <c r="B54" s="49"/>
      <c r="C54" s="49"/>
      <c r="D54" s="49"/>
    </row>
    <row r="55" spans="1:4" ht="60">
      <c r="A55" s="49" t="s">
        <v>351</v>
      </c>
      <c r="B55" s="49"/>
      <c r="C55" s="49"/>
      <c r="D55" s="49"/>
    </row>
    <row r="56" spans="1:4">
      <c r="A56" s="49" t="s">
        <v>352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353</v>
      </c>
    </row>
    <row r="83" spans="1:8">
      <c r="A83" t="s">
        <v>354</v>
      </c>
    </row>
    <row r="84" spans="1:8">
      <c r="A84" t="s">
        <v>355</v>
      </c>
    </row>
    <row r="85" spans="1:8">
      <c r="A85" t="s">
        <v>356</v>
      </c>
    </row>
    <row r="86" spans="1:8">
      <c r="A86" t="s">
        <v>357</v>
      </c>
    </row>
    <row r="87" spans="1:8">
      <c r="A87" t="s">
        <v>358</v>
      </c>
    </row>
    <row r="88" spans="1:8">
      <c r="A88" t="s">
        <v>359</v>
      </c>
    </row>
    <row r="89" spans="1:8">
      <c r="A89" t="s">
        <v>360</v>
      </c>
    </row>
    <row r="92" spans="1:8">
      <c r="A92" t="s">
        <v>361</v>
      </c>
    </row>
    <row r="94" spans="1:8">
      <c r="A94" t="s">
        <v>362</v>
      </c>
      <c r="B94" t="s">
        <v>363</v>
      </c>
      <c r="C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</row>
    <row r="95" spans="1:8">
      <c r="A95" t="s">
        <v>370</v>
      </c>
      <c r="B95" t="s">
        <v>371</v>
      </c>
      <c r="C95" t="s">
        <v>372</v>
      </c>
      <c r="D95" t="s">
        <v>373</v>
      </c>
      <c r="E95" t="s">
        <v>374</v>
      </c>
      <c r="F95" t="s">
        <v>375</v>
      </c>
      <c r="G95" t="s">
        <v>376</v>
      </c>
      <c r="H95" t="s">
        <v>377</v>
      </c>
    </row>
    <row r="96" spans="1:8">
      <c r="A96" t="s">
        <v>378</v>
      </c>
      <c r="B96" t="s">
        <v>379</v>
      </c>
      <c r="C96" t="s">
        <v>380</v>
      </c>
      <c r="D96" t="s">
        <v>381</v>
      </c>
      <c r="E96" t="s">
        <v>382</v>
      </c>
      <c r="F96" t="s">
        <v>383</v>
      </c>
      <c r="G96" t="s">
        <v>384</v>
      </c>
      <c r="H96" t="s">
        <v>385</v>
      </c>
    </row>
    <row r="97" spans="1:8">
      <c r="A97" t="s">
        <v>386</v>
      </c>
      <c r="B97" t="s">
        <v>387</v>
      </c>
      <c r="C97" t="s">
        <v>388</v>
      </c>
      <c r="D97" t="s">
        <v>389</v>
      </c>
      <c r="E97" t="s">
        <v>390</v>
      </c>
      <c r="F97" t="s">
        <v>391</v>
      </c>
      <c r="G97" t="s">
        <v>392</v>
      </c>
      <c r="H97" t="s">
        <v>393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394</v>
      </c>
      <c r="B1" s="50" t="s">
        <v>395</v>
      </c>
      <c r="C1" s="50" t="s">
        <v>396</v>
      </c>
      <c r="D1" s="50" t="s">
        <v>397</v>
      </c>
      <c r="E1" s="50" t="s">
        <v>398</v>
      </c>
      <c r="F1" s="50" t="s">
        <v>399</v>
      </c>
      <c r="G1" s="50" t="s">
        <v>400</v>
      </c>
      <c r="H1" s="50" t="s">
        <v>401</v>
      </c>
      <c r="I1" s="50" t="s">
        <v>402</v>
      </c>
      <c r="J1" s="50" t="s">
        <v>403</v>
      </c>
      <c r="K1" s="50" t="s">
        <v>404</v>
      </c>
      <c r="L1" s="50" t="s">
        <v>405</v>
      </c>
      <c r="M1" s="50" t="s">
        <v>406</v>
      </c>
      <c r="N1" s="50" t="s">
        <v>407</v>
      </c>
      <c r="O1" s="50" t="s">
        <v>408</v>
      </c>
      <c r="P1" s="50" t="s">
        <v>409</v>
      </c>
      <c r="Q1" s="50" t="s">
        <v>410</v>
      </c>
      <c r="R1" s="50" t="s">
        <v>411</v>
      </c>
      <c r="S1" s="50" t="s">
        <v>412</v>
      </c>
      <c r="T1" s="50" t="s">
        <v>413</v>
      </c>
      <c r="U1" s="50" t="s">
        <v>414</v>
      </c>
      <c r="V1" s="50" t="s">
        <v>415</v>
      </c>
      <c r="W1" s="50" t="s">
        <v>416</v>
      </c>
      <c r="X1" s="50" t="s">
        <v>417</v>
      </c>
      <c r="Y1" s="50" t="s">
        <v>418</v>
      </c>
      <c r="Z1" s="50" t="s">
        <v>419</v>
      </c>
    </row>
    <row r="2" spans="1:26" ht="45.75" customHeight="1">
      <c r="A2" s="4" t="s">
        <v>420</v>
      </c>
      <c r="B2" s="24" t="s">
        <v>421</v>
      </c>
      <c r="C2" t="s">
        <v>422</v>
      </c>
      <c r="D2" t="str">
        <f>IF($C2="","",IFERROR(LOOKUP(2,1/('03_Warehouse_Movements'!$C$2:$C$500=$A2),'03_Warehouse_Movements'!$E$2:$E$500),$C2))</f>
        <v>ACTIVE</v>
      </c>
      <c r="E2" t="s">
        <v>423</v>
      </c>
      <c r="F2" t="s">
        <v>424</v>
      </c>
      <c r="G2" s="25">
        <v>7</v>
      </c>
      <c r="H2" s="3" t="str">
        <f t="shared" ref="H2:H65" si="0">IF(AND($F2="TEMP",$G2&gt;0,$M2&lt;&gt;""),$M2+$G2,"")</f>
        <v/>
      </c>
      <c r="I2" s="3" t="s">
        <v>425</v>
      </c>
      <c r="J2" s="4" t="s">
        <v>426</v>
      </c>
      <c r="K2" s="3">
        <v>46053</v>
      </c>
      <c r="L2" s="4" t="s">
        <v>427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428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429</v>
      </c>
      <c r="B3" s="24"/>
      <c r="C3" t="s">
        <v>430</v>
      </c>
      <c r="D3" t="str">
        <f>IF($C3="","",IFERROR(LOOKUP(2,1/('03_Warehouse_Movements'!$C$2:$C$500=$A3),'03_Warehouse_Movements'!$E$2:$E$500),$C3))</f>
        <v>STAGED</v>
      </c>
      <c r="E3" t="s">
        <v>431</v>
      </c>
      <c r="F3" t="s">
        <v>432</v>
      </c>
      <c r="G3" s="25"/>
      <c r="H3" s="3" t="str">
        <f t="shared" si="0"/>
        <v/>
      </c>
      <c r="I3" s="3" t="s">
        <v>433</v>
      </c>
      <c r="J3" s="4" t="s">
        <v>434</v>
      </c>
      <c r="K3" s="3">
        <v>46052</v>
      </c>
      <c r="L3" s="4" t="s">
        <v>435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436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437</v>
      </c>
      <c r="B4" s="4" t="s">
        <v>438</v>
      </c>
      <c r="C4" t="s">
        <v>439</v>
      </c>
      <c r="D4" t="str">
        <f>IF($C4="","",IFERROR(LOOKUP(2,1/('03_Warehouse_Movements'!$C$2:$C$500=$A4),'03_Warehouse_Movements'!$E$2:$E$500),$C4))</f>
        <v>UNSAFE</v>
      </c>
      <c r="E4" t="s">
        <v>423</v>
      </c>
      <c r="F4" t="s">
        <v>440</v>
      </c>
      <c r="G4" s="25"/>
      <c r="H4" s="3" t="str">
        <f t="shared" si="0"/>
        <v/>
      </c>
      <c r="I4" s="3" t="s">
        <v>441</v>
      </c>
      <c r="J4" s="4" t="s">
        <v>442</v>
      </c>
      <c r="K4" s="3">
        <v>46046</v>
      </c>
      <c r="L4" s="4" t="s">
        <v>427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443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444</v>
      </c>
      <c r="B5" s="4" t="s">
        <v>445</v>
      </c>
      <c r="C5" t="s">
        <v>445</v>
      </c>
      <c r="D5" t="str">
        <f>IF($C5="","",IFERROR(LOOKUP(2,1/('03_Warehouse_Movements'!$C$2:$C$500=$A5),'03_Warehouse_Movements'!$E$2:$E$500),$C5))</f>
        <v>48x T24i-30</v>
      </c>
      <c r="E5" t="s">
        <v>423</v>
      </c>
      <c r="F5" t="s">
        <v>432</v>
      </c>
      <c r="G5" s="25"/>
      <c r="H5" s="3" t="str">
        <f t="shared" si="0"/>
        <v/>
      </c>
      <c r="I5" s="3" t="s">
        <v>446</v>
      </c>
      <c r="J5" s="4" t="s">
        <v>434</v>
      </c>
      <c r="K5" s="3">
        <v>46051</v>
      </c>
      <c r="L5" s="4" t="s">
        <v>447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448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449</v>
      </c>
      <c r="B6" s="4" t="s">
        <v>450</v>
      </c>
      <c r="C6" t="s">
        <v>451</v>
      </c>
      <c r="D6" t="str">
        <f>IF($C6="","",IFERROR(LOOKUP(2,1/('03_Warehouse_Movements'!$C$2:$C$500=$A6),'03_Warehouse_Movements'!$E$2:$E$500),$C6))</f>
        <v>capsule &amp; GCX</v>
      </c>
      <c r="E6" t="s">
        <v>423</v>
      </c>
      <c r="F6" t="s">
        <v>432</v>
      </c>
      <c r="G6" s="25"/>
      <c r="H6" s="3" t="str">
        <f t="shared" si="0"/>
        <v/>
      </c>
      <c r="I6" s="3" t="s">
        <v>452</v>
      </c>
      <c r="J6" s="4" t="s">
        <v>453</v>
      </c>
      <c r="K6" s="3">
        <v>46059</v>
      </c>
      <c r="L6" s="4" t="s">
        <v>454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455</v>
      </c>
      <c r="B7" s="4"/>
      <c r="C7" t="s">
        <v>456</v>
      </c>
      <c r="D7" t="str">
        <f>IF($C7="","",IFERROR(LOOKUP(2,1/('03_Warehouse_Movements'!$C$2:$C$500=$A7),'03_Warehouse_Movements'!$E$2:$E$500),$C7))</f>
        <v>19x T24 Thinkvision Monitor 63CFMAR1US</v>
      </c>
      <c r="E7" t="s">
        <v>431</v>
      </c>
      <c r="F7" t="s">
        <v>432</v>
      </c>
      <c r="G7" s="25"/>
      <c r="H7" s="3" t="str">
        <f t="shared" si="0"/>
        <v/>
      </c>
      <c r="I7" s="4" t="s">
        <v>457</v>
      </c>
      <c r="K7" s="3">
        <v>46052</v>
      </c>
      <c r="L7" s="4" t="s">
        <v>447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458</v>
      </c>
      <c r="B8" s="4"/>
      <c r="C8" t="s">
        <v>459</v>
      </c>
      <c r="D8" t="str">
        <f>IF($C8="","",IFERROR(LOOKUP(2,1/('03_Warehouse_Movements'!$C$2:$C$500=$A8),'03_Warehouse_Movements'!$E$2:$E$500),$C8))</f>
        <v>TEMP</v>
      </c>
      <c r="E8" t="s">
        <v>431</v>
      </c>
      <c r="F8" t="s">
        <v>460</v>
      </c>
      <c r="G8" s="25">
        <v>14</v>
      </c>
      <c r="H8" s="3" t="str">
        <f t="shared" si="0"/>
        <v/>
      </c>
      <c r="I8" s="3" t="s">
        <v>446</v>
      </c>
      <c r="J8" s="4" t="s">
        <v>434</v>
      </c>
      <c r="K8" s="3">
        <v>46052</v>
      </c>
      <c r="L8" s="4" t="s">
        <v>447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461</v>
      </c>
      <c r="B9" s="4" t="s">
        <v>462</v>
      </c>
      <c r="C9" t="s">
        <v>463</v>
      </c>
      <c r="D9" t="str">
        <f>IF($C9="","",IFERROR(LOOKUP(2,1/('03_Warehouse_Movements'!$C$2:$C$500=$A9),'03_Warehouse_Movements'!$E$2:$E$500),$C9))</f>
        <v>SAMPLE: Power Supplies</v>
      </c>
      <c r="E9" t="s">
        <v>423</v>
      </c>
      <c r="F9" t="s">
        <v>432</v>
      </c>
      <c r="G9" s="25"/>
      <c r="H9" s="3" t="str">
        <f t="shared" si="0"/>
        <v/>
      </c>
      <c r="I9" s="3" t="s">
        <v>464</v>
      </c>
      <c r="J9" s="4" t="s">
        <v>434</v>
      </c>
      <c r="K9" s="3">
        <v>46052</v>
      </c>
      <c r="L9" s="4" t="s">
        <v>435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465</v>
      </c>
      <c r="B10" s="4"/>
      <c r="C10" t="s">
        <v>466</v>
      </c>
      <c r="D10" t="str">
        <f>IF($C10="","",IFERROR(LOOKUP(2,1/('03_Warehouse_Movements'!$C$2:$C$500=$A10),'03_Warehouse_Movements'!$E$2:$E$500),$C10))</f>
        <v>SAMPLE: Imaging Equipment</v>
      </c>
      <c r="E10" t="s">
        <v>423</v>
      </c>
      <c r="F10" t="s">
        <v>432</v>
      </c>
      <c r="G10" s="25"/>
      <c r="H10" s="3" t="str">
        <f t="shared" si="0"/>
        <v/>
      </c>
      <c r="I10" s="3" t="s">
        <v>467</v>
      </c>
      <c r="J10" s="4" t="s">
        <v>434</v>
      </c>
      <c r="K10" s="3">
        <v>46052</v>
      </c>
      <c r="L10" s="4" t="s">
        <v>435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468</v>
      </c>
      <c r="B11" s="4"/>
      <c r="C11" t="s">
        <v>469</v>
      </c>
      <c r="D11" t="str">
        <f>IF($C11="","",IFERROR(LOOKUP(2,1/('03_Warehouse_Movements'!$C$2:$C$500=$A11),'03_Warehouse_Movements'!$E$2:$E$500),$C11))</f>
        <v>SAMPLE: Misc Hardware</v>
      </c>
      <c r="E11" t="s">
        <v>423</v>
      </c>
      <c r="F11" t="s">
        <v>432</v>
      </c>
      <c r="G11" s="25"/>
      <c r="H11" s="3" t="str">
        <f t="shared" si="0"/>
        <v/>
      </c>
      <c r="I11" s="3" t="s">
        <v>470</v>
      </c>
      <c r="J11" s="4" t="s">
        <v>434</v>
      </c>
      <c r="K11" s="3">
        <v>46052</v>
      </c>
      <c r="L11" s="4" t="s">
        <v>435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471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472</v>
      </c>
      <c r="B12" s="4"/>
      <c r="C12" t="s">
        <v>473</v>
      </c>
      <c r="D12" t="str">
        <f>IF($C12="","",IFERROR(LOOKUP(2,1/('03_Warehouse_Movements'!$C$2:$C$500=$A12),'03_Warehouse_Movements'!$E$2:$E$500),$C12))</f>
        <v>SAMPLE: Dell Devices</v>
      </c>
      <c r="E12" t="s">
        <v>423</v>
      </c>
      <c r="F12" t="s">
        <v>432</v>
      </c>
      <c r="G12" s="25"/>
      <c r="H12" s="3" t="str">
        <f t="shared" si="0"/>
        <v/>
      </c>
      <c r="I12" s="3" t="s">
        <v>474</v>
      </c>
      <c r="J12" s="4" t="s">
        <v>434</v>
      </c>
      <c r="K12" s="3">
        <v>46052</v>
      </c>
      <c r="L12" s="4" t="s">
        <v>435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475</v>
      </c>
      <c r="B13" s="4"/>
      <c r="C13" t="s">
        <v>476</v>
      </c>
      <c r="D13" t="str">
        <f>IF($C13="","",IFERROR(LOOKUP(2,1/('03_Warehouse_Movements'!$C$2:$C$500=$A13),'03_Warehouse_Movements'!$E$2:$E$500),$C13))</f>
        <v>PAL-0000013</v>
      </c>
      <c r="E13" t="s">
        <v>423</v>
      </c>
      <c r="F13" t="s">
        <v>432</v>
      </c>
      <c r="G13" s="25"/>
      <c r="H13" s="3" t="str">
        <f t="shared" si="0"/>
        <v/>
      </c>
      <c r="I13" s="3" t="s">
        <v>433</v>
      </c>
      <c r="J13" s="4" t="s">
        <v>434</v>
      </c>
      <c r="K13" s="3">
        <v>46052</v>
      </c>
      <c r="L13" s="4" t="s">
        <v>435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477</v>
      </c>
      <c r="B14" s="4"/>
      <c r="C14" t="s">
        <v>478</v>
      </c>
      <c r="D14" t="str">
        <f>IF($C14="","",IFERROR(LOOKUP(2,1/('03_Warehouse_Movements'!$C$2:$C$500=$A14),'03_Warehouse_Movements'!$E$2:$E$500),$C14))</f>
        <v>SAMPLE: Cables &amp; Adapters</v>
      </c>
      <c r="E14" t="s">
        <v>423</v>
      </c>
      <c r="F14" t="s">
        <v>460</v>
      </c>
      <c r="G14" s="25">
        <v>14</v>
      </c>
      <c r="H14" s="3" t="str">
        <f t="shared" si="0"/>
        <v/>
      </c>
      <c r="I14" s="3" t="s">
        <v>479</v>
      </c>
      <c r="J14" s="4" t="s">
        <v>434</v>
      </c>
      <c r="K14" s="3">
        <v>46052</v>
      </c>
      <c r="L14" s="4" t="s">
        <v>435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480</v>
      </c>
      <c r="B15" s="4"/>
      <c r="C15" t="s">
        <v>481</v>
      </c>
      <c r="D15" t="str">
        <f>IF($C15="","",IFERROR(LOOKUP(2,1/('03_Warehouse_Movements'!$C$2:$C$500=$A15),'03_Warehouse_Movements'!$E$2:$E$500),$C15))</f>
        <v>SAMPLE: Racks &amp; Rails</v>
      </c>
      <c r="E15" t="s">
        <v>423</v>
      </c>
      <c r="F15" t="s">
        <v>432</v>
      </c>
      <c r="G15" s="25"/>
      <c r="H15" s="3" t="str">
        <f t="shared" si="0"/>
        <v/>
      </c>
      <c r="I15" s="3" t="s">
        <v>482</v>
      </c>
      <c r="J15" s="4" t="s">
        <v>434</v>
      </c>
      <c r="K15" s="3">
        <v>46052</v>
      </c>
      <c r="L15" s="4" t="s">
        <v>435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483</v>
      </c>
      <c r="B16" s="4" t="s">
        <v>484</v>
      </c>
      <c r="C16" t="s">
        <v>485</v>
      </c>
      <c r="D16" t="str">
        <f>IF($C16="","",IFERROR(LOOKUP(2,1/('03_Warehouse_Movements'!$C$2:$C$500=$A16),'03_Warehouse_Movements'!$E$2:$E$500),$C16))</f>
        <v>SAMPLE: Networking Gear</v>
      </c>
      <c r="E16" t="s">
        <v>423</v>
      </c>
      <c r="F16" t="s">
        <v>432</v>
      </c>
      <c r="G16" s="25"/>
      <c r="H16" s="3" t="str">
        <f t="shared" si="0"/>
        <v/>
      </c>
      <c r="I16" s="3" t="s">
        <v>486</v>
      </c>
      <c r="J16" s="4" t="s">
        <v>434</v>
      </c>
      <c r="K16" s="3">
        <v>46052</v>
      </c>
      <c r="L16" s="4" t="s">
        <v>435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487</v>
      </c>
      <c r="B17" s="4"/>
      <c r="C17" t="s">
        <v>488</v>
      </c>
      <c r="D17" t="str">
        <f>IF($C17="","",IFERROR(LOOKUP(2,1/('03_Warehouse_Movements'!$C$2:$C$500=$A17),'03_Warehouse_Movements'!$E$2:$E$500),$C17))</f>
        <v>SAMPLE: Keyboards &amp; Mice</v>
      </c>
      <c r="E17" t="s">
        <v>423</v>
      </c>
      <c r="F17" t="s">
        <v>432</v>
      </c>
      <c r="G17" s="25"/>
      <c r="H17" s="3" t="str">
        <f t="shared" si="0"/>
        <v/>
      </c>
      <c r="I17" s="3" t="s">
        <v>489</v>
      </c>
      <c r="J17" s="4" t="s">
        <v>434</v>
      </c>
      <c r="K17" s="3">
        <v>46052</v>
      </c>
      <c r="L17" s="4" t="s">
        <v>435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490</v>
      </c>
      <c r="B18" s="4"/>
      <c r="C18" t="s">
        <v>491</v>
      </c>
      <c r="D18" t="str">
        <f>IF($C18="","",IFERROR(LOOKUP(2,1/('03_Warehouse_Movements'!$C$2:$C$500=$A18),'03_Warehouse_Movements'!$E$2:$E$500),$C18))</f>
        <v>SAMPLE: Spare Parts</v>
      </c>
      <c r="E18" t="s">
        <v>423</v>
      </c>
      <c r="F18" t="s">
        <v>432</v>
      </c>
      <c r="G18" s="25"/>
      <c r="H18" s="3" t="str">
        <f t="shared" si="0"/>
        <v/>
      </c>
      <c r="I18" s="3" t="s">
        <v>492</v>
      </c>
      <c r="J18" s="4" t="s">
        <v>434</v>
      </c>
      <c r="K18" s="3">
        <v>46052</v>
      </c>
      <c r="L18" s="4" t="s">
        <v>435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493</v>
      </c>
      <c r="B19" s="4"/>
      <c r="C19" t="s">
        <v>494</v>
      </c>
      <c r="D19" t="str">
        <f>IF($C19="","",IFERROR(LOOKUP(2,1/('03_Warehouse_Movements'!$C$2:$C$500=$A19),'03_Warehouse_Movements'!$E$2:$E$500),$C19))</f>
        <v>PAL-0000019</v>
      </c>
      <c r="E19" t="s">
        <v>423</v>
      </c>
      <c r="F19" t="s">
        <v>432</v>
      </c>
      <c r="G19" s="25"/>
      <c r="H19" s="3" t="str">
        <f t="shared" si="0"/>
        <v/>
      </c>
      <c r="I19" s="3" t="s">
        <v>464</v>
      </c>
      <c r="J19" s="4" t="s">
        <v>434</v>
      </c>
      <c r="K19" s="3">
        <v>46052</v>
      </c>
      <c r="L19" s="4" t="s">
        <v>435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495</v>
      </c>
      <c r="B20" s="4"/>
      <c r="C20" t="s">
        <v>496</v>
      </c>
      <c r="D20" t="str">
        <f>IF($C20="","",IFERROR(LOOKUP(2,1/('03_Warehouse_Movements'!$C$2:$C$500=$A20),'03_Warehouse_Movements'!$E$2:$E$500),$C20))</f>
        <v>PAL-0000020</v>
      </c>
      <c r="E20" t="s">
        <v>423</v>
      </c>
      <c r="F20" t="s">
        <v>460</v>
      </c>
      <c r="G20" s="25">
        <v>14</v>
      </c>
      <c r="H20" s="3" t="str">
        <f t="shared" si="0"/>
        <v/>
      </c>
      <c r="I20" s="3" t="s">
        <v>467</v>
      </c>
      <c r="J20" s="4" t="s">
        <v>434</v>
      </c>
      <c r="K20" s="3">
        <v>46052</v>
      </c>
      <c r="L20" s="4" t="s">
        <v>435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497</v>
      </c>
      <c r="B21" s="4"/>
      <c r="C21" t="s">
        <v>498</v>
      </c>
      <c r="D21" t="str">
        <f>IF($C21="","",IFERROR(LOOKUP(2,1/('03_Warehouse_Movements'!$C$2:$C$500=$A21),'03_Warehouse_Movements'!$E$2:$E$500),$C21))</f>
        <v>PAL-0000021</v>
      </c>
      <c r="E21" t="s">
        <v>423</v>
      </c>
      <c r="F21" t="s">
        <v>432</v>
      </c>
      <c r="G21" s="25"/>
      <c r="H21" s="3" t="str">
        <f t="shared" si="0"/>
        <v/>
      </c>
      <c r="I21" s="3" t="s">
        <v>470</v>
      </c>
      <c r="J21" s="4" t="s">
        <v>434</v>
      </c>
      <c r="K21" s="3">
        <v>46052</v>
      </c>
      <c r="L21" s="4" t="s">
        <v>435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499</v>
      </c>
      <c r="B22" s="4"/>
      <c r="C22" t="s">
        <v>500</v>
      </c>
      <c r="D22" t="str">
        <f>IF($C22="","",IFERROR(LOOKUP(2,1/('03_Warehouse_Movements'!$C$2:$C$500=$A22),'03_Warehouse_Movements'!$E$2:$E$500),$C22))</f>
        <v>PAL-0000022</v>
      </c>
      <c r="E22" t="s">
        <v>423</v>
      </c>
      <c r="F22" t="s">
        <v>432</v>
      </c>
      <c r="G22" s="25"/>
      <c r="H22" s="3" t="str">
        <f t="shared" si="0"/>
        <v/>
      </c>
      <c r="I22" s="3" t="s">
        <v>474</v>
      </c>
      <c r="J22" s="4" t="s">
        <v>434</v>
      </c>
      <c r="K22" s="3">
        <v>46052</v>
      </c>
      <c r="L22" s="4" t="s">
        <v>435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501</v>
      </c>
      <c r="B23" s="4" t="s">
        <v>502</v>
      </c>
      <c r="C23" t="s">
        <v>503</v>
      </c>
      <c r="D23" t="str">
        <f>IF($C23="","",IFERROR(LOOKUP(2,1/('03_Warehouse_Movements'!$C$2:$C$500=$A23),'03_Warehouse_Movements'!$E$2:$E$500),$C23))</f>
        <v>PAL-0000023</v>
      </c>
      <c r="E23" t="s">
        <v>423</v>
      </c>
      <c r="F23" t="s">
        <v>432</v>
      </c>
      <c r="G23" s="25"/>
      <c r="H23" s="3" t="str">
        <f t="shared" si="0"/>
        <v/>
      </c>
      <c r="I23" s="3" t="s">
        <v>433</v>
      </c>
      <c r="J23" s="4" t="s">
        <v>434</v>
      </c>
      <c r="K23" s="3">
        <v>46052</v>
      </c>
      <c r="L23" s="4" t="s">
        <v>435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504</v>
      </c>
      <c r="B24" s="4"/>
      <c r="C24" t="s">
        <v>505</v>
      </c>
      <c r="D24" t="str">
        <f>IF($C24="","",IFERROR(LOOKUP(2,1/('03_Warehouse_Movements'!$C$2:$C$500=$A24),'03_Warehouse_Movements'!$E$2:$E$500),$C24))</f>
        <v>PAL-0000024</v>
      </c>
      <c r="E24" t="s">
        <v>423</v>
      </c>
      <c r="F24" t="s">
        <v>432</v>
      </c>
      <c r="G24" s="25"/>
      <c r="H24" s="3" t="str">
        <f t="shared" si="0"/>
        <v/>
      </c>
      <c r="I24" s="3" t="s">
        <v>479</v>
      </c>
      <c r="J24" s="4" t="s">
        <v>434</v>
      </c>
      <c r="K24" s="3">
        <v>46052</v>
      </c>
      <c r="L24" s="4" t="s">
        <v>435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506</v>
      </c>
      <c r="B25" s="4"/>
      <c r="C25" t="s">
        <v>507</v>
      </c>
      <c r="D25" t="str">
        <f>IF($C25="","",IFERROR(LOOKUP(2,1/('03_Warehouse_Movements'!$C$2:$C$500=$A25),'03_Warehouse_Movements'!$E$2:$E$500),$C25))</f>
        <v>PAL-0000025</v>
      </c>
      <c r="E25" t="s">
        <v>423</v>
      </c>
      <c r="F25" t="s">
        <v>432</v>
      </c>
      <c r="G25" s="25"/>
      <c r="H25" s="3" t="str">
        <f t="shared" si="0"/>
        <v/>
      </c>
      <c r="I25" s="3" t="s">
        <v>482</v>
      </c>
      <c r="J25" s="4" t="s">
        <v>434</v>
      </c>
      <c r="K25" s="3">
        <v>46052</v>
      </c>
      <c r="L25" s="4" t="s">
        <v>435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508</v>
      </c>
      <c r="B26" s="4"/>
      <c r="C26" t="s">
        <v>509</v>
      </c>
      <c r="D26" t="str">
        <f>IF($C26="","",IFERROR(LOOKUP(2,1/('03_Warehouse_Movements'!$C$2:$C$500=$A26),'03_Warehouse_Movements'!$E$2:$E$500),$C26))</f>
        <v>PAL-0000026</v>
      </c>
      <c r="E26" t="s">
        <v>423</v>
      </c>
      <c r="F26" t="s">
        <v>460</v>
      </c>
      <c r="G26" s="25">
        <v>14</v>
      </c>
      <c r="H26" s="3" t="str">
        <f t="shared" si="0"/>
        <v/>
      </c>
      <c r="I26" s="3" t="s">
        <v>486</v>
      </c>
      <c r="J26" s="4" t="s">
        <v>434</v>
      </c>
      <c r="K26" s="3">
        <v>46052</v>
      </c>
      <c r="L26" s="4" t="s">
        <v>435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510</v>
      </c>
      <c r="B27" s="4"/>
      <c r="C27" t="s">
        <v>511</v>
      </c>
      <c r="D27" t="str">
        <f>IF($C27="","",IFERROR(LOOKUP(2,1/('03_Warehouse_Movements'!$C$2:$C$500=$A27),'03_Warehouse_Movements'!$E$2:$E$500),$C27))</f>
        <v>PAL-0000027</v>
      </c>
      <c r="E27" t="s">
        <v>423</v>
      </c>
      <c r="F27" t="s">
        <v>432</v>
      </c>
      <c r="G27" s="25"/>
      <c r="H27" s="3" t="str">
        <f t="shared" si="0"/>
        <v/>
      </c>
      <c r="I27" s="3" t="s">
        <v>489</v>
      </c>
      <c r="J27" s="4" t="s">
        <v>434</v>
      </c>
      <c r="K27" s="3">
        <v>46052</v>
      </c>
      <c r="L27" s="4" t="s">
        <v>435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512</v>
      </c>
      <c r="B28" s="4"/>
      <c r="C28" t="s">
        <v>513</v>
      </c>
      <c r="D28" t="str">
        <f>IF($C28="","",IFERROR(LOOKUP(2,1/('03_Warehouse_Movements'!$C$2:$C$500=$A28),'03_Warehouse_Movements'!$E$2:$E$500),$C28))</f>
        <v>PAL-0000028</v>
      </c>
      <c r="E28" t="s">
        <v>423</v>
      </c>
      <c r="F28" t="s">
        <v>432</v>
      </c>
      <c r="G28" s="25"/>
      <c r="H28" s="3" t="str">
        <f t="shared" si="0"/>
        <v/>
      </c>
      <c r="I28" s="3" t="s">
        <v>492</v>
      </c>
      <c r="J28" s="4" t="s">
        <v>434</v>
      </c>
      <c r="K28" s="3">
        <v>46052</v>
      </c>
      <c r="L28" s="4" t="s">
        <v>435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514</v>
      </c>
      <c r="B29" s="4"/>
      <c r="C29" t="s">
        <v>515</v>
      </c>
      <c r="D29" t="str">
        <f>IF($C29="","",IFERROR(LOOKUP(2,1/('03_Warehouse_Movements'!$C$2:$C$500=$A29),'03_Warehouse_Movements'!$E$2:$E$500),$C29))</f>
        <v>PAL-0000029</v>
      </c>
      <c r="E29" t="s">
        <v>423</v>
      </c>
      <c r="F29" t="s">
        <v>432</v>
      </c>
      <c r="G29" s="25"/>
      <c r="H29" s="3" t="str">
        <f t="shared" si="0"/>
        <v/>
      </c>
      <c r="I29" s="3" t="s">
        <v>464</v>
      </c>
      <c r="J29" s="4" t="s">
        <v>434</v>
      </c>
      <c r="K29" s="3">
        <v>46052</v>
      </c>
      <c r="L29" s="4" t="s">
        <v>435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516</v>
      </c>
      <c r="B30" s="4" t="s">
        <v>517</v>
      </c>
      <c r="C30" t="s">
        <v>518</v>
      </c>
      <c r="D30" t="str">
        <f>IF($C30="","",IFERROR(LOOKUP(2,1/('03_Warehouse_Movements'!$C$2:$C$500=$A30),'03_Warehouse_Movements'!$E$2:$E$500),$C30))</f>
        <v>PAL-0000030</v>
      </c>
      <c r="E30" t="s">
        <v>423</v>
      </c>
      <c r="F30" t="s">
        <v>432</v>
      </c>
      <c r="G30" s="25"/>
      <c r="H30" s="3" t="str">
        <f t="shared" si="0"/>
        <v/>
      </c>
      <c r="I30" s="3" t="s">
        <v>467</v>
      </c>
      <c r="J30" s="4" t="s">
        <v>434</v>
      </c>
      <c r="K30" s="3">
        <v>46052</v>
      </c>
      <c r="L30" s="4" t="s">
        <v>435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519</v>
      </c>
      <c r="B31" s="4"/>
      <c r="C31" t="s">
        <v>520</v>
      </c>
      <c r="D31" t="str">
        <f>IF($C31="","",IFERROR(LOOKUP(2,1/('03_Warehouse_Movements'!$C$2:$C$500=$A31),'03_Warehouse_Movements'!$E$2:$E$500),$C31))</f>
        <v>PAL-0000031</v>
      </c>
      <c r="E31" t="s">
        <v>423</v>
      </c>
      <c r="F31" t="s">
        <v>432</v>
      </c>
      <c r="G31" s="25"/>
      <c r="H31" s="3" t="str">
        <f t="shared" si="0"/>
        <v/>
      </c>
      <c r="I31" s="3" t="s">
        <v>470</v>
      </c>
      <c r="J31" s="4" t="s">
        <v>434</v>
      </c>
      <c r="K31" s="3">
        <v>46052</v>
      </c>
      <c r="L31" s="4" t="s">
        <v>435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521</v>
      </c>
      <c r="B32" s="4"/>
      <c r="C32" t="s">
        <v>522</v>
      </c>
      <c r="D32" t="str">
        <f>IF($C32="","",IFERROR(LOOKUP(2,1/('03_Warehouse_Movements'!$C$2:$C$500=$A32),'03_Warehouse_Movements'!$E$2:$E$500),$C32))</f>
        <v>PAL-0000032</v>
      </c>
      <c r="E32" t="s">
        <v>423</v>
      </c>
      <c r="F32" t="s">
        <v>460</v>
      </c>
      <c r="G32" s="25">
        <v>14</v>
      </c>
      <c r="H32" s="3" t="str">
        <f t="shared" si="0"/>
        <v/>
      </c>
      <c r="I32" s="3" t="s">
        <v>474</v>
      </c>
      <c r="J32" s="4" t="s">
        <v>434</v>
      </c>
      <c r="K32" s="3">
        <v>46052</v>
      </c>
      <c r="L32" s="4" t="s">
        <v>435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523</v>
      </c>
      <c r="B33" s="4"/>
      <c r="C33" t="s">
        <v>524</v>
      </c>
      <c r="D33" t="str">
        <f>IF($C33="","",IFERROR(LOOKUP(2,1/('03_Warehouse_Movements'!$C$2:$C$500=$A33),'03_Warehouse_Movements'!$E$2:$E$500),$C33))</f>
        <v>PAL-0000033</v>
      </c>
      <c r="E33" t="s">
        <v>423</v>
      </c>
      <c r="F33" t="s">
        <v>432</v>
      </c>
      <c r="G33" s="25"/>
      <c r="H33" s="3" t="str">
        <f t="shared" si="0"/>
        <v/>
      </c>
      <c r="I33" s="3" t="s">
        <v>433</v>
      </c>
      <c r="J33" s="4" t="s">
        <v>434</v>
      </c>
      <c r="K33" s="3">
        <v>46052</v>
      </c>
      <c r="L33" s="4" t="s">
        <v>435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525</v>
      </c>
      <c r="B34" s="4"/>
      <c r="C34" t="s">
        <v>526</v>
      </c>
      <c r="D34" t="str">
        <f>IF($C34="","",IFERROR(LOOKUP(2,1/('03_Warehouse_Movements'!$C$2:$C$500=$A34),'03_Warehouse_Movements'!$E$2:$E$500),$C34))</f>
        <v>PAL-0000034</v>
      </c>
      <c r="E34" t="s">
        <v>423</v>
      </c>
      <c r="F34" t="s">
        <v>432</v>
      </c>
      <c r="G34" s="25"/>
      <c r="H34" s="3" t="str">
        <f t="shared" si="0"/>
        <v/>
      </c>
      <c r="I34" s="3" t="s">
        <v>479</v>
      </c>
      <c r="J34" s="4" t="s">
        <v>434</v>
      </c>
      <c r="K34" s="3">
        <v>46052</v>
      </c>
      <c r="L34" s="4" t="s">
        <v>435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527</v>
      </c>
      <c r="B35" s="4"/>
      <c r="C35" t="s">
        <v>528</v>
      </c>
      <c r="D35" t="str">
        <f>IF($C35="","",IFERROR(LOOKUP(2,1/('03_Warehouse_Movements'!$C$2:$C$500=$A35),'03_Warehouse_Movements'!$E$2:$E$500),$C35))</f>
        <v>PAL-0000035</v>
      </c>
      <c r="E35" t="s">
        <v>423</v>
      </c>
      <c r="F35" t="s">
        <v>432</v>
      </c>
      <c r="G35" s="25"/>
      <c r="H35" s="3" t="str">
        <f t="shared" si="0"/>
        <v/>
      </c>
      <c r="I35" s="3" t="s">
        <v>482</v>
      </c>
      <c r="J35" s="4" t="s">
        <v>434</v>
      </c>
      <c r="K35" s="3">
        <v>46052</v>
      </c>
      <c r="L35" s="4" t="s">
        <v>435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529</v>
      </c>
      <c r="B36" s="4"/>
      <c r="C36" t="s">
        <v>530</v>
      </c>
      <c r="D36" t="str">
        <f>IF($C36="","",IFERROR(LOOKUP(2,1/('03_Warehouse_Movements'!$C$2:$C$500=$A36),'03_Warehouse_Movements'!$E$2:$E$500),$C36))</f>
        <v>PAL-0000036</v>
      </c>
      <c r="E36" t="s">
        <v>423</v>
      </c>
      <c r="F36" t="s">
        <v>432</v>
      </c>
      <c r="G36" s="25"/>
      <c r="H36" s="3" t="str">
        <f t="shared" si="0"/>
        <v/>
      </c>
      <c r="I36" s="3" t="s">
        <v>486</v>
      </c>
      <c r="J36" s="4" t="s">
        <v>434</v>
      </c>
      <c r="K36" s="3">
        <v>46052</v>
      </c>
      <c r="L36" s="4" t="s">
        <v>435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531</v>
      </c>
      <c r="B37" s="4" t="s">
        <v>532</v>
      </c>
      <c r="C37" t="s">
        <v>533</v>
      </c>
      <c r="D37" t="str">
        <f>IF($C37="","",IFERROR(LOOKUP(2,1/('03_Warehouse_Movements'!$C$2:$C$500=$A37),'03_Warehouse_Movements'!$E$2:$E$500),$C37))</f>
        <v>PAL-0000037</v>
      </c>
      <c r="E37" t="s">
        <v>423</v>
      </c>
      <c r="F37" t="s">
        <v>432</v>
      </c>
      <c r="G37" s="25"/>
      <c r="H37" s="3" t="str">
        <f t="shared" si="0"/>
        <v/>
      </c>
      <c r="I37" s="3" t="s">
        <v>489</v>
      </c>
      <c r="J37" s="4" t="s">
        <v>434</v>
      </c>
      <c r="K37" s="3">
        <v>46052</v>
      </c>
      <c r="L37" s="4" t="s">
        <v>435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534</v>
      </c>
      <c r="B38" s="4"/>
      <c r="C38" t="s">
        <v>535</v>
      </c>
      <c r="D38" t="str">
        <f>IF($C38="","",IFERROR(LOOKUP(2,1/('03_Warehouse_Movements'!$C$2:$C$500=$A38),'03_Warehouse_Movements'!$E$2:$E$500),$C38))</f>
        <v>PAL-0000038</v>
      </c>
      <c r="E38" t="s">
        <v>423</v>
      </c>
      <c r="F38" t="s">
        <v>460</v>
      </c>
      <c r="G38" s="25">
        <v>14</v>
      </c>
      <c r="H38" s="3" t="str">
        <f t="shared" si="0"/>
        <v/>
      </c>
      <c r="I38" s="3" t="s">
        <v>492</v>
      </c>
      <c r="J38" s="4" t="s">
        <v>434</v>
      </c>
      <c r="K38" s="3">
        <v>46052</v>
      </c>
      <c r="L38" s="4" t="s">
        <v>435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536</v>
      </c>
      <c r="B39" s="4"/>
      <c r="C39" t="s">
        <v>537</v>
      </c>
      <c r="D39" t="str">
        <f>IF($C39="","",IFERROR(LOOKUP(2,1/('03_Warehouse_Movements'!$C$2:$C$500=$A39),'03_Warehouse_Movements'!$E$2:$E$500),$C39))</f>
        <v>PAL-0000039</v>
      </c>
      <c r="E39" t="s">
        <v>423</v>
      </c>
      <c r="F39" t="s">
        <v>432</v>
      </c>
      <c r="G39" s="25"/>
      <c r="H39" s="3" t="str">
        <f t="shared" si="0"/>
        <v/>
      </c>
      <c r="I39" s="3" t="s">
        <v>464</v>
      </c>
      <c r="J39" s="4" t="s">
        <v>434</v>
      </c>
      <c r="K39" s="3">
        <v>46052</v>
      </c>
      <c r="L39" s="4" t="s">
        <v>435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538</v>
      </c>
      <c r="B40" s="4"/>
      <c r="C40" t="s">
        <v>539</v>
      </c>
      <c r="D40" t="str">
        <f>IF($C40="","",IFERROR(LOOKUP(2,1/('03_Warehouse_Movements'!$C$2:$C$500=$A40),'03_Warehouse_Movements'!$E$2:$E$500),$C40))</f>
        <v>PAL-0000040</v>
      </c>
      <c r="E40" t="s">
        <v>423</v>
      </c>
      <c r="F40" t="s">
        <v>432</v>
      </c>
      <c r="G40" s="25"/>
      <c r="H40" s="3" t="str">
        <f t="shared" si="0"/>
        <v/>
      </c>
      <c r="I40" s="3" t="s">
        <v>467</v>
      </c>
      <c r="J40" s="4" t="s">
        <v>434</v>
      </c>
      <c r="K40" s="3">
        <v>46052</v>
      </c>
      <c r="L40" s="4" t="s">
        <v>435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540</v>
      </c>
      <c r="B41" s="4"/>
      <c r="C41" t="s">
        <v>541</v>
      </c>
      <c r="D41" t="str">
        <f>IF($C41="","",IFERROR(LOOKUP(2,1/('03_Warehouse_Movements'!$C$2:$C$500=$A41),'03_Warehouse_Movements'!$E$2:$E$500),$C41))</f>
        <v>PAL-0000041</v>
      </c>
      <c r="E41" t="s">
        <v>423</v>
      </c>
      <c r="F41" t="s">
        <v>432</v>
      </c>
      <c r="G41" s="25"/>
      <c r="H41" s="3" t="str">
        <f t="shared" si="0"/>
        <v/>
      </c>
      <c r="I41" s="3" t="s">
        <v>470</v>
      </c>
      <c r="J41" s="4" t="s">
        <v>434</v>
      </c>
      <c r="K41" s="3">
        <v>46052</v>
      </c>
      <c r="L41" s="4" t="s">
        <v>435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542</v>
      </c>
      <c r="B42" s="4"/>
      <c r="C42" t="s">
        <v>543</v>
      </c>
      <c r="D42" t="str">
        <f>IF($C42="","",IFERROR(LOOKUP(2,1/('03_Warehouse_Movements'!$C$2:$C$500=$A42),'03_Warehouse_Movements'!$E$2:$E$500),$C42))</f>
        <v>PAL-0000042</v>
      </c>
      <c r="E42" t="s">
        <v>423</v>
      </c>
      <c r="F42" t="s">
        <v>432</v>
      </c>
      <c r="G42" s="25"/>
      <c r="H42" s="3" t="str">
        <f t="shared" si="0"/>
        <v/>
      </c>
      <c r="I42" s="3" t="s">
        <v>474</v>
      </c>
      <c r="J42" s="4" t="s">
        <v>434</v>
      </c>
      <c r="K42" s="3">
        <v>46052</v>
      </c>
      <c r="L42" s="4" t="s">
        <v>435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544</v>
      </c>
      <c r="B43" s="4"/>
      <c r="C43" t="s">
        <v>545</v>
      </c>
      <c r="D43" t="str">
        <f>IF($C43="","",IFERROR(LOOKUP(2,1/('03_Warehouse_Movements'!$C$2:$C$500=$A43),'03_Warehouse_Movements'!$E$2:$E$500),$C43))</f>
        <v>PAL-0000043</v>
      </c>
      <c r="E43" t="s">
        <v>423</v>
      </c>
      <c r="F43" t="s">
        <v>432</v>
      </c>
      <c r="G43" s="25"/>
      <c r="H43" s="3" t="str">
        <f t="shared" si="0"/>
        <v/>
      </c>
      <c r="I43" s="3" t="s">
        <v>433</v>
      </c>
      <c r="J43" s="4" t="s">
        <v>434</v>
      </c>
      <c r="K43" s="3">
        <v>46052</v>
      </c>
      <c r="L43" s="4" t="s">
        <v>435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546</v>
      </c>
      <c r="B44" s="4" t="s">
        <v>547</v>
      </c>
      <c r="C44" t="s">
        <v>548</v>
      </c>
      <c r="D44" t="str">
        <f>IF($C44="","",IFERROR(LOOKUP(2,1/('03_Warehouse_Movements'!$C$2:$C$500=$A44),'03_Warehouse_Movements'!$E$2:$E$500),$C44))</f>
        <v>PAL-0000044</v>
      </c>
      <c r="E44" t="s">
        <v>423</v>
      </c>
      <c r="F44" t="s">
        <v>460</v>
      </c>
      <c r="G44" s="25">
        <v>14</v>
      </c>
      <c r="H44" s="3" t="str">
        <f t="shared" si="0"/>
        <v/>
      </c>
      <c r="I44" s="3" t="s">
        <v>479</v>
      </c>
      <c r="J44" s="4" t="s">
        <v>434</v>
      </c>
      <c r="K44" s="3">
        <v>46052</v>
      </c>
      <c r="L44" s="4" t="s">
        <v>435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549</v>
      </c>
      <c r="B45" s="4"/>
      <c r="C45" t="s">
        <v>550</v>
      </c>
      <c r="D45" t="str">
        <f>IF($C45="","",IFERROR(LOOKUP(2,1/('03_Warehouse_Movements'!$C$2:$C$500=$A45),'03_Warehouse_Movements'!$E$2:$E$500),$C45))</f>
        <v>PAL-0000045</v>
      </c>
      <c r="E45" t="s">
        <v>423</v>
      </c>
      <c r="F45" t="s">
        <v>432</v>
      </c>
      <c r="G45" s="25"/>
      <c r="H45" s="3" t="str">
        <f t="shared" si="0"/>
        <v/>
      </c>
      <c r="I45" s="3" t="s">
        <v>482</v>
      </c>
      <c r="J45" s="4" t="s">
        <v>434</v>
      </c>
      <c r="K45" s="3">
        <v>46052</v>
      </c>
      <c r="L45" s="4" t="s">
        <v>435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551</v>
      </c>
      <c r="B46" s="4"/>
      <c r="C46" t="s">
        <v>552</v>
      </c>
      <c r="D46" t="str">
        <f>IF($C46="","",IFERROR(LOOKUP(2,1/('03_Warehouse_Movements'!$C$2:$C$500=$A46),'03_Warehouse_Movements'!$E$2:$E$500),$C46))</f>
        <v>PAL-0000046</v>
      </c>
      <c r="E46" t="s">
        <v>423</v>
      </c>
      <c r="F46" t="s">
        <v>432</v>
      </c>
      <c r="G46" s="25"/>
      <c r="H46" s="3" t="str">
        <f t="shared" si="0"/>
        <v/>
      </c>
      <c r="I46" s="3" t="s">
        <v>486</v>
      </c>
      <c r="J46" s="4" t="s">
        <v>434</v>
      </c>
      <c r="K46" s="3">
        <v>46052</v>
      </c>
      <c r="L46" s="4" t="s">
        <v>435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553</v>
      </c>
      <c r="B47" s="4"/>
      <c r="C47" t="s">
        <v>554</v>
      </c>
      <c r="D47" t="str">
        <f>IF($C47="","",IFERROR(LOOKUP(2,1/('03_Warehouse_Movements'!$C$2:$C$500=$A47),'03_Warehouse_Movements'!$E$2:$E$500),$C47))</f>
        <v>PAL-0000047</v>
      </c>
      <c r="E47" t="s">
        <v>423</v>
      </c>
      <c r="F47" t="s">
        <v>432</v>
      </c>
      <c r="G47" s="25"/>
      <c r="H47" s="3" t="str">
        <f t="shared" si="0"/>
        <v/>
      </c>
      <c r="I47" s="3" t="s">
        <v>489</v>
      </c>
      <c r="J47" s="4" t="s">
        <v>434</v>
      </c>
      <c r="K47" s="3">
        <v>46052</v>
      </c>
      <c r="L47" s="4" t="s">
        <v>435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555</v>
      </c>
      <c r="B48" s="4"/>
      <c r="C48" t="s">
        <v>556</v>
      </c>
      <c r="D48" t="str">
        <f>IF($C48="","",IFERROR(LOOKUP(2,1/('03_Warehouse_Movements'!$C$2:$C$500=$A48),'03_Warehouse_Movements'!$E$2:$E$500),$C48))</f>
        <v>PAL-0000048</v>
      </c>
      <c r="E48" t="s">
        <v>423</v>
      </c>
      <c r="F48" t="s">
        <v>432</v>
      </c>
      <c r="G48" s="25"/>
      <c r="H48" s="3" t="str">
        <f t="shared" si="0"/>
        <v/>
      </c>
      <c r="I48" s="3" t="s">
        <v>492</v>
      </c>
      <c r="J48" s="4" t="s">
        <v>434</v>
      </c>
      <c r="K48" s="3">
        <v>46052</v>
      </c>
      <c r="L48" s="4" t="s">
        <v>435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557</v>
      </c>
      <c r="B49" s="4"/>
      <c r="C49" t="s">
        <v>558</v>
      </c>
      <c r="D49" t="str">
        <f>IF($C49="","",IFERROR(LOOKUP(2,1/('03_Warehouse_Movements'!$C$2:$C$500=$A49),'03_Warehouse_Movements'!$E$2:$E$500),$C49))</f>
        <v>PAL-0000049</v>
      </c>
      <c r="E49" t="s">
        <v>423</v>
      </c>
      <c r="F49" t="s">
        <v>432</v>
      </c>
      <c r="G49" s="25"/>
      <c r="H49" s="3" t="str">
        <f t="shared" si="0"/>
        <v/>
      </c>
      <c r="I49" s="3" t="s">
        <v>464</v>
      </c>
      <c r="J49" s="4" t="s">
        <v>434</v>
      </c>
      <c r="K49" s="3">
        <v>46052</v>
      </c>
      <c r="L49" s="4" t="s">
        <v>435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559</v>
      </c>
      <c r="B50" s="4"/>
      <c r="C50" t="s">
        <v>560</v>
      </c>
      <c r="D50" t="str">
        <f>IF($C50="","",IFERROR(LOOKUP(2,1/('03_Warehouse_Movements'!$C$2:$C$500=$A50),'03_Warehouse_Movements'!$E$2:$E$500),$C50))</f>
        <v>PAL-0000050</v>
      </c>
      <c r="E50" t="s">
        <v>423</v>
      </c>
      <c r="F50" t="s">
        <v>460</v>
      </c>
      <c r="G50" s="25">
        <v>14</v>
      </c>
      <c r="H50" s="3" t="str">
        <f t="shared" si="0"/>
        <v/>
      </c>
      <c r="I50" s="3" t="s">
        <v>467</v>
      </c>
      <c r="J50" s="4" t="s">
        <v>434</v>
      </c>
      <c r="K50" s="3">
        <v>46052</v>
      </c>
      <c r="L50" s="4" t="s">
        <v>435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561</v>
      </c>
      <c r="B51" s="4" t="s">
        <v>562</v>
      </c>
      <c r="C51" t="s">
        <v>563</v>
      </c>
      <c r="D51" t="str">
        <f>IF($C51="","",IFERROR(LOOKUP(2,1/('03_Warehouse_Movements'!$C$2:$C$500=$A51),'03_Warehouse_Movements'!$E$2:$E$500),$C51))</f>
        <v>RETIRED</v>
      </c>
      <c r="E51" t="s">
        <v>564</v>
      </c>
      <c r="F51" t="s">
        <v>432</v>
      </c>
      <c r="G51" s="25"/>
      <c r="H51" s="3" t="str">
        <f t="shared" si="0"/>
        <v/>
      </c>
      <c r="I51" s="3" t="s">
        <v>470</v>
      </c>
      <c r="J51" s="4" t="s">
        <v>434</v>
      </c>
      <c r="K51" s="3">
        <v>46052</v>
      </c>
      <c r="L51" s="4" t="s">
        <v>435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565</v>
      </c>
      <c r="B52" s="4"/>
      <c r="C52" t="s">
        <v>566</v>
      </c>
      <c r="D52" t="str">
        <f>IF($C52="","",IFERROR(LOOKUP(2,1/('03_Warehouse_Movements'!$C$2:$C$500=$A52),'03_Warehouse_Movements'!$E$2:$E$500),$C52))</f>
        <v>PAL-0000052</v>
      </c>
      <c r="E52" t="s">
        <v>564</v>
      </c>
      <c r="F52" t="s">
        <v>432</v>
      </c>
      <c r="G52" s="25"/>
      <c r="H52" s="3" t="str">
        <f t="shared" si="0"/>
        <v/>
      </c>
      <c r="I52" s="3" t="s">
        <v>474</v>
      </c>
      <c r="J52" s="4" t="s">
        <v>434</v>
      </c>
      <c r="K52" s="3">
        <v>46052</v>
      </c>
      <c r="L52" s="4" t="s">
        <v>435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567</v>
      </c>
      <c r="B53" s="4"/>
      <c r="C53" t="s">
        <v>568</v>
      </c>
      <c r="D53" t="str">
        <f>IF($C53="","",IFERROR(LOOKUP(2,1/('03_Warehouse_Movements'!$C$2:$C$500=$A53),'03_Warehouse_Movements'!$E$2:$E$500),$C53))</f>
        <v>PAL-0000053</v>
      </c>
      <c r="E53" t="s">
        <v>423</v>
      </c>
      <c r="F53" t="s">
        <v>432</v>
      </c>
      <c r="G53" s="25"/>
      <c r="H53" s="3" t="str">
        <f t="shared" si="0"/>
        <v/>
      </c>
      <c r="I53" s="3" t="s">
        <v>433</v>
      </c>
      <c r="J53" s="4" t="s">
        <v>434</v>
      </c>
      <c r="K53" s="3">
        <v>46052</v>
      </c>
      <c r="L53" s="4" t="s">
        <v>435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569</v>
      </c>
      <c r="B54" s="4"/>
      <c r="C54" t="s">
        <v>570</v>
      </c>
      <c r="D54" t="str">
        <f>IF($C54="","",IFERROR(LOOKUP(2,1/('03_Warehouse_Movements'!$C$2:$C$500=$A54),'03_Warehouse_Movements'!$E$2:$E$500),$C54))</f>
        <v>PAL-0000054</v>
      </c>
      <c r="E54" t="s">
        <v>423</v>
      </c>
      <c r="F54" t="s">
        <v>432</v>
      </c>
      <c r="G54" s="25"/>
      <c r="H54" s="3" t="str">
        <f t="shared" si="0"/>
        <v/>
      </c>
      <c r="I54" s="3" t="s">
        <v>479</v>
      </c>
      <c r="J54" s="4" t="s">
        <v>434</v>
      </c>
      <c r="K54" s="3">
        <v>46052</v>
      </c>
      <c r="L54" s="4" t="s">
        <v>435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571</v>
      </c>
      <c r="B55" s="4"/>
      <c r="C55" t="s">
        <v>572</v>
      </c>
      <c r="D55" t="str">
        <f>IF($C55="","",IFERROR(LOOKUP(2,1/('03_Warehouse_Movements'!$C$2:$C$500=$A55),'03_Warehouse_Movements'!$E$2:$E$500),$C55))</f>
        <v>PAL-0000055</v>
      </c>
      <c r="E55" t="s">
        <v>423</v>
      </c>
      <c r="F55" t="s">
        <v>432</v>
      </c>
      <c r="G55" s="25"/>
      <c r="H55" s="3" t="str">
        <f t="shared" si="0"/>
        <v/>
      </c>
      <c r="I55" s="3" t="s">
        <v>482</v>
      </c>
      <c r="J55" s="4" t="s">
        <v>434</v>
      </c>
      <c r="K55" s="3">
        <v>46052</v>
      </c>
      <c r="L55" s="4" t="s">
        <v>435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573</v>
      </c>
      <c r="B56" s="4"/>
      <c r="C56" t="s">
        <v>574</v>
      </c>
      <c r="D56" t="str">
        <f>IF($C56="","",IFERROR(LOOKUP(2,1/('03_Warehouse_Movements'!$C$2:$C$500=$A56),'03_Warehouse_Movements'!$E$2:$E$500),$C56))</f>
        <v>PAL-0000056</v>
      </c>
      <c r="E56" t="s">
        <v>423</v>
      </c>
      <c r="F56" t="s">
        <v>460</v>
      </c>
      <c r="G56" s="25">
        <v>14</v>
      </c>
      <c r="H56" s="3" t="str">
        <f t="shared" si="0"/>
        <v/>
      </c>
      <c r="I56" s="3" t="s">
        <v>486</v>
      </c>
      <c r="J56" s="4" t="s">
        <v>434</v>
      </c>
      <c r="K56" s="3">
        <v>46052</v>
      </c>
      <c r="L56" s="4" t="s">
        <v>435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575</v>
      </c>
      <c r="B57" s="4"/>
      <c r="C57" t="s">
        <v>576</v>
      </c>
      <c r="D57" t="str">
        <f>IF($C57="","",IFERROR(LOOKUP(2,1/('03_Warehouse_Movements'!$C$2:$C$500=$A57),'03_Warehouse_Movements'!$E$2:$E$500),$C57))</f>
        <v>PAL-0000057</v>
      </c>
      <c r="E57" t="s">
        <v>423</v>
      </c>
      <c r="F57" t="s">
        <v>432</v>
      </c>
      <c r="G57" s="25"/>
      <c r="H57" s="3" t="str">
        <f t="shared" si="0"/>
        <v/>
      </c>
      <c r="I57" s="3" t="s">
        <v>489</v>
      </c>
      <c r="J57" s="4" t="s">
        <v>434</v>
      </c>
      <c r="K57" s="3">
        <v>46052</v>
      </c>
      <c r="L57" s="4" t="s">
        <v>435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577</v>
      </c>
      <c r="B58" s="4" t="s">
        <v>578</v>
      </c>
      <c r="C58" t="s">
        <v>579</v>
      </c>
      <c r="D58" t="str">
        <f>IF($C58="","",IFERROR(LOOKUP(2,1/('03_Warehouse_Movements'!$C$2:$C$500=$A58),'03_Warehouse_Movements'!$E$2:$E$500),$C58))</f>
        <v>PAL-0000058</v>
      </c>
      <c r="E58" t="s">
        <v>423</v>
      </c>
      <c r="F58" t="s">
        <v>432</v>
      </c>
      <c r="G58" s="25"/>
      <c r="H58" s="3" t="str">
        <f t="shared" si="0"/>
        <v/>
      </c>
      <c r="I58" s="3" t="s">
        <v>492</v>
      </c>
      <c r="J58" s="4" t="s">
        <v>434</v>
      </c>
      <c r="K58" s="3">
        <v>46052</v>
      </c>
      <c r="L58" s="4" t="s">
        <v>435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580</v>
      </c>
      <c r="B59" s="4"/>
      <c r="C59" t="s">
        <v>581</v>
      </c>
      <c r="D59" t="str">
        <f>IF($C59="","",IFERROR(LOOKUP(2,1/('03_Warehouse_Movements'!$C$2:$C$500=$A59),'03_Warehouse_Movements'!$E$2:$E$500),$C59))</f>
        <v>PAL-0000059</v>
      </c>
      <c r="E59" t="s">
        <v>423</v>
      </c>
      <c r="F59" t="s">
        <v>432</v>
      </c>
      <c r="G59" s="25"/>
      <c r="H59" s="3" t="str">
        <f t="shared" si="0"/>
        <v/>
      </c>
      <c r="I59" s="3" t="s">
        <v>464</v>
      </c>
      <c r="J59" s="4" t="s">
        <v>434</v>
      </c>
      <c r="K59" s="3">
        <v>46052</v>
      </c>
      <c r="L59" s="4" t="s">
        <v>435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582</v>
      </c>
      <c r="B60" s="4"/>
      <c r="C60" t="s">
        <v>583</v>
      </c>
      <c r="D60" t="str">
        <f>IF($C60="","",IFERROR(LOOKUP(2,1/('03_Warehouse_Movements'!$C$2:$C$500=$A60),'03_Warehouse_Movements'!$E$2:$E$500),$C60))</f>
        <v>PAL-0000060</v>
      </c>
      <c r="E60" t="s">
        <v>423</v>
      </c>
      <c r="F60" t="s">
        <v>432</v>
      </c>
      <c r="G60" s="25"/>
      <c r="H60" s="3" t="str">
        <f t="shared" si="0"/>
        <v/>
      </c>
      <c r="I60" s="3" t="s">
        <v>467</v>
      </c>
      <c r="J60" s="4" t="s">
        <v>434</v>
      </c>
      <c r="K60" s="3">
        <v>46052</v>
      </c>
      <c r="L60" s="4" t="s">
        <v>435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584</v>
      </c>
      <c r="B61" s="4"/>
      <c r="C61" t="s">
        <v>585</v>
      </c>
      <c r="D61" t="str">
        <f>IF($C61="","",IFERROR(LOOKUP(2,1/('03_Warehouse_Movements'!$C$2:$C$500=$A61),'03_Warehouse_Movements'!$E$2:$E$500),$C61))</f>
        <v>PAL-0000061</v>
      </c>
      <c r="E61" t="s">
        <v>423</v>
      </c>
      <c r="F61" t="s">
        <v>432</v>
      </c>
      <c r="G61" s="25"/>
      <c r="H61" s="3" t="str">
        <f t="shared" si="0"/>
        <v/>
      </c>
      <c r="I61" s="3" t="s">
        <v>470</v>
      </c>
      <c r="J61" s="4" t="s">
        <v>434</v>
      </c>
      <c r="K61" s="3">
        <v>46052</v>
      </c>
      <c r="L61" s="4" t="s">
        <v>435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586</v>
      </c>
      <c r="B62" s="4"/>
      <c r="D62" t="str">
        <f>IF($C62="","",IFERROR(LOOKUP(2,1/('03_Warehouse_Movements'!$C$2:$C$500=$A62),'03_Warehouse_Movements'!$E$2:$E$500),$C62))</f>
        <v/>
      </c>
      <c r="E62" t="s">
        <v>423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587</v>
      </c>
      <c r="B63" s="4"/>
      <c r="D63" t="str">
        <f>IF($C63="","",IFERROR(LOOKUP(2,1/('03_Warehouse_Movements'!$C$2:$C$500=$A63),'03_Warehouse_Movements'!$E$2:$E$500),$C63))</f>
        <v/>
      </c>
      <c r="E63" t="s">
        <v>423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588</v>
      </c>
      <c r="B64" s="4"/>
      <c r="D64" t="str">
        <f>IF($C64="","",IFERROR(LOOKUP(2,1/('03_Warehouse_Movements'!$C$2:$C$500=$A64),'03_Warehouse_Movements'!$E$2:$E$500),$C64))</f>
        <v/>
      </c>
      <c r="E64" t="s">
        <v>423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589</v>
      </c>
      <c r="B65" s="4"/>
      <c r="D65" t="str">
        <f>IF($C65="","",IFERROR(LOOKUP(2,1/('03_Warehouse_Movements'!$C$2:$C$500=$A65),'03_Warehouse_Movements'!$E$2:$E$500),$C65))</f>
        <v/>
      </c>
      <c r="E65" t="s">
        <v>423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590</v>
      </c>
      <c r="B66" s="4"/>
      <c r="D66" t="str">
        <f>IF($C66="","",IFERROR(LOOKUP(2,1/('03_Warehouse_Movements'!$C$2:$C$500=$A66),'03_Warehouse_Movements'!$E$2:$E$500),$C66))</f>
        <v/>
      </c>
      <c r="E66" t="s">
        <v>423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591</v>
      </c>
      <c r="B67" s="4"/>
      <c r="D67" t="str">
        <f>IF($C67="","",IFERROR(LOOKUP(2,1/('03_Warehouse_Movements'!$C$2:$C$500=$A67),'03_Warehouse_Movements'!$E$2:$E$500),$C67))</f>
        <v/>
      </c>
      <c r="E67" t="s">
        <v>423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592</v>
      </c>
      <c r="B68" s="4"/>
      <c r="D68" t="str">
        <f>IF($C68="","",IFERROR(LOOKUP(2,1/('03_Warehouse_Movements'!$C$2:$C$500=$A68),'03_Warehouse_Movements'!$E$2:$E$500),$C68))</f>
        <v/>
      </c>
      <c r="E68" t="s">
        <v>423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593</v>
      </c>
      <c r="B69" s="4"/>
      <c r="D69" t="str">
        <f>IF($C69="","",IFERROR(LOOKUP(2,1/('03_Warehouse_Movements'!$C$2:$C$500=$A69),'03_Warehouse_Movements'!$E$2:$E$500),$C69))</f>
        <v/>
      </c>
      <c r="E69" t="s">
        <v>423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594</v>
      </c>
      <c r="B70" s="4"/>
      <c r="D70" t="str">
        <f>IF($C70="","",IFERROR(LOOKUP(2,1/('03_Warehouse_Movements'!$C$2:$C$500=$A70),'03_Warehouse_Movements'!$E$2:$E$500),$C70))</f>
        <v/>
      </c>
      <c r="E70" t="s">
        <v>423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595</v>
      </c>
      <c r="B71" s="4"/>
      <c r="D71" t="str">
        <f>IF($C71="","",IFERROR(LOOKUP(2,1/('03_Warehouse_Movements'!$C$2:$C$500=$A71),'03_Warehouse_Movements'!$E$2:$E$500),$C71))</f>
        <v/>
      </c>
      <c r="E71" t="s">
        <v>423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596</v>
      </c>
      <c r="B72" s="4"/>
      <c r="D72" t="str">
        <f>IF($C72="","",IFERROR(LOOKUP(2,1/('03_Warehouse_Movements'!$C$2:$C$500=$A72),'03_Warehouse_Movements'!$E$2:$E$500),$C72))</f>
        <v/>
      </c>
      <c r="E72" t="s">
        <v>423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597</v>
      </c>
      <c r="B73" s="4"/>
      <c r="D73" t="str">
        <f>IF($C73="","",IFERROR(LOOKUP(2,1/('03_Warehouse_Movements'!$C$2:$C$500=$A73),'03_Warehouse_Movements'!$E$2:$E$500),$C73))</f>
        <v/>
      </c>
      <c r="E73" t="s">
        <v>423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598</v>
      </c>
      <c r="B74" s="4"/>
      <c r="D74" t="str">
        <f>IF($C74="","",IFERROR(LOOKUP(2,1/('03_Warehouse_Movements'!$C$2:$C$500=$A74),'03_Warehouse_Movements'!$E$2:$E$500),$C74))</f>
        <v/>
      </c>
      <c r="E74" t="s">
        <v>423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599</v>
      </c>
      <c r="B75" s="4"/>
      <c r="D75" t="str">
        <f>IF($C75="","",IFERROR(LOOKUP(2,1/('03_Warehouse_Movements'!$C$2:$C$500=$A75),'03_Warehouse_Movements'!$E$2:$E$500),$C75))</f>
        <v/>
      </c>
      <c r="E75" t="s">
        <v>423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600</v>
      </c>
      <c r="B76" s="4"/>
      <c r="D76" t="str">
        <f>IF($C76="","",IFERROR(LOOKUP(2,1/('03_Warehouse_Movements'!$C$2:$C$500=$A76),'03_Warehouse_Movements'!$E$2:$E$500),$C76))</f>
        <v/>
      </c>
      <c r="E76" t="s">
        <v>423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601</v>
      </c>
      <c r="B77" s="4"/>
      <c r="D77" t="str">
        <f>IF($C77="","",IFERROR(LOOKUP(2,1/('03_Warehouse_Movements'!$C$2:$C$500=$A77),'03_Warehouse_Movements'!$E$2:$E$500),$C77))</f>
        <v/>
      </c>
      <c r="E77" t="s">
        <v>423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602</v>
      </c>
      <c r="B78" s="4"/>
      <c r="D78" t="str">
        <f>IF($C78="","",IFERROR(LOOKUP(2,1/('03_Warehouse_Movements'!$C$2:$C$500=$A78),'03_Warehouse_Movements'!$E$2:$E$500),$C78))</f>
        <v/>
      </c>
      <c r="E78" t="s">
        <v>423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603</v>
      </c>
      <c r="B79" s="4"/>
      <c r="D79" t="str">
        <f>IF($C79="","",IFERROR(LOOKUP(2,1/('03_Warehouse_Movements'!$C$2:$C$500=$A79),'03_Warehouse_Movements'!$E$2:$E$500),$C79))</f>
        <v/>
      </c>
      <c r="E79" t="s">
        <v>423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604</v>
      </c>
      <c r="B80" s="4"/>
      <c r="D80" t="str">
        <f>IF($C80="","",IFERROR(LOOKUP(2,1/('03_Warehouse_Movements'!$C$2:$C$500=$A80),'03_Warehouse_Movements'!$E$2:$E$500),$C80))</f>
        <v/>
      </c>
      <c r="E80" t="s">
        <v>423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605</v>
      </c>
      <c r="B81" s="4"/>
      <c r="D81" t="str">
        <f>IF($C81="","",IFERROR(LOOKUP(2,1/('03_Warehouse_Movements'!$C$2:$C$500=$A81),'03_Warehouse_Movements'!$E$2:$E$500),$C81))</f>
        <v/>
      </c>
      <c r="E81" t="s">
        <v>423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606</v>
      </c>
      <c r="B82" s="4"/>
      <c r="D82" t="str">
        <f>IF($C82="","",IFERROR(LOOKUP(2,1/('03_Warehouse_Movements'!$C$2:$C$500=$A82),'03_Warehouse_Movements'!$E$2:$E$500),$C82))</f>
        <v/>
      </c>
      <c r="E82" t="s">
        <v>423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607</v>
      </c>
      <c r="B83" s="4"/>
      <c r="D83" t="str">
        <f>IF($C83="","",IFERROR(LOOKUP(2,1/('03_Warehouse_Movements'!$C$2:$C$500=$A83),'03_Warehouse_Movements'!$E$2:$E$500),$C83))</f>
        <v/>
      </c>
      <c r="E83" t="s">
        <v>423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608</v>
      </c>
      <c r="B84" s="4"/>
      <c r="D84" t="str">
        <f>IF($C84="","",IFERROR(LOOKUP(2,1/('03_Warehouse_Movements'!$C$2:$C$500=$A84),'03_Warehouse_Movements'!$E$2:$E$500),$C84))</f>
        <v/>
      </c>
      <c r="E84" t="s">
        <v>423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609</v>
      </c>
      <c r="B85" s="4"/>
      <c r="D85" t="str">
        <f>IF($C85="","",IFERROR(LOOKUP(2,1/('03_Warehouse_Movements'!$C$2:$C$500=$A85),'03_Warehouse_Movements'!$E$2:$E$500),$C85))</f>
        <v/>
      </c>
      <c r="E85" t="s">
        <v>423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610</v>
      </c>
      <c r="B86" s="4"/>
      <c r="D86" t="str">
        <f>IF($C86="","",IFERROR(LOOKUP(2,1/('03_Warehouse_Movements'!$C$2:$C$500=$A86),'03_Warehouse_Movements'!$E$2:$E$500),$C86))</f>
        <v/>
      </c>
      <c r="E86" t="s">
        <v>423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611</v>
      </c>
      <c r="B87" s="4"/>
      <c r="D87" t="str">
        <f>IF($C87="","",IFERROR(LOOKUP(2,1/('03_Warehouse_Movements'!$C$2:$C$500=$A87),'03_Warehouse_Movements'!$E$2:$E$500),$C87))</f>
        <v/>
      </c>
      <c r="E87" t="s">
        <v>423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612</v>
      </c>
      <c r="B88" s="4"/>
      <c r="D88" t="str">
        <f>IF($C88="","",IFERROR(LOOKUP(2,1/('03_Warehouse_Movements'!$C$2:$C$500=$A88),'03_Warehouse_Movements'!$E$2:$E$500),$C88))</f>
        <v/>
      </c>
      <c r="E88" t="s">
        <v>423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613</v>
      </c>
      <c r="B89" s="4"/>
      <c r="D89" t="str">
        <f>IF($C89="","",IFERROR(LOOKUP(2,1/('03_Warehouse_Movements'!$C$2:$C$500=$A89),'03_Warehouse_Movements'!$E$2:$E$500),$C89))</f>
        <v/>
      </c>
      <c r="E89" t="s">
        <v>423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614</v>
      </c>
      <c r="B90" s="4"/>
      <c r="D90" t="str">
        <f>IF($C90="","",IFERROR(LOOKUP(2,1/('03_Warehouse_Movements'!$C$2:$C$500=$A90),'03_Warehouse_Movements'!$E$2:$E$500),$C90))</f>
        <v/>
      </c>
      <c r="E90" t="s">
        <v>423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615</v>
      </c>
      <c r="B91" s="4"/>
      <c r="D91" t="str">
        <f>IF($C91="","",IFERROR(LOOKUP(2,1/('03_Warehouse_Movements'!$C$2:$C$500=$A91),'03_Warehouse_Movements'!$E$2:$E$500),$C91))</f>
        <v/>
      </c>
      <c r="E91" t="s">
        <v>423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616</v>
      </c>
      <c r="B92" s="4"/>
      <c r="D92" t="str">
        <f>IF($C92="","",IFERROR(LOOKUP(2,1/('03_Warehouse_Movements'!$C$2:$C$500=$A92),'03_Warehouse_Movements'!$E$2:$E$500),$C92))</f>
        <v/>
      </c>
      <c r="E92" t="s">
        <v>423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617</v>
      </c>
      <c r="B93" s="4"/>
      <c r="D93" t="str">
        <f>IF($C93="","",IFERROR(LOOKUP(2,1/('03_Warehouse_Movements'!$C$2:$C$500=$A93),'03_Warehouse_Movements'!$E$2:$E$500),$C93))</f>
        <v/>
      </c>
      <c r="E93" t="s">
        <v>423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618</v>
      </c>
      <c r="B94" s="4"/>
      <c r="D94" t="str">
        <f>IF($C94="","",IFERROR(LOOKUP(2,1/('03_Warehouse_Movements'!$C$2:$C$500=$A94),'03_Warehouse_Movements'!$E$2:$E$500),$C94))</f>
        <v/>
      </c>
      <c r="E94" t="s">
        <v>423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619</v>
      </c>
      <c r="B95" s="4"/>
      <c r="D95" t="str">
        <f>IF($C95="","",IFERROR(LOOKUP(2,1/('03_Warehouse_Movements'!$C$2:$C$500=$A95),'03_Warehouse_Movements'!$E$2:$E$500),$C95))</f>
        <v/>
      </c>
      <c r="E95" t="s">
        <v>423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620</v>
      </c>
      <c r="B96" s="4"/>
      <c r="D96" t="str">
        <f>IF($C96="","",IFERROR(LOOKUP(2,1/('03_Warehouse_Movements'!$C$2:$C$500=$A96),'03_Warehouse_Movements'!$E$2:$E$500),$C96))</f>
        <v/>
      </c>
      <c r="E96" t="s">
        <v>423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621</v>
      </c>
      <c r="B97" s="4"/>
      <c r="D97" t="str">
        <f>IF($C97="","",IFERROR(LOOKUP(2,1/('03_Warehouse_Movements'!$C$2:$C$500=$A97),'03_Warehouse_Movements'!$E$2:$E$500),$C97))</f>
        <v/>
      </c>
      <c r="E97" t="s">
        <v>423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622</v>
      </c>
      <c r="B98" s="4"/>
      <c r="D98" t="str">
        <f>IF($C98="","",IFERROR(LOOKUP(2,1/('03_Warehouse_Movements'!$C$2:$C$500=$A98),'03_Warehouse_Movements'!$E$2:$E$500),$C98))</f>
        <v/>
      </c>
      <c r="E98" t="s">
        <v>423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623</v>
      </c>
      <c r="B99" s="4"/>
      <c r="D99" t="str">
        <f>IF($C99="","",IFERROR(LOOKUP(2,1/('03_Warehouse_Movements'!$C$2:$C$500=$A99),'03_Warehouse_Movements'!$E$2:$E$500),$C99))</f>
        <v/>
      </c>
      <c r="E99" t="s">
        <v>423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624</v>
      </c>
      <c r="B100" s="4"/>
      <c r="D100" t="str">
        <f>IF($C100="","",IFERROR(LOOKUP(2,1/('03_Warehouse_Movements'!$C$2:$C$500=$A100),'03_Warehouse_Movements'!$E$2:$E$500),$C100))</f>
        <v/>
      </c>
      <c r="E100" t="s">
        <v>423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625</v>
      </c>
      <c r="B101" s="4"/>
      <c r="D101" t="str">
        <f>IF($C101="","",IFERROR(LOOKUP(2,1/('03_Warehouse_Movements'!$C$2:$C$500=$A101),'03_Warehouse_Movements'!$E$2:$E$500),$C101))</f>
        <v/>
      </c>
      <c r="E101" t="s">
        <v>423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626</v>
      </c>
      <c r="B102" s="4"/>
      <c r="D102" t="str">
        <f>IF($C102="","",IFERROR(LOOKUP(2,1/('03_Warehouse_Movements'!$C$2:$C$500=$A102),'03_Warehouse_Movements'!$E$2:$E$500),$C102))</f>
        <v/>
      </c>
      <c r="E102" t="s">
        <v>423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627</v>
      </c>
      <c r="B103" s="4"/>
      <c r="D103" t="str">
        <f>IF($C103="","",IFERROR(LOOKUP(2,1/('03_Warehouse_Movements'!$C$2:$C$500=$A103),'03_Warehouse_Movements'!$E$2:$E$500),$C103))</f>
        <v/>
      </c>
      <c r="E103" t="s">
        <v>423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628</v>
      </c>
      <c r="B104" s="4"/>
      <c r="D104" t="str">
        <f>IF($C104="","",IFERROR(LOOKUP(2,1/('03_Warehouse_Movements'!$C$2:$C$500=$A104),'03_Warehouse_Movements'!$E$2:$E$500),$C104))</f>
        <v/>
      </c>
      <c r="E104" t="s">
        <v>423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629</v>
      </c>
      <c r="B105" s="4"/>
      <c r="D105" t="str">
        <f>IF($C105="","",IFERROR(LOOKUP(2,1/('03_Warehouse_Movements'!$C$2:$C$500=$A105),'03_Warehouse_Movements'!$E$2:$E$500),$C105))</f>
        <v/>
      </c>
      <c r="E105" t="s">
        <v>423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630</v>
      </c>
      <c r="B106" s="4"/>
      <c r="D106" t="str">
        <f>IF($C106="","",IFERROR(LOOKUP(2,1/('03_Warehouse_Movements'!$C$2:$C$500=$A106),'03_Warehouse_Movements'!$E$2:$E$500),$C106))</f>
        <v/>
      </c>
      <c r="E106" t="s">
        <v>423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631</v>
      </c>
      <c r="B107" s="4"/>
      <c r="D107" t="str">
        <f>IF($C107="","",IFERROR(LOOKUP(2,1/('03_Warehouse_Movements'!$C$2:$C$500=$A107),'03_Warehouse_Movements'!$E$2:$E$500),$C107))</f>
        <v/>
      </c>
      <c r="E107" t="s">
        <v>423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632</v>
      </c>
      <c r="B108" s="4"/>
      <c r="D108" t="str">
        <f>IF($C108="","",IFERROR(LOOKUP(2,1/('03_Warehouse_Movements'!$C$2:$C$500=$A108),'03_Warehouse_Movements'!$E$2:$E$500),$C108))</f>
        <v/>
      </c>
      <c r="E108" t="s">
        <v>423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633</v>
      </c>
      <c r="B109" s="4"/>
      <c r="D109" t="str">
        <f>IF($C109="","",IFERROR(LOOKUP(2,1/('03_Warehouse_Movements'!$C$2:$C$500=$A109),'03_Warehouse_Movements'!$E$2:$E$500),$C109))</f>
        <v/>
      </c>
      <c r="E109" t="s">
        <v>423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634</v>
      </c>
      <c r="B110" s="4"/>
      <c r="D110" t="str">
        <f>IF($C110="","",IFERROR(LOOKUP(2,1/('03_Warehouse_Movements'!$C$2:$C$500=$A110),'03_Warehouse_Movements'!$E$2:$E$500),$C110))</f>
        <v/>
      </c>
      <c r="E110" t="s">
        <v>423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635</v>
      </c>
      <c r="B111" s="4"/>
      <c r="D111" t="str">
        <f>IF($C111="","",IFERROR(LOOKUP(2,1/('03_Warehouse_Movements'!$C$2:$C$500=$A111),'03_Warehouse_Movements'!$E$2:$E$500),$C111))</f>
        <v/>
      </c>
      <c r="E111" t="s">
        <v>423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636</v>
      </c>
      <c r="B112" s="4"/>
      <c r="D112" t="str">
        <f>IF($C112="","",IFERROR(LOOKUP(2,1/('03_Warehouse_Movements'!$C$2:$C$500=$A112),'03_Warehouse_Movements'!$E$2:$E$500),$C112))</f>
        <v/>
      </c>
      <c r="E112" t="s">
        <v>423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637</v>
      </c>
      <c r="B113" s="4"/>
      <c r="D113" t="str">
        <f>IF($C113="","",IFERROR(LOOKUP(2,1/('03_Warehouse_Movements'!$C$2:$C$500=$A113),'03_Warehouse_Movements'!$E$2:$E$500),$C113))</f>
        <v/>
      </c>
      <c r="E113" t="s">
        <v>423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638</v>
      </c>
      <c r="B114" s="4"/>
      <c r="D114" t="str">
        <f>IF($C114="","",IFERROR(LOOKUP(2,1/('03_Warehouse_Movements'!$C$2:$C$500=$A114),'03_Warehouse_Movements'!$E$2:$E$500),$C114))</f>
        <v/>
      </c>
      <c r="E114" t="s">
        <v>423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639</v>
      </c>
      <c r="B115" s="4"/>
      <c r="D115" t="str">
        <f>IF($C115="","",IFERROR(LOOKUP(2,1/('03_Warehouse_Movements'!$C$2:$C$500=$A115),'03_Warehouse_Movements'!$E$2:$E$500),$C115))</f>
        <v/>
      </c>
      <c r="E115" t="s">
        <v>423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640</v>
      </c>
      <c r="B116" s="4"/>
      <c r="D116" t="str">
        <f>IF($C116="","",IFERROR(LOOKUP(2,1/('03_Warehouse_Movements'!$C$2:$C$500=$A116),'03_Warehouse_Movements'!$E$2:$E$500),$C116))</f>
        <v/>
      </c>
      <c r="E116" t="s">
        <v>423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641</v>
      </c>
      <c r="B117" s="4"/>
      <c r="D117" t="str">
        <f>IF($C117="","",IFERROR(LOOKUP(2,1/('03_Warehouse_Movements'!$C$2:$C$500=$A117),'03_Warehouse_Movements'!$E$2:$E$500),$C117))</f>
        <v/>
      </c>
      <c r="E117" t="s">
        <v>423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642</v>
      </c>
      <c r="B118" s="4"/>
      <c r="D118" t="str">
        <f>IF($C118="","",IFERROR(LOOKUP(2,1/('03_Warehouse_Movements'!$C$2:$C$500=$A118),'03_Warehouse_Movements'!$E$2:$E$500),$C118))</f>
        <v/>
      </c>
      <c r="E118" t="s">
        <v>423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643</v>
      </c>
      <c r="B119" s="4"/>
      <c r="D119" t="str">
        <f>IF($C119="","",IFERROR(LOOKUP(2,1/('03_Warehouse_Movements'!$C$2:$C$500=$A119),'03_Warehouse_Movements'!$E$2:$E$500),$C119))</f>
        <v/>
      </c>
      <c r="E119" t="s">
        <v>423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644</v>
      </c>
      <c r="B120" s="4"/>
      <c r="D120" t="str">
        <f>IF($C120="","",IFERROR(LOOKUP(2,1/('03_Warehouse_Movements'!$C$2:$C$500=$A120),'03_Warehouse_Movements'!$E$2:$E$500),$C120))</f>
        <v/>
      </c>
      <c r="E120" t="s">
        <v>423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645</v>
      </c>
      <c r="B121" s="4"/>
      <c r="D121" t="str">
        <f>IF($C121="","",IFERROR(LOOKUP(2,1/('03_Warehouse_Movements'!$C$2:$C$500=$A121),'03_Warehouse_Movements'!$E$2:$E$500),$C121))</f>
        <v/>
      </c>
      <c r="E121" t="s">
        <v>423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646</v>
      </c>
      <c r="B122" s="4"/>
      <c r="D122" t="str">
        <f>IF($C122="","",IFERROR(LOOKUP(2,1/('03_Warehouse_Movements'!$C$2:$C$500=$A122),'03_Warehouse_Movements'!$E$2:$E$500),$C122))</f>
        <v/>
      </c>
      <c r="E122" t="s">
        <v>423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647</v>
      </c>
      <c r="B123" s="4"/>
      <c r="D123" t="str">
        <f>IF($C123="","",IFERROR(LOOKUP(2,1/('03_Warehouse_Movements'!$C$2:$C$500=$A123),'03_Warehouse_Movements'!$E$2:$E$500),$C123))</f>
        <v/>
      </c>
      <c r="E123" t="s">
        <v>423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648</v>
      </c>
      <c r="B124" s="4"/>
      <c r="D124" t="str">
        <f>IF($C124="","",IFERROR(LOOKUP(2,1/('03_Warehouse_Movements'!$C$2:$C$500=$A124),'03_Warehouse_Movements'!$E$2:$E$500),$C124))</f>
        <v/>
      </c>
      <c r="E124" t="s">
        <v>423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649</v>
      </c>
      <c r="B125" s="4"/>
      <c r="D125" t="str">
        <f>IF($C125="","",IFERROR(LOOKUP(2,1/('03_Warehouse_Movements'!$C$2:$C$500=$A125),'03_Warehouse_Movements'!$E$2:$E$500),$C125))</f>
        <v/>
      </c>
      <c r="E125" t="s">
        <v>423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650</v>
      </c>
      <c r="B126" s="4"/>
      <c r="D126" t="str">
        <f>IF($C126="","",IFERROR(LOOKUP(2,1/('03_Warehouse_Movements'!$C$2:$C$500=$A126),'03_Warehouse_Movements'!$E$2:$E$500),$C126))</f>
        <v/>
      </c>
      <c r="E126" t="s">
        <v>423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651</v>
      </c>
      <c r="B127" s="4"/>
      <c r="D127" t="str">
        <f>IF($C127="","",IFERROR(LOOKUP(2,1/('03_Warehouse_Movements'!$C$2:$C$500=$A127),'03_Warehouse_Movements'!$E$2:$E$500),$C127))</f>
        <v/>
      </c>
      <c r="E127" t="s">
        <v>423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652</v>
      </c>
      <c r="B128" s="4"/>
      <c r="D128" t="str">
        <f>IF($C128="","",IFERROR(LOOKUP(2,1/('03_Warehouse_Movements'!$C$2:$C$500=$A128),'03_Warehouse_Movements'!$E$2:$E$500),$C128))</f>
        <v/>
      </c>
      <c r="E128" t="s">
        <v>423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653</v>
      </c>
      <c r="B129" s="4"/>
      <c r="D129" t="str">
        <f>IF($C129="","",IFERROR(LOOKUP(2,1/('03_Warehouse_Movements'!$C$2:$C$500=$A129),'03_Warehouse_Movements'!$E$2:$E$500),$C129))</f>
        <v/>
      </c>
      <c r="E129" t="s">
        <v>423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654</v>
      </c>
      <c r="B130" s="4"/>
      <c r="D130" t="str">
        <f>IF($C130="","",IFERROR(LOOKUP(2,1/('03_Warehouse_Movements'!$C$2:$C$500=$A130),'03_Warehouse_Movements'!$E$2:$E$500),$C130))</f>
        <v/>
      </c>
      <c r="E130" t="s">
        <v>423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655</v>
      </c>
      <c r="B131" s="4"/>
      <c r="D131" t="str">
        <f>IF($C131="","",IFERROR(LOOKUP(2,1/('03_Warehouse_Movements'!$C$2:$C$500=$A131),'03_Warehouse_Movements'!$E$2:$E$500),$C131))</f>
        <v/>
      </c>
      <c r="E131" t="s">
        <v>423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656</v>
      </c>
      <c r="B132" s="4"/>
      <c r="D132" t="str">
        <f>IF($C132="","",IFERROR(LOOKUP(2,1/('03_Warehouse_Movements'!$C$2:$C$500=$A132),'03_Warehouse_Movements'!$E$2:$E$500),$C132))</f>
        <v/>
      </c>
      <c r="E132" t="s">
        <v>423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657</v>
      </c>
      <c r="B133" s="4"/>
      <c r="D133" t="str">
        <f>IF($C133="","",IFERROR(LOOKUP(2,1/('03_Warehouse_Movements'!$C$2:$C$500=$A133),'03_Warehouse_Movements'!$E$2:$E$500),$C133))</f>
        <v/>
      </c>
      <c r="E133" t="s">
        <v>423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658</v>
      </c>
      <c r="B134" s="4"/>
      <c r="D134" t="str">
        <f>IF($C134="","",IFERROR(LOOKUP(2,1/('03_Warehouse_Movements'!$C$2:$C$500=$A134),'03_Warehouse_Movements'!$E$2:$E$500),$C134))</f>
        <v/>
      </c>
      <c r="E134" t="s">
        <v>423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659</v>
      </c>
      <c r="B135" s="4"/>
      <c r="D135" t="str">
        <f>IF($C135="","",IFERROR(LOOKUP(2,1/('03_Warehouse_Movements'!$C$2:$C$500=$A135),'03_Warehouse_Movements'!$E$2:$E$500),$C135))</f>
        <v/>
      </c>
      <c r="E135" t="s">
        <v>423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660</v>
      </c>
      <c r="B136" s="4"/>
      <c r="D136" t="str">
        <f>IF($C136="","",IFERROR(LOOKUP(2,1/('03_Warehouse_Movements'!$C$2:$C$500=$A136),'03_Warehouse_Movements'!$E$2:$E$500),$C136))</f>
        <v/>
      </c>
      <c r="E136" t="s">
        <v>423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661</v>
      </c>
      <c r="B137" s="4"/>
      <c r="D137" t="str">
        <f>IF($C137="","",IFERROR(LOOKUP(2,1/('03_Warehouse_Movements'!$C$2:$C$500=$A137),'03_Warehouse_Movements'!$E$2:$E$500),$C137))</f>
        <v/>
      </c>
      <c r="E137" t="s">
        <v>423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662</v>
      </c>
      <c r="B138" s="4"/>
      <c r="D138" t="str">
        <f>IF($C138="","",IFERROR(LOOKUP(2,1/('03_Warehouse_Movements'!$C$2:$C$500=$A138),'03_Warehouse_Movements'!$E$2:$E$500),$C138))</f>
        <v/>
      </c>
      <c r="E138" t="s">
        <v>423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663</v>
      </c>
      <c r="B139" s="4"/>
      <c r="D139" t="str">
        <f>IF($C139="","",IFERROR(LOOKUP(2,1/('03_Warehouse_Movements'!$C$2:$C$500=$A139),'03_Warehouse_Movements'!$E$2:$E$500),$C139))</f>
        <v/>
      </c>
      <c r="E139" t="s">
        <v>423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664</v>
      </c>
      <c r="B140" s="4"/>
      <c r="D140" t="str">
        <f>IF($C140="","",IFERROR(LOOKUP(2,1/('03_Warehouse_Movements'!$C$2:$C$500=$A140),'03_Warehouse_Movements'!$E$2:$E$500),$C140))</f>
        <v/>
      </c>
      <c r="E140" t="s">
        <v>423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665</v>
      </c>
      <c r="B141" s="4"/>
      <c r="D141" t="str">
        <f>IF($C141="","",IFERROR(LOOKUP(2,1/('03_Warehouse_Movements'!$C$2:$C$500=$A141),'03_Warehouse_Movements'!$E$2:$E$500),$C141))</f>
        <v/>
      </c>
      <c r="E141" t="s">
        <v>423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666</v>
      </c>
      <c r="B142" s="4"/>
      <c r="D142" t="str">
        <f>IF($C142="","",IFERROR(LOOKUP(2,1/('03_Warehouse_Movements'!$C$2:$C$500=$A142),'03_Warehouse_Movements'!$E$2:$E$500),$C142))</f>
        <v/>
      </c>
      <c r="E142" t="s">
        <v>423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667</v>
      </c>
      <c r="B143" s="4"/>
      <c r="D143" t="str">
        <f>IF($C143="","",IFERROR(LOOKUP(2,1/('03_Warehouse_Movements'!$C$2:$C$500=$A143),'03_Warehouse_Movements'!$E$2:$E$500),$C143))</f>
        <v/>
      </c>
      <c r="E143" t="s">
        <v>423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668</v>
      </c>
      <c r="B144" s="4"/>
      <c r="D144" t="str">
        <f>IF($C144="","",IFERROR(LOOKUP(2,1/('03_Warehouse_Movements'!$C$2:$C$500=$A144),'03_Warehouse_Movements'!$E$2:$E$500),$C144))</f>
        <v/>
      </c>
      <c r="E144" t="s">
        <v>423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669</v>
      </c>
      <c r="B145" s="4"/>
      <c r="D145" t="str">
        <f>IF($C145="","",IFERROR(LOOKUP(2,1/('03_Warehouse_Movements'!$C$2:$C$500=$A145),'03_Warehouse_Movements'!$E$2:$E$500),$C145))</f>
        <v/>
      </c>
      <c r="E145" t="s">
        <v>423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670</v>
      </c>
      <c r="B146" s="4"/>
      <c r="D146" t="str">
        <f>IF($C146="","",IFERROR(LOOKUP(2,1/('03_Warehouse_Movements'!$C$2:$C$500=$A146),'03_Warehouse_Movements'!$E$2:$E$500),$C146))</f>
        <v/>
      </c>
      <c r="E146" t="s">
        <v>423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671</v>
      </c>
      <c r="B147" s="4"/>
      <c r="D147" t="str">
        <f>IF($C147="","",IFERROR(LOOKUP(2,1/('03_Warehouse_Movements'!$C$2:$C$500=$A147),'03_Warehouse_Movements'!$E$2:$E$500),$C147))</f>
        <v/>
      </c>
      <c r="E147" t="s">
        <v>423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672</v>
      </c>
      <c r="B148" s="4"/>
      <c r="D148" t="str">
        <f>IF($C148="","",IFERROR(LOOKUP(2,1/('03_Warehouse_Movements'!$C$2:$C$500=$A148),'03_Warehouse_Movements'!$E$2:$E$500),$C148))</f>
        <v/>
      </c>
      <c r="E148" t="s">
        <v>423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673</v>
      </c>
      <c r="B149" s="4"/>
      <c r="D149" t="str">
        <f>IF($C149="","",IFERROR(LOOKUP(2,1/('03_Warehouse_Movements'!$C$2:$C$500=$A149),'03_Warehouse_Movements'!$E$2:$E$500),$C149))</f>
        <v/>
      </c>
      <c r="E149" t="s">
        <v>423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674</v>
      </c>
      <c r="B150" s="4"/>
      <c r="D150" t="str">
        <f>IF($C150="","",IFERROR(LOOKUP(2,1/('03_Warehouse_Movements'!$C$2:$C$500=$A150),'03_Warehouse_Movements'!$E$2:$E$500),$C150))</f>
        <v/>
      </c>
      <c r="E150" t="s">
        <v>423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675</v>
      </c>
      <c r="B151" s="4"/>
      <c r="D151" t="str">
        <f>IF($C151="","",IFERROR(LOOKUP(2,1/('03_Warehouse_Movements'!$C$2:$C$500=$A151),'03_Warehouse_Movements'!$E$2:$E$500),$C151))</f>
        <v/>
      </c>
      <c r="E151" t="s">
        <v>423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676</v>
      </c>
      <c r="B152" s="4"/>
      <c r="D152" t="str">
        <f>IF($C152="","",IFERROR(LOOKUP(2,1/('03_Warehouse_Movements'!$C$2:$C$500=$A152),'03_Warehouse_Movements'!$E$2:$E$500),$C152))</f>
        <v/>
      </c>
      <c r="E152" t="s">
        <v>423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677</v>
      </c>
      <c r="B153" s="4"/>
      <c r="D153" t="str">
        <f>IF($C153="","",IFERROR(LOOKUP(2,1/('03_Warehouse_Movements'!$C$2:$C$500=$A153),'03_Warehouse_Movements'!$E$2:$E$500),$C153))</f>
        <v/>
      </c>
      <c r="E153" t="s">
        <v>423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678</v>
      </c>
      <c r="B154" s="4"/>
      <c r="D154" t="str">
        <f>IF($C154="","",IFERROR(LOOKUP(2,1/('03_Warehouse_Movements'!$C$2:$C$500=$A154),'03_Warehouse_Movements'!$E$2:$E$500),$C154))</f>
        <v/>
      </c>
      <c r="E154" t="s">
        <v>423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679</v>
      </c>
      <c r="B155" s="4"/>
      <c r="D155" t="str">
        <f>IF($C155="","",IFERROR(LOOKUP(2,1/('03_Warehouse_Movements'!$C$2:$C$500=$A155),'03_Warehouse_Movements'!$E$2:$E$500),$C155))</f>
        <v/>
      </c>
      <c r="E155" t="s">
        <v>423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680</v>
      </c>
      <c r="B156" s="4"/>
      <c r="D156" t="str">
        <f>IF($C156="","",IFERROR(LOOKUP(2,1/('03_Warehouse_Movements'!$C$2:$C$500=$A156),'03_Warehouse_Movements'!$E$2:$E$500),$C156))</f>
        <v/>
      </c>
      <c r="E156" t="s">
        <v>423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681</v>
      </c>
      <c r="B157" s="4"/>
      <c r="D157" t="str">
        <f>IF($C157="","",IFERROR(LOOKUP(2,1/('03_Warehouse_Movements'!$C$2:$C$500=$A157),'03_Warehouse_Movements'!$E$2:$E$500),$C157))</f>
        <v/>
      </c>
      <c r="E157" t="s">
        <v>423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682</v>
      </c>
      <c r="B158" s="4"/>
      <c r="D158" t="str">
        <f>IF($C158="","",IFERROR(LOOKUP(2,1/('03_Warehouse_Movements'!$C$2:$C$500=$A158),'03_Warehouse_Movements'!$E$2:$E$500),$C158))</f>
        <v/>
      </c>
      <c r="E158" t="s">
        <v>423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683</v>
      </c>
      <c r="B159" s="4"/>
      <c r="D159" t="str">
        <f>IF($C159="","",IFERROR(LOOKUP(2,1/('03_Warehouse_Movements'!$C$2:$C$500=$A159),'03_Warehouse_Movements'!$E$2:$E$500),$C159))</f>
        <v/>
      </c>
      <c r="E159" t="s">
        <v>423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684</v>
      </c>
      <c r="B160" s="4"/>
      <c r="D160" t="str">
        <f>IF($C160="","",IFERROR(LOOKUP(2,1/('03_Warehouse_Movements'!$C$2:$C$500=$A160),'03_Warehouse_Movements'!$E$2:$E$500),$C160))</f>
        <v/>
      </c>
      <c r="E160" t="s">
        <v>423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685</v>
      </c>
      <c r="B161" s="4"/>
      <c r="D161" t="str">
        <f>IF($C161="","",IFERROR(LOOKUP(2,1/('03_Warehouse_Movements'!$C$2:$C$500=$A161),'03_Warehouse_Movements'!$E$2:$E$500),$C161))</f>
        <v/>
      </c>
      <c r="E161" t="s">
        <v>423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686</v>
      </c>
      <c r="B162" s="4"/>
      <c r="D162" t="str">
        <f>IF($C162="","",IFERROR(LOOKUP(2,1/('03_Warehouse_Movements'!$C$2:$C$500=$A162),'03_Warehouse_Movements'!$E$2:$E$500),$C162))</f>
        <v/>
      </c>
      <c r="E162" t="s">
        <v>423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687</v>
      </c>
      <c r="B163" s="4"/>
      <c r="D163" t="str">
        <f>IF($C163="","",IFERROR(LOOKUP(2,1/('03_Warehouse_Movements'!$C$2:$C$500=$A163),'03_Warehouse_Movements'!$E$2:$E$500),$C163))</f>
        <v/>
      </c>
      <c r="E163" t="s">
        <v>423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688</v>
      </c>
      <c r="B164" s="4"/>
      <c r="D164" t="str">
        <f>IF($C164="","",IFERROR(LOOKUP(2,1/('03_Warehouse_Movements'!$C$2:$C$500=$A164),'03_Warehouse_Movements'!$E$2:$E$500),$C164))</f>
        <v/>
      </c>
      <c r="E164" t="s">
        <v>423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689</v>
      </c>
      <c r="B165" s="4"/>
      <c r="D165" t="str">
        <f>IF($C165="","",IFERROR(LOOKUP(2,1/('03_Warehouse_Movements'!$C$2:$C$500=$A165),'03_Warehouse_Movements'!$E$2:$E$500),$C165))</f>
        <v/>
      </c>
      <c r="E165" t="s">
        <v>423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690</v>
      </c>
      <c r="B166" s="4"/>
      <c r="D166" t="str">
        <f>IF($C166="","",IFERROR(LOOKUP(2,1/('03_Warehouse_Movements'!$C$2:$C$500=$A166),'03_Warehouse_Movements'!$E$2:$E$500),$C166))</f>
        <v/>
      </c>
      <c r="E166" t="s">
        <v>423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691</v>
      </c>
      <c r="B167" s="4"/>
      <c r="D167" t="str">
        <f>IF($C167="","",IFERROR(LOOKUP(2,1/('03_Warehouse_Movements'!$C$2:$C$500=$A167),'03_Warehouse_Movements'!$E$2:$E$500),$C167))</f>
        <v/>
      </c>
      <c r="E167" t="s">
        <v>423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692</v>
      </c>
      <c r="B168" s="4"/>
      <c r="D168" t="str">
        <f>IF($C168="","",IFERROR(LOOKUP(2,1/('03_Warehouse_Movements'!$C$2:$C$500=$A168),'03_Warehouse_Movements'!$E$2:$E$500),$C168))</f>
        <v/>
      </c>
      <c r="E168" t="s">
        <v>423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693</v>
      </c>
      <c r="B169" s="4"/>
      <c r="D169" t="str">
        <f>IF($C169="","",IFERROR(LOOKUP(2,1/('03_Warehouse_Movements'!$C$2:$C$500=$A169),'03_Warehouse_Movements'!$E$2:$E$500),$C169))</f>
        <v/>
      </c>
      <c r="E169" t="s">
        <v>423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694</v>
      </c>
      <c r="B170" s="4"/>
      <c r="D170" t="str">
        <f>IF($C170="","",IFERROR(LOOKUP(2,1/('03_Warehouse_Movements'!$C$2:$C$500=$A170),'03_Warehouse_Movements'!$E$2:$E$500),$C170))</f>
        <v/>
      </c>
      <c r="E170" t="s">
        <v>423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695</v>
      </c>
      <c r="B171" s="4"/>
      <c r="D171" t="str">
        <f>IF($C171="","",IFERROR(LOOKUP(2,1/('03_Warehouse_Movements'!$C$2:$C$500=$A171),'03_Warehouse_Movements'!$E$2:$E$500),$C171))</f>
        <v/>
      </c>
      <c r="E171" t="s">
        <v>423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696</v>
      </c>
      <c r="B172" s="4"/>
      <c r="D172" t="str">
        <f>IF($C172="","",IFERROR(LOOKUP(2,1/('03_Warehouse_Movements'!$C$2:$C$500=$A172),'03_Warehouse_Movements'!$E$2:$E$500),$C172))</f>
        <v/>
      </c>
      <c r="E172" t="s">
        <v>423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697</v>
      </c>
      <c r="B173" s="4"/>
      <c r="D173" t="str">
        <f>IF($C173="","",IFERROR(LOOKUP(2,1/('03_Warehouse_Movements'!$C$2:$C$500=$A173),'03_Warehouse_Movements'!$E$2:$E$500),$C173))</f>
        <v/>
      </c>
      <c r="E173" t="s">
        <v>423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698</v>
      </c>
      <c r="B174" s="4"/>
      <c r="D174" t="str">
        <f>IF($C174="","",IFERROR(LOOKUP(2,1/('03_Warehouse_Movements'!$C$2:$C$500=$A174),'03_Warehouse_Movements'!$E$2:$E$500),$C174))</f>
        <v/>
      </c>
      <c r="E174" t="s">
        <v>423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699</v>
      </c>
      <c r="B175" s="4"/>
      <c r="D175" t="str">
        <f>IF($C175="","",IFERROR(LOOKUP(2,1/('03_Warehouse_Movements'!$C$2:$C$500=$A175),'03_Warehouse_Movements'!$E$2:$E$500),$C175))</f>
        <v/>
      </c>
      <c r="E175" t="s">
        <v>423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700</v>
      </c>
      <c r="B176" s="4"/>
      <c r="D176" t="str">
        <f>IF($C176="","",IFERROR(LOOKUP(2,1/('03_Warehouse_Movements'!$C$2:$C$500=$A176),'03_Warehouse_Movements'!$E$2:$E$500),$C176))</f>
        <v/>
      </c>
      <c r="E176" t="s">
        <v>423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701</v>
      </c>
      <c r="B177" s="4"/>
      <c r="D177" t="str">
        <f>IF($C177="","",IFERROR(LOOKUP(2,1/('03_Warehouse_Movements'!$C$2:$C$500=$A177),'03_Warehouse_Movements'!$E$2:$E$500),$C177))</f>
        <v/>
      </c>
      <c r="E177" t="s">
        <v>423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702</v>
      </c>
      <c r="B178" s="4"/>
      <c r="D178" t="str">
        <f>IF($C178="","",IFERROR(LOOKUP(2,1/('03_Warehouse_Movements'!$C$2:$C$500=$A178),'03_Warehouse_Movements'!$E$2:$E$500),$C178))</f>
        <v/>
      </c>
      <c r="E178" t="s">
        <v>423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703</v>
      </c>
      <c r="B179" s="4"/>
      <c r="D179" t="str">
        <f>IF($C179="","",IFERROR(LOOKUP(2,1/('03_Warehouse_Movements'!$C$2:$C$500=$A179),'03_Warehouse_Movements'!$E$2:$E$500),$C179))</f>
        <v/>
      </c>
      <c r="E179" t="s">
        <v>423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704</v>
      </c>
      <c r="B180" s="4"/>
      <c r="D180" t="str">
        <f>IF($C180="","",IFERROR(LOOKUP(2,1/('03_Warehouse_Movements'!$C$2:$C$500=$A180),'03_Warehouse_Movements'!$E$2:$E$500),$C180))</f>
        <v/>
      </c>
      <c r="E180" t="s">
        <v>423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705</v>
      </c>
      <c r="B181" s="4"/>
      <c r="D181" t="str">
        <f>IF($C181="","",IFERROR(LOOKUP(2,1/('03_Warehouse_Movements'!$C$2:$C$500=$A181),'03_Warehouse_Movements'!$E$2:$E$500),$C181))</f>
        <v/>
      </c>
      <c r="E181" t="s">
        <v>423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706</v>
      </c>
      <c r="B182" s="4"/>
      <c r="D182" t="str">
        <f>IF($C182="","",IFERROR(LOOKUP(2,1/('03_Warehouse_Movements'!$C$2:$C$500=$A182),'03_Warehouse_Movements'!$E$2:$E$500),$C182))</f>
        <v/>
      </c>
      <c r="E182" t="s">
        <v>423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707</v>
      </c>
      <c r="B183" s="4"/>
      <c r="D183" t="str">
        <f>IF($C183="","",IFERROR(LOOKUP(2,1/('03_Warehouse_Movements'!$C$2:$C$500=$A183),'03_Warehouse_Movements'!$E$2:$E$500),$C183))</f>
        <v/>
      </c>
      <c r="E183" t="s">
        <v>423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708</v>
      </c>
      <c r="B184" s="4"/>
      <c r="D184" t="str">
        <f>IF($C184="","",IFERROR(LOOKUP(2,1/('03_Warehouse_Movements'!$C$2:$C$500=$A184),'03_Warehouse_Movements'!$E$2:$E$500),$C184))</f>
        <v/>
      </c>
      <c r="E184" t="s">
        <v>423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709</v>
      </c>
      <c r="B185" s="4"/>
      <c r="D185" t="str">
        <f>IF($C185="","",IFERROR(LOOKUP(2,1/('03_Warehouse_Movements'!$C$2:$C$500=$A185),'03_Warehouse_Movements'!$E$2:$E$500),$C185))</f>
        <v/>
      </c>
      <c r="E185" t="s">
        <v>423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710</v>
      </c>
      <c r="B186" s="4"/>
      <c r="D186" t="str">
        <f>IF($C186="","",IFERROR(LOOKUP(2,1/('03_Warehouse_Movements'!$C$2:$C$500=$A186),'03_Warehouse_Movements'!$E$2:$E$500),$C186))</f>
        <v/>
      </c>
      <c r="E186" t="s">
        <v>423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711</v>
      </c>
      <c r="B187" s="4"/>
      <c r="D187" t="str">
        <f>IF($C187="","",IFERROR(LOOKUP(2,1/('03_Warehouse_Movements'!$C$2:$C$500=$A187),'03_Warehouse_Movements'!$E$2:$E$500),$C187))</f>
        <v/>
      </c>
      <c r="E187" t="s">
        <v>423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712</v>
      </c>
      <c r="B188" s="4"/>
      <c r="D188" t="str">
        <f>IF($C188="","",IFERROR(LOOKUP(2,1/('03_Warehouse_Movements'!$C$2:$C$500=$A188),'03_Warehouse_Movements'!$E$2:$E$500),$C188))</f>
        <v/>
      </c>
      <c r="E188" t="s">
        <v>423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713</v>
      </c>
      <c r="B189" s="4"/>
      <c r="D189" t="str">
        <f>IF($C189="","",IFERROR(LOOKUP(2,1/('03_Warehouse_Movements'!$C$2:$C$500=$A189),'03_Warehouse_Movements'!$E$2:$E$500),$C189))</f>
        <v/>
      </c>
      <c r="E189" t="s">
        <v>423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714</v>
      </c>
      <c r="B190" s="4"/>
      <c r="D190" t="str">
        <f>IF($C190="","",IFERROR(LOOKUP(2,1/('03_Warehouse_Movements'!$C$2:$C$500=$A190),'03_Warehouse_Movements'!$E$2:$E$500),$C190))</f>
        <v/>
      </c>
      <c r="E190" t="s">
        <v>423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715</v>
      </c>
      <c r="B191" s="4"/>
      <c r="D191" t="str">
        <f>IF($C191="","",IFERROR(LOOKUP(2,1/('03_Warehouse_Movements'!$C$2:$C$500=$A191),'03_Warehouse_Movements'!$E$2:$E$500),$C191))</f>
        <v/>
      </c>
      <c r="E191" t="s">
        <v>423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716</v>
      </c>
      <c r="B192" s="4"/>
      <c r="D192" t="str">
        <f>IF($C192="","",IFERROR(LOOKUP(2,1/('03_Warehouse_Movements'!$C$2:$C$500=$A192),'03_Warehouse_Movements'!$E$2:$E$500),$C192))</f>
        <v/>
      </c>
      <c r="E192" t="s">
        <v>423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717</v>
      </c>
      <c r="B193" s="4"/>
      <c r="D193" t="str">
        <f>IF($C193="","",IFERROR(LOOKUP(2,1/('03_Warehouse_Movements'!$C$2:$C$500=$A193),'03_Warehouse_Movements'!$E$2:$E$500),$C193))</f>
        <v/>
      </c>
      <c r="E193" t="s">
        <v>423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718</v>
      </c>
      <c r="B194" s="4"/>
      <c r="D194" t="str">
        <f>IF($C194="","",IFERROR(LOOKUP(2,1/('03_Warehouse_Movements'!$C$2:$C$500=$A194),'03_Warehouse_Movements'!$E$2:$E$500),$C194))</f>
        <v/>
      </c>
      <c r="E194" t="s">
        <v>423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719</v>
      </c>
      <c r="B195" s="4"/>
      <c r="D195" t="str">
        <f>IF($C195="","",IFERROR(LOOKUP(2,1/('03_Warehouse_Movements'!$C$2:$C$500=$A195),'03_Warehouse_Movements'!$E$2:$E$500),$C195))</f>
        <v/>
      </c>
      <c r="E195" t="s">
        <v>423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720</v>
      </c>
      <c r="B196" s="4"/>
      <c r="D196" t="str">
        <f>IF($C196="","",IFERROR(LOOKUP(2,1/('03_Warehouse_Movements'!$C$2:$C$500=$A196),'03_Warehouse_Movements'!$E$2:$E$500),$C196))</f>
        <v/>
      </c>
      <c r="E196" t="s">
        <v>423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721</v>
      </c>
      <c r="B197" s="4"/>
      <c r="D197" t="str">
        <f>IF($C197="","",IFERROR(LOOKUP(2,1/('03_Warehouse_Movements'!$C$2:$C$500=$A197),'03_Warehouse_Movements'!$E$2:$E$500),$C197))</f>
        <v/>
      </c>
      <c r="E197" t="s">
        <v>423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722</v>
      </c>
      <c r="B198" s="4"/>
      <c r="D198" t="str">
        <f>IF($C198="","",IFERROR(LOOKUP(2,1/('03_Warehouse_Movements'!$C$2:$C$500=$A198),'03_Warehouse_Movements'!$E$2:$E$500),$C198))</f>
        <v/>
      </c>
      <c r="E198" t="s">
        <v>423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723</v>
      </c>
      <c r="B199" s="4"/>
      <c r="D199" t="str">
        <f>IF($C199="","",IFERROR(LOOKUP(2,1/('03_Warehouse_Movements'!$C$2:$C$500=$A199),'03_Warehouse_Movements'!$E$2:$E$500),$C199))</f>
        <v/>
      </c>
      <c r="E199" t="s">
        <v>423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724</v>
      </c>
      <c r="B200" s="24"/>
      <c r="D200" t="str">
        <f>IF($C200="","",IFERROR(LOOKUP(2,1/('03_Warehouse_Movements'!$C$2:$C$500=$A200),'03_Warehouse_Movements'!$E$2:$E$500),$C200))</f>
        <v/>
      </c>
      <c r="E200" t="s">
        <v>423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725</v>
      </c>
      <c r="B201" s="24"/>
      <c r="D201" t="str">
        <f>IF($C201="","",IFERROR(LOOKUP(2,1/('03_Warehouse_Movements'!$C$2:$C$500=$A201),'03_Warehouse_Movements'!$E$2:$E$500),$C201))</f>
        <v/>
      </c>
      <c r="E201" t="s">
        <v>423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726</v>
      </c>
      <c r="B202" s="24"/>
      <c r="D202" t="str">
        <f>IF($C202="","",IFERROR(LOOKUP(2,1/('03_Warehouse_Movements'!$C$2:$C$500=$A202),'03_Warehouse_Movements'!$E$2:$E$500),$C202))</f>
        <v/>
      </c>
      <c r="E202" t="s">
        <v>423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727</v>
      </c>
      <c r="B203" s="24"/>
      <c r="D203" t="str">
        <f>IF($C203="","",IFERROR(LOOKUP(2,1/('03_Warehouse_Movements'!$C$2:$C$500=$A203),'03_Warehouse_Movements'!$E$2:$E$500),$C203))</f>
        <v/>
      </c>
      <c r="E203" t="s">
        <v>423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728</v>
      </c>
      <c r="B204" s="24"/>
      <c r="D204" t="str">
        <f>IF($C204="","",IFERROR(LOOKUP(2,1/('03_Warehouse_Movements'!$C$2:$C$500=$A204),'03_Warehouse_Movements'!$E$2:$E$500),$C204))</f>
        <v/>
      </c>
      <c r="E204" t="s">
        <v>423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729</v>
      </c>
      <c r="B205" s="24"/>
      <c r="D205" t="str">
        <f>IF($C205="","",IFERROR(LOOKUP(2,1/('03_Warehouse_Movements'!$C$2:$C$500=$A205),'03_Warehouse_Movements'!$E$2:$E$500),$C205))</f>
        <v/>
      </c>
      <c r="E205" t="s">
        <v>423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730</v>
      </c>
      <c r="B206" s="24"/>
      <c r="D206" t="str">
        <f>IF($C206="","",IFERROR(LOOKUP(2,1/('03_Warehouse_Movements'!$C$2:$C$500=$A206),'03_Warehouse_Movements'!$E$2:$E$500),$C206))</f>
        <v/>
      </c>
      <c r="E206" t="s">
        <v>423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731</v>
      </c>
      <c r="B207" s="24"/>
      <c r="D207" t="str">
        <f>IF($C207="","",IFERROR(LOOKUP(2,1/('03_Warehouse_Movements'!$C$2:$C$500=$A207),'03_Warehouse_Movements'!$E$2:$E$500),$C207))</f>
        <v/>
      </c>
      <c r="E207" t="s">
        <v>423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732</v>
      </c>
      <c r="B208" s="24"/>
      <c r="D208" t="str">
        <f>IF($C208="","",IFERROR(LOOKUP(2,1/('03_Warehouse_Movements'!$C$2:$C$500=$A208),'03_Warehouse_Movements'!$E$2:$E$500),$C208))</f>
        <v/>
      </c>
      <c r="E208" t="s">
        <v>423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733</v>
      </c>
      <c r="B209" s="24"/>
      <c r="D209" t="str">
        <f>IF($C209="","",IFERROR(LOOKUP(2,1/('03_Warehouse_Movements'!$C$2:$C$500=$A209),'03_Warehouse_Movements'!$E$2:$E$500),$C209))</f>
        <v/>
      </c>
      <c r="E209" t="s">
        <v>423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734</v>
      </c>
      <c r="B210" s="24"/>
      <c r="D210" t="str">
        <f>IF($C210="","",IFERROR(LOOKUP(2,1/('03_Warehouse_Movements'!$C$2:$C$500=$A210),'03_Warehouse_Movements'!$E$2:$E$500),$C210))</f>
        <v/>
      </c>
      <c r="E210" t="s">
        <v>423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735</v>
      </c>
      <c r="B211" s="24"/>
      <c r="D211" t="str">
        <f>IF($C211="","",IFERROR(LOOKUP(2,1/('03_Warehouse_Movements'!$C$2:$C$500=$A211),'03_Warehouse_Movements'!$E$2:$E$500),$C211))</f>
        <v/>
      </c>
      <c r="E211" t="s">
        <v>423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736</v>
      </c>
      <c r="B212" s="24"/>
      <c r="D212" t="str">
        <f>IF($C212="","",IFERROR(LOOKUP(2,1/('03_Warehouse_Movements'!$C$2:$C$500=$A212),'03_Warehouse_Movements'!$E$2:$E$500),$C212))</f>
        <v/>
      </c>
      <c r="E212" t="s">
        <v>423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737</v>
      </c>
      <c r="B213" s="24"/>
      <c r="D213" t="str">
        <f>IF($C213="","",IFERROR(LOOKUP(2,1/('03_Warehouse_Movements'!$C$2:$C$500=$A213),'03_Warehouse_Movements'!$E$2:$E$500),$C213))</f>
        <v/>
      </c>
      <c r="E213" t="s">
        <v>423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738</v>
      </c>
      <c r="B214" s="24"/>
      <c r="D214" t="str">
        <f>IF($C214="","",IFERROR(LOOKUP(2,1/('03_Warehouse_Movements'!$C$2:$C$500=$A214),'03_Warehouse_Movements'!$E$2:$E$500),$C214))</f>
        <v/>
      </c>
      <c r="E214" t="s">
        <v>423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739</v>
      </c>
      <c r="B215" s="24"/>
      <c r="D215" t="str">
        <f>IF($C215="","",IFERROR(LOOKUP(2,1/('03_Warehouse_Movements'!$C$2:$C$500=$A215),'03_Warehouse_Movements'!$E$2:$E$500),$C215))</f>
        <v/>
      </c>
      <c r="E215" t="s">
        <v>423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740</v>
      </c>
      <c r="B216" s="24"/>
      <c r="D216" t="str">
        <f>IF($C216="","",IFERROR(LOOKUP(2,1/('03_Warehouse_Movements'!$C$2:$C$500=$A216),'03_Warehouse_Movements'!$E$2:$E$500),$C216))</f>
        <v/>
      </c>
      <c r="E216" t="s">
        <v>423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741</v>
      </c>
      <c r="B217" s="24"/>
      <c r="D217" t="str">
        <f>IF($C217="","",IFERROR(LOOKUP(2,1/('03_Warehouse_Movements'!$C$2:$C$500=$A217),'03_Warehouse_Movements'!$E$2:$E$500),$C217))</f>
        <v/>
      </c>
      <c r="E217" t="s">
        <v>423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742</v>
      </c>
      <c r="B218" s="24"/>
      <c r="D218" t="str">
        <f>IF($C218="","",IFERROR(LOOKUP(2,1/('03_Warehouse_Movements'!$C$2:$C$500=$A218),'03_Warehouse_Movements'!$E$2:$E$500),$C218))</f>
        <v/>
      </c>
      <c r="E218" t="s">
        <v>423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743</v>
      </c>
      <c r="B219" s="24"/>
      <c r="D219" t="str">
        <f>IF($C219="","",IFERROR(LOOKUP(2,1/('03_Warehouse_Movements'!$C$2:$C$500=$A219),'03_Warehouse_Movements'!$E$2:$E$500),$C219))</f>
        <v/>
      </c>
      <c r="E219" t="s">
        <v>423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744</v>
      </c>
      <c r="B220" s="24"/>
      <c r="D220" t="str">
        <f>IF($C220="","",IFERROR(LOOKUP(2,1/('03_Warehouse_Movements'!$C$2:$C$500=$A220),'03_Warehouse_Movements'!$E$2:$E$500),$C220))</f>
        <v/>
      </c>
      <c r="E220" t="s">
        <v>423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745</v>
      </c>
      <c r="B221" s="24"/>
      <c r="D221" t="str">
        <f>IF($C221="","",IFERROR(LOOKUP(2,1/('03_Warehouse_Movements'!$C$2:$C$500=$A221),'03_Warehouse_Movements'!$E$2:$E$500),$C221))</f>
        <v/>
      </c>
      <c r="E221" t="s">
        <v>423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746</v>
      </c>
      <c r="B222" s="24"/>
      <c r="D222" t="str">
        <f>IF($C222="","",IFERROR(LOOKUP(2,1/('03_Warehouse_Movements'!$C$2:$C$500=$A222),'03_Warehouse_Movements'!$E$2:$E$500),$C222))</f>
        <v/>
      </c>
      <c r="E222" t="s">
        <v>423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747</v>
      </c>
      <c r="B223" s="24"/>
      <c r="D223" t="str">
        <f>IF($C223="","",IFERROR(LOOKUP(2,1/('03_Warehouse_Movements'!$C$2:$C$500=$A223),'03_Warehouse_Movements'!$E$2:$E$500),$C223))</f>
        <v/>
      </c>
      <c r="E223" t="s">
        <v>423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748</v>
      </c>
      <c r="B224" s="24"/>
      <c r="D224" t="str">
        <f>IF($C224="","",IFERROR(LOOKUP(2,1/('03_Warehouse_Movements'!$C$2:$C$500=$A224),'03_Warehouse_Movements'!$E$2:$E$500),$C224))</f>
        <v/>
      </c>
      <c r="E224" t="s">
        <v>423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749</v>
      </c>
      <c r="B225" s="24"/>
      <c r="D225" t="str">
        <f>IF($C225="","",IFERROR(LOOKUP(2,1/('03_Warehouse_Movements'!$C$2:$C$500=$A225),'03_Warehouse_Movements'!$E$2:$E$500),$C225))</f>
        <v/>
      </c>
      <c r="E225" t="s">
        <v>423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750</v>
      </c>
      <c r="B226" s="24"/>
      <c r="D226" t="str">
        <f>IF($C226="","",IFERROR(LOOKUP(2,1/('03_Warehouse_Movements'!$C$2:$C$500=$A226),'03_Warehouse_Movements'!$E$2:$E$500),$C226))</f>
        <v/>
      </c>
      <c r="E226" t="s">
        <v>423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751</v>
      </c>
      <c r="B227" s="24"/>
      <c r="D227" t="str">
        <f>IF($C227="","",IFERROR(LOOKUP(2,1/('03_Warehouse_Movements'!$C$2:$C$500=$A227),'03_Warehouse_Movements'!$E$2:$E$500),$C227))</f>
        <v/>
      </c>
      <c r="E227" t="s">
        <v>423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752</v>
      </c>
      <c r="B228" s="24"/>
      <c r="D228" t="str">
        <f>IF($C228="","",IFERROR(LOOKUP(2,1/('03_Warehouse_Movements'!$C$2:$C$500=$A228),'03_Warehouse_Movements'!$E$2:$E$500),$C228))</f>
        <v/>
      </c>
      <c r="E228" t="s">
        <v>423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753</v>
      </c>
      <c r="B229" s="24"/>
      <c r="D229" t="str">
        <f>IF($C229="","",IFERROR(LOOKUP(2,1/('03_Warehouse_Movements'!$C$2:$C$500=$A229),'03_Warehouse_Movements'!$E$2:$E$500),$C229))</f>
        <v/>
      </c>
      <c r="E229" t="s">
        <v>423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754</v>
      </c>
      <c r="B230" s="24"/>
      <c r="D230" t="str">
        <f>IF($C230="","",IFERROR(LOOKUP(2,1/('03_Warehouse_Movements'!$C$2:$C$500=$A230),'03_Warehouse_Movements'!$E$2:$E$500),$C230))</f>
        <v/>
      </c>
      <c r="E230" t="s">
        <v>423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755</v>
      </c>
      <c r="B231" s="24"/>
      <c r="D231" t="str">
        <f>IF($C231="","",IFERROR(LOOKUP(2,1/('03_Warehouse_Movements'!$C$2:$C$500=$A231),'03_Warehouse_Movements'!$E$2:$E$500),$C231))</f>
        <v/>
      </c>
      <c r="E231" t="s">
        <v>423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756</v>
      </c>
      <c r="B232" s="24"/>
      <c r="D232" t="str">
        <f>IF($C232="","",IFERROR(LOOKUP(2,1/('03_Warehouse_Movements'!$C$2:$C$500=$A232),'03_Warehouse_Movements'!$E$2:$E$500),$C232))</f>
        <v/>
      </c>
      <c r="E232" t="s">
        <v>423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757</v>
      </c>
      <c r="B233" s="24"/>
      <c r="D233" t="str">
        <f>IF($C233="","",IFERROR(LOOKUP(2,1/('03_Warehouse_Movements'!$C$2:$C$500=$A233),'03_Warehouse_Movements'!$E$2:$E$500),$C233))</f>
        <v/>
      </c>
      <c r="E233" t="s">
        <v>423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758</v>
      </c>
      <c r="B234" s="24"/>
      <c r="D234" t="str">
        <f>IF($C234="","",IFERROR(LOOKUP(2,1/('03_Warehouse_Movements'!$C$2:$C$500=$A234),'03_Warehouse_Movements'!$E$2:$E$500),$C234))</f>
        <v/>
      </c>
      <c r="E234" t="s">
        <v>423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759</v>
      </c>
      <c r="B235" s="24"/>
      <c r="D235" t="str">
        <f>IF($C235="","",IFERROR(LOOKUP(2,1/('03_Warehouse_Movements'!$C$2:$C$500=$A235),'03_Warehouse_Movements'!$E$2:$E$500),$C235))</f>
        <v/>
      </c>
      <c r="E235" t="s">
        <v>423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760</v>
      </c>
      <c r="B236" s="24"/>
      <c r="D236" t="str">
        <f>IF($C236="","",IFERROR(LOOKUP(2,1/('03_Warehouse_Movements'!$C$2:$C$500=$A236),'03_Warehouse_Movements'!$E$2:$E$500),$C236))</f>
        <v/>
      </c>
      <c r="E236" t="s">
        <v>423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761</v>
      </c>
      <c r="B237" s="24"/>
      <c r="D237" t="str">
        <f>IF($C237="","",IFERROR(LOOKUP(2,1/('03_Warehouse_Movements'!$C$2:$C$500=$A237),'03_Warehouse_Movements'!$E$2:$E$500),$C237))</f>
        <v/>
      </c>
      <c r="E237" t="s">
        <v>423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762</v>
      </c>
      <c r="B238" s="24"/>
      <c r="D238" t="str">
        <f>IF($C238="","",IFERROR(LOOKUP(2,1/('03_Warehouse_Movements'!$C$2:$C$500=$A238),'03_Warehouse_Movements'!$E$2:$E$500),$C238))</f>
        <v/>
      </c>
      <c r="E238" t="s">
        <v>423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763</v>
      </c>
      <c r="B239" s="24"/>
      <c r="D239" t="str">
        <f>IF($C239="","",IFERROR(LOOKUP(2,1/('03_Warehouse_Movements'!$C$2:$C$500=$A239),'03_Warehouse_Movements'!$E$2:$E$500),$C239))</f>
        <v/>
      </c>
      <c r="E239" t="s">
        <v>423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764</v>
      </c>
      <c r="B240" s="24"/>
      <c r="D240" t="str">
        <f>IF($C240="","",IFERROR(LOOKUP(2,1/('03_Warehouse_Movements'!$C$2:$C$500=$A240),'03_Warehouse_Movements'!$E$2:$E$500),$C240))</f>
        <v/>
      </c>
      <c r="E240" t="s">
        <v>423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765</v>
      </c>
      <c r="B241" s="24"/>
      <c r="D241" t="str">
        <f>IF($C241="","",IFERROR(LOOKUP(2,1/('03_Warehouse_Movements'!$C$2:$C$500=$A241),'03_Warehouse_Movements'!$E$2:$E$500),$C241))</f>
        <v/>
      </c>
      <c r="E241" t="s">
        <v>423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766</v>
      </c>
      <c r="B242" s="24"/>
      <c r="D242" t="str">
        <f>IF($C242="","",IFERROR(LOOKUP(2,1/('03_Warehouse_Movements'!$C$2:$C$500=$A242),'03_Warehouse_Movements'!$E$2:$E$500),$C242))</f>
        <v/>
      </c>
      <c r="E242" t="s">
        <v>423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767</v>
      </c>
      <c r="B243" s="24"/>
      <c r="D243" t="str">
        <f>IF($C243="","",IFERROR(LOOKUP(2,1/('03_Warehouse_Movements'!$C$2:$C$500=$A243),'03_Warehouse_Movements'!$E$2:$E$500),$C243))</f>
        <v/>
      </c>
      <c r="E243" t="s">
        <v>423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768</v>
      </c>
      <c r="B244" s="24"/>
      <c r="D244" t="str">
        <f>IF($C244="","",IFERROR(LOOKUP(2,1/('03_Warehouse_Movements'!$C$2:$C$500=$A244),'03_Warehouse_Movements'!$E$2:$E$500),$C244))</f>
        <v/>
      </c>
      <c r="E244" t="s">
        <v>423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769</v>
      </c>
      <c r="B245" s="24"/>
      <c r="D245" t="str">
        <f>IF($C245="","",IFERROR(LOOKUP(2,1/('03_Warehouse_Movements'!$C$2:$C$500=$A245),'03_Warehouse_Movements'!$E$2:$E$500),$C245))</f>
        <v/>
      </c>
      <c r="E245" t="s">
        <v>423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770</v>
      </c>
      <c r="B246" s="24"/>
      <c r="D246" t="str">
        <f>IF($C246="","",IFERROR(LOOKUP(2,1/('03_Warehouse_Movements'!$C$2:$C$500=$A246),'03_Warehouse_Movements'!$E$2:$E$500),$C246))</f>
        <v/>
      </c>
      <c r="E246" t="s">
        <v>423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771</v>
      </c>
      <c r="B247" s="24"/>
      <c r="D247" t="str">
        <f>IF($C247="","",IFERROR(LOOKUP(2,1/('03_Warehouse_Movements'!$C$2:$C$500=$A247),'03_Warehouse_Movements'!$E$2:$E$500),$C247))</f>
        <v/>
      </c>
      <c r="E247" t="s">
        <v>423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772</v>
      </c>
      <c r="B248" s="24"/>
      <c r="D248" t="str">
        <f>IF($C248="","",IFERROR(LOOKUP(2,1/('03_Warehouse_Movements'!$C$2:$C$500=$A248),'03_Warehouse_Movements'!$E$2:$E$500),$C248))</f>
        <v/>
      </c>
      <c r="E248" t="s">
        <v>423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773</v>
      </c>
      <c r="B249" s="24"/>
      <c r="D249" t="str">
        <f>IF($C249="","",IFERROR(LOOKUP(2,1/('03_Warehouse_Movements'!$C$2:$C$500=$A249),'03_Warehouse_Movements'!$E$2:$E$500),$C249))</f>
        <v/>
      </c>
      <c r="E249" t="s">
        <v>423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774</v>
      </c>
      <c r="B250" s="24"/>
      <c r="D250" t="str">
        <f>IF($C250="","",IFERROR(LOOKUP(2,1/('03_Warehouse_Movements'!$C$2:$C$500=$A250),'03_Warehouse_Movements'!$E$2:$E$500),$C250))</f>
        <v/>
      </c>
      <c r="E250" t="s">
        <v>423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775</v>
      </c>
      <c r="B251" s="24"/>
      <c r="D251" t="str">
        <f>IF($C251="","",IFERROR(LOOKUP(2,1/('03_Warehouse_Movements'!$C$2:$C$500=$A251),'03_Warehouse_Movements'!$E$2:$E$500),$C251))</f>
        <v/>
      </c>
      <c r="E251" t="s">
        <v>423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776</v>
      </c>
      <c r="B252" s="24"/>
      <c r="D252" t="str">
        <f>IF($C252="","",IFERROR(LOOKUP(2,1/('03_Warehouse_Movements'!$C$2:$C$500=$A252),'03_Warehouse_Movements'!$E$2:$E$500),$C252))</f>
        <v/>
      </c>
      <c r="E252" t="s">
        <v>423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777</v>
      </c>
      <c r="B253" s="24"/>
      <c r="D253" t="str">
        <f>IF($C253="","",IFERROR(LOOKUP(2,1/('03_Warehouse_Movements'!$C$2:$C$500=$A253),'03_Warehouse_Movements'!$E$2:$E$500),$C253))</f>
        <v/>
      </c>
      <c r="E253" t="s">
        <v>423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778</v>
      </c>
      <c r="B254" s="24"/>
      <c r="D254" t="str">
        <f>IF($C254="","",IFERROR(LOOKUP(2,1/('03_Warehouse_Movements'!$C$2:$C$500=$A254),'03_Warehouse_Movements'!$E$2:$E$500),$C254))</f>
        <v/>
      </c>
      <c r="E254" t="s">
        <v>423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779</v>
      </c>
      <c r="B255" s="24"/>
      <c r="D255" t="str">
        <f>IF($C255="","",IFERROR(LOOKUP(2,1/('03_Warehouse_Movements'!$C$2:$C$500=$A255),'03_Warehouse_Movements'!$E$2:$E$500),$C255))</f>
        <v/>
      </c>
      <c r="E255" t="s">
        <v>423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780</v>
      </c>
      <c r="B256" s="24"/>
      <c r="D256" t="str">
        <f>IF($C256="","",IFERROR(LOOKUP(2,1/('03_Warehouse_Movements'!$C$2:$C$500=$A256),'03_Warehouse_Movements'!$E$2:$E$500),$C256))</f>
        <v/>
      </c>
      <c r="E256" t="s">
        <v>423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781</v>
      </c>
      <c r="B257" s="24"/>
      <c r="D257" t="str">
        <f>IF($C257="","",IFERROR(LOOKUP(2,1/('03_Warehouse_Movements'!$C$2:$C$500=$A257),'03_Warehouse_Movements'!$E$2:$E$500),$C257))</f>
        <v/>
      </c>
      <c r="E257" t="s">
        <v>423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782</v>
      </c>
      <c r="B258" s="24"/>
      <c r="D258" t="str">
        <f>IF($C258="","",IFERROR(LOOKUP(2,1/('03_Warehouse_Movements'!$C$2:$C$500=$A258),'03_Warehouse_Movements'!$E$2:$E$500),$C258))</f>
        <v/>
      </c>
      <c r="E258" t="s">
        <v>423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783</v>
      </c>
      <c r="B259" s="24"/>
      <c r="D259" t="str">
        <f>IF($C259="","",IFERROR(LOOKUP(2,1/('03_Warehouse_Movements'!$C$2:$C$500=$A259),'03_Warehouse_Movements'!$E$2:$E$500),$C259))</f>
        <v/>
      </c>
      <c r="E259" t="s">
        <v>423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784</v>
      </c>
      <c r="B260" s="24"/>
      <c r="D260" t="str">
        <f>IF($C260="","",IFERROR(LOOKUP(2,1/('03_Warehouse_Movements'!$C$2:$C$500=$A260),'03_Warehouse_Movements'!$E$2:$E$500),$C260))</f>
        <v/>
      </c>
      <c r="E260" t="s">
        <v>423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785</v>
      </c>
      <c r="B261" s="24"/>
      <c r="D261" t="str">
        <f>IF($C261="","",IFERROR(LOOKUP(2,1/('03_Warehouse_Movements'!$C$2:$C$500=$A261),'03_Warehouse_Movements'!$E$2:$E$500),$C261))</f>
        <v/>
      </c>
      <c r="E261" t="s">
        <v>423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786</v>
      </c>
      <c r="B262" s="24"/>
      <c r="D262" t="str">
        <f>IF($C262="","",IFERROR(LOOKUP(2,1/('03_Warehouse_Movements'!$C$2:$C$500=$A262),'03_Warehouse_Movements'!$E$2:$E$500),$C262))</f>
        <v/>
      </c>
      <c r="E262" t="s">
        <v>423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787</v>
      </c>
      <c r="B263" s="24"/>
      <c r="D263" t="str">
        <f>IF($C263="","",IFERROR(LOOKUP(2,1/('03_Warehouse_Movements'!$C$2:$C$500=$A263),'03_Warehouse_Movements'!$E$2:$E$500),$C263))</f>
        <v/>
      </c>
      <c r="E263" t="s">
        <v>423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788</v>
      </c>
      <c r="B264" s="24"/>
      <c r="D264" t="str">
        <f>IF($C264="","",IFERROR(LOOKUP(2,1/('03_Warehouse_Movements'!$C$2:$C$500=$A264),'03_Warehouse_Movements'!$E$2:$E$500),$C264))</f>
        <v/>
      </c>
      <c r="E264" t="s">
        <v>423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789</v>
      </c>
      <c r="B265" s="24"/>
      <c r="D265" t="str">
        <f>IF($C265="","",IFERROR(LOOKUP(2,1/('03_Warehouse_Movements'!$C$2:$C$500=$A265),'03_Warehouse_Movements'!$E$2:$E$500),$C265))</f>
        <v/>
      </c>
      <c r="E265" t="s">
        <v>423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790</v>
      </c>
      <c r="B266" s="24"/>
      <c r="D266" t="str">
        <f>IF($C266="","",IFERROR(LOOKUP(2,1/('03_Warehouse_Movements'!$C$2:$C$500=$A266),'03_Warehouse_Movements'!$E$2:$E$500),$C266))</f>
        <v/>
      </c>
      <c r="E266" t="s">
        <v>423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791</v>
      </c>
      <c r="B267" s="24"/>
      <c r="D267" t="str">
        <f>IF($C267="","",IFERROR(LOOKUP(2,1/('03_Warehouse_Movements'!$C$2:$C$500=$A267),'03_Warehouse_Movements'!$E$2:$E$500),$C267))</f>
        <v/>
      </c>
      <c r="E267" t="s">
        <v>423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792</v>
      </c>
      <c r="B268" s="24"/>
      <c r="D268" t="str">
        <f>IF($C268="","",IFERROR(LOOKUP(2,1/('03_Warehouse_Movements'!$C$2:$C$500=$A268),'03_Warehouse_Movements'!$E$2:$E$500),$C268))</f>
        <v/>
      </c>
      <c r="E268" t="s">
        <v>423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793</v>
      </c>
      <c r="B269" s="24"/>
      <c r="D269" t="str">
        <f>IF($C269="","",IFERROR(LOOKUP(2,1/('03_Warehouse_Movements'!$C$2:$C$500=$A269),'03_Warehouse_Movements'!$E$2:$E$500),$C269))</f>
        <v/>
      </c>
      <c r="E269" t="s">
        <v>423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794</v>
      </c>
      <c r="B270" s="24"/>
      <c r="D270" t="str">
        <f>IF($C270="","",IFERROR(LOOKUP(2,1/('03_Warehouse_Movements'!$C$2:$C$500=$A270),'03_Warehouse_Movements'!$E$2:$E$500),$C270))</f>
        <v/>
      </c>
      <c r="E270" t="s">
        <v>423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795</v>
      </c>
      <c r="B271" s="24"/>
      <c r="D271" t="str">
        <f>IF($C271="","",IFERROR(LOOKUP(2,1/('03_Warehouse_Movements'!$C$2:$C$500=$A271),'03_Warehouse_Movements'!$E$2:$E$500),$C271))</f>
        <v/>
      </c>
      <c r="E271" t="s">
        <v>423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796</v>
      </c>
      <c r="B272" s="24"/>
      <c r="D272" t="str">
        <f>IF($C272="","",IFERROR(LOOKUP(2,1/('03_Warehouse_Movements'!$C$2:$C$500=$A272),'03_Warehouse_Movements'!$E$2:$E$500),$C272))</f>
        <v/>
      </c>
      <c r="E272" t="s">
        <v>423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797</v>
      </c>
      <c r="B273" s="24"/>
      <c r="D273" t="str">
        <f>IF($C273="","",IFERROR(LOOKUP(2,1/('03_Warehouse_Movements'!$C$2:$C$500=$A273),'03_Warehouse_Movements'!$E$2:$E$500),$C273))</f>
        <v/>
      </c>
      <c r="E273" t="s">
        <v>423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798</v>
      </c>
      <c r="B274" s="24"/>
      <c r="D274" t="str">
        <f>IF($C274="","",IFERROR(LOOKUP(2,1/('03_Warehouse_Movements'!$C$2:$C$500=$A274),'03_Warehouse_Movements'!$E$2:$E$500),$C274))</f>
        <v/>
      </c>
      <c r="E274" t="s">
        <v>423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799</v>
      </c>
      <c r="B275" s="24"/>
      <c r="D275" t="str">
        <f>IF($C275="","",IFERROR(LOOKUP(2,1/('03_Warehouse_Movements'!$C$2:$C$500=$A275),'03_Warehouse_Movements'!$E$2:$E$500),$C275))</f>
        <v/>
      </c>
      <c r="E275" t="s">
        <v>423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800</v>
      </c>
      <c r="B276" s="24"/>
      <c r="D276" t="str">
        <f>IF($C276="","",IFERROR(LOOKUP(2,1/('03_Warehouse_Movements'!$C$2:$C$500=$A276),'03_Warehouse_Movements'!$E$2:$E$500),$C276))</f>
        <v/>
      </c>
      <c r="E276" t="s">
        <v>423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801</v>
      </c>
      <c r="B277" s="24"/>
      <c r="D277" t="str">
        <f>IF($C277="","",IFERROR(LOOKUP(2,1/('03_Warehouse_Movements'!$C$2:$C$500=$A277),'03_Warehouse_Movements'!$E$2:$E$500),$C277))</f>
        <v/>
      </c>
      <c r="E277" t="s">
        <v>423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802</v>
      </c>
      <c r="B278" s="24"/>
      <c r="D278" t="str">
        <f>IF($C278="","",IFERROR(LOOKUP(2,1/('03_Warehouse_Movements'!$C$2:$C$500=$A278),'03_Warehouse_Movements'!$E$2:$E$500),$C278))</f>
        <v/>
      </c>
      <c r="E278" t="s">
        <v>423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803</v>
      </c>
      <c r="B279" s="24"/>
      <c r="D279" t="str">
        <f>IF($C279="","",IFERROR(LOOKUP(2,1/('03_Warehouse_Movements'!$C$2:$C$500=$A279),'03_Warehouse_Movements'!$E$2:$E$500),$C279))</f>
        <v/>
      </c>
      <c r="E279" t="s">
        <v>423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804</v>
      </c>
      <c r="B280" s="24"/>
      <c r="D280" t="str">
        <f>IF($C280="","",IFERROR(LOOKUP(2,1/('03_Warehouse_Movements'!$C$2:$C$500=$A280),'03_Warehouse_Movements'!$E$2:$E$500),$C280))</f>
        <v/>
      </c>
      <c r="E280" t="s">
        <v>423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805</v>
      </c>
      <c r="B281" s="24"/>
      <c r="D281" t="str">
        <f>IF($C281="","",IFERROR(LOOKUP(2,1/('03_Warehouse_Movements'!$C$2:$C$500=$A281),'03_Warehouse_Movements'!$E$2:$E$500),$C281))</f>
        <v/>
      </c>
      <c r="E281" t="s">
        <v>423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806</v>
      </c>
      <c r="B282" s="24"/>
      <c r="D282" t="str">
        <f>IF($C282="","",IFERROR(LOOKUP(2,1/('03_Warehouse_Movements'!$C$2:$C$500=$A282),'03_Warehouse_Movements'!$E$2:$E$500),$C282))</f>
        <v/>
      </c>
      <c r="E282" t="s">
        <v>423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807</v>
      </c>
      <c r="B283" s="24"/>
      <c r="D283" t="str">
        <f>IF($C283="","",IFERROR(LOOKUP(2,1/('03_Warehouse_Movements'!$C$2:$C$500=$A283),'03_Warehouse_Movements'!$E$2:$E$500),$C283))</f>
        <v/>
      </c>
      <c r="E283" t="s">
        <v>423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808</v>
      </c>
      <c r="B284" s="24"/>
      <c r="D284" t="str">
        <f>IF($C284="","",IFERROR(LOOKUP(2,1/('03_Warehouse_Movements'!$C$2:$C$500=$A284),'03_Warehouse_Movements'!$E$2:$E$500),$C284))</f>
        <v/>
      </c>
      <c r="E284" t="s">
        <v>423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809</v>
      </c>
      <c r="B285" s="24"/>
      <c r="D285" t="str">
        <f>IF($C285="","",IFERROR(LOOKUP(2,1/('03_Warehouse_Movements'!$C$2:$C$500=$A285),'03_Warehouse_Movements'!$E$2:$E$500),$C285))</f>
        <v/>
      </c>
      <c r="E285" t="s">
        <v>423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810</v>
      </c>
      <c r="B286" s="24"/>
      <c r="D286" t="str">
        <f>IF($C286="","",IFERROR(LOOKUP(2,1/('03_Warehouse_Movements'!$C$2:$C$500=$A286),'03_Warehouse_Movements'!$E$2:$E$500),$C286))</f>
        <v/>
      </c>
      <c r="E286" t="s">
        <v>423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811</v>
      </c>
      <c r="B287" s="24"/>
      <c r="D287" t="str">
        <f>IF($C287="","",IFERROR(LOOKUP(2,1/('03_Warehouse_Movements'!$C$2:$C$500=$A287),'03_Warehouse_Movements'!$E$2:$E$500),$C287))</f>
        <v/>
      </c>
      <c r="E287" t="s">
        <v>423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812</v>
      </c>
      <c r="B288" s="24"/>
      <c r="D288" t="str">
        <f>IF($C288="","",IFERROR(LOOKUP(2,1/('03_Warehouse_Movements'!$C$2:$C$500=$A288),'03_Warehouse_Movements'!$E$2:$E$500),$C288))</f>
        <v/>
      </c>
      <c r="E288" t="s">
        <v>423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813</v>
      </c>
      <c r="B289" s="24"/>
      <c r="D289" t="str">
        <f>IF($C289="","",IFERROR(LOOKUP(2,1/('03_Warehouse_Movements'!$C$2:$C$500=$A289),'03_Warehouse_Movements'!$E$2:$E$500),$C289))</f>
        <v/>
      </c>
      <c r="E289" t="s">
        <v>423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814</v>
      </c>
      <c r="B290" s="24"/>
      <c r="D290" t="str">
        <f>IF($C290="","",IFERROR(LOOKUP(2,1/('03_Warehouse_Movements'!$C$2:$C$500=$A290),'03_Warehouse_Movements'!$E$2:$E$500),$C290))</f>
        <v/>
      </c>
      <c r="E290" t="s">
        <v>423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815</v>
      </c>
      <c r="B291" s="24"/>
      <c r="D291" t="str">
        <f>IF($C291="","",IFERROR(LOOKUP(2,1/('03_Warehouse_Movements'!$C$2:$C$500=$A291),'03_Warehouse_Movements'!$E$2:$E$500),$C291))</f>
        <v/>
      </c>
      <c r="E291" t="s">
        <v>423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816</v>
      </c>
      <c r="B292" s="24"/>
      <c r="D292" t="str">
        <f>IF($C292="","",IFERROR(LOOKUP(2,1/('03_Warehouse_Movements'!$C$2:$C$500=$A292),'03_Warehouse_Movements'!$E$2:$E$500),$C292))</f>
        <v/>
      </c>
      <c r="E292" t="s">
        <v>423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817</v>
      </c>
      <c r="B293" s="24"/>
      <c r="D293" t="str">
        <f>IF($C293="","",IFERROR(LOOKUP(2,1/('03_Warehouse_Movements'!$C$2:$C$500=$A293),'03_Warehouse_Movements'!$E$2:$E$500),$C293))</f>
        <v/>
      </c>
      <c r="E293" t="s">
        <v>423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818</v>
      </c>
      <c r="B294" s="24"/>
      <c r="D294" t="str">
        <f>IF($C294="","",IFERROR(LOOKUP(2,1/('03_Warehouse_Movements'!$C$2:$C$500=$A294),'03_Warehouse_Movements'!$E$2:$E$500),$C294))</f>
        <v/>
      </c>
      <c r="E294" t="s">
        <v>423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819</v>
      </c>
      <c r="B295" s="24"/>
      <c r="D295" t="str">
        <f>IF($C295="","",IFERROR(LOOKUP(2,1/('03_Warehouse_Movements'!$C$2:$C$500=$A295),'03_Warehouse_Movements'!$E$2:$E$500),$C295))</f>
        <v/>
      </c>
      <c r="E295" t="s">
        <v>423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820</v>
      </c>
      <c r="B296" s="24"/>
      <c r="D296" t="str">
        <f>IF($C296="","",IFERROR(LOOKUP(2,1/('03_Warehouse_Movements'!$C$2:$C$500=$A296),'03_Warehouse_Movements'!$E$2:$E$500),$C296))</f>
        <v/>
      </c>
      <c r="E296" t="s">
        <v>423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821</v>
      </c>
      <c r="B297" s="24"/>
      <c r="D297" t="str">
        <f>IF($C297="","",IFERROR(LOOKUP(2,1/('03_Warehouse_Movements'!$C$2:$C$500=$A297),'03_Warehouse_Movements'!$E$2:$E$500),$C297))</f>
        <v/>
      </c>
      <c r="E297" t="s">
        <v>423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822</v>
      </c>
      <c r="B298" s="24"/>
      <c r="D298" t="str">
        <f>IF($C298="","",IFERROR(LOOKUP(2,1/('03_Warehouse_Movements'!$C$2:$C$500=$A298),'03_Warehouse_Movements'!$E$2:$E$500),$C298))</f>
        <v/>
      </c>
      <c r="E298" t="s">
        <v>423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823</v>
      </c>
      <c r="B299" s="24"/>
      <c r="D299" t="str">
        <f>IF($C299="","",IFERROR(LOOKUP(2,1/('03_Warehouse_Movements'!$C$2:$C$500=$A299),'03_Warehouse_Movements'!$E$2:$E$500),$C299))</f>
        <v/>
      </c>
      <c r="E299" t="s">
        <v>423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824</v>
      </c>
      <c r="B300" s="24"/>
      <c r="D300" t="str">
        <f>IF($C300="","",IFERROR(LOOKUP(2,1/('03_Warehouse_Movements'!$C$2:$C$500=$A300),'03_Warehouse_Movements'!$E$2:$E$500),$C300))</f>
        <v/>
      </c>
      <c r="E300" t="s">
        <v>423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825</v>
      </c>
      <c r="B301" s="24"/>
      <c r="D301" t="str">
        <f>IF($C301="","",IFERROR(LOOKUP(2,1/('03_Warehouse_Movements'!$C$2:$C$500=$A301),'03_Warehouse_Movements'!$E$2:$E$500),$C301))</f>
        <v/>
      </c>
      <c r="E301" t="s">
        <v>423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826</v>
      </c>
      <c r="B302" s="24"/>
      <c r="D302" t="str">
        <f>IF($C302="","",IFERROR(LOOKUP(2,1/('03_Warehouse_Movements'!$C$2:$C$500=$A302),'03_Warehouse_Movements'!$E$2:$E$500),$C302))</f>
        <v/>
      </c>
      <c r="E302" t="s">
        <v>423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827</v>
      </c>
      <c r="B303" s="24"/>
      <c r="D303" t="str">
        <f>IF($C303="","",IFERROR(LOOKUP(2,1/('03_Warehouse_Movements'!$C$2:$C$500=$A303),'03_Warehouse_Movements'!$E$2:$E$500),$C303))</f>
        <v/>
      </c>
      <c r="E303" t="s">
        <v>423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828</v>
      </c>
      <c r="B304" s="24"/>
      <c r="D304" t="str">
        <f>IF($C304="","",IFERROR(LOOKUP(2,1/('03_Warehouse_Movements'!$C$2:$C$500=$A304),'03_Warehouse_Movements'!$E$2:$E$500),$C304))</f>
        <v/>
      </c>
      <c r="E304" t="s">
        <v>423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829</v>
      </c>
      <c r="B305" s="24"/>
      <c r="D305" t="str">
        <f>IF($C305="","",IFERROR(LOOKUP(2,1/('03_Warehouse_Movements'!$C$2:$C$500=$A305),'03_Warehouse_Movements'!$E$2:$E$500),$C305))</f>
        <v/>
      </c>
      <c r="E305" t="s">
        <v>423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830</v>
      </c>
      <c r="B306" s="24"/>
      <c r="D306" t="str">
        <f>IF($C306="","",IFERROR(LOOKUP(2,1/('03_Warehouse_Movements'!$C$2:$C$500=$A306),'03_Warehouse_Movements'!$E$2:$E$500),$C306))</f>
        <v/>
      </c>
      <c r="E306" t="s">
        <v>423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831</v>
      </c>
      <c r="B307" s="24"/>
      <c r="D307" t="str">
        <f>IF($C307="","",IFERROR(LOOKUP(2,1/('03_Warehouse_Movements'!$C$2:$C$500=$A307),'03_Warehouse_Movements'!$E$2:$E$500),$C307))</f>
        <v/>
      </c>
      <c r="E307" t="s">
        <v>423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832</v>
      </c>
      <c r="B308" s="24"/>
      <c r="D308" t="str">
        <f>IF($C308="","",IFERROR(LOOKUP(2,1/('03_Warehouse_Movements'!$C$2:$C$500=$A308),'03_Warehouse_Movements'!$E$2:$E$500),$C308))</f>
        <v/>
      </c>
      <c r="E308" t="s">
        <v>423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833</v>
      </c>
      <c r="B309" s="24"/>
      <c r="D309" t="str">
        <f>IF($C309="","",IFERROR(LOOKUP(2,1/('03_Warehouse_Movements'!$C$2:$C$500=$A309),'03_Warehouse_Movements'!$E$2:$E$500),$C309))</f>
        <v/>
      </c>
      <c r="E309" t="s">
        <v>423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834</v>
      </c>
      <c r="B310" s="24"/>
      <c r="D310" t="str">
        <f>IF($C310="","",IFERROR(LOOKUP(2,1/('03_Warehouse_Movements'!$C$2:$C$500=$A310),'03_Warehouse_Movements'!$E$2:$E$500),$C310))</f>
        <v/>
      </c>
      <c r="E310" t="s">
        <v>423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835</v>
      </c>
      <c r="B311" s="24"/>
      <c r="D311" t="str">
        <f>IF($C311="","",IFERROR(LOOKUP(2,1/('03_Warehouse_Movements'!$C$2:$C$500=$A311),'03_Warehouse_Movements'!$E$2:$E$500),$C311))</f>
        <v/>
      </c>
      <c r="E311" t="s">
        <v>423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836</v>
      </c>
      <c r="B312" s="24"/>
      <c r="D312" t="str">
        <f>IF($C312="","",IFERROR(LOOKUP(2,1/('03_Warehouse_Movements'!$C$2:$C$500=$A312),'03_Warehouse_Movements'!$E$2:$E$500),$C312))</f>
        <v/>
      </c>
      <c r="E312" t="s">
        <v>423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837</v>
      </c>
      <c r="B313" s="24"/>
      <c r="D313" t="str">
        <f>IF($C313="","",IFERROR(LOOKUP(2,1/('03_Warehouse_Movements'!$C$2:$C$500=$A313),'03_Warehouse_Movements'!$E$2:$E$500),$C313))</f>
        <v/>
      </c>
      <c r="E313" t="s">
        <v>423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838</v>
      </c>
      <c r="B314" s="24"/>
      <c r="D314" t="str">
        <f>IF($C314="","",IFERROR(LOOKUP(2,1/('03_Warehouse_Movements'!$C$2:$C$500=$A314),'03_Warehouse_Movements'!$E$2:$E$500),$C314))</f>
        <v/>
      </c>
      <c r="E314" t="s">
        <v>423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839</v>
      </c>
      <c r="B315" s="24"/>
      <c r="D315" t="str">
        <f>IF($C315="","",IFERROR(LOOKUP(2,1/('03_Warehouse_Movements'!$C$2:$C$500=$A315),'03_Warehouse_Movements'!$E$2:$E$500),$C315))</f>
        <v/>
      </c>
      <c r="E315" t="s">
        <v>423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840</v>
      </c>
      <c r="B316" s="24"/>
      <c r="D316" t="str">
        <f>IF($C316="","",IFERROR(LOOKUP(2,1/('03_Warehouse_Movements'!$C$2:$C$500=$A316),'03_Warehouse_Movements'!$E$2:$E$500),$C316))</f>
        <v/>
      </c>
      <c r="E316" t="s">
        <v>423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841</v>
      </c>
      <c r="B317" s="24"/>
      <c r="D317" t="str">
        <f>IF($C317="","",IFERROR(LOOKUP(2,1/('03_Warehouse_Movements'!$C$2:$C$500=$A317),'03_Warehouse_Movements'!$E$2:$E$500),$C317))</f>
        <v/>
      </c>
      <c r="E317" t="s">
        <v>423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842</v>
      </c>
      <c r="B318" s="24"/>
      <c r="D318" t="str">
        <f>IF($C318="","",IFERROR(LOOKUP(2,1/('03_Warehouse_Movements'!$C$2:$C$500=$A318),'03_Warehouse_Movements'!$E$2:$E$500),$C318))</f>
        <v/>
      </c>
      <c r="E318" t="s">
        <v>423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843</v>
      </c>
      <c r="B319" s="24"/>
      <c r="D319" t="str">
        <f>IF($C319="","",IFERROR(LOOKUP(2,1/('03_Warehouse_Movements'!$C$2:$C$500=$A319),'03_Warehouse_Movements'!$E$2:$E$500),$C319))</f>
        <v/>
      </c>
      <c r="E319" t="s">
        <v>423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844</v>
      </c>
      <c r="B320" s="24"/>
      <c r="D320" t="str">
        <f>IF($C320="","",IFERROR(LOOKUP(2,1/('03_Warehouse_Movements'!$C$2:$C$500=$A320),'03_Warehouse_Movements'!$E$2:$E$500),$C320))</f>
        <v/>
      </c>
      <c r="E320" t="s">
        <v>423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845</v>
      </c>
      <c r="B321" s="24"/>
      <c r="D321" t="str">
        <f>IF($C321="","",IFERROR(LOOKUP(2,1/('03_Warehouse_Movements'!$C$2:$C$500=$A321),'03_Warehouse_Movements'!$E$2:$E$500),$C321))</f>
        <v/>
      </c>
      <c r="E321" t="s">
        <v>423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846</v>
      </c>
      <c r="B322" s="24"/>
      <c r="D322" t="str">
        <f>IF($C322="","",IFERROR(LOOKUP(2,1/('03_Warehouse_Movements'!$C$2:$C$500=$A322),'03_Warehouse_Movements'!$E$2:$E$500),$C322))</f>
        <v/>
      </c>
      <c r="E322" t="s">
        <v>423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847</v>
      </c>
      <c r="B323" s="24"/>
      <c r="D323" t="str">
        <f>IF($C323="","",IFERROR(LOOKUP(2,1/('03_Warehouse_Movements'!$C$2:$C$500=$A323),'03_Warehouse_Movements'!$E$2:$E$500),$C323))</f>
        <v/>
      </c>
      <c r="E323" t="s">
        <v>423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848</v>
      </c>
      <c r="B324" s="24"/>
      <c r="D324" t="str">
        <f>IF($C324="","",IFERROR(LOOKUP(2,1/('03_Warehouse_Movements'!$C$2:$C$500=$A324),'03_Warehouse_Movements'!$E$2:$E$500),$C324))</f>
        <v/>
      </c>
      <c r="E324" t="s">
        <v>423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849</v>
      </c>
      <c r="B325" s="24"/>
      <c r="D325" t="str">
        <f>IF($C325="","",IFERROR(LOOKUP(2,1/('03_Warehouse_Movements'!$C$2:$C$500=$A325),'03_Warehouse_Movements'!$E$2:$E$500),$C325))</f>
        <v/>
      </c>
      <c r="E325" t="s">
        <v>423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850</v>
      </c>
      <c r="B326" s="24"/>
      <c r="D326" t="str">
        <f>IF($C326="","",IFERROR(LOOKUP(2,1/('03_Warehouse_Movements'!$C$2:$C$500=$A326),'03_Warehouse_Movements'!$E$2:$E$500),$C326))</f>
        <v/>
      </c>
      <c r="E326" t="s">
        <v>423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851</v>
      </c>
      <c r="B327" s="24"/>
      <c r="D327" t="str">
        <f>IF($C327="","",IFERROR(LOOKUP(2,1/('03_Warehouse_Movements'!$C$2:$C$500=$A327),'03_Warehouse_Movements'!$E$2:$E$500),$C327))</f>
        <v/>
      </c>
      <c r="E327" t="s">
        <v>423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852</v>
      </c>
      <c r="B328" s="24"/>
      <c r="D328" t="str">
        <f>IF($C328="","",IFERROR(LOOKUP(2,1/('03_Warehouse_Movements'!$C$2:$C$500=$A328),'03_Warehouse_Movements'!$E$2:$E$500),$C328))</f>
        <v/>
      </c>
      <c r="E328" t="s">
        <v>423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853</v>
      </c>
      <c r="B329" s="24"/>
      <c r="D329" t="str">
        <f>IF($C329="","",IFERROR(LOOKUP(2,1/('03_Warehouse_Movements'!$C$2:$C$500=$A329),'03_Warehouse_Movements'!$E$2:$E$500),$C329))</f>
        <v/>
      </c>
      <c r="E329" t="s">
        <v>423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854</v>
      </c>
      <c r="B330" s="24"/>
      <c r="D330" t="str">
        <f>IF($C330="","",IFERROR(LOOKUP(2,1/('03_Warehouse_Movements'!$C$2:$C$500=$A330),'03_Warehouse_Movements'!$E$2:$E$500),$C330))</f>
        <v/>
      </c>
      <c r="E330" t="s">
        <v>423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855</v>
      </c>
      <c r="B331" s="24"/>
      <c r="D331" t="str">
        <f>IF($C331="","",IFERROR(LOOKUP(2,1/('03_Warehouse_Movements'!$C$2:$C$500=$A331),'03_Warehouse_Movements'!$E$2:$E$500),$C331))</f>
        <v/>
      </c>
      <c r="E331" t="s">
        <v>423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856</v>
      </c>
      <c r="B332" s="24"/>
      <c r="D332" t="str">
        <f>IF($C332="","",IFERROR(LOOKUP(2,1/('03_Warehouse_Movements'!$C$2:$C$500=$A332),'03_Warehouse_Movements'!$E$2:$E$500),$C332))</f>
        <v/>
      </c>
      <c r="E332" t="s">
        <v>423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857</v>
      </c>
      <c r="B333" s="24"/>
      <c r="D333" t="str">
        <f>IF($C333="","",IFERROR(LOOKUP(2,1/('03_Warehouse_Movements'!$C$2:$C$500=$A333),'03_Warehouse_Movements'!$E$2:$E$500),$C333))</f>
        <v/>
      </c>
      <c r="E333" t="s">
        <v>423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858</v>
      </c>
      <c r="B334" s="24"/>
      <c r="D334" t="str">
        <f>IF($C334="","",IFERROR(LOOKUP(2,1/('03_Warehouse_Movements'!$C$2:$C$500=$A334),'03_Warehouse_Movements'!$E$2:$E$500),$C334))</f>
        <v/>
      </c>
      <c r="E334" t="s">
        <v>423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859</v>
      </c>
      <c r="B335" s="24"/>
      <c r="D335" t="str">
        <f>IF($C335="","",IFERROR(LOOKUP(2,1/('03_Warehouse_Movements'!$C$2:$C$500=$A335),'03_Warehouse_Movements'!$E$2:$E$500),$C335))</f>
        <v/>
      </c>
      <c r="E335" t="s">
        <v>423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860</v>
      </c>
      <c r="B336" s="24"/>
      <c r="D336" t="str">
        <f>IF($C336="","",IFERROR(LOOKUP(2,1/('03_Warehouse_Movements'!$C$2:$C$500=$A336),'03_Warehouse_Movements'!$E$2:$E$500),$C336))</f>
        <v/>
      </c>
      <c r="E336" t="s">
        <v>423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861</v>
      </c>
      <c r="B337" s="24"/>
      <c r="D337" t="str">
        <f>IF($C337="","",IFERROR(LOOKUP(2,1/('03_Warehouse_Movements'!$C$2:$C$500=$A337),'03_Warehouse_Movements'!$E$2:$E$500),$C337))</f>
        <v/>
      </c>
      <c r="E337" t="s">
        <v>423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862</v>
      </c>
      <c r="B338" s="24"/>
      <c r="D338" t="str">
        <f>IF($C338="","",IFERROR(LOOKUP(2,1/('03_Warehouse_Movements'!$C$2:$C$500=$A338),'03_Warehouse_Movements'!$E$2:$E$500),$C338))</f>
        <v/>
      </c>
      <c r="E338" t="s">
        <v>423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863</v>
      </c>
      <c r="B339" s="24"/>
      <c r="D339" t="str">
        <f>IF($C339="","",IFERROR(LOOKUP(2,1/('03_Warehouse_Movements'!$C$2:$C$500=$A339),'03_Warehouse_Movements'!$E$2:$E$500),$C339))</f>
        <v/>
      </c>
      <c r="E339" t="s">
        <v>423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864</v>
      </c>
      <c r="B340" s="24"/>
      <c r="D340" t="str">
        <f>IF($C340="","",IFERROR(LOOKUP(2,1/('03_Warehouse_Movements'!$C$2:$C$500=$A340),'03_Warehouse_Movements'!$E$2:$E$500),$C340))</f>
        <v/>
      </c>
      <c r="E340" t="s">
        <v>423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865</v>
      </c>
      <c r="B341" s="24"/>
      <c r="D341" t="str">
        <f>IF($C341="","",IFERROR(LOOKUP(2,1/('03_Warehouse_Movements'!$C$2:$C$500=$A341),'03_Warehouse_Movements'!$E$2:$E$500),$C341))</f>
        <v/>
      </c>
      <c r="E341" t="s">
        <v>423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866</v>
      </c>
      <c r="B342" s="24"/>
      <c r="D342" t="str">
        <f>IF($C342="","",IFERROR(LOOKUP(2,1/('03_Warehouse_Movements'!$C$2:$C$500=$A342),'03_Warehouse_Movements'!$E$2:$E$500),$C342))</f>
        <v/>
      </c>
      <c r="E342" t="s">
        <v>423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867</v>
      </c>
      <c r="B343" s="24"/>
      <c r="D343" t="str">
        <f>IF($C343="","",IFERROR(LOOKUP(2,1/('03_Warehouse_Movements'!$C$2:$C$500=$A343),'03_Warehouse_Movements'!$E$2:$E$500),$C343))</f>
        <v/>
      </c>
      <c r="E343" t="s">
        <v>423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868</v>
      </c>
      <c r="B344" s="24"/>
      <c r="D344" t="str">
        <f>IF($C344="","",IFERROR(LOOKUP(2,1/('03_Warehouse_Movements'!$C$2:$C$500=$A344),'03_Warehouse_Movements'!$E$2:$E$500),$C344))</f>
        <v/>
      </c>
      <c r="E344" t="s">
        <v>423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869</v>
      </c>
      <c r="B345" s="24"/>
      <c r="D345" t="str">
        <f>IF($C345="","",IFERROR(LOOKUP(2,1/('03_Warehouse_Movements'!$C$2:$C$500=$A345),'03_Warehouse_Movements'!$E$2:$E$500),$C345))</f>
        <v/>
      </c>
      <c r="E345" t="s">
        <v>423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870</v>
      </c>
      <c r="B346" s="24"/>
      <c r="D346" t="str">
        <f>IF($C346="","",IFERROR(LOOKUP(2,1/('03_Warehouse_Movements'!$C$2:$C$500=$A346),'03_Warehouse_Movements'!$E$2:$E$500),$C346))</f>
        <v/>
      </c>
      <c r="E346" t="s">
        <v>423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871</v>
      </c>
      <c r="B347" s="24"/>
      <c r="D347" t="str">
        <f>IF($C347="","",IFERROR(LOOKUP(2,1/('03_Warehouse_Movements'!$C$2:$C$500=$A347),'03_Warehouse_Movements'!$E$2:$E$500),$C347))</f>
        <v/>
      </c>
      <c r="E347" t="s">
        <v>423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872</v>
      </c>
      <c r="B348" s="24"/>
      <c r="D348" t="str">
        <f>IF($C348="","",IFERROR(LOOKUP(2,1/('03_Warehouse_Movements'!$C$2:$C$500=$A348),'03_Warehouse_Movements'!$E$2:$E$500),$C348))</f>
        <v/>
      </c>
      <c r="E348" t="s">
        <v>423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873</v>
      </c>
      <c r="B349" s="24"/>
      <c r="D349" t="str">
        <f>IF($C349="","",IFERROR(LOOKUP(2,1/('03_Warehouse_Movements'!$C$2:$C$500=$A349),'03_Warehouse_Movements'!$E$2:$E$500),$C349))</f>
        <v/>
      </c>
      <c r="E349" t="s">
        <v>423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874</v>
      </c>
      <c r="B350" s="24"/>
      <c r="D350" t="str">
        <f>IF($C350="","",IFERROR(LOOKUP(2,1/('03_Warehouse_Movements'!$C$2:$C$500=$A350),'03_Warehouse_Movements'!$E$2:$E$500),$C350))</f>
        <v/>
      </c>
      <c r="E350" t="s">
        <v>423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875</v>
      </c>
      <c r="B351" s="24"/>
      <c r="D351" t="str">
        <f>IF($C351="","",IFERROR(LOOKUP(2,1/('03_Warehouse_Movements'!$C$2:$C$500=$A351),'03_Warehouse_Movements'!$E$2:$E$500),$C351))</f>
        <v/>
      </c>
      <c r="E351" t="s">
        <v>423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876</v>
      </c>
      <c r="B352" s="24"/>
      <c r="D352" t="str">
        <f>IF($C352="","",IFERROR(LOOKUP(2,1/('03_Warehouse_Movements'!$C$2:$C$500=$A352),'03_Warehouse_Movements'!$E$2:$E$500),$C352))</f>
        <v/>
      </c>
      <c r="E352" t="s">
        <v>423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877</v>
      </c>
      <c r="B353" s="24"/>
      <c r="D353" t="str">
        <f>IF($C353="","",IFERROR(LOOKUP(2,1/('03_Warehouse_Movements'!$C$2:$C$500=$A353),'03_Warehouse_Movements'!$E$2:$E$500),$C353))</f>
        <v/>
      </c>
      <c r="E353" t="s">
        <v>423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878</v>
      </c>
      <c r="B354" s="24"/>
      <c r="D354" t="str">
        <f>IF($C354="","",IFERROR(LOOKUP(2,1/('03_Warehouse_Movements'!$C$2:$C$500=$A354),'03_Warehouse_Movements'!$E$2:$E$500),$C354))</f>
        <v/>
      </c>
      <c r="E354" t="s">
        <v>423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879</v>
      </c>
      <c r="B355" s="24"/>
      <c r="D355" t="str">
        <f>IF($C355="","",IFERROR(LOOKUP(2,1/('03_Warehouse_Movements'!$C$2:$C$500=$A355),'03_Warehouse_Movements'!$E$2:$E$500),$C355))</f>
        <v/>
      </c>
      <c r="E355" t="s">
        <v>423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880</v>
      </c>
      <c r="B356" s="24"/>
      <c r="D356" t="str">
        <f>IF($C356="","",IFERROR(LOOKUP(2,1/('03_Warehouse_Movements'!$C$2:$C$500=$A356),'03_Warehouse_Movements'!$E$2:$E$500),$C356))</f>
        <v/>
      </c>
      <c r="E356" t="s">
        <v>423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881</v>
      </c>
      <c r="B357" s="24"/>
      <c r="D357" t="str">
        <f>IF($C357="","",IFERROR(LOOKUP(2,1/('03_Warehouse_Movements'!$C$2:$C$500=$A357),'03_Warehouse_Movements'!$E$2:$E$500),$C357))</f>
        <v/>
      </c>
      <c r="E357" t="s">
        <v>423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882</v>
      </c>
      <c r="B358" s="24"/>
      <c r="D358" t="str">
        <f>IF($C358="","",IFERROR(LOOKUP(2,1/('03_Warehouse_Movements'!$C$2:$C$500=$A358),'03_Warehouse_Movements'!$E$2:$E$500),$C358))</f>
        <v/>
      </c>
      <c r="E358" t="s">
        <v>423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883</v>
      </c>
      <c r="B359" s="24"/>
      <c r="D359" t="str">
        <f>IF($C359="","",IFERROR(LOOKUP(2,1/('03_Warehouse_Movements'!$C$2:$C$500=$A359),'03_Warehouse_Movements'!$E$2:$E$500),$C359))</f>
        <v/>
      </c>
      <c r="E359" t="s">
        <v>423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884</v>
      </c>
      <c r="B360" s="24"/>
      <c r="D360" t="str">
        <f>IF($C360="","",IFERROR(LOOKUP(2,1/('03_Warehouse_Movements'!$C$2:$C$500=$A360),'03_Warehouse_Movements'!$E$2:$E$500),$C360))</f>
        <v/>
      </c>
      <c r="E360" t="s">
        <v>423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885</v>
      </c>
      <c r="B361" s="24"/>
      <c r="D361" t="str">
        <f>IF($C361="","",IFERROR(LOOKUP(2,1/('03_Warehouse_Movements'!$C$2:$C$500=$A361),'03_Warehouse_Movements'!$E$2:$E$500),$C361))</f>
        <v/>
      </c>
      <c r="E361" t="s">
        <v>423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886</v>
      </c>
      <c r="B362" s="24"/>
      <c r="D362" t="str">
        <f>IF($C362="","",IFERROR(LOOKUP(2,1/('03_Warehouse_Movements'!$C$2:$C$500=$A362),'03_Warehouse_Movements'!$E$2:$E$500),$C362))</f>
        <v/>
      </c>
      <c r="E362" t="s">
        <v>423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887</v>
      </c>
      <c r="B363" s="24"/>
      <c r="D363" t="str">
        <f>IF($C363="","",IFERROR(LOOKUP(2,1/('03_Warehouse_Movements'!$C$2:$C$500=$A363),'03_Warehouse_Movements'!$E$2:$E$500),$C363))</f>
        <v/>
      </c>
      <c r="E363" t="s">
        <v>423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888</v>
      </c>
      <c r="B364" s="24"/>
      <c r="D364" t="str">
        <f>IF($C364="","",IFERROR(LOOKUP(2,1/('03_Warehouse_Movements'!$C$2:$C$500=$A364),'03_Warehouse_Movements'!$E$2:$E$500),$C364))</f>
        <v/>
      </c>
      <c r="E364" t="s">
        <v>423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889</v>
      </c>
      <c r="B365" s="24"/>
      <c r="D365" t="str">
        <f>IF($C365="","",IFERROR(LOOKUP(2,1/('03_Warehouse_Movements'!$C$2:$C$500=$A365),'03_Warehouse_Movements'!$E$2:$E$500),$C365))</f>
        <v/>
      </c>
      <c r="E365" t="s">
        <v>423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890</v>
      </c>
      <c r="B366" s="24"/>
      <c r="D366" t="str">
        <f>IF($C366="","",IFERROR(LOOKUP(2,1/('03_Warehouse_Movements'!$C$2:$C$500=$A366),'03_Warehouse_Movements'!$E$2:$E$500),$C366))</f>
        <v/>
      </c>
      <c r="E366" t="s">
        <v>423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891</v>
      </c>
      <c r="B367" s="24"/>
      <c r="D367" t="str">
        <f>IF($C367="","",IFERROR(LOOKUP(2,1/('03_Warehouse_Movements'!$C$2:$C$500=$A367),'03_Warehouse_Movements'!$E$2:$E$500),$C367))</f>
        <v/>
      </c>
      <c r="E367" t="s">
        <v>423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892</v>
      </c>
      <c r="B368" s="24"/>
      <c r="D368" t="str">
        <f>IF($C368="","",IFERROR(LOOKUP(2,1/('03_Warehouse_Movements'!$C$2:$C$500=$A368),'03_Warehouse_Movements'!$E$2:$E$500),$C368))</f>
        <v/>
      </c>
      <c r="E368" t="s">
        <v>423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893</v>
      </c>
      <c r="B369" s="24"/>
      <c r="D369" t="str">
        <f>IF($C369="","",IFERROR(LOOKUP(2,1/('03_Warehouse_Movements'!$C$2:$C$500=$A369),'03_Warehouse_Movements'!$E$2:$E$500),$C369))</f>
        <v/>
      </c>
      <c r="E369" t="s">
        <v>423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894</v>
      </c>
      <c r="B370" s="24"/>
      <c r="D370" t="str">
        <f>IF($C370="","",IFERROR(LOOKUP(2,1/('03_Warehouse_Movements'!$C$2:$C$500=$A370),'03_Warehouse_Movements'!$E$2:$E$500),$C370))</f>
        <v/>
      </c>
      <c r="E370" t="s">
        <v>423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895</v>
      </c>
      <c r="B371" s="24"/>
      <c r="D371" t="str">
        <f>IF($C371="","",IFERROR(LOOKUP(2,1/('03_Warehouse_Movements'!$C$2:$C$500=$A371),'03_Warehouse_Movements'!$E$2:$E$500),$C371))</f>
        <v/>
      </c>
      <c r="E371" t="s">
        <v>423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896</v>
      </c>
      <c r="B372" s="24"/>
      <c r="D372" t="str">
        <f>IF($C372="","",IFERROR(LOOKUP(2,1/('03_Warehouse_Movements'!$C$2:$C$500=$A372),'03_Warehouse_Movements'!$E$2:$E$500),$C372))</f>
        <v/>
      </c>
      <c r="E372" t="s">
        <v>423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897</v>
      </c>
      <c r="B373" s="24"/>
      <c r="D373" t="str">
        <f>IF($C373="","",IFERROR(LOOKUP(2,1/('03_Warehouse_Movements'!$C$2:$C$500=$A373),'03_Warehouse_Movements'!$E$2:$E$500),$C373))</f>
        <v/>
      </c>
      <c r="E373" t="s">
        <v>423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898</v>
      </c>
      <c r="B374" s="24"/>
      <c r="D374" t="str">
        <f>IF($C374="","",IFERROR(LOOKUP(2,1/('03_Warehouse_Movements'!$C$2:$C$500=$A374),'03_Warehouse_Movements'!$E$2:$E$500),$C374))</f>
        <v/>
      </c>
      <c r="E374" t="s">
        <v>423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899</v>
      </c>
      <c r="B375" s="24"/>
      <c r="D375" t="str">
        <f>IF($C375="","",IFERROR(LOOKUP(2,1/('03_Warehouse_Movements'!$C$2:$C$500=$A375),'03_Warehouse_Movements'!$E$2:$E$500),$C375))</f>
        <v/>
      </c>
      <c r="E375" t="s">
        <v>423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900</v>
      </c>
      <c r="B376" s="24"/>
      <c r="D376" t="str">
        <f>IF($C376="","",IFERROR(LOOKUP(2,1/('03_Warehouse_Movements'!$C$2:$C$500=$A376),'03_Warehouse_Movements'!$E$2:$E$500),$C376))</f>
        <v/>
      </c>
      <c r="E376" t="s">
        <v>423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901</v>
      </c>
      <c r="B377" s="24"/>
      <c r="D377" t="str">
        <f>IF($C377="","",IFERROR(LOOKUP(2,1/('03_Warehouse_Movements'!$C$2:$C$500=$A377),'03_Warehouse_Movements'!$E$2:$E$500),$C377))</f>
        <v/>
      </c>
      <c r="E377" t="s">
        <v>423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902</v>
      </c>
      <c r="B378" s="24"/>
      <c r="D378" t="str">
        <f>IF($C378="","",IFERROR(LOOKUP(2,1/('03_Warehouse_Movements'!$C$2:$C$500=$A378),'03_Warehouse_Movements'!$E$2:$E$500),$C378))</f>
        <v/>
      </c>
      <c r="E378" t="s">
        <v>423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903</v>
      </c>
      <c r="B379" s="24"/>
      <c r="D379" t="str">
        <f>IF($C379="","",IFERROR(LOOKUP(2,1/('03_Warehouse_Movements'!$C$2:$C$500=$A379),'03_Warehouse_Movements'!$E$2:$E$500),$C379))</f>
        <v/>
      </c>
      <c r="E379" t="s">
        <v>423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904</v>
      </c>
      <c r="B380" s="24"/>
      <c r="D380" t="str">
        <f>IF($C380="","",IFERROR(LOOKUP(2,1/('03_Warehouse_Movements'!$C$2:$C$500=$A380),'03_Warehouse_Movements'!$E$2:$E$500),$C380))</f>
        <v/>
      </c>
      <c r="E380" t="s">
        <v>423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905</v>
      </c>
      <c r="B381" s="24"/>
      <c r="D381" t="str">
        <f>IF($C381="","",IFERROR(LOOKUP(2,1/('03_Warehouse_Movements'!$C$2:$C$500=$A381),'03_Warehouse_Movements'!$E$2:$E$500),$C381))</f>
        <v/>
      </c>
      <c r="E381" t="s">
        <v>423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906</v>
      </c>
      <c r="B382" s="24"/>
      <c r="D382" t="str">
        <f>IF($C382="","",IFERROR(LOOKUP(2,1/('03_Warehouse_Movements'!$C$2:$C$500=$A382),'03_Warehouse_Movements'!$E$2:$E$500),$C382))</f>
        <v/>
      </c>
      <c r="E382" t="s">
        <v>423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907</v>
      </c>
      <c r="B383" s="24"/>
      <c r="D383" t="str">
        <f>IF($C383="","",IFERROR(LOOKUP(2,1/('03_Warehouse_Movements'!$C$2:$C$500=$A383),'03_Warehouse_Movements'!$E$2:$E$500),$C383))</f>
        <v/>
      </c>
      <c r="E383" t="s">
        <v>423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908</v>
      </c>
      <c r="B384" s="24"/>
      <c r="D384" t="str">
        <f>IF($C384="","",IFERROR(LOOKUP(2,1/('03_Warehouse_Movements'!$C$2:$C$500=$A384),'03_Warehouse_Movements'!$E$2:$E$500),$C384))</f>
        <v/>
      </c>
      <c r="E384" t="s">
        <v>423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909</v>
      </c>
      <c r="B385" s="24"/>
      <c r="D385" t="str">
        <f>IF($C385="","",IFERROR(LOOKUP(2,1/('03_Warehouse_Movements'!$C$2:$C$500=$A385),'03_Warehouse_Movements'!$E$2:$E$500),$C385))</f>
        <v/>
      </c>
      <c r="E385" t="s">
        <v>423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910</v>
      </c>
      <c r="B386" s="24"/>
      <c r="D386" t="str">
        <f>IF($C386="","",IFERROR(LOOKUP(2,1/('03_Warehouse_Movements'!$C$2:$C$500=$A386),'03_Warehouse_Movements'!$E$2:$E$500),$C386))</f>
        <v/>
      </c>
      <c r="E386" t="s">
        <v>423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911</v>
      </c>
      <c r="B387" s="24"/>
      <c r="D387" t="str">
        <f>IF($C387="","",IFERROR(LOOKUP(2,1/('03_Warehouse_Movements'!$C$2:$C$500=$A387),'03_Warehouse_Movements'!$E$2:$E$500),$C387))</f>
        <v/>
      </c>
      <c r="E387" t="s">
        <v>423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912</v>
      </c>
      <c r="B388" s="24"/>
      <c r="D388" t="str">
        <f>IF($C388="","",IFERROR(LOOKUP(2,1/('03_Warehouse_Movements'!$C$2:$C$500=$A388),'03_Warehouse_Movements'!$E$2:$E$500),$C388))</f>
        <v/>
      </c>
      <c r="E388" t="s">
        <v>423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913</v>
      </c>
      <c r="B389" s="24"/>
      <c r="D389" t="str">
        <f>IF($C389="","",IFERROR(LOOKUP(2,1/('03_Warehouse_Movements'!$C$2:$C$500=$A389),'03_Warehouse_Movements'!$E$2:$E$500),$C389))</f>
        <v/>
      </c>
      <c r="E389" t="s">
        <v>423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914</v>
      </c>
      <c r="B390" s="24"/>
      <c r="D390" t="str">
        <f>IF($C390="","",IFERROR(LOOKUP(2,1/('03_Warehouse_Movements'!$C$2:$C$500=$A390),'03_Warehouse_Movements'!$E$2:$E$500),$C390))</f>
        <v/>
      </c>
      <c r="E390" t="s">
        <v>423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915</v>
      </c>
      <c r="B391" s="24"/>
      <c r="D391" t="str">
        <f>IF($C391="","",IFERROR(LOOKUP(2,1/('03_Warehouse_Movements'!$C$2:$C$500=$A391),'03_Warehouse_Movements'!$E$2:$E$500),$C391))</f>
        <v/>
      </c>
      <c r="E391" t="s">
        <v>423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916</v>
      </c>
      <c r="B392" s="24"/>
      <c r="D392" t="str">
        <f>IF($C392="","",IFERROR(LOOKUP(2,1/('03_Warehouse_Movements'!$C$2:$C$500=$A392),'03_Warehouse_Movements'!$E$2:$E$500),$C392))</f>
        <v/>
      </c>
      <c r="E392" t="s">
        <v>423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917</v>
      </c>
      <c r="B393" s="24"/>
      <c r="D393" t="str">
        <f>IF($C393="","",IFERROR(LOOKUP(2,1/('03_Warehouse_Movements'!$C$2:$C$500=$A393),'03_Warehouse_Movements'!$E$2:$E$500),$C393))</f>
        <v/>
      </c>
      <c r="E393" t="s">
        <v>423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918</v>
      </c>
      <c r="B394" s="24"/>
      <c r="D394" t="str">
        <f>IF($C394="","",IFERROR(LOOKUP(2,1/('03_Warehouse_Movements'!$C$2:$C$500=$A394),'03_Warehouse_Movements'!$E$2:$E$500),$C394))</f>
        <v/>
      </c>
      <c r="E394" t="s">
        <v>423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919</v>
      </c>
      <c r="B395" s="24"/>
      <c r="D395" t="str">
        <f>IF($C395="","",IFERROR(LOOKUP(2,1/('03_Warehouse_Movements'!$C$2:$C$500=$A395),'03_Warehouse_Movements'!$E$2:$E$500),$C395))</f>
        <v/>
      </c>
      <c r="E395" t="s">
        <v>423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920</v>
      </c>
      <c r="B396" s="24"/>
      <c r="D396" t="str">
        <f>IF($C396="","",IFERROR(LOOKUP(2,1/('03_Warehouse_Movements'!$C$2:$C$500=$A396),'03_Warehouse_Movements'!$E$2:$E$500),$C396))</f>
        <v/>
      </c>
      <c r="E396" t="s">
        <v>423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921</v>
      </c>
      <c r="B397" s="24"/>
      <c r="D397" t="str">
        <f>IF($C397="","",IFERROR(LOOKUP(2,1/('03_Warehouse_Movements'!$C$2:$C$500=$A397),'03_Warehouse_Movements'!$E$2:$E$500),$C397))</f>
        <v/>
      </c>
      <c r="E397" t="s">
        <v>423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922</v>
      </c>
      <c r="B398" s="24"/>
      <c r="D398" t="str">
        <f>IF($C398="","",IFERROR(LOOKUP(2,1/('03_Warehouse_Movements'!$C$2:$C$500=$A398),'03_Warehouse_Movements'!$E$2:$E$500),$C398))</f>
        <v/>
      </c>
      <c r="E398" t="s">
        <v>423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923</v>
      </c>
      <c r="B399" s="24"/>
      <c r="D399" t="str">
        <f>IF($C399="","",IFERROR(LOOKUP(2,1/('03_Warehouse_Movements'!$C$2:$C$500=$A399),'03_Warehouse_Movements'!$E$2:$E$500),$C399))</f>
        <v/>
      </c>
      <c r="E399" t="s">
        <v>423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924</v>
      </c>
      <c r="B400" s="24"/>
      <c r="D400" t="str">
        <f>IF($C400="","",IFERROR(LOOKUP(2,1/('03_Warehouse_Movements'!$C$2:$C$500=$A400),'03_Warehouse_Movements'!$E$2:$E$500),$C400))</f>
        <v/>
      </c>
      <c r="E400" t="s">
        <v>423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925</v>
      </c>
      <c r="B401" s="24"/>
      <c r="D401" t="str">
        <f>IF($C401="","",IFERROR(LOOKUP(2,1/('03_Warehouse_Movements'!$C$2:$C$500=$A401),'03_Warehouse_Movements'!$E$2:$E$500),$C401))</f>
        <v/>
      </c>
      <c r="E401" t="s">
        <v>423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926</v>
      </c>
      <c r="B402" s="24"/>
      <c r="D402" t="str">
        <f>IF($C402="","",IFERROR(LOOKUP(2,1/('03_Warehouse_Movements'!$C$2:$C$500=$A402),'03_Warehouse_Movements'!$E$2:$E$500),$C402))</f>
        <v/>
      </c>
      <c r="E402" t="s">
        <v>423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927</v>
      </c>
      <c r="B403" s="24"/>
      <c r="D403" t="str">
        <f>IF($C403="","",IFERROR(LOOKUP(2,1/('03_Warehouse_Movements'!$C$2:$C$500=$A403),'03_Warehouse_Movements'!$E$2:$E$500),$C403))</f>
        <v/>
      </c>
      <c r="E403" t="s">
        <v>423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928</v>
      </c>
      <c r="B404" s="24"/>
      <c r="D404" t="str">
        <f>IF($C404="","",IFERROR(LOOKUP(2,1/('03_Warehouse_Movements'!$C$2:$C$500=$A404),'03_Warehouse_Movements'!$E$2:$E$500),$C404))</f>
        <v/>
      </c>
      <c r="E404" t="s">
        <v>423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929</v>
      </c>
      <c r="B405" s="24"/>
      <c r="D405" t="str">
        <f>IF($C405="","",IFERROR(LOOKUP(2,1/('03_Warehouse_Movements'!$C$2:$C$500=$A405),'03_Warehouse_Movements'!$E$2:$E$500),$C405))</f>
        <v/>
      </c>
      <c r="E405" t="s">
        <v>423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930</v>
      </c>
      <c r="B406" s="24"/>
      <c r="D406" t="str">
        <f>IF($C406="","",IFERROR(LOOKUP(2,1/('03_Warehouse_Movements'!$C$2:$C$500=$A406),'03_Warehouse_Movements'!$E$2:$E$500),$C406))</f>
        <v/>
      </c>
      <c r="E406" t="s">
        <v>423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931</v>
      </c>
      <c r="B407" s="24"/>
      <c r="D407" t="str">
        <f>IF($C407="","",IFERROR(LOOKUP(2,1/('03_Warehouse_Movements'!$C$2:$C$500=$A407),'03_Warehouse_Movements'!$E$2:$E$500),$C407))</f>
        <v/>
      </c>
      <c r="E407" t="s">
        <v>423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932</v>
      </c>
      <c r="B408" s="24"/>
      <c r="D408" t="str">
        <f>IF($C408="","",IFERROR(LOOKUP(2,1/('03_Warehouse_Movements'!$C$2:$C$500=$A408),'03_Warehouse_Movements'!$E$2:$E$500),$C408))</f>
        <v/>
      </c>
      <c r="E408" t="s">
        <v>423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933</v>
      </c>
      <c r="B409" s="24"/>
      <c r="D409" t="str">
        <f>IF($C409="","",IFERROR(LOOKUP(2,1/('03_Warehouse_Movements'!$C$2:$C$500=$A409),'03_Warehouse_Movements'!$E$2:$E$500),$C409))</f>
        <v/>
      </c>
      <c r="E409" t="s">
        <v>423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934</v>
      </c>
      <c r="B410" s="24"/>
      <c r="D410" t="str">
        <f>IF($C410="","",IFERROR(LOOKUP(2,1/('03_Warehouse_Movements'!$C$2:$C$500=$A410),'03_Warehouse_Movements'!$E$2:$E$500),$C410))</f>
        <v/>
      </c>
      <c r="E410" t="s">
        <v>423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935</v>
      </c>
      <c r="B411" s="24"/>
      <c r="D411" t="str">
        <f>IF($C411="","",IFERROR(LOOKUP(2,1/('03_Warehouse_Movements'!$C$2:$C$500=$A411),'03_Warehouse_Movements'!$E$2:$E$500),$C411))</f>
        <v/>
      </c>
      <c r="E411" t="s">
        <v>423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936</v>
      </c>
      <c r="B412" s="24"/>
      <c r="D412" t="str">
        <f>IF($C412="","",IFERROR(LOOKUP(2,1/('03_Warehouse_Movements'!$C$2:$C$500=$A412),'03_Warehouse_Movements'!$E$2:$E$500),$C412))</f>
        <v/>
      </c>
      <c r="E412" t="s">
        <v>423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937</v>
      </c>
      <c r="B413" s="24"/>
      <c r="D413" t="str">
        <f>IF($C413="","",IFERROR(LOOKUP(2,1/('03_Warehouse_Movements'!$C$2:$C$500=$A413),'03_Warehouse_Movements'!$E$2:$E$500),$C413))</f>
        <v/>
      </c>
      <c r="E413" t="s">
        <v>423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938</v>
      </c>
      <c r="B414" s="24"/>
      <c r="D414" t="str">
        <f>IF($C414="","",IFERROR(LOOKUP(2,1/('03_Warehouse_Movements'!$C$2:$C$500=$A414),'03_Warehouse_Movements'!$E$2:$E$500),$C414))</f>
        <v/>
      </c>
      <c r="E414" t="s">
        <v>423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939</v>
      </c>
      <c r="B415" s="24"/>
      <c r="D415" t="str">
        <f>IF($C415="","",IFERROR(LOOKUP(2,1/('03_Warehouse_Movements'!$C$2:$C$500=$A415),'03_Warehouse_Movements'!$E$2:$E$500),$C415))</f>
        <v/>
      </c>
      <c r="E415" t="s">
        <v>423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940</v>
      </c>
      <c r="B416" s="24"/>
      <c r="D416" t="str">
        <f>IF($C416="","",IFERROR(LOOKUP(2,1/('03_Warehouse_Movements'!$C$2:$C$500=$A416),'03_Warehouse_Movements'!$E$2:$E$500),$C416))</f>
        <v/>
      </c>
      <c r="E416" t="s">
        <v>423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941</v>
      </c>
      <c r="B417" s="24"/>
      <c r="D417" t="str">
        <f>IF($C417="","",IFERROR(LOOKUP(2,1/('03_Warehouse_Movements'!$C$2:$C$500=$A417),'03_Warehouse_Movements'!$E$2:$E$500),$C417))</f>
        <v/>
      </c>
      <c r="E417" t="s">
        <v>423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942</v>
      </c>
      <c r="B418" s="24"/>
      <c r="D418" t="str">
        <f>IF($C418="","",IFERROR(LOOKUP(2,1/('03_Warehouse_Movements'!$C$2:$C$500=$A418),'03_Warehouse_Movements'!$E$2:$E$500),$C418))</f>
        <v/>
      </c>
      <c r="E418" t="s">
        <v>423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943</v>
      </c>
      <c r="B419" s="24"/>
      <c r="D419" t="str">
        <f>IF($C419="","",IFERROR(LOOKUP(2,1/('03_Warehouse_Movements'!$C$2:$C$500=$A419),'03_Warehouse_Movements'!$E$2:$E$500),$C419))</f>
        <v/>
      </c>
      <c r="E419" t="s">
        <v>423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944</v>
      </c>
      <c r="B420" s="24"/>
      <c r="D420" t="str">
        <f>IF($C420="","",IFERROR(LOOKUP(2,1/('03_Warehouse_Movements'!$C$2:$C$500=$A420),'03_Warehouse_Movements'!$E$2:$E$500),$C420))</f>
        <v/>
      </c>
      <c r="E420" t="s">
        <v>423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945</v>
      </c>
      <c r="B421" s="24"/>
      <c r="D421" t="str">
        <f>IF($C421="","",IFERROR(LOOKUP(2,1/('03_Warehouse_Movements'!$C$2:$C$500=$A421),'03_Warehouse_Movements'!$E$2:$E$500),$C421))</f>
        <v/>
      </c>
      <c r="E421" t="s">
        <v>423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946</v>
      </c>
      <c r="B422" s="24"/>
      <c r="D422" t="str">
        <f>IF($C422="","",IFERROR(LOOKUP(2,1/('03_Warehouse_Movements'!$C$2:$C$500=$A422),'03_Warehouse_Movements'!$E$2:$E$500),$C422))</f>
        <v/>
      </c>
      <c r="E422" t="s">
        <v>423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947</v>
      </c>
      <c r="B423" s="24"/>
      <c r="D423" t="str">
        <f>IF($C423="","",IFERROR(LOOKUP(2,1/('03_Warehouse_Movements'!$C$2:$C$500=$A423),'03_Warehouse_Movements'!$E$2:$E$500),$C423))</f>
        <v/>
      </c>
      <c r="E423" t="s">
        <v>423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948</v>
      </c>
      <c r="B424" s="24"/>
      <c r="D424" t="str">
        <f>IF($C424="","",IFERROR(LOOKUP(2,1/('03_Warehouse_Movements'!$C$2:$C$500=$A424),'03_Warehouse_Movements'!$E$2:$E$500),$C424))</f>
        <v/>
      </c>
      <c r="E424" t="s">
        <v>423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949</v>
      </c>
      <c r="B425" s="24"/>
      <c r="D425" t="str">
        <f>IF($C425="","",IFERROR(LOOKUP(2,1/('03_Warehouse_Movements'!$C$2:$C$500=$A425),'03_Warehouse_Movements'!$E$2:$E$500),$C425))</f>
        <v/>
      </c>
      <c r="E425" t="s">
        <v>423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950</v>
      </c>
      <c r="B426" s="24"/>
      <c r="D426" t="str">
        <f>IF($C426="","",IFERROR(LOOKUP(2,1/('03_Warehouse_Movements'!$C$2:$C$500=$A426),'03_Warehouse_Movements'!$E$2:$E$500),$C426))</f>
        <v/>
      </c>
      <c r="E426" t="s">
        <v>423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951</v>
      </c>
      <c r="B427" s="24"/>
      <c r="D427" t="str">
        <f>IF($C427="","",IFERROR(LOOKUP(2,1/('03_Warehouse_Movements'!$C$2:$C$500=$A427),'03_Warehouse_Movements'!$E$2:$E$500),$C427))</f>
        <v/>
      </c>
      <c r="E427" t="s">
        <v>423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952</v>
      </c>
      <c r="B428" s="24"/>
      <c r="D428" t="str">
        <f>IF($C428="","",IFERROR(LOOKUP(2,1/('03_Warehouse_Movements'!$C$2:$C$500=$A428),'03_Warehouse_Movements'!$E$2:$E$500),$C428))</f>
        <v/>
      </c>
      <c r="E428" t="s">
        <v>423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953</v>
      </c>
      <c r="B429" s="24"/>
      <c r="D429" t="str">
        <f>IF($C429="","",IFERROR(LOOKUP(2,1/('03_Warehouse_Movements'!$C$2:$C$500=$A429),'03_Warehouse_Movements'!$E$2:$E$500),$C429))</f>
        <v/>
      </c>
      <c r="E429" t="s">
        <v>423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954</v>
      </c>
      <c r="B430" s="24"/>
      <c r="D430" t="str">
        <f>IF($C430="","",IFERROR(LOOKUP(2,1/('03_Warehouse_Movements'!$C$2:$C$500=$A430),'03_Warehouse_Movements'!$E$2:$E$500),$C430))</f>
        <v/>
      </c>
      <c r="E430" t="s">
        <v>423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955</v>
      </c>
      <c r="B431" s="24"/>
      <c r="D431" t="str">
        <f>IF($C431="","",IFERROR(LOOKUP(2,1/('03_Warehouse_Movements'!$C$2:$C$500=$A431),'03_Warehouse_Movements'!$E$2:$E$500),$C431))</f>
        <v/>
      </c>
      <c r="E431" t="s">
        <v>423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956</v>
      </c>
      <c r="B432" s="24"/>
      <c r="D432" t="str">
        <f>IF($C432="","",IFERROR(LOOKUP(2,1/('03_Warehouse_Movements'!$C$2:$C$500=$A432),'03_Warehouse_Movements'!$E$2:$E$500),$C432))</f>
        <v/>
      </c>
      <c r="E432" t="s">
        <v>423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957</v>
      </c>
      <c r="B433" s="24"/>
      <c r="D433" t="str">
        <f>IF($C433="","",IFERROR(LOOKUP(2,1/('03_Warehouse_Movements'!$C$2:$C$500=$A433),'03_Warehouse_Movements'!$E$2:$E$500),$C433))</f>
        <v/>
      </c>
      <c r="E433" t="s">
        <v>423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958</v>
      </c>
      <c r="B434" s="24"/>
      <c r="D434" t="str">
        <f>IF($C434="","",IFERROR(LOOKUP(2,1/('03_Warehouse_Movements'!$C$2:$C$500=$A434),'03_Warehouse_Movements'!$E$2:$E$500),$C434))</f>
        <v/>
      </c>
      <c r="E434" t="s">
        <v>423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959</v>
      </c>
      <c r="B435" s="24"/>
      <c r="D435" t="str">
        <f>IF($C435="","",IFERROR(LOOKUP(2,1/('03_Warehouse_Movements'!$C$2:$C$500=$A435),'03_Warehouse_Movements'!$E$2:$E$500),$C435))</f>
        <v/>
      </c>
      <c r="E435" t="s">
        <v>423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960</v>
      </c>
      <c r="B436" s="24"/>
      <c r="D436" t="str">
        <f>IF($C436="","",IFERROR(LOOKUP(2,1/('03_Warehouse_Movements'!$C$2:$C$500=$A436),'03_Warehouse_Movements'!$E$2:$E$500),$C436))</f>
        <v/>
      </c>
      <c r="E436" t="s">
        <v>423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961</v>
      </c>
      <c r="B437" s="24"/>
      <c r="D437" t="str">
        <f>IF($C437="","",IFERROR(LOOKUP(2,1/('03_Warehouse_Movements'!$C$2:$C$500=$A437),'03_Warehouse_Movements'!$E$2:$E$500),$C437))</f>
        <v/>
      </c>
      <c r="E437" t="s">
        <v>423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962</v>
      </c>
      <c r="B438" s="24"/>
      <c r="D438" t="str">
        <f>IF($C438="","",IFERROR(LOOKUP(2,1/('03_Warehouse_Movements'!$C$2:$C$500=$A438),'03_Warehouse_Movements'!$E$2:$E$500),$C438))</f>
        <v/>
      </c>
      <c r="E438" t="s">
        <v>423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963</v>
      </c>
      <c r="B439" s="24"/>
      <c r="D439" t="str">
        <f>IF($C439="","",IFERROR(LOOKUP(2,1/('03_Warehouse_Movements'!$C$2:$C$500=$A439),'03_Warehouse_Movements'!$E$2:$E$500),$C439))</f>
        <v/>
      </c>
      <c r="E439" t="s">
        <v>423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964</v>
      </c>
      <c r="B440" s="24"/>
      <c r="D440" t="str">
        <f>IF($C440="","",IFERROR(LOOKUP(2,1/('03_Warehouse_Movements'!$C$2:$C$500=$A440),'03_Warehouse_Movements'!$E$2:$E$500),$C440))</f>
        <v/>
      </c>
      <c r="E440" t="s">
        <v>423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965</v>
      </c>
      <c r="B441" s="24"/>
      <c r="D441" t="str">
        <f>IF($C441="","",IFERROR(LOOKUP(2,1/('03_Warehouse_Movements'!$C$2:$C$500=$A441),'03_Warehouse_Movements'!$E$2:$E$500),$C441))</f>
        <v/>
      </c>
      <c r="E441" t="s">
        <v>423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966</v>
      </c>
      <c r="B442" s="24"/>
      <c r="D442" t="str">
        <f>IF($C442="","",IFERROR(LOOKUP(2,1/('03_Warehouse_Movements'!$C$2:$C$500=$A442),'03_Warehouse_Movements'!$E$2:$E$500),$C442))</f>
        <v/>
      </c>
      <c r="E442" t="s">
        <v>423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967</v>
      </c>
      <c r="B443" s="24"/>
      <c r="D443" t="str">
        <f>IF($C443="","",IFERROR(LOOKUP(2,1/('03_Warehouse_Movements'!$C$2:$C$500=$A443),'03_Warehouse_Movements'!$E$2:$E$500),$C443))</f>
        <v/>
      </c>
      <c r="E443" t="s">
        <v>423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968</v>
      </c>
      <c r="B444" s="24"/>
      <c r="D444" t="str">
        <f>IF($C444="","",IFERROR(LOOKUP(2,1/('03_Warehouse_Movements'!$C$2:$C$500=$A444),'03_Warehouse_Movements'!$E$2:$E$500),$C444))</f>
        <v/>
      </c>
      <c r="E444" t="s">
        <v>423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969</v>
      </c>
      <c r="B445" s="24"/>
      <c r="D445" t="str">
        <f>IF($C445="","",IFERROR(LOOKUP(2,1/('03_Warehouse_Movements'!$C$2:$C$500=$A445),'03_Warehouse_Movements'!$E$2:$E$500),$C445))</f>
        <v/>
      </c>
      <c r="E445" t="s">
        <v>423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970</v>
      </c>
      <c r="B446" s="24"/>
      <c r="D446" t="str">
        <f>IF($C446="","",IFERROR(LOOKUP(2,1/('03_Warehouse_Movements'!$C$2:$C$500=$A446),'03_Warehouse_Movements'!$E$2:$E$500),$C446))</f>
        <v/>
      </c>
      <c r="E446" t="s">
        <v>423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971</v>
      </c>
      <c r="B447" s="24"/>
      <c r="D447" t="str">
        <f>IF($C447="","",IFERROR(LOOKUP(2,1/('03_Warehouse_Movements'!$C$2:$C$500=$A447),'03_Warehouse_Movements'!$E$2:$E$500),$C447))</f>
        <v/>
      </c>
      <c r="E447" t="s">
        <v>423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972</v>
      </c>
      <c r="B448" s="24"/>
      <c r="D448" t="str">
        <f>IF($C448="","",IFERROR(LOOKUP(2,1/('03_Warehouse_Movements'!$C$2:$C$500=$A448),'03_Warehouse_Movements'!$E$2:$E$500),$C448))</f>
        <v/>
      </c>
      <c r="E448" t="s">
        <v>423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973</v>
      </c>
      <c r="B449" s="24"/>
      <c r="D449" t="str">
        <f>IF($C449="","",IFERROR(LOOKUP(2,1/('03_Warehouse_Movements'!$C$2:$C$500=$A449),'03_Warehouse_Movements'!$E$2:$E$500),$C449))</f>
        <v/>
      </c>
      <c r="E449" t="s">
        <v>423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974</v>
      </c>
      <c r="B450" s="24"/>
      <c r="D450" t="str">
        <f>IF($C450="","",IFERROR(LOOKUP(2,1/('03_Warehouse_Movements'!$C$2:$C$500=$A450),'03_Warehouse_Movements'!$E$2:$E$500),$C450))</f>
        <v/>
      </c>
      <c r="E450" t="s">
        <v>423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975</v>
      </c>
      <c r="B451" s="24"/>
      <c r="D451" t="str">
        <f>IF($C451="","",IFERROR(LOOKUP(2,1/('03_Warehouse_Movements'!$C$2:$C$500=$A451),'03_Warehouse_Movements'!$E$2:$E$500),$C451))</f>
        <v/>
      </c>
      <c r="E451" t="s">
        <v>423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976</v>
      </c>
      <c r="B452" s="24"/>
      <c r="D452" t="str">
        <f>IF($C452="","",IFERROR(LOOKUP(2,1/('03_Warehouse_Movements'!$C$2:$C$500=$A452),'03_Warehouse_Movements'!$E$2:$E$500),$C452))</f>
        <v/>
      </c>
      <c r="E452" t="s">
        <v>423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977</v>
      </c>
      <c r="B453" s="24"/>
      <c r="D453" t="str">
        <f>IF($C453="","",IFERROR(LOOKUP(2,1/('03_Warehouse_Movements'!$C$2:$C$500=$A453),'03_Warehouse_Movements'!$E$2:$E$500),$C453))</f>
        <v/>
      </c>
      <c r="E453" t="s">
        <v>423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978</v>
      </c>
      <c r="B454" s="24"/>
      <c r="D454" t="str">
        <f>IF($C454="","",IFERROR(LOOKUP(2,1/('03_Warehouse_Movements'!$C$2:$C$500=$A454),'03_Warehouse_Movements'!$E$2:$E$500),$C454))</f>
        <v/>
      </c>
      <c r="E454" t="s">
        <v>423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979</v>
      </c>
      <c r="B455" s="24"/>
      <c r="D455" t="str">
        <f>IF($C455="","",IFERROR(LOOKUP(2,1/('03_Warehouse_Movements'!$C$2:$C$500=$A455),'03_Warehouse_Movements'!$E$2:$E$500),$C455))</f>
        <v/>
      </c>
      <c r="E455" t="s">
        <v>423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980</v>
      </c>
      <c r="B456" s="24"/>
      <c r="D456" t="str">
        <f>IF($C456="","",IFERROR(LOOKUP(2,1/('03_Warehouse_Movements'!$C$2:$C$500=$A456),'03_Warehouse_Movements'!$E$2:$E$500),$C456))</f>
        <v/>
      </c>
      <c r="E456" t="s">
        <v>423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981</v>
      </c>
      <c r="B457" s="24"/>
      <c r="D457" t="str">
        <f>IF($C457="","",IFERROR(LOOKUP(2,1/('03_Warehouse_Movements'!$C$2:$C$500=$A457),'03_Warehouse_Movements'!$E$2:$E$500),$C457))</f>
        <v/>
      </c>
      <c r="E457" t="s">
        <v>423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982</v>
      </c>
      <c r="B458" s="24"/>
      <c r="D458" t="str">
        <f>IF($C458="","",IFERROR(LOOKUP(2,1/('03_Warehouse_Movements'!$C$2:$C$500=$A458),'03_Warehouse_Movements'!$E$2:$E$500),$C458))</f>
        <v/>
      </c>
      <c r="E458" t="s">
        <v>423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983</v>
      </c>
      <c r="B459" s="24"/>
      <c r="D459" t="str">
        <f>IF($C459="","",IFERROR(LOOKUP(2,1/('03_Warehouse_Movements'!$C$2:$C$500=$A459),'03_Warehouse_Movements'!$E$2:$E$500),$C459))</f>
        <v/>
      </c>
      <c r="E459" t="s">
        <v>423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984</v>
      </c>
      <c r="B460" s="24"/>
      <c r="D460" t="str">
        <f>IF($C460="","",IFERROR(LOOKUP(2,1/('03_Warehouse_Movements'!$C$2:$C$500=$A460),'03_Warehouse_Movements'!$E$2:$E$500),$C460))</f>
        <v/>
      </c>
      <c r="E460" t="s">
        <v>423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985</v>
      </c>
      <c r="B461" s="24"/>
      <c r="D461" t="str">
        <f>IF($C461="","",IFERROR(LOOKUP(2,1/('03_Warehouse_Movements'!$C$2:$C$500=$A461),'03_Warehouse_Movements'!$E$2:$E$500),$C461))</f>
        <v/>
      </c>
      <c r="E461" t="s">
        <v>423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986</v>
      </c>
      <c r="B462" s="24"/>
      <c r="D462" t="str">
        <f>IF($C462="","",IFERROR(LOOKUP(2,1/('03_Warehouse_Movements'!$C$2:$C$500=$A462),'03_Warehouse_Movements'!$E$2:$E$500),$C462))</f>
        <v/>
      </c>
      <c r="E462" t="s">
        <v>423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987</v>
      </c>
      <c r="B463" s="24"/>
      <c r="D463" t="str">
        <f>IF($C463="","",IFERROR(LOOKUP(2,1/('03_Warehouse_Movements'!$C$2:$C$500=$A463),'03_Warehouse_Movements'!$E$2:$E$500),$C463))</f>
        <v/>
      </c>
      <c r="E463" t="s">
        <v>423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988</v>
      </c>
      <c r="B464" s="24"/>
      <c r="D464" t="str">
        <f>IF($C464="","",IFERROR(LOOKUP(2,1/('03_Warehouse_Movements'!$C$2:$C$500=$A464),'03_Warehouse_Movements'!$E$2:$E$500),$C464))</f>
        <v/>
      </c>
      <c r="E464" t="s">
        <v>423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989</v>
      </c>
      <c r="B465" s="24"/>
      <c r="D465" t="str">
        <f>IF($C465="","",IFERROR(LOOKUP(2,1/('03_Warehouse_Movements'!$C$2:$C$500=$A465),'03_Warehouse_Movements'!$E$2:$E$500),$C465))</f>
        <v/>
      </c>
      <c r="E465" t="s">
        <v>423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990</v>
      </c>
      <c r="B466" s="24"/>
      <c r="D466" t="str">
        <f>IF($C466="","",IFERROR(LOOKUP(2,1/('03_Warehouse_Movements'!$C$2:$C$500=$A466),'03_Warehouse_Movements'!$E$2:$E$500),$C466))</f>
        <v/>
      </c>
      <c r="E466" t="s">
        <v>423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991</v>
      </c>
      <c r="B467" s="24"/>
      <c r="D467" t="str">
        <f>IF($C467="","",IFERROR(LOOKUP(2,1/('03_Warehouse_Movements'!$C$2:$C$500=$A467),'03_Warehouse_Movements'!$E$2:$E$500),$C467))</f>
        <v/>
      </c>
      <c r="E467" t="s">
        <v>423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992</v>
      </c>
      <c r="B468" s="24"/>
      <c r="D468" t="str">
        <f>IF($C468="","",IFERROR(LOOKUP(2,1/('03_Warehouse_Movements'!$C$2:$C$500=$A468),'03_Warehouse_Movements'!$E$2:$E$500),$C468))</f>
        <v/>
      </c>
      <c r="E468" t="s">
        <v>423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993</v>
      </c>
      <c r="B469" s="24"/>
      <c r="D469" t="str">
        <f>IF($C469="","",IFERROR(LOOKUP(2,1/('03_Warehouse_Movements'!$C$2:$C$500=$A469),'03_Warehouse_Movements'!$E$2:$E$500),$C469))</f>
        <v/>
      </c>
      <c r="E469" t="s">
        <v>423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994</v>
      </c>
      <c r="B470" s="24"/>
      <c r="D470" t="str">
        <f>IF($C470="","",IFERROR(LOOKUP(2,1/('03_Warehouse_Movements'!$C$2:$C$500=$A470),'03_Warehouse_Movements'!$E$2:$E$500),$C470))</f>
        <v/>
      </c>
      <c r="E470" t="s">
        <v>423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995</v>
      </c>
      <c r="B471" s="24"/>
      <c r="D471" t="str">
        <f>IF($C471="","",IFERROR(LOOKUP(2,1/('03_Warehouse_Movements'!$C$2:$C$500=$A471),'03_Warehouse_Movements'!$E$2:$E$500),$C471))</f>
        <v/>
      </c>
      <c r="E471" t="s">
        <v>423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996</v>
      </c>
      <c r="B472" s="24"/>
      <c r="D472" t="str">
        <f>IF($C472="","",IFERROR(LOOKUP(2,1/('03_Warehouse_Movements'!$C$2:$C$500=$A472),'03_Warehouse_Movements'!$E$2:$E$500),$C472))</f>
        <v/>
      </c>
      <c r="E472" t="s">
        <v>423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997</v>
      </c>
      <c r="B473" s="24"/>
      <c r="D473" t="str">
        <f>IF($C473="","",IFERROR(LOOKUP(2,1/('03_Warehouse_Movements'!$C$2:$C$500=$A473),'03_Warehouse_Movements'!$E$2:$E$500),$C473))</f>
        <v/>
      </c>
      <c r="E473" t="s">
        <v>423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998</v>
      </c>
      <c r="B474" s="24"/>
      <c r="D474" t="str">
        <f>IF($C474="","",IFERROR(LOOKUP(2,1/('03_Warehouse_Movements'!$C$2:$C$500=$A474),'03_Warehouse_Movements'!$E$2:$E$500),$C474))</f>
        <v/>
      </c>
      <c r="E474" t="s">
        <v>423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999</v>
      </c>
      <c r="B475" s="24"/>
      <c r="D475" t="str">
        <f>IF($C475="","",IFERROR(LOOKUP(2,1/('03_Warehouse_Movements'!$C$2:$C$500=$A475),'03_Warehouse_Movements'!$E$2:$E$500),$C475))</f>
        <v/>
      </c>
      <c r="E475" t="s">
        <v>423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1000</v>
      </c>
      <c r="B476" s="24"/>
      <c r="D476" t="str">
        <f>IF($C476="","",IFERROR(LOOKUP(2,1/('03_Warehouse_Movements'!$C$2:$C$500=$A476),'03_Warehouse_Movements'!$E$2:$E$500),$C476))</f>
        <v/>
      </c>
      <c r="E476" t="s">
        <v>423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1001</v>
      </c>
      <c r="B477" s="24"/>
      <c r="D477" t="str">
        <f>IF($C477="","",IFERROR(LOOKUP(2,1/('03_Warehouse_Movements'!$C$2:$C$500=$A477),'03_Warehouse_Movements'!$E$2:$E$500),$C477))</f>
        <v/>
      </c>
      <c r="E477" t="s">
        <v>423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1002</v>
      </c>
      <c r="B478" s="24"/>
      <c r="D478" t="str">
        <f>IF($C478="","",IFERROR(LOOKUP(2,1/('03_Warehouse_Movements'!$C$2:$C$500=$A478),'03_Warehouse_Movements'!$E$2:$E$500),$C478))</f>
        <v/>
      </c>
      <c r="E478" t="s">
        <v>423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1003</v>
      </c>
      <c r="B479" s="24"/>
      <c r="D479" t="str">
        <f>IF($C479="","",IFERROR(LOOKUP(2,1/('03_Warehouse_Movements'!$C$2:$C$500=$A479),'03_Warehouse_Movements'!$E$2:$E$500),$C479))</f>
        <v/>
      </c>
      <c r="E479" t="s">
        <v>423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1004</v>
      </c>
      <c r="B480" s="24"/>
      <c r="D480" t="str">
        <f>IF($C480="","",IFERROR(LOOKUP(2,1/('03_Warehouse_Movements'!$C$2:$C$500=$A480),'03_Warehouse_Movements'!$E$2:$E$500),$C480))</f>
        <v/>
      </c>
      <c r="E480" t="s">
        <v>423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1005</v>
      </c>
      <c r="B481" s="24"/>
      <c r="D481" t="str">
        <f>IF($C481="","",IFERROR(LOOKUP(2,1/('03_Warehouse_Movements'!$C$2:$C$500=$A481),'03_Warehouse_Movements'!$E$2:$E$500),$C481))</f>
        <v/>
      </c>
      <c r="E481" t="s">
        <v>423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1006</v>
      </c>
      <c r="B482" s="24"/>
      <c r="D482" t="str">
        <f>IF($C482="","",IFERROR(LOOKUP(2,1/('03_Warehouse_Movements'!$C$2:$C$500=$A482),'03_Warehouse_Movements'!$E$2:$E$500),$C482))</f>
        <v/>
      </c>
      <c r="E482" t="s">
        <v>423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1007</v>
      </c>
      <c r="B483" s="24"/>
      <c r="D483" t="str">
        <f>IF($C483="","",IFERROR(LOOKUP(2,1/('03_Warehouse_Movements'!$C$2:$C$500=$A483),'03_Warehouse_Movements'!$E$2:$E$500),$C483))</f>
        <v/>
      </c>
      <c r="E483" t="s">
        <v>423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1008</v>
      </c>
      <c r="B484" s="24"/>
      <c r="D484" t="str">
        <f>IF($C484="","",IFERROR(LOOKUP(2,1/('03_Warehouse_Movements'!$C$2:$C$500=$A484),'03_Warehouse_Movements'!$E$2:$E$500),$C484))</f>
        <v/>
      </c>
      <c r="E484" t="s">
        <v>423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1009</v>
      </c>
      <c r="B485" s="24"/>
      <c r="D485" t="str">
        <f>IF($C485="","",IFERROR(LOOKUP(2,1/('03_Warehouse_Movements'!$C$2:$C$500=$A485),'03_Warehouse_Movements'!$E$2:$E$500),$C485))</f>
        <v/>
      </c>
      <c r="E485" t="s">
        <v>423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1010</v>
      </c>
      <c r="B486" s="24"/>
      <c r="D486" t="str">
        <f>IF($C486="","",IFERROR(LOOKUP(2,1/('03_Warehouse_Movements'!$C$2:$C$500=$A486),'03_Warehouse_Movements'!$E$2:$E$500),$C486))</f>
        <v/>
      </c>
      <c r="E486" t="s">
        <v>423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1011</v>
      </c>
      <c r="B487" s="24"/>
      <c r="D487" t="str">
        <f>IF($C487="","",IFERROR(LOOKUP(2,1/('03_Warehouse_Movements'!$C$2:$C$500=$A487),'03_Warehouse_Movements'!$E$2:$E$500),$C487))</f>
        <v/>
      </c>
      <c r="E487" t="s">
        <v>423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1012</v>
      </c>
      <c r="B488" s="24"/>
      <c r="D488" t="str">
        <f>IF($C488="","",IFERROR(LOOKUP(2,1/('03_Warehouse_Movements'!$C$2:$C$500=$A488),'03_Warehouse_Movements'!$E$2:$E$500),$C488))</f>
        <v/>
      </c>
      <c r="E488" t="s">
        <v>423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1013</v>
      </c>
      <c r="B489" s="24"/>
      <c r="D489" t="str">
        <f>IF($C489="","",IFERROR(LOOKUP(2,1/('03_Warehouse_Movements'!$C$2:$C$500=$A489),'03_Warehouse_Movements'!$E$2:$E$500),$C489))</f>
        <v/>
      </c>
      <c r="E489" t="s">
        <v>423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1014</v>
      </c>
      <c r="B490" s="24"/>
      <c r="D490" t="str">
        <f>IF($C490="","",IFERROR(LOOKUP(2,1/('03_Warehouse_Movements'!$C$2:$C$500=$A490),'03_Warehouse_Movements'!$E$2:$E$500),$C490))</f>
        <v/>
      </c>
      <c r="E490" t="s">
        <v>423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1015</v>
      </c>
      <c r="B491" s="24"/>
      <c r="D491" t="str">
        <f>IF($C491="","",IFERROR(LOOKUP(2,1/('03_Warehouse_Movements'!$C$2:$C$500=$A491),'03_Warehouse_Movements'!$E$2:$E$500),$C491))</f>
        <v/>
      </c>
      <c r="E491" t="s">
        <v>423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1016</v>
      </c>
      <c r="B492" s="24"/>
      <c r="D492" t="str">
        <f>IF($C492="","",IFERROR(LOOKUP(2,1/('03_Warehouse_Movements'!$C$2:$C$500=$A492),'03_Warehouse_Movements'!$E$2:$E$500),$C492))</f>
        <v/>
      </c>
      <c r="E492" t="s">
        <v>423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1017</v>
      </c>
      <c r="B493" s="24"/>
      <c r="D493" t="str">
        <f>IF($C493="","",IFERROR(LOOKUP(2,1/('03_Warehouse_Movements'!$C$2:$C$500=$A493),'03_Warehouse_Movements'!$E$2:$E$500),$C493))</f>
        <v/>
      </c>
      <c r="E493" t="s">
        <v>423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1018</v>
      </c>
      <c r="B494" s="24"/>
      <c r="D494" t="str">
        <f>IF($C494="","",IFERROR(LOOKUP(2,1/('03_Warehouse_Movements'!$C$2:$C$500=$A494),'03_Warehouse_Movements'!$E$2:$E$500),$C494))</f>
        <v/>
      </c>
      <c r="E494" t="s">
        <v>423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1019</v>
      </c>
      <c r="B495" s="24"/>
      <c r="D495" t="str">
        <f>IF($C495="","",IFERROR(LOOKUP(2,1/('03_Warehouse_Movements'!$C$2:$C$500=$A495),'03_Warehouse_Movements'!$E$2:$E$500),$C495))</f>
        <v/>
      </c>
      <c r="E495" t="s">
        <v>423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1020</v>
      </c>
      <c r="B496" s="24"/>
      <c r="D496" t="str">
        <f>IF($C496="","",IFERROR(LOOKUP(2,1/('03_Warehouse_Movements'!$C$2:$C$500=$A496),'03_Warehouse_Movements'!$E$2:$E$500),$C496))</f>
        <v/>
      </c>
      <c r="E496" t="s">
        <v>423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1021</v>
      </c>
      <c r="B497" s="24"/>
      <c r="D497" t="str">
        <f>IF($C497="","",IFERROR(LOOKUP(2,1/('03_Warehouse_Movements'!$C$2:$C$500=$A497),'03_Warehouse_Movements'!$E$2:$E$500),$C497))</f>
        <v/>
      </c>
      <c r="E497" t="s">
        <v>423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1022</v>
      </c>
      <c r="B498" s="24"/>
      <c r="D498" t="str">
        <f>IF($C498="","",IFERROR(LOOKUP(2,1/('03_Warehouse_Movements'!$C$2:$C$500=$A498),'03_Warehouse_Movements'!$E$2:$E$500),$C498))</f>
        <v/>
      </c>
      <c r="E498" t="s">
        <v>423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1023</v>
      </c>
      <c r="B499" s="24"/>
      <c r="D499" t="str">
        <f>IF($C499="","",IFERROR(LOOKUP(2,1/('03_Warehouse_Movements'!$C$2:$C$500=$A499),'03_Warehouse_Movements'!$E$2:$E$500),$C499))</f>
        <v/>
      </c>
      <c r="E499" t="s">
        <v>423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1024</v>
      </c>
      <c r="B500" s="24"/>
      <c r="D500" t="str">
        <f>IF($C500="","",IFERROR(LOOKUP(2,1/('03_Warehouse_Movements'!$C$2:$C$500=$A500),'03_Warehouse_Movements'!$E$2:$E$500),$C500))</f>
        <v/>
      </c>
      <c r="E500" t="s">
        <v>423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1025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1026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1027</v>
      </c>
      <c r="B2002" s="24"/>
      <c r="D2002" t="str">
        <f>IF($C2002="","",IFERROR(LOOKUP(2,1/('03_Warehouse_Movements'!$C$2:$C$500=$A2002),'03_Warehouse_Movements'!$E$2:$E$500),$C2002))</f>
        <v/>
      </c>
      <c r="E2002" t="s">
        <v>423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92" priority="3" stopIfTrue="1">
      <formula>AND(TRIM($A2)="",OR($B2&lt;&gt;"",$C2&lt;&gt;"",$D2&lt;&gt;"",$E2&lt;&gt;"",$I2&lt;&gt;"",$J2&lt;&gt;""))</formula>
    </cfRule>
    <cfRule type="expression" dxfId="91" priority="4">
      <formula>AND(TRIM($A2)&lt;&gt;"",NOT(AND(LEFT($A2,4)="PAL-",LEN($A2)=11,ISNUMBER(--MID($A2,5,7)))))</formula>
    </cfRule>
    <cfRule type="expression" dxfId="90" priority="5">
      <formula>AND(TRIM($A2)&lt;&gt;"",COUNTIF($A$2:$A$2002,$A2)&gt;1)</formula>
    </cfRule>
    <cfRule type="expression" dxfId="89" priority="6">
      <formula>AND(TRIM($A2)&lt;&gt;"",$C2&lt;&gt;"",$D2&lt;&gt;"",$D2&lt;&gt;"0",$C2&lt;&gt;$D2)</formula>
    </cfRule>
  </conditionalFormatting>
  <conditionalFormatting sqref="C8">
    <cfRule type="expression" dxfId="88" priority="1" stopIfTrue="1">
      <formula>AND(TRIM($A8)="",OR($B8&lt;&gt;"",$C8&lt;&gt;"",$D8&lt;&gt;"",$E8&lt;&gt;"",$F8&lt;&gt;"",$I8&lt;&gt;""))</formula>
    </cfRule>
    <cfRule type="expression" dxfId="87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1028</v>
      </c>
      <c r="B1" s="50" t="s">
        <v>1029</v>
      </c>
      <c r="C1" s="50" t="s">
        <v>1030</v>
      </c>
      <c r="D1" s="50" t="s">
        <v>1031</v>
      </c>
      <c r="E1" s="50" t="s">
        <v>1032</v>
      </c>
      <c r="F1" s="50" t="s">
        <v>1033</v>
      </c>
      <c r="G1" s="50" t="s">
        <v>400</v>
      </c>
      <c r="H1" s="50" t="s">
        <v>1034</v>
      </c>
      <c r="I1" s="50" t="s">
        <v>403</v>
      </c>
      <c r="J1" s="40" t="s">
        <v>1035</v>
      </c>
      <c r="K1" s="40" t="s">
        <v>1036</v>
      </c>
      <c r="L1" s="40" t="s">
        <v>1037</v>
      </c>
      <c r="M1" s="40" t="s">
        <v>1038</v>
      </c>
      <c r="N1" s="40" t="s">
        <v>1039</v>
      </c>
      <c r="O1" t="s">
        <v>1040</v>
      </c>
      <c r="P1" t="s">
        <v>1041</v>
      </c>
      <c r="Q1" t="s">
        <v>1042</v>
      </c>
    </row>
    <row r="2" spans="1:17">
      <c r="A2" t="s">
        <v>430</v>
      </c>
      <c r="B2" t="s">
        <v>1043</v>
      </c>
      <c r="E2" t="s">
        <v>1044</v>
      </c>
      <c r="F2">
        <v>1</v>
      </c>
      <c r="G2">
        <v>0</v>
      </c>
      <c r="H2" t="str">
        <f t="shared" ref="H2:H33" si="0">A2</f>
        <v>STAGED</v>
      </c>
      <c r="I2" t="s">
        <v>1045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1046</v>
      </c>
      <c r="B3" t="s">
        <v>1043</v>
      </c>
      <c r="E3" t="s">
        <v>1047</v>
      </c>
      <c r="F3">
        <v>1</v>
      </c>
      <c r="G3">
        <v>0</v>
      </c>
      <c r="H3" t="str">
        <f t="shared" si="0"/>
        <v>STAGE_OUT</v>
      </c>
      <c r="I3" t="s">
        <v>1048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1049</v>
      </c>
      <c r="B4" t="s">
        <v>1043</v>
      </c>
      <c r="E4" t="s">
        <v>1050</v>
      </c>
      <c r="F4">
        <v>2</v>
      </c>
      <c r="G4">
        <v>0</v>
      </c>
      <c r="H4" t="str">
        <f t="shared" si="0"/>
        <v>QUARANTINE</v>
      </c>
      <c r="I4" t="s">
        <v>1051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1052</v>
      </c>
      <c r="B5" t="s">
        <v>1053</v>
      </c>
      <c r="C5" t="s">
        <v>1054</v>
      </c>
      <c r="D5" t="s">
        <v>1055</v>
      </c>
      <c r="E5" t="s">
        <v>1056</v>
      </c>
      <c r="F5">
        <v>1</v>
      </c>
      <c r="G5">
        <v>2</v>
      </c>
      <c r="H5" t="str">
        <f t="shared" si="0"/>
        <v>Z1</v>
      </c>
      <c r="I5" t="s">
        <v>1057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1058</v>
      </c>
      <c r="B6" t="s">
        <v>1053</v>
      </c>
      <c r="C6" t="s">
        <v>1059</v>
      </c>
      <c r="D6">
        <v>1</v>
      </c>
      <c r="E6" t="s">
        <v>1060</v>
      </c>
      <c r="F6">
        <v>4</v>
      </c>
      <c r="G6">
        <v>2</v>
      </c>
      <c r="H6" t="str">
        <f t="shared" si="0"/>
        <v>A</v>
      </c>
      <c r="I6" t="s">
        <v>1061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1062</v>
      </c>
      <c r="B7" t="s">
        <v>1053</v>
      </c>
      <c r="C7" t="s">
        <v>1059</v>
      </c>
      <c r="D7">
        <v>1</v>
      </c>
      <c r="E7" t="s">
        <v>1060</v>
      </c>
      <c r="F7">
        <v>4</v>
      </c>
      <c r="G7">
        <v>2</v>
      </c>
      <c r="H7" t="str">
        <f t="shared" si="0"/>
        <v>Between rows segment 02</v>
      </c>
      <c r="I7" t="s">
        <v>1063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1064</v>
      </c>
      <c r="B8" t="s">
        <v>1053</v>
      </c>
      <c r="C8" t="s">
        <v>1054</v>
      </c>
      <c r="D8" t="s">
        <v>1065</v>
      </c>
      <c r="E8" t="s">
        <v>1066</v>
      </c>
      <c r="F8">
        <v>3</v>
      </c>
      <c r="G8">
        <v>7</v>
      </c>
      <c r="H8" t="str">
        <f t="shared" si="0"/>
        <v>01</v>
      </c>
      <c r="I8" t="s">
        <v>1067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439</v>
      </c>
      <c r="B9" t="s">
        <v>1068</v>
      </c>
      <c r="E9" t="s">
        <v>1066</v>
      </c>
      <c r="F9">
        <v>3</v>
      </c>
      <c r="G9">
        <v>0</v>
      </c>
      <c r="H9" t="str">
        <f t="shared" si="0"/>
        <v>UNSAFE</v>
      </c>
      <c r="I9" t="s">
        <v>1069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1070</v>
      </c>
      <c r="B10" t="s">
        <v>1053</v>
      </c>
      <c r="C10" t="s">
        <v>1059</v>
      </c>
      <c r="D10">
        <v>1</v>
      </c>
      <c r="E10" t="s">
        <v>1060</v>
      </c>
      <c r="F10">
        <v>4</v>
      </c>
      <c r="G10">
        <v>2</v>
      </c>
      <c r="H10" t="str">
        <f t="shared" si="0"/>
        <v>SAMPLE: Grid A03</v>
      </c>
      <c r="I10" t="s">
        <v>1071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1072</v>
      </c>
      <c r="B11" t="s">
        <v>1053</v>
      </c>
      <c r="C11" t="s">
        <v>1059</v>
      </c>
      <c r="D11">
        <v>1</v>
      </c>
      <c r="E11" t="s">
        <v>1060</v>
      </c>
      <c r="F11">
        <v>4</v>
      </c>
      <c r="G11">
        <v>2</v>
      </c>
      <c r="H11" t="str">
        <f t="shared" si="0"/>
        <v>SAMPLE: Grid A04</v>
      </c>
      <c r="I11" t="s">
        <v>1073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463</v>
      </c>
      <c r="B12" t="s">
        <v>1053</v>
      </c>
      <c r="C12" t="s">
        <v>1059</v>
      </c>
      <c r="D12">
        <v>1</v>
      </c>
      <c r="E12" t="s">
        <v>1060</v>
      </c>
      <c r="F12">
        <v>4</v>
      </c>
      <c r="G12">
        <v>2</v>
      </c>
      <c r="H12" t="str">
        <f t="shared" si="0"/>
        <v>SAMPLE: Power Supplies</v>
      </c>
      <c r="I12" t="s">
        <v>1074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466</v>
      </c>
      <c r="B13" t="s">
        <v>1053</v>
      </c>
      <c r="C13" t="s">
        <v>1059</v>
      </c>
      <c r="D13">
        <v>1</v>
      </c>
      <c r="E13" t="s">
        <v>1060</v>
      </c>
      <c r="F13">
        <v>4</v>
      </c>
      <c r="G13">
        <v>2</v>
      </c>
      <c r="H13" t="str">
        <f t="shared" si="0"/>
        <v>SAMPLE: Imaging Equipment</v>
      </c>
      <c r="I13" t="s">
        <v>1075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469</v>
      </c>
      <c r="B14" t="s">
        <v>1053</v>
      </c>
      <c r="C14" t="s">
        <v>1059</v>
      </c>
      <c r="D14">
        <v>1</v>
      </c>
      <c r="E14" t="s">
        <v>1060</v>
      </c>
      <c r="F14">
        <v>4</v>
      </c>
      <c r="G14">
        <v>2</v>
      </c>
      <c r="H14" t="str">
        <f t="shared" si="0"/>
        <v>SAMPLE: Misc Hardware</v>
      </c>
      <c r="I14" t="s">
        <v>1076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473</v>
      </c>
      <c r="B15" t="s">
        <v>1053</v>
      </c>
      <c r="C15" t="s">
        <v>1059</v>
      </c>
      <c r="D15">
        <v>1</v>
      </c>
      <c r="E15" t="s">
        <v>1060</v>
      </c>
      <c r="F15">
        <v>4</v>
      </c>
      <c r="G15">
        <v>2</v>
      </c>
      <c r="H15" t="str">
        <f t="shared" si="0"/>
        <v>SAMPLE: Dell Devices</v>
      </c>
      <c r="I15" t="s">
        <v>1077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476</v>
      </c>
      <c r="B16" t="s">
        <v>1053</v>
      </c>
      <c r="C16" t="s">
        <v>1059</v>
      </c>
      <c r="D16">
        <v>1</v>
      </c>
      <c r="E16" t="s">
        <v>1060</v>
      </c>
      <c r="F16">
        <v>4</v>
      </c>
      <c r="G16">
        <v>2</v>
      </c>
      <c r="H16" t="str">
        <f t="shared" si="0"/>
        <v>PAL-0000013</v>
      </c>
      <c r="I16" t="s">
        <v>1078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478</v>
      </c>
      <c r="B17" t="s">
        <v>1053</v>
      </c>
      <c r="C17" t="s">
        <v>1059</v>
      </c>
      <c r="D17">
        <v>1</v>
      </c>
      <c r="E17" t="s">
        <v>1060</v>
      </c>
      <c r="F17">
        <v>4</v>
      </c>
      <c r="G17">
        <v>2</v>
      </c>
      <c r="H17" t="str">
        <f t="shared" si="0"/>
        <v>SAMPLE: Cables &amp; Adapters</v>
      </c>
      <c r="I17" t="s">
        <v>1079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481</v>
      </c>
      <c r="B18" t="s">
        <v>1053</v>
      </c>
      <c r="C18" t="s">
        <v>1059</v>
      </c>
      <c r="D18">
        <v>1</v>
      </c>
      <c r="E18" t="s">
        <v>1060</v>
      </c>
      <c r="F18">
        <v>4</v>
      </c>
      <c r="G18">
        <v>2</v>
      </c>
      <c r="H18" t="str">
        <f t="shared" si="0"/>
        <v>SAMPLE: Racks &amp; Rails</v>
      </c>
      <c r="I18" t="s">
        <v>1080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485</v>
      </c>
      <c r="B19" t="s">
        <v>1053</v>
      </c>
      <c r="C19" t="s">
        <v>1059</v>
      </c>
      <c r="D19">
        <v>1</v>
      </c>
      <c r="E19" t="s">
        <v>1060</v>
      </c>
      <c r="F19">
        <v>4</v>
      </c>
      <c r="G19">
        <v>2</v>
      </c>
      <c r="H19" t="str">
        <f t="shared" si="0"/>
        <v>SAMPLE: Networking Gear</v>
      </c>
      <c r="I19" t="s">
        <v>1081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488</v>
      </c>
      <c r="B20" t="s">
        <v>1053</v>
      </c>
      <c r="C20" t="s">
        <v>1059</v>
      </c>
      <c r="D20">
        <v>1</v>
      </c>
      <c r="E20" t="s">
        <v>1060</v>
      </c>
      <c r="F20">
        <v>4</v>
      </c>
      <c r="G20">
        <v>2</v>
      </c>
      <c r="H20" t="str">
        <f t="shared" si="0"/>
        <v>SAMPLE: Keyboards &amp; Mice</v>
      </c>
      <c r="I20" t="s">
        <v>1082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491</v>
      </c>
      <c r="B21" t="s">
        <v>1053</v>
      </c>
      <c r="C21" t="s">
        <v>1059</v>
      </c>
      <c r="D21">
        <v>1</v>
      </c>
      <c r="E21" t="s">
        <v>1060</v>
      </c>
      <c r="F21">
        <v>4</v>
      </c>
      <c r="G21">
        <v>2</v>
      </c>
      <c r="H21" t="str">
        <f t="shared" si="0"/>
        <v>SAMPLE: Spare Parts</v>
      </c>
      <c r="I21" t="s">
        <v>1083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494</v>
      </c>
      <c r="B22" t="s">
        <v>1053</v>
      </c>
      <c r="C22" t="s">
        <v>1059</v>
      </c>
      <c r="D22">
        <v>1</v>
      </c>
      <c r="E22" t="s">
        <v>1060</v>
      </c>
      <c r="F22">
        <v>4</v>
      </c>
      <c r="G22">
        <v>2</v>
      </c>
      <c r="H22" t="str">
        <f t="shared" si="0"/>
        <v>PAL-0000019</v>
      </c>
      <c r="I22" t="s">
        <v>1084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496</v>
      </c>
      <c r="B23" t="s">
        <v>1053</v>
      </c>
      <c r="C23" t="s">
        <v>1059</v>
      </c>
      <c r="D23">
        <v>1</v>
      </c>
      <c r="E23" t="s">
        <v>1060</v>
      </c>
      <c r="F23">
        <v>4</v>
      </c>
      <c r="G23">
        <v>2</v>
      </c>
      <c r="H23" t="str">
        <f t="shared" si="0"/>
        <v>PAL-0000020</v>
      </c>
      <c r="I23" t="s">
        <v>1085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498</v>
      </c>
      <c r="B24" t="s">
        <v>1053</v>
      </c>
      <c r="C24" t="s">
        <v>1059</v>
      </c>
      <c r="D24">
        <v>1</v>
      </c>
      <c r="E24" t="s">
        <v>1060</v>
      </c>
      <c r="F24">
        <v>4</v>
      </c>
      <c r="G24">
        <v>2</v>
      </c>
      <c r="H24" t="str">
        <f t="shared" si="0"/>
        <v>PAL-0000021</v>
      </c>
      <c r="I24" t="s">
        <v>1086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500</v>
      </c>
      <c r="B25" t="s">
        <v>1053</v>
      </c>
      <c r="C25" t="s">
        <v>1059</v>
      </c>
      <c r="D25">
        <v>1</v>
      </c>
      <c r="E25" t="s">
        <v>1060</v>
      </c>
      <c r="F25">
        <v>4</v>
      </c>
      <c r="G25">
        <v>2</v>
      </c>
      <c r="H25" t="str">
        <f t="shared" si="0"/>
        <v>PAL-0000022</v>
      </c>
      <c r="I25" t="s">
        <v>1087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503</v>
      </c>
      <c r="B26" t="s">
        <v>1053</v>
      </c>
      <c r="C26" t="s">
        <v>1059</v>
      </c>
      <c r="D26">
        <v>1</v>
      </c>
      <c r="E26" t="s">
        <v>1060</v>
      </c>
      <c r="F26">
        <v>4</v>
      </c>
      <c r="G26">
        <v>2</v>
      </c>
      <c r="H26" t="str">
        <f t="shared" si="0"/>
        <v>PAL-0000023</v>
      </c>
      <c r="I26" t="s">
        <v>1088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505</v>
      </c>
      <c r="B27" t="s">
        <v>1053</v>
      </c>
      <c r="C27" t="s">
        <v>1059</v>
      </c>
      <c r="D27">
        <v>1</v>
      </c>
      <c r="E27" t="s">
        <v>1060</v>
      </c>
      <c r="F27">
        <v>4</v>
      </c>
      <c r="G27">
        <v>2</v>
      </c>
      <c r="H27" t="str">
        <f t="shared" si="0"/>
        <v>PAL-0000024</v>
      </c>
      <c r="I27" t="s">
        <v>1089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507</v>
      </c>
      <c r="B28" t="s">
        <v>1053</v>
      </c>
      <c r="C28" t="s">
        <v>471</v>
      </c>
      <c r="D28">
        <v>1</v>
      </c>
      <c r="E28" t="s">
        <v>1060</v>
      </c>
      <c r="F28">
        <v>4</v>
      </c>
      <c r="G28">
        <v>2</v>
      </c>
      <c r="H28" t="str">
        <f t="shared" si="0"/>
        <v>PAL-0000025</v>
      </c>
      <c r="I28" t="s">
        <v>1090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509</v>
      </c>
      <c r="B29" t="s">
        <v>1053</v>
      </c>
      <c r="C29" t="s">
        <v>471</v>
      </c>
      <c r="D29">
        <v>1</v>
      </c>
      <c r="E29" t="s">
        <v>1060</v>
      </c>
      <c r="F29">
        <v>4</v>
      </c>
      <c r="G29">
        <v>2</v>
      </c>
      <c r="H29" t="str">
        <f t="shared" si="0"/>
        <v>PAL-0000026</v>
      </c>
      <c r="I29" t="s">
        <v>1091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511</v>
      </c>
      <c r="B30" t="s">
        <v>1053</v>
      </c>
      <c r="C30" t="s">
        <v>471</v>
      </c>
      <c r="D30">
        <v>1</v>
      </c>
      <c r="E30" t="s">
        <v>1060</v>
      </c>
      <c r="F30">
        <v>4</v>
      </c>
      <c r="G30">
        <v>2</v>
      </c>
      <c r="H30" t="str">
        <f t="shared" si="0"/>
        <v>PAL-0000027</v>
      </c>
      <c r="I30" t="s">
        <v>1092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513</v>
      </c>
      <c r="B31" t="s">
        <v>1053</v>
      </c>
      <c r="C31" t="s">
        <v>471</v>
      </c>
      <c r="D31">
        <v>1</v>
      </c>
      <c r="E31" t="s">
        <v>1060</v>
      </c>
      <c r="F31">
        <v>4</v>
      </c>
      <c r="G31">
        <v>2</v>
      </c>
      <c r="H31" t="str">
        <f t="shared" si="0"/>
        <v>PAL-0000028</v>
      </c>
      <c r="I31" t="s">
        <v>1093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515</v>
      </c>
      <c r="B32" t="s">
        <v>1053</v>
      </c>
      <c r="C32" t="s">
        <v>471</v>
      </c>
      <c r="D32">
        <v>1</v>
      </c>
      <c r="E32" t="s">
        <v>1060</v>
      </c>
      <c r="F32">
        <v>4</v>
      </c>
      <c r="G32">
        <v>2</v>
      </c>
      <c r="H32" t="str">
        <f t="shared" si="0"/>
        <v>PAL-0000029</v>
      </c>
      <c r="I32" t="s">
        <v>1094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518</v>
      </c>
      <c r="B33" t="s">
        <v>1053</v>
      </c>
      <c r="C33" t="s">
        <v>471</v>
      </c>
      <c r="D33">
        <v>1</v>
      </c>
      <c r="E33" t="s">
        <v>1060</v>
      </c>
      <c r="F33">
        <v>4</v>
      </c>
      <c r="G33">
        <v>2</v>
      </c>
      <c r="H33" t="str">
        <f t="shared" si="0"/>
        <v>PAL-0000030</v>
      </c>
      <c r="I33" t="s">
        <v>1095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520</v>
      </c>
      <c r="B34" t="s">
        <v>1053</v>
      </c>
      <c r="C34" t="s">
        <v>471</v>
      </c>
      <c r="D34">
        <v>1</v>
      </c>
      <c r="E34" t="s">
        <v>1060</v>
      </c>
      <c r="F34">
        <v>4</v>
      </c>
      <c r="G34">
        <v>2</v>
      </c>
      <c r="H34" t="str">
        <f t="shared" ref="H34:H65" si="9">A34</f>
        <v>PAL-0000031</v>
      </c>
      <c r="I34" t="s">
        <v>1096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522</v>
      </c>
      <c r="B35" t="s">
        <v>1053</v>
      </c>
      <c r="C35" t="s">
        <v>471</v>
      </c>
      <c r="D35">
        <v>1</v>
      </c>
      <c r="E35" t="s">
        <v>1060</v>
      </c>
      <c r="F35">
        <v>4</v>
      </c>
      <c r="G35">
        <v>2</v>
      </c>
      <c r="H35" t="str">
        <f t="shared" si="9"/>
        <v>PAL-0000032</v>
      </c>
      <c r="I35" t="s">
        <v>1097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524</v>
      </c>
      <c r="B36" t="s">
        <v>1053</v>
      </c>
      <c r="C36" t="s">
        <v>471</v>
      </c>
      <c r="D36">
        <v>1</v>
      </c>
      <c r="E36" t="s">
        <v>1060</v>
      </c>
      <c r="F36">
        <v>4</v>
      </c>
      <c r="G36">
        <v>2</v>
      </c>
      <c r="H36" t="str">
        <f t="shared" si="9"/>
        <v>PAL-0000033</v>
      </c>
      <c r="I36" t="s">
        <v>1098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526</v>
      </c>
      <c r="B37" t="s">
        <v>1053</v>
      </c>
      <c r="C37" t="s">
        <v>471</v>
      </c>
      <c r="D37">
        <v>1</v>
      </c>
      <c r="E37" t="s">
        <v>1060</v>
      </c>
      <c r="F37">
        <v>4</v>
      </c>
      <c r="G37">
        <v>2</v>
      </c>
      <c r="H37" t="str">
        <f t="shared" si="9"/>
        <v>PAL-0000034</v>
      </c>
      <c r="I37" t="s">
        <v>1099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528</v>
      </c>
      <c r="B38" t="s">
        <v>1053</v>
      </c>
      <c r="C38" t="s">
        <v>471</v>
      </c>
      <c r="D38">
        <v>1</v>
      </c>
      <c r="E38" t="s">
        <v>1060</v>
      </c>
      <c r="F38">
        <v>4</v>
      </c>
      <c r="G38">
        <v>2</v>
      </c>
      <c r="H38" t="str">
        <f t="shared" si="9"/>
        <v>PAL-0000035</v>
      </c>
      <c r="I38" t="s">
        <v>1100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530</v>
      </c>
      <c r="B39" t="s">
        <v>1053</v>
      </c>
      <c r="C39" t="s">
        <v>471</v>
      </c>
      <c r="D39">
        <v>1</v>
      </c>
      <c r="E39" t="s">
        <v>1060</v>
      </c>
      <c r="F39">
        <v>4</v>
      </c>
      <c r="G39">
        <v>2</v>
      </c>
      <c r="H39" t="str">
        <f t="shared" si="9"/>
        <v>PAL-0000036</v>
      </c>
      <c r="I39" t="s">
        <v>1101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533</v>
      </c>
      <c r="B40" t="s">
        <v>1053</v>
      </c>
      <c r="C40" t="s">
        <v>471</v>
      </c>
      <c r="D40">
        <v>1</v>
      </c>
      <c r="E40" t="s">
        <v>1060</v>
      </c>
      <c r="F40">
        <v>4</v>
      </c>
      <c r="G40">
        <v>2</v>
      </c>
      <c r="H40" t="str">
        <f t="shared" si="9"/>
        <v>PAL-0000037</v>
      </c>
      <c r="I40" t="s">
        <v>1102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535</v>
      </c>
      <c r="B41" t="s">
        <v>1053</v>
      </c>
      <c r="C41" t="s">
        <v>471</v>
      </c>
      <c r="D41">
        <v>1</v>
      </c>
      <c r="E41" t="s">
        <v>1060</v>
      </c>
      <c r="F41">
        <v>4</v>
      </c>
      <c r="G41">
        <v>2</v>
      </c>
      <c r="H41" t="str">
        <f t="shared" si="9"/>
        <v>PAL-0000038</v>
      </c>
      <c r="I41" t="s">
        <v>1103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537</v>
      </c>
      <c r="B42" t="s">
        <v>1053</v>
      </c>
      <c r="C42" t="s">
        <v>471</v>
      </c>
      <c r="D42">
        <v>1</v>
      </c>
      <c r="E42" t="s">
        <v>1060</v>
      </c>
      <c r="F42">
        <v>4</v>
      </c>
      <c r="G42">
        <v>2</v>
      </c>
      <c r="H42" t="str">
        <f t="shared" si="9"/>
        <v>PAL-0000039</v>
      </c>
      <c r="I42" t="s">
        <v>1104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539</v>
      </c>
      <c r="B43" t="s">
        <v>1053</v>
      </c>
      <c r="C43" t="s">
        <v>471</v>
      </c>
      <c r="D43">
        <v>1</v>
      </c>
      <c r="E43" t="s">
        <v>1060</v>
      </c>
      <c r="F43">
        <v>4</v>
      </c>
      <c r="G43">
        <v>2</v>
      </c>
      <c r="H43" t="str">
        <f t="shared" si="9"/>
        <v>PAL-0000040</v>
      </c>
      <c r="I43" t="s">
        <v>1105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541</v>
      </c>
      <c r="B44" t="s">
        <v>1053</v>
      </c>
      <c r="C44" t="s">
        <v>471</v>
      </c>
      <c r="D44">
        <v>1</v>
      </c>
      <c r="E44" t="s">
        <v>1060</v>
      </c>
      <c r="F44">
        <v>4</v>
      </c>
      <c r="G44">
        <v>2</v>
      </c>
      <c r="H44" t="str">
        <f t="shared" si="9"/>
        <v>PAL-0000041</v>
      </c>
      <c r="I44" t="s">
        <v>1106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543</v>
      </c>
      <c r="B45" t="s">
        <v>1053</v>
      </c>
      <c r="C45" t="s">
        <v>471</v>
      </c>
      <c r="D45">
        <v>1</v>
      </c>
      <c r="E45" t="s">
        <v>1060</v>
      </c>
      <c r="F45">
        <v>4</v>
      </c>
      <c r="G45">
        <v>2</v>
      </c>
      <c r="H45" t="str">
        <f t="shared" si="9"/>
        <v>PAL-0000042</v>
      </c>
      <c r="I45" t="s">
        <v>1107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545</v>
      </c>
      <c r="B46" t="s">
        <v>1053</v>
      </c>
      <c r="C46" t="s">
        <v>471</v>
      </c>
      <c r="D46">
        <v>1</v>
      </c>
      <c r="E46" t="s">
        <v>1060</v>
      </c>
      <c r="F46">
        <v>4</v>
      </c>
      <c r="G46">
        <v>2</v>
      </c>
      <c r="H46" t="str">
        <f t="shared" si="9"/>
        <v>PAL-0000043</v>
      </c>
      <c r="I46" t="s">
        <v>1108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548</v>
      </c>
      <c r="B47" t="s">
        <v>1053</v>
      </c>
      <c r="C47" t="s">
        <v>471</v>
      </c>
      <c r="D47">
        <v>1</v>
      </c>
      <c r="E47" t="s">
        <v>1060</v>
      </c>
      <c r="F47">
        <v>4</v>
      </c>
      <c r="G47">
        <v>2</v>
      </c>
      <c r="H47" t="str">
        <f t="shared" si="9"/>
        <v>PAL-0000044</v>
      </c>
      <c r="I47" t="s">
        <v>1109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550</v>
      </c>
      <c r="B48" t="s">
        <v>1053</v>
      </c>
      <c r="C48" t="s">
        <v>1110</v>
      </c>
      <c r="D48">
        <v>1</v>
      </c>
      <c r="E48" t="s">
        <v>1060</v>
      </c>
      <c r="F48">
        <v>4</v>
      </c>
      <c r="G48">
        <v>2</v>
      </c>
      <c r="H48" t="str">
        <f t="shared" si="9"/>
        <v>PAL-0000045</v>
      </c>
      <c r="I48" t="s">
        <v>1111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552</v>
      </c>
      <c r="B49" t="s">
        <v>1053</v>
      </c>
      <c r="C49" t="s">
        <v>1110</v>
      </c>
      <c r="D49">
        <v>1</v>
      </c>
      <c r="E49" t="s">
        <v>1060</v>
      </c>
      <c r="F49">
        <v>4</v>
      </c>
      <c r="G49">
        <v>2</v>
      </c>
      <c r="H49" t="str">
        <f t="shared" si="9"/>
        <v>PAL-0000046</v>
      </c>
      <c r="I49" t="s">
        <v>1112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554</v>
      </c>
      <c r="B50" t="s">
        <v>1053</v>
      </c>
      <c r="C50" t="s">
        <v>1110</v>
      </c>
      <c r="D50">
        <v>1</v>
      </c>
      <c r="E50" t="s">
        <v>1060</v>
      </c>
      <c r="F50">
        <v>4</v>
      </c>
      <c r="G50">
        <v>2</v>
      </c>
      <c r="H50" t="str">
        <f t="shared" si="9"/>
        <v>PAL-0000047</v>
      </c>
      <c r="I50" t="s">
        <v>1113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556</v>
      </c>
      <c r="B51" t="s">
        <v>1053</v>
      </c>
      <c r="C51" t="s">
        <v>1110</v>
      </c>
      <c r="D51">
        <v>1</v>
      </c>
      <c r="E51" t="s">
        <v>1060</v>
      </c>
      <c r="F51">
        <v>4</v>
      </c>
      <c r="G51">
        <v>2</v>
      </c>
      <c r="H51" t="str">
        <f t="shared" si="9"/>
        <v>PAL-0000048</v>
      </c>
      <c r="I51" t="s">
        <v>1114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558</v>
      </c>
      <c r="B52" t="s">
        <v>1053</v>
      </c>
      <c r="C52" t="s">
        <v>1110</v>
      </c>
      <c r="D52">
        <v>1</v>
      </c>
      <c r="E52" t="s">
        <v>1060</v>
      </c>
      <c r="F52">
        <v>4</v>
      </c>
      <c r="G52">
        <v>2</v>
      </c>
      <c r="H52" t="str">
        <f t="shared" si="9"/>
        <v>PAL-0000049</v>
      </c>
      <c r="I52" t="s">
        <v>1115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560</v>
      </c>
      <c r="B53" t="s">
        <v>1053</v>
      </c>
      <c r="C53" t="s">
        <v>1110</v>
      </c>
      <c r="D53">
        <v>1</v>
      </c>
      <c r="E53" t="s">
        <v>1060</v>
      </c>
      <c r="F53">
        <v>4</v>
      </c>
      <c r="G53">
        <v>2</v>
      </c>
      <c r="H53" t="str">
        <f t="shared" si="9"/>
        <v>PAL-0000050</v>
      </c>
      <c r="I53" t="s">
        <v>1116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563</v>
      </c>
      <c r="B54" t="s">
        <v>1053</v>
      </c>
      <c r="C54" t="s">
        <v>1110</v>
      </c>
      <c r="D54">
        <v>1</v>
      </c>
      <c r="E54" t="s">
        <v>1060</v>
      </c>
      <c r="F54">
        <v>4</v>
      </c>
      <c r="G54">
        <v>2</v>
      </c>
      <c r="H54" t="str">
        <f t="shared" si="9"/>
        <v>RETIRED</v>
      </c>
      <c r="I54" t="s">
        <v>1117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566</v>
      </c>
      <c r="B55" t="s">
        <v>1053</v>
      </c>
      <c r="C55" t="s">
        <v>1110</v>
      </c>
      <c r="D55">
        <v>1</v>
      </c>
      <c r="E55" t="s">
        <v>1060</v>
      </c>
      <c r="F55">
        <v>4</v>
      </c>
      <c r="G55">
        <v>2</v>
      </c>
      <c r="H55" t="str">
        <f t="shared" si="9"/>
        <v>PAL-0000052</v>
      </c>
      <c r="I55" t="s">
        <v>1118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568</v>
      </c>
      <c r="B56" t="s">
        <v>1053</v>
      </c>
      <c r="C56" t="s">
        <v>1110</v>
      </c>
      <c r="D56">
        <v>1</v>
      </c>
      <c r="E56" t="s">
        <v>1060</v>
      </c>
      <c r="F56">
        <v>4</v>
      </c>
      <c r="G56">
        <v>2</v>
      </c>
      <c r="H56" t="str">
        <f t="shared" si="9"/>
        <v>PAL-0000053</v>
      </c>
      <c r="I56" t="s">
        <v>1119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570</v>
      </c>
      <c r="B57" t="s">
        <v>1053</v>
      </c>
      <c r="C57" t="s">
        <v>1110</v>
      </c>
      <c r="D57">
        <v>1</v>
      </c>
      <c r="E57" t="s">
        <v>1060</v>
      </c>
      <c r="F57">
        <v>4</v>
      </c>
      <c r="G57">
        <v>2</v>
      </c>
      <c r="H57" t="str">
        <f t="shared" si="9"/>
        <v>PAL-0000054</v>
      </c>
      <c r="I57" t="s">
        <v>1120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572</v>
      </c>
      <c r="B58" t="s">
        <v>1053</v>
      </c>
      <c r="C58" t="s">
        <v>1110</v>
      </c>
      <c r="D58">
        <v>1</v>
      </c>
      <c r="E58" t="s">
        <v>1060</v>
      </c>
      <c r="F58">
        <v>4</v>
      </c>
      <c r="G58">
        <v>2</v>
      </c>
      <c r="H58" t="str">
        <f t="shared" si="9"/>
        <v>PAL-0000055</v>
      </c>
      <c r="I58" t="s">
        <v>1121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574</v>
      </c>
      <c r="B59" t="s">
        <v>1053</v>
      </c>
      <c r="C59" t="s">
        <v>1110</v>
      </c>
      <c r="D59">
        <v>1</v>
      </c>
      <c r="E59" t="s">
        <v>1060</v>
      </c>
      <c r="F59">
        <v>4</v>
      </c>
      <c r="G59">
        <v>2</v>
      </c>
      <c r="H59" t="str">
        <f t="shared" si="9"/>
        <v>PAL-0000056</v>
      </c>
      <c r="I59" t="s">
        <v>1122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576</v>
      </c>
      <c r="B60" t="s">
        <v>1053</v>
      </c>
      <c r="C60" t="s">
        <v>1110</v>
      </c>
      <c r="D60">
        <v>1</v>
      </c>
      <c r="E60" t="s">
        <v>1060</v>
      </c>
      <c r="F60">
        <v>4</v>
      </c>
      <c r="G60">
        <v>2</v>
      </c>
      <c r="H60" t="str">
        <f t="shared" si="9"/>
        <v>PAL-0000057</v>
      </c>
      <c r="I60" t="s">
        <v>1123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579</v>
      </c>
      <c r="B61" t="s">
        <v>1053</v>
      </c>
      <c r="C61" t="s">
        <v>1110</v>
      </c>
      <c r="D61">
        <v>1</v>
      </c>
      <c r="E61" t="s">
        <v>1060</v>
      </c>
      <c r="F61">
        <v>4</v>
      </c>
      <c r="G61">
        <v>2</v>
      </c>
      <c r="H61" t="str">
        <f t="shared" si="9"/>
        <v>PAL-0000058</v>
      </c>
      <c r="I61" t="s">
        <v>1124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581</v>
      </c>
      <c r="B62" t="s">
        <v>1053</v>
      </c>
      <c r="C62" t="s">
        <v>1110</v>
      </c>
      <c r="D62">
        <v>1</v>
      </c>
      <c r="E62" t="s">
        <v>1060</v>
      </c>
      <c r="F62">
        <v>4</v>
      </c>
      <c r="G62">
        <v>2</v>
      </c>
      <c r="H62" t="str">
        <f t="shared" si="9"/>
        <v>PAL-0000059</v>
      </c>
      <c r="I62" t="s">
        <v>1125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583</v>
      </c>
      <c r="B63" t="s">
        <v>1053</v>
      </c>
      <c r="C63" t="s">
        <v>1110</v>
      </c>
      <c r="D63">
        <v>1</v>
      </c>
      <c r="E63" t="s">
        <v>1060</v>
      </c>
      <c r="F63">
        <v>4</v>
      </c>
      <c r="G63">
        <v>2</v>
      </c>
      <c r="H63" t="str">
        <f t="shared" si="9"/>
        <v>PAL-0000060</v>
      </c>
      <c r="I63" t="s">
        <v>1126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585</v>
      </c>
      <c r="B64" t="s">
        <v>1053</v>
      </c>
      <c r="C64" t="s">
        <v>1110</v>
      </c>
      <c r="D64">
        <v>1</v>
      </c>
      <c r="E64" t="s">
        <v>1060</v>
      </c>
      <c r="F64">
        <v>4</v>
      </c>
      <c r="G64">
        <v>2</v>
      </c>
      <c r="H64" t="str">
        <f t="shared" si="9"/>
        <v>PAL-0000061</v>
      </c>
      <c r="I64" t="s">
        <v>1127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1128</v>
      </c>
      <c r="B65" t="s">
        <v>1053</v>
      </c>
      <c r="C65" t="s">
        <v>1110</v>
      </c>
      <c r="D65">
        <v>1</v>
      </c>
      <c r="E65" t="s">
        <v>1060</v>
      </c>
      <c r="F65">
        <v>4</v>
      </c>
      <c r="G65">
        <v>2</v>
      </c>
      <c r="H65" t="str">
        <f t="shared" si="9"/>
        <v>SAMPLE: Grid C18</v>
      </c>
      <c r="I65" t="s">
        <v>1129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1130</v>
      </c>
      <c r="B66" t="s">
        <v>1053</v>
      </c>
      <c r="C66" t="s">
        <v>1110</v>
      </c>
      <c r="D66">
        <v>1</v>
      </c>
      <c r="E66" t="s">
        <v>1060</v>
      </c>
      <c r="F66">
        <v>4</v>
      </c>
      <c r="G66">
        <v>2</v>
      </c>
      <c r="H66" t="str">
        <f t="shared" ref="H66:H97" si="13">A66</f>
        <v>SAMPLE: Grid C19</v>
      </c>
      <c r="I66" t="s">
        <v>1131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1132</v>
      </c>
      <c r="B67" t="s">
        <v>1053</v>
      </c>
      <c r="C67" t="s">
        <v>1110</v>
      </c>
      <c r="D67">
        <v>1</v>
      </c>
      <c r="E67" t="s">
        <v>1060</v>
      </c>
      <c r="F67">
        <v>4</v>
      </c>
      <c r="G67">
        <v>2</v>
      </c>
      <c r="H67" t="str">
        <f t="shared" si="13"/>
        <v>SAMPLE: Grid C20</v>
      </c>
      <c r="I67" t="s">
        <v>1133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1134</v>
      </c>
      <c r="B68" t="s">
        <v>1053</v>
      </c>
      <c r="C68" t="s">
        <v>1135</v>
      </c>
      <c r="D68">
        <v>1</v>
      </c>
      <c r="E68" t="s">
        <v>1060</v>
      </c>
      <c r="F68">
        <v>4</v>
      </c>
      <c r="G68">
        <v>2</v>
      </c>
      <c r="H68" t="str">
        <f t="shared" si="13"/>
        <v>D</v>
      </c>
      <c r="I68" t="s">
        <v>1136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1137</v>
      </c>
      <c r="B69" t="s">
        <v>1053</v>
      </c>
      <c r="C69" t="s">
        <v>1135</v>
      </c>
      <c r="D69">
        <v>1</v>
      </c>
      <c r="E69" t="s">
        <v>1060</v>
      </c>
      <c r="F69">
        <v>4</v>
      </c>
      <c r="G69">
        <v>2</v>
      </c>
      <c r="H69" t="str">
        <f t="shared" si="13"/>
        <v>SAMPLE: Grid D02</v>
      </c>
      <c r="I69" t="s">
        <v>1138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1139</v>
      </c>
      <c r="B70" t="s">
        <v>1053</v>
      </c>
      <c r="C70" t="s">
        <v>1135</v>
      </c>
      <c r="D70">
        <v>1</v>
      </c>
      <c r="E70" t="s">
        <v>1060</v>
      </c>
      <c r="F70">
        <v>4</v>
      </c>
      <c r="G70">
        <v>2</v>
      </c>
      <c r="H70" t="str">
        <f t="shared" si="13"/>
        <v>SAMPLE: Grid D03</v>
      </c>
      <c r="I70" t="s">
        <v>1140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1141</v>
      </c>
      <c r="B71" t="s">
        <v>1053</v>
      </c>
      <c r="C71" t="s">
        <v>1135</v>
      </c>
      <c r="D71">
        <v>1</v>
      </c>
      <c r="E71" t="s">
        <v>1060</v>
      </c>
      <c r="F71">
        <v>4</v>
      </c>
      <c r="G71">
        <v>2</v>
      </c>
      <c r="H71" t="str">
        <f t="shared" si="13"/>
        <v>SAMPLE: Grid D04</v>
      </c>
      <c r="I71" t="s">
        <v>1142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1143</v>
      </c>
      <c r="B72" t="s">
        <v>1053</v>
      </c>
      <c r="C72" t="s">
        <v>1135</v>
      </c>
      <c r="D72">
        <v>1</v>
      </c>
      <c r="E72" t="s">
        <v>1060</v>
      </c>
      <c r="F72">
        <v>4</v>
      </c>
      <c r="G72">
        <v>2</v>
      </c>
      <c r="H72" t="str">
        <f t="shared" si="13"/>
        <v>SAMPLE: Grid D05</v>
      </c>
      <c r="I72" t="s">
        <v>1144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1145</v>
      </c>
      <c r="B73" t="s">
        <v>1053</v>
      </c>
      <c r="C73" t="s">
        <v>1135</v>
      </c>
      <c r="D73">
        <v>1</v>
      </c>
      <c r="E73" t="s">
        <v>1060</v>
      </c>
      <c r="F73">
        <v>4</v>
      </c>
      <c r="G73">
        <v>2</v>
      </c>
      <c r="H73" t="str">
        <f t="shared" si="13"/>
        <v>SAMPLE: Grid D06</v>
      </c>
      <c r="I73" t="s">
        <v>1146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1147</v>
      </c>
      <c r="B74" t="s">
        <v>1053</v>
      </c>
      <c r="C74" t="s">
        <v>1135</v>
      </c>
      <c r="D74">
        <v>1</v>
      </c>
      <c r="E74" t="s">
        <v>1060</v>
      </c>
      <c r="F74">
        <v>4</v>
      </c>
      <c r="G74">
        <v>2</v>
      </c>
      <c r="H74" t="str">
        <f t="shared" si="13"/>
        <v>SAMPLE: Grid D07</v>
      </c>
      <c r="I74" t="s">
        <v>1148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1149</v>
      </c>
      <c r="B75" t="s">
        <v>1053</v>
      </c>
      <c r="C75" t="s">
        <v>1135</v>
      </c>
      <c r="D75">
        <v>1</v>
      </c>
      <c r="E75" t="s">
        <v>1060</v>
      </c>
      <c r="F75">
        <v>4</v>
      </c>
      <c r="G75">
        <v>2</v>
      </c>
      <c r="H75" t="str">
        <f t="shared" si="13"/>
        <v>SAMPLE: Grid D08</v>
      </c>
      <c r="I75" t="s">
        <v>1150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1151</v>
      </c>
      <c r="B76" t="s">
        <v>1053</v>
      </c>
      <c r="C76" t="s">
        <v>1135</v>
      </c>
      <c r="D76">
        <v>1</v>
      </c>
      <c r="E76" t="s">
        <v>1060</v>
      </c>
      <c r="F76">
        <v>4</v>
      </c>
      <c r="G76">
        <v>2</v>
      </c>
      <c r="H76" t="str">
        <f t="shared" si="13"/>
        <v>SAMPLE: Grid D09</v>
      </c>
      <c r="I76" t="s">
        <v>1152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1153</v>
      </c>
      <c r="B77" t="s">
        <v>1053</v>
      </c>
      <c r="C77" t="s">
        <v>1135</v>
      </c>
      <c r="D77">
        <v>1</v>
      </c>
      <c r="E77" t="s">
        <v>1060</v>
      </c>
      <c r="F77">
        <v>4</v>
      </c>
      <c r="G77">
        <v>2</v>
      </c>
      <c r="H77" t="str">
        <f t="shared" si="13"/>
        <v>SAMPLE: Grid D10</v>
      </c>
      <c r="I77" t="s">
        <v>1154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1155</v>
      </c>
      <c r="B78" t="s">
        <v>1053</v>
      </c>
      <c r="C78" t="s">
        <v>1135</v>
      </c>
      <c r="D78">
        <v>1</v>
      </c>
      <c r="E78" t="s">
        <v>1060</v>
      </c>
      <c r="F78">
        <v>4</v>
      </c>
      <c r="G78">
        <v>2</v>
      </c>
      <c r="H78" t="str">
        <f t="shared" si="13"/>
        <v>SAMPLE: Grid D11</v>
      </c>
      <c r="I78" t="s">
        <v>1156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1157</v>
      </c>
      <c r="B79" t="s">
        <v>1053</v>
      </c>
      <c r="C79" t="s">
        <v>1135</v>
      </c>
      <c r="D79">
        <v>1</v>
      </c>
      <c r="E79" t="s">
        <v>1060</v>
      </c>
      <c r="F79">
        <v>4</v>
      </c>
      <c r="G79">
        <v>2</v>
      </c>
      <c r="H79" t="str">
        <f t="shared" si="13"/>
        <v>SAMPLE: Grid D12</v>
      </c>
      <c r="I79" t="s">
        <v>1158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1159</v>
      </c>
      <c r="B80" t="s">
        <v>1053</v>
      </c>
      <c r="C80" t="s">
        <v>1135</v>
      </c>
      <c r="D80">
        <v>1</v>
      </c>
      <c r="E80" t="s">
        <v>1060</v>
      </c>
      <c r="F80">
        <v>4</v>
      </c>
      <c r="G80">
        <v>2</v>
      </c>
      <c r="H80" t="str">
        <f t="shared" si="13"/>
        <v>SAMPLE: Grid D13</v>
      </c>
      <c r="I80" t="s">
        <v>1160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1161</v>
      </c>
      <c r="B81" t="s">
        <v>1053</v>
      </c>
      <c r="C81" t="s">
        <v>1135</v>
      </c>
      <c r="D81">
        <v>1</v>
      </c>
      <c r="E81" t="s">
        <v>1060</v>
      </c>
      <c r="F81">
        <v>4</v>
      </c>
      <c r="G81">
        <v>2</v>
      </c>
      <c r="H81" t="str">
        <f t="shared" si="13"/>
        <v>SAMPLE: Grid D14</v>
      </c>
      <c r="I81" t="s">
        <v>1162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1163</v>
      </c>
      <c r="B82" t="s">
        <v>1053</v>
      </c>
      <c r="C82" t="s">
        <v>1135</v>
      </c>
      <c r="D82">
        <v>1</v>
      </c>
      <c r="E82" t="s">
        <v>1060</v>
      </c>
      <c r="F82">
        <v>4</v>
      </c>
      <c r="G82">
        <v>2</v>
      </c>
      <c r="H82" t="str">
        <f t="shared" si="13"/>
        <v>SAMPLE: Grid D15</v>
      </c>
      <c r="I82" t="s">
        <v>1164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1165</v>
      </c>
      <c r="B83" t="s">
        <v>1053</v>
      </c>
      <c r="C83" t="s">
        <v>1135</v>
      </c>
      <c r="D83">
        <v>1</v>
      </c>
      <c r="E83" t="s">
        <v>1060</v>
      </c>
      <c r="F83">
        <v>4</v>
      </c>
      <c r="G83">
        <v>2</v>
      </c>
      <c r="H83" t="str">
        <f t="shared" si="13"/>
        <v>SAMPLE: Grid D16</v>
      </c>
      <c r="I83" t="s">
        <v>1166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1167</v>
      </c>
      <c r="B84" t="s">
        <v>1053</v>
      </c>
      <c r="C84" t="s">
        <v>1135</v>
      </c>
      <c r="D84">
        <v>1</v>
      </c>
      <c r="E84" t="s">
        <v>1060</v>
      </c>
      <c r="F84">
        <v>4</v>
      </c>
      <c r="G84">
        <v>2</v>
      </c>
      <c r="H84" t="str">
        <f t="shared" si="13"/>
        <v>SAMPLE: Grid D17</v>
      </c>
      <c r="I84" t="s">
        <v>1168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1169</v>
      </c>
      <c r="B85" t="s">
        <v>1053</v>
      </c>
      <c r="C85" t="s">
        <v>1135</v>
      </c>
      <c r="D85">
        <v>1</v>
      </c>
      <c r="E85" t="s">
        <v>1060</v>
      </c>
      <c r="F85">
        <v>4</v>
      </c>
      <c r="G85">
        <v>2</v>
      </c>
      <c r="H85" t="str">
        <f t="shared" si="13"/>
        <v>SAMPLE: Grid D18</v>
      </c>
      <c r="I85" t="s">
        <v>1170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1171</v>
      </c>
      <c r="B86" t="s">
        <v>1053</v>
      </c>
      <c r="C86" t="s">
        <v>1135</v>
      </c>
      <c r="D86">
        <v>1</v>
      </c>
      <c r="E86" t="s">
        <v>1060</v>
      </c>
      <c r="F86">
        <v>4</v>
      </c>
      <c r="G86">
        <v>2</v>
      </c>
      <c r="H86" t="str">
        <f t="shared" si="13"/>
        <v>SAMPLE: Grid D19</v>
      </c>
      <c r="I86" t="s">
        <v>1172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1173</v>
      </c>
      <c r="B87" t="s">
        <v>1053</v>
      </c>
      <c r="C87" t="s">
        <v>1135</v>
      </c>
      <c r="D87">
        <v>1</v>
      </c>
      <c r="E87" t="s">
        <v>1060</v>
      </c>
      <c r="F87">
        <v>4</v>
      </c>
      <c r="G87">
        <v>2</v>
      </c>
      <c r="H87" t="str">
        <f t="shared" si="13"/>
        <v>SAMPLE: Grid D20</v>
      </c>
      <c r="I87" t="s">
        <v>1174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1175</v>
      </c>
      <c r="B88" t="s">
        <v>1053</v>
      </c>
      <c r="C88" t="s">
        <v>1176</v>
      </c>
      <c r="D88">
        <v>1</v>
      </c>
      <c r="E88" t="s">
        <v>1060</v>
      </c>
      <c r="F88">
        <v>4</v>
      </c>
      <c r="G88">
        <v>2</v>
      </c>
      <c r="H88" t="str">
        <f t="shared" si="13"/>
        <v>E</v>
      </c>
      <c r="I88" t="s">
        <v>1177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1178</v>
      </c>
      <c r="B89" t="s">
        <v>1053</v>
      </c>
      <c r="C89" t="s">
        <v>1176</v>
      </c>
      <c r="D89">
        <v>1</v>
      </c>
      <c r="E89" t="s">
        <v>1060</v>
      </c>
      <c r="F89">
        <v>4</v>
      </c>
      <c r="G89">
        <v>2</v>
      </c>
      <c r="H89" t="str">
        <f t="shared" si="13"/>
        <v>SAMPLE: Grid E02</v>
      </c>
      <c r="I89" t="s">
        <v>1179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1180</v>
      </c>
      <c r="B90" t="s">
        <v>1053</v>
      </c>
      <c r="C90" t="s">
        <v>1176</v>
      </c>
      <c r="D90">
        <v>1</v>
      </c>
      <c r="E90" t="s">
        <v>1060</v>
      </c>
      <c r="F90">
        <v>4</v>
      </c>
      <c r="G90">
        <v>2</v>
      </c>
      <c r="H90" t="str">
        <f t="shared" si="13"/>
        <v>SAMPLE: Grid E03</v>
      </c>
      <c r="I90" t="s">
        <v>1181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1182</v>
      </c>
      <c r="B91" t="s">
        <v>1053</v>
      </c>
      <c r="C91" t="s">
        <v>1176</v>
      </c>
      <c r="D91">
        <v>1</v>
      </c>
      <c r="E91" t="s">
        <v>1060</v>
      </c>
      <c r="F91">
        <v>4</v>
      </c>
      <c r="G91">
        <v>2</v>
      </c>
      <c r="H91" t="str">
        <f t="shared" si="13"/>
        <v>SAMPLE: Grid E04</v>
      </c>
      <c r="I91" t="s">
        <v>1183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1184</v>
      </c>
      <c r="B92" t="s">
        <v>1053</v>
      </c>
      <c r="C92" t="s">
        <v>1176</v>
      </c>
      <c r="D92">
        <v>1</v>
      </c>
      <c r="E92" t="s">
        <v>1060</v>
      </c>
      <c r="F92">
        <v>4</v>
      </c>
      <c r="G92">
        <v>2</v>
      </c>
      <c r="H92" t="str">
        <f t="shared" si="13"/>
        <v>SAMPLE: Grid E05</v>
      </c>
      <c r="I92" t="s">
        <v>1185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1186</v>
      </c>
      <c r="B93" t="s">
        <v>1053</v>
      </c>
      <c r="C93" t="s">
        <v>1176</v>
      </c>
      <c r="D93">
        <v>1</v>
      </c>
      <c r="E93" t="s">
        <v>1060</v>
      </c>
      <c r="F93">
        <v>4</v>
      </c>
      <c r="G93">
        <v>2</v>
      </c>
      <c r="H93" t="str">
        <f t="shared" si="13"/>
        <v>SAMPLE: Grid E06</v>
      </c>
      <c r="I93" t="s">
        <v>1187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1188</v>
      </c>
      <c r="B94" t="s">
        <v>1053</v>
      </c>
      <c r="C94" t="s">
        <v>1176</v>
      </c>
      <c r="D94">
        <v>1</v>
      </c>
      <c r="E94" t="s">
        <v>1060</v>
      </c>
      <c r="F94">
        <v>4</v>
      </c>
      <c r="G94">
        <v>2</v>
      </c>
      <c r="H94" t="str">
        <f t="shared" si="13"/>
        <v>SAMPLE: Grid E07</v>
      </c>
      <c r="I94" t="s">
        <v>1189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1190</v>
      </c>
      <c r="B95" t="s">
        <v>1053</v>
      </c>
      <c r="C95" t="s">
        <v>1176</v>
      </c>
      <c r="D95">
        <v>1</v>
      </c>
      <c r="E95" t="s">
        <v>1060</v>
      </c>
      <c r="F95">
        <v>4</v>
      </c>
      <c r="G95">
        <v>2</v>
      </c>
      <c r="H95" t="str">
        <f t="shared" si="13"/>
        <v>SAMPLE: Grid E08</v>
      </c>
      <c r="I95" t="s">
        <v>1191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1192</v>
      </c>
      <c r="B96" t="s">
        <v>1053</v>
      </c>
      <c r="C96" t="s">
        <v>1176</v>
      </c>
      <c r="D96">
        <v>1</v>
      </c>
      <c r="E96" t="s">
        <v>1060</v>
      </c>
      <c r="F96">
        <v>4</v>
      </c>
      <c r="G96">
        <v>2</v>
      </c>
      <c r="H96" t="str">
        <f t="shared" si="13"/>
        <v>SAMPLE: Grid E09</v>
      </c>
      <c r="I96" t="s">
        <v>1193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1194</v>
      </c>
      <c r="B97" t="s">
        <v>1053</v>
      </c>
      <c r="C97" t="s">
        <v>1176</v>
      </c>
      <c r="D97">
        <v>1</v>
      </c>
      <c r="E97" t="s">
        <v>1060</v>
      </c>
      <c r="F97">
        <v>4</v>
      </c>
      <c r="G97">
        <v>2</v>
      </c>
      <c r="H97" t="str">
        <f t="shared" si="13"/>
        <v>SAMPLE: Grid E10</v>
      </c>
      <c r="I97" t="s">
        <v>1195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1196</v>
      </c>
      <c r="B98" t="s">
        <v>1053</v>
      </c>
      <c r="C98" t="s">
        <v>1176</v>
      </c>
      <c r="D98">
        <v>1</v>
      </c>
      <c r="E98" t="s">
        <v>1060</v>
      </c>
      <c r="F98">
        <v>4</v>
      </c>
      <c r="G98">
        <v>2</v>
      </c>
      <c r="H98" t="str">
        <f t="shared" ref="H98:H133" si="22">A98</f>
        <v>SAMPLE: Grid E11</v>
      </c>
      <c r="I98" t="s">
        <v>1197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1198</v>
      </c>
      <c r="B99" t="s">
        <v>1053</v>
      </c>
      <c r="C99" t="s">
        <v>1176</v>
      </c>
      <c r="D99">
        <v>1</v>
      </c>
      <c r="E99" t="s">
        <v>1060</v>
      </c>
      <c r="F99">
        <v>4</v>
      </c>
      <c r="G99">
        <v>2</v>
      </c>
      <c r="H99" t="str">
        <f t="shared" si="22"/>
        <v>SAMPLE: Grid E12</v>
      </c>
      <c r="I99" t="s">
        <v>1199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1200</v>
      </c>
      <c r="B100" t="s">
        <v>1053</v>
      </c>
      <c r="C100" t="s">
        <v>1176</v>
      </c>
      <c r="D100">
        <v>1</v>
      </c>
      <c r="E100" t="s">
        <v>1060</v>
      </c>
      <c r="F100">
        <v>4</v>
      </c>
      <c r="G100">
        <v>2</v>
      </c>
      <c r="H100" t="str">
        <f t="shared" si="22"/>
        <v>SAMPLE: Grid E13</v>
      </c>
      <c r="I100" t="s">
        <v>1201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1202</v>
      </c>
      <c r="B101" t="s">
        <v>1053</v>
      </c>
      <c r="C101" t="s">
        <v>1176</v>
      </c>
      <c r="D101">
        <v>1</v>
      </c>
      <c r="E101" t="s">
        <v>1060</v>
      </c>
      <c r="F101">
        <v>4</v>
      </c>
      <c r="G101">
        <v>2</v>
      </c>
      <c r="H101" t="str">
        <f t="shared" si="22"/>
        <v>SAMPLE: Grid E14</v>
      </c>
      <c r="I101" t="s">
        <v>1203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1204</v>
      </c>
      <c r="B102" t="s">
        <v>1053</v>
      </c>
      <c r="C102" t="s">
        <v>1176</v>
      </c>
      <c r="D102">
        <v>1</v>
      </c>
      <c r="E102" t="s">
        <v>1060</v>
      </c>
      <c r="F102">
        <v>4</v>
      </c>
      <c r="G102">
        <v>2</v>
      </c>
      <c r="H102" t="str">
        <f t="shared" si="22"/>
        <v>SAMPLE: Grid E15</v>
      </c>
      <c r="I102" t="s">
        <v>1205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1206</v>
      </c>
      <c r="B103" t="s">
        <v>1053</v>
      </c>
      <c r="C103" t="s">
        <v>1176</v>
      </c>
      <c r="D103">
        <v>1</v>
      </c>
      <c r="E103" t="s">
        <v>1060</v>
      </c>
      <c r="F103">
        <v>4</v>
      </c>
      <c r="G103">
        <v>2</v>
      </c>
      <c r="H103" t="str">
        <f t="shared" si="22"/>
        <v>SAMPLE: Grid E16</v>
      </c>
      <c r="I103" t="s">
        <v>1207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1208</v>
      </c>
      <c r="B104" t="s">
        <v>1053</v>
      </c>
      <c r="C104" t="s">
        <v>1176</v>
      </c>
      <c r="D104">
        <v>1</v>
      </c>
      <c r="E104" t="s">
        <v>1060</v>
      </c>
      <c r="F104">
        <v>4</v>
      </c>
      <c r="G104">
        <v>2</v>
      </c>
      <c r="H104" t="str">
        <f t="shared" si="22"/>
        <v>SAMPLE: Grid E17</v>
      </c>
      <c r="I104" t="s">
        <v>1209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1210</v>
      </c>
      <c r="B105" t="s">
        <v>1053</v>
      </c>
      <c r="C105" t="s">
        <v>1176</v>
      </c>
      <c r="D105">
        <v>1</v>
      </c>
      <c r="E105" t="s">
        <v>1060</v>
      </c>
      <c r="F105">
        <v>4</v>
      </c>
      <c r="G105">
        <v>2</v>
      </c>
      <c r="H105" t="str">
        <f t="shared" si="22"/>
        <v>SAMPLE: Grid E18</v>
      </c>
      <c r="I105" t="s">
        <v>1211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1212</v>
      </c>
      <c r="B106" t="s">
        <v>1053</v>
      </c>
      <c r="C106" t="s">
        <v>1176</v>
      </c>
      <c r="D106">
        <v>1</v>
      </c>
      <c r="E106" t="s">
        <v>1060</v>
      </c>
      <c r="F106">
        <v>4</v>
      </c>
      <c r="G106">
        <v>2</v>
      </c>
      <c r="H106" t="str">
        <f t="shared" si="22"/>
        <v>SAMPLE: Grid E19</v>
      </c>
      <c r="I106" t="s">
        <v>1213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1214</v>
      </c>
      <c r="B107" t="s">
        <v>1053</v>
      </c>
      <c r="C107" t="s">
        <v>1176</v>
      </c>
      <c r="D107">
        <v>1</v>
      </c>
      <c r="E107" t="s">
        <v>1060</v>
      </c>
      <c r="F107">
        <v>4</v>
      </c>
      <c r="G107">
        <v>2</v>
      </c>
      <c r="H107" t="str">
        <f t="shared" si="22"/>
        <v>SAMPLE: Grid E20</v>
      </c>
      <c r="I107" t="s">
        <v>1215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1216</v>
      </c>
      <c r="B108" t="s">
        <v>1053</v>
      </c>
      <c r="C108" t="s">
        <v>1217</v>
      </c>
      <c r="D108">
        <v>1</v>
      </c>
      <c r="E108" t="s">
        <v>1060</v>
      </c>
      <c r="F108">
        <v>4</v>
      </c>
      <c r="G108">
        <v>2</v>
      </c>
      <c r="H108" t="str">
        <f t="shared" si="22"/>
        <v>F</v>
      </c>
      <c r="I108" t="s">
        <v>1218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1219</v>
      </c>
      <c r="B109" t="s">
        <v>1053</v>
      </c>
      <c r="C109" t="s">
        <v>1217</v>
      </c>
      <c r="D109">
        <v>1</v>
      </c>
      <c r="E109" t="s">
        <v>1060</v>
      </c>
      <c r="F109">
        <v>4</v>
      </c>
      <c r="G109">
        <v>2</v>
      </c>
      <c r="H109" t="str">
        <f t="shared" si="22"/>
        <v>SAMPLE: Grid F02</v>
      </c>
      <c r="I109" t="s">
        <v>1220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1221</v>
      </c>
      <c r="B110" t="s">
        <v>1053</v>
      </c>
      <c r="C110" t="s">
        <v>1217</v>
      </c>
      <c r="D110">
        <v>1</v>
      </c>
      <c r="E110" t="s">
        <v>1060</v>
      </c>
      <c r="F110">
        <v>4</v>
      </c>
      <c r="G110">
        <v>2</v>
      </c>
      <c r="H110" t="str">
        <f t="shared" si="22"/>
        <v>SAMPLE: Grid F03</v>
      </c>
      <c r="I110" t="s">
        <v>1222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1223</v>
      </c>
      <c r="B111" t="s">
        <v>1053</v>
      </c>
      <c r="C111" t="s">
        <v>1217</v>
      </c>
      <c r="D111">
        <v>1</v>
      </c>
      <c r="E111" t="s">
        <v>1060</v>
      </c>
      <c r="F111">
        <v>4</v>
      </c>
      <c r="G111">
        <v>2</v>
      </c>
      <c r="H111" t="str">
        <f t="shared" si="22"/>
        <v>SAMPLE: Grid F04</v>
      </c>
      <c r="I111" t="s">
        <v>1224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1225</v>
      </c>
      <c r="B112" t="s">
        <v>1053</v>
      </c>
      <c r="C112" t="s">
        <v>1217</v>
      </c>
      <c r="D112">
        <v>1</v>
      </c>
      <c r="E112" t="s">
        <v>1060</v>
      </c>
      <c r="F112">
        <v>4</v>
      </c>
      <c r="G112">
        <v>2</v>
      </c>
      <c r="H112" t="str">
        <f t="shared" si="22"/>
        <v>SAMPLE: Grid F05</v>
      </c>
      <c r="I112" t="s">
        <v>1226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1227</v>
      </c>
      <c r="B113" t="s">
        <v>1053</v>
      </c>
      <c r="C113" t="s">
        <v>1217</v>
      </c>
      <c r="D113">
        <v>1</v>
      </c>
      <c r="E113" t="s">
        <v>1060</v>
      </c>
      <c r="F113">
        <v>4</v>
      </c>
      <c r="G113">
        <v>2</v>
      </c>
      <c r="H113" t="str">
        <f t="shared" si="22"/>
        <v>SAMPLE: Grid F06</v>
      </c>
      <c r="I113" t="s">
        <v>1228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1229</v>
      </c>
      <c r="B114" t="s">
        <v>1053</v>
      </c>
      <c r="C114" t="s">
        <v>1217</v>
      </c>
      <c r="D114">
        <v>1</v>
      </c>
      <c r="E114" t="s">
        <v>1060</v>
      </c>
      <c r="F114">
        <v>4</v>
      </c>
      <c r="G114">
        <v>2</v>
      </c>
      <c r="H114" t="str">
        <f t="shared" si="22"/>
        <v>SAMPLE: Grid F07</v>
      </c>
      <c r="I114" t="s">
        <v>1230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1231</v>
      </c>
      <c r="B115" t="s">
        <v>1053</v>
      </c>
      <c r="C115" t="s">
        <v>1217</v>
      </c>
      <c r="D115">
        <v>1</v>
      </c>
      <c r="E115" t="s">
        <v>1060</v>
      </c>
      <c r="F115">
        <v>4</v>
      </c>
      <c r="G115">
        <v>2</v>
      </c>
      <c r="H115" t="str">
        <f t="shared" si="22"/>
        <v>SAMPLE: Grid F08</v>
      </c>
      <c r="I115" t="s">
        <v>1232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1233</v>
      </c>
      <c r="B116" t="s">
        <v>1053</v>
      </c>
      <c r="C116" t="s">
        <v>1217</v>
      </c>
      <c r="D116">
        <v>1</v>
      </c>
      <c r="E116" t="s">
        <v>1060</v>
      </c>
      <c r="F116">
        <v>4</v>
      </c>
      <c r="G116">
        <v>2</v>
      </c>
      <c r="H116" t="str">
        <f t="shared" si="22"/>
        <v>SAMPLE: Grid F09</v>
      </c>
      <c r="I116" t="s">
        <v>1234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1235</v>
      </c>
      <c r="B117" t="s">
        <v>1053</v>
      </c>
      <c r="C117" t="s">
        <v>1217</v>
      </c>
      <c r="D117">
        <v>1</v>
      </c>
      <c r="E117" t="s">
        <v>1060</v>
      </c>
      <c r="F117">
        <v>4</v>
      </c>
      <c r="G117">
        <v>2</v>
      </c>
      <c r="H117" t="str">
        <f t="shared" si="22"/>
        <v>SAMPLE: Grid F10</v>
      </c>
      <c r="I117" t="s">
        <v>1236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1237</v>
      </c>
      <c r="B118" t="s">
        <v>1053</v>
      </c>
      <c r="C118" t="s">
        <v>1217</v>
      </c>
      <c r="D118">
        <v>1</v>
      </c>
      <c r="E118" t="s">
        <v>1060</v>
      </c>
      <c r="F118">
        <v>4</v>
      </c>
      <c r="G118">
        <v>2</v>
      </c>
      <c r="H118" t="str">
        <f t="shared" si="22"/>
        <v>SAMPLE: Grid F11</v>
      </c>
      <c r="I118" t="s">
        <v>1238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1239</v>
      </c>
      <c r="B119" t="s">
        <v>1053</v>
      </c>
      <c r="C119" t="s">
        <v>1217</v>
      </c>
      <c r="D119">
        <v>1</v>
      </c>
      <c r="E119" t="s">
        <v>1060</v>
      </c>
      <c r="F119">
        <v>4</v>
      </c>
      <c r="G119">
        <v>2</v>
      </c>
      <c r="H119" t="str">
        <f t="shared" si="22"/>
        <v>SAMPLE: Grid F12</v>
      </c>
      <c r="I119" t="s">
        <v>1240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1241</v>
      </c>
      <c r="B120" t="s">
        <v>1053</v>
      </c>
      <c r="C120" t="s">
        <v>1217</v>
      </c>
      <c r="D120">
        <v>1</v>
      </c>
      <c r="E120" t="s">
        <v>1060</v>
      </c>
      <c r="F120">
        <v>4</v>
      </c>
      <c r="G120">
        <v>2</v>
      </c>
      <c r="H120" t="str">
        <f t="shared" si="22"/>
        <v>SAMPLE: Grid F13</v>
      </c>
      <c r="I120" t="s">
        <v>1242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1243</v>
      </c>
      <c r="B121" t="s">
        <v>1053</v>
      </c>
      <c r="C121" t="s">
        <v>1217</v>
      </c>
      <c r="D121">
        <v>1</v>
      </c>
      <c r="E121" t="s">
        <v>1060</v>
      </c>
      <c r="F121">
        <v>4</v>
      </c>
      <c r="G121">
        <v>2</v>
      </c>
      <c r="H121" t="str">
        <f t="shared" si="22"/>
        <v>SAMPLE: Grid F14</v>
      </c>
      <c r="I121" t="s">
        <v>1244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1245</v>
      </c>
      <c r="B122" t="s">
        <v>1053</v>
      </c>
      <c r="C122" t="s">
        <v>1217</v>
      </c>
      <c r="D122">
        <v>1</v>
      </c>
      <c r="E122" t="s">
        <v>1060</v>
      </c>
      <c r="F122">
        <v>4</v>
      </c>
      <c r="G122">
        <v>2</v>
      </c>
      <c r="H122" t="str">
        <f t="shared" si="22"/>
        <v>SAMPLE: Grid F15</v>
      </c>
      <c r="I122" t="s">
        <v>1246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1247</v>
      </c>
      <c r="B123" t="s">
        <v>1053</v>
      </c>
      <c r="C123" t="s">
        <v>1217</v>
      </c>
      <c r="D123">
        <v>1</v>
      </c>
      <c r="E123" t="s">
        <v>1060</v>
      </c>
      <c r="F123">
        <v>4</v>
      </c>
      <c r="G123">
        <v>2</v>
      </c>
      <c r="H123" t="str">
        <f t="shared" si="22"/>
        <v>SAMPLE: Grid F16</v>
      </c>
      <c r="I123" t="s">
        <v>1248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1249</v>
      </c>
      <c r="B124" t="s">
        <v>1053</v>
      </c>
      <c r="C124" t="s">
        <v>1217</v>
      </c>
      <c r="D124">
        <v>1</v>
      </c>
      <c r="E124" t="s">
        <v>1060</v>
      </c>
      <c r="F124">
        <v>4</v>
      </c>
      <c r="G124">
        <v>2</v>
      </c>
      <c r="H124" t="str">
        <f t="shared" si="22"/>
        <v>SAMPLE: Grid F17</v>
      </c>
      <c r="I124" t="s">
        <v>1250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1251</v>
      </c>
      <c r="B125" t="s">
        <v>1053</v>
      </c>
      <c r="C125" t="s">
        <v>1217</v>
      </c>
      <c r="D125">
        <v>1</v>
      </c>
      <c r="E125" t="s">
        <v>1060</v>
      </c>
      <c r="F125">
        <v>4</v>
      </c>
      <c r="G125">
        <v>2</v>
      </c>
      <c r="H125" t="str">
        <f t="shared" si="22"/>
        <v>SAMPLE: Grid F18</v>
      </c>
      <c r="I125" t="s">
        <v>1252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1253</v>
      </c>
      <c r="B126" t="s">
        <v>1053</v>
      </c>
      <c r="C126" t="s">
        <v>1217</v>
      </c>
      <c r="D126">
        <v>1</v>
      </c>
      <c r="E126" t="s">
        <v>1060</v>
      </c>
      <c r="F126">
        <v>4</v>
      </c>
      <c r="G126">
        <v>2</v>
      </c>
      <c r="H126" t="str">
        <f t="shared" si="22"/>
        <v>SAMPLE: Grid F19</v>
      </c>
      <c r="I126" t="s">
        <v>1254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1255</v>
      </c>
      <c r="B127" t="s">
        <v>1053</v>
      </c>
      <c r="C127" t="s">
        <v>1217</v>
      </c>
      <c r="D127">
        <v>1</v>
      </c>
      <c r="E127" t="s">
        <v>1060</v>
      </c>
      <c r="F127">
        <v>4</v>
      </c>
      <c r="G127">
        <v>2</v>
      </c>
      <c r="H127" t="str">
        <f t="shared" si="22"/>
        <v>SAMPLE: Grid F20</v>
      </c>
      <c r="I127" t="s">
        <v>1256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1257</v>
      </c>
      <c r="B128" t="s">
        <v>1043</v>
      </c>
      <c r="E128" t="s">
        <v>1258</v>
      </c>
      <c r="F128">
        <v>3</v>
      </c>
      <c r="H128" t="str">
        <f t="shared" si="22"/>
        <v>DISPOSAL</v>
      </c>
      <c r="I128" t="s">
        <v>1259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1260</v>
      </c>
      <c r="B129" t="s">
        <v>1043</v>
      </c>
      <c r="E129" t="s">
        <v>1261</v>
      </c>
      <c r="F129">
        <v>3</v>
      </c>
      <c r="H129" t="str">
        <f t="shared" si="22"/>
        <v>OUTBOUND</v>
      </c>
      <c r="I129" t="s">
        <v>1262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422</v>
      </c>
      <c r="B130" t="s">
        <v>1068</v>
      </c>
      <c r="E130" t="s">
        <v>1066</v>
      </c>
      <c r="F130">
        <v>3</v>
      </c>
      <c r="G130">
        <v>7</v>
      </c>
      <c r="H130" t="str">
        <f t="shared" si="22"/>
        <v>ACTIVE</v>
      </c>
      <c r="I130" t="s">
        <v>1069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1263</v>
      </c>
      <c r="B131" t="s">
        <v>1053</v>
      </c>
      <c r="C131" t="s">
        <v>1264</v>
      </c>
      <c r="D131">
        <v>3</v>
      </c>
      <c r="E131" t="s">
        <v>1060</v>
      </c>
      <c r="F131">
        <v>4</v>
      </c>
      <c r="G131">
        <v>2</v>
      </c>
      <c r="H131" t="str">
        <f t="shared" si="22"/>
        <v>O</v>
      </c>
      <c r="I131" t="s">
        <v>1265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445</v>
      </c>
      <c r="B132" t="s">
        <v>1053</v>
      </c>
      <c r="E132" t="s">
        <v>1066</v>
      </c>
      <c r="F132">
        <v>3</v>
      </c>
      <c r="G132">
        <v>7</v>
      </c>
      <c r="H132" t="str">
        <f t="shared" si="22"/>
        <v>48x T24i-30</v>
      </c>
      <c r="I132" t="s">
        <v>1266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459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86" priority="1" stopIfTrue="1">
      <formula>AND(TRIM($A133)="",OR($B133&lt;&gt;"",$C133&lt;&gt;"",$D133&lt;&gt;"",$E133&lt;&gt;"",$F133&lt;&gt;"",$I133&lt;&gt;""))</formula>
    </cfRule>
    <cfRule type="expression" dxfId="85" priority="2">
      <formula>AND(TRIM($A133)&lt;&gt;"",COUNTIF($A$2:$A$2002,$A133)&gt;1)</formula>
    </cfRule>
  </conditionalFormatting>
  <conditionalFormatting sqref="A2:I132 A134:I2002">
    <cfRule type="expression" dxfId="84" priority="3" stopIfTrue="1">
      <formula>AND(TRIM($A2)="",OR($B2&lt;&gt;"",$C2&lt;&gt;"",$D2&lt;&gt;"",$E2&lt;&gt;"",$F2&lt;&gt;"",$I2&lt;&gt;""))</formula>
    </cfRule>
    <cfRule type="expression" dxfId="83" priority="4">
      <formula>AND(TRIM($A2)&lt;&gt;"",COUNTIF($A$2:$A$2002,$A2)&gt;1)</formula>
    </cfRule>
  </conditionalFormatting>
  <conditionalFormatting sqref="B133:I133">
    <cfRule type="expression" dxfId="82" priority="116" stopIfTrue="1">
      <formula>AND(TRIM($A133)="",OR($B133&lt;&gt;"",$C133&lt;&gt;"",$D133&lt;&gt;"",$E133&lt;&gt;"",$F133&lt;&gt;"",$I133&lt;&gt;""))</formula>
    </cfRule>
    <cfRule type="expression" dxfId="81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1267</v>
      </c>
      <c r="B1" s="50" t="s">
        <v>1268</v>
      </c>
      <c r="C1" s="50" t="s">
        <v>394</v>
      </c>
      <c r="D1" s="50" t="s">
        <v>1269</v>
      </c>
      <c r="E1" s="50" t="s">
        <v>1270</v>
      </c>
      <c r="F1" s="50" t="s">
        <v>1271</v>
      </c>
      <c r="G1" s="50" t="s">
        <v>1272</v>
      </c>
      <c r="H1" s="50" t="s">
        <v>1273</v>
      </c>
      <c r="I1" s="50" t="s">
        <v>1274</v>
      </c>
      <c r="J1" s="50" t="s">
        <v>403</v>
      </c>
    </row>
    <row r="2" spans="1:10">
      <c r="A2" s="52">
        <v>46052.375</v>
      </c>
      <c r="B2" t="s">
        <v>1275</v>
      </c>
      <c r="C2" t="s">
        <v>1276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1277</v>
      </c>
      <c r="G2" s="27"/>
      <c r="H2" t="s">
        <v>435</v>
      </c>
      <c r="I2" t="s">
        <v>1278</v>
      </c>
      <c r="J2" t="s">
        <v>1279</v>
      </c>
    </row>
    <row r="3" spans="1:10">
      <c r="A3" s="52">
        <v>46052.379861111112</v>
      </c>
      <c r="B3" t="s">
        <v>1275</v>
      </c>
      <c r="C3" t="s">
        <v>1280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430</v>
      </c>
      <c r="G3" s="27"/>
      <c r="H3" t="s">
        <v>435</v>
      </c>
      <c r="I3" t="s">
        <v>1281</v>
      </c>
      <c r="J3" t="s">
        <v>1279</v>
      </c>
    </row>
    <row r="4" spans="1:10">
      <c r="A4" s="52">
        <v>46052.384722222218</v>
      </c>
      <c r="B4" t="s">
        <v>1275</v>
      </c>
      <c r="C4" t="s">
        <v>1282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439</v>
      </c>
      <c r="G4" s="27"/>
      <c r="H4" t="s">
        <v>435</v>
      </c>
      <c r="I4" t="s">
        <v>1283</v>
      </c>
      <c r="J4" t="s">
        <v>1279</v>
      </c>
    </row>
    <row r="5" spans="1:10">
      <c r="A5" s="52">
        <v>46052.38958333333</v>
      </c>
      <c r="B5" t="s">
        <v>1275</v>
      </c>
      <c r="C5" t="s">
        <v>1284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439</v>
      </c>
      <c r="G5" s="27"/>
      <c r="H5" t="s">
        <v>435</v>
      </c>
      <c r="I5" t="s">
        <v>1285</v>
      </c>
      <c r="J5" t="s">
        <v>1279</v>
      </c>
    </row>
    <row r="6" spans="1:10">
      <c r="A6" s="52">
        <v>46052.394444444442</v>
      </c>
      <c r="B6" t="s">
        <v>1275</v>
      </c>
      <c r="C6" t="s">
        <v>1286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1287</v>
      </c>
      <c r="G6" s="27"/>
      <c r="H6" t="s">
        <v>435</v>
      </c>
      <c r="I6" t="s">
        <v>1288</v>
      </c>
      <c r="J6" t="s">
        <v>1279</v>
      </c>
    </row>
    <row r="7" spans="1:10">
      <c r="A7" s="52">
        <v>46052.399305555547</v>
      </c>
      <c r="B7" t="s">
        <v>1275</v>
      </c>
      <c r="C7" t="s">
        <v>1289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1290</v>
      </c>
      <c r="G7" s="27"/>
      <c r="H7" t="s">
        <v>435</v>
      </c>
      <c r="I7" t="s">
        <v>1291</v>
      </c>
      <c r="J7" t="s">
        <v>1279</v>
      </c>
    </row>
    <row r="8" spans="1:10">
      <c r="A8" s="52">
        <v>46052.404166666667</v>
      </c>
      <c r="B8" t="s">
        <v>1275</v>
      </c>
      <c r="C8" t="s">
        <v>1292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1293</v>
      </c>
      <c r="G8" s="27"/>
      <c r="H8" t="s">
        <v>435</v>
      </c>
      <c r="I8" t="s">
        <v>1294</v>
      </c>
      <c r="J8" t="s">
        <v>1279</v>
      </c>
    </row>
    <row r="9" spans="1:10">
      <c r="A9" s="52">
        <v>46052.40902777778</v>
      </c>
      <c r="B9" t="s">
        <v>1275</v>
      </c>
      <c r="C9" t="s">
        <v>1295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1296</v>
      </c>
      <c r="G9" s="27"/>
      <c r="H9" t="s">
        <v>435</v>
      </c>
      <c r="I9" t="s">
        <v>1297</v>
      </c>
      <c r="J9" t="s">
        <v>1279</v>
      </c>
    </row>
    <row r="10" spans="1:10">
      <c r="A10" s="52">
        <v>46052.413888888892</v>
      </c>
      <c r="B10" t="s">
        <v>1275</v>
      </c>
      <c r="C10" t="s">
        <v>1298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1299</v>
      </c>
      <c r="G10" s="27"/>
      <c r="H10" t="s">
        <v>435</v>
      </c>
      <c r="I10" t="s">
        <v>1300</v>
      </c>
      <c r="J10" t="s">
        <v>1279</v>
      </c>
    </row>
    <row r="11" spans="1:10">
      <c r="A11" s="52">
        <v>46052.418749999997</v>
      </c>
      <c r="B11" t="s">
        <v>1275</v>
      </c>
      <c r="C11" t="s">
        <v>1301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1302</v>
      </c>
      <c r="G11" s="27"/>
      <c r="H11" t="s">
        <v>435</v>
      </c>
      <c r="I11" t="s">
        <v>1303</v>
      </c>
      <c r="J11" t="s">
        <v>1279</v>
      </c>
    </row>
    <row r="12" spans="1:10">
      <c r="A12" s="52">
        <v>46052.423611111109</v>
      </c>
      <c r="B12" t="s">
        <v>1275</v>
      </c>
      <c r="C12" t="s">
        <v>1304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1305</v>
      </c>
      <c r="G12" s="27"/>
      <c r="H12" t="s">
        <v>435</v>
      </c>
      <c r="I12" t="s">
        <v>1306</v>
      </c>
      <c r="J12" t="s">
        <v>1279</v>
      </c>
    </row>
    <row r="13" spans="1:10">
      <c r="A13" s="52">
        <v>46052.428472222222</v>
      </c>
      <c r="B13" t="s">
        <v>1275</v>
      </c>
      <c r="C13" t="s">
        <v>1307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1308</v>
      </c>
      <c r="G13" s="27"/>
      <c r="H13" t="s">
        <v>435</v>
      </c>
      <c r="I13" t="s">
        <v>1309</v>
      </c>
      <c r="J13" t="s">
        <v>1279</v>
      </c>
    </row>
    <row r="14" spans="1:10">
      <c r="A14" s="52">
        <v>46052.433333333327</v>
      </c>
      <c r="B14" t="s">
        <v>1275</v>
      </c>
      <c r="C14" t="s">
        <v>1310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1311</v>
      </c>
      <c r="G14" s="27"/>
      <c r="H14" t="s">
        <v>435</v>
      </c>
      <c r="I14" t="s">
        <v>1312</v>
      </c>
      <c r="J14" t="s">
        <v>1279</v>
      </c>
    </row>
    <row r="15" spans="1:10">
      <c r="A15" s="52">
        <v>46052.438194444447</v>
      </c>
      <c r="B15" t="s">
        <v>1275</v>
      </c>
      <c r="C15" t="s">
        <v>1313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1314</v>
      </c>
      <c r="G15" s="27"/>
      <c r="H15" t="s">
        <v>435</v>
      </c>
      <c r="I15" t="s">
        <v>1315</v>
      </c>
      <c r="J15" t="s">
        <v>1279</v>
      </c>
    </row>
    <row r="16" spans="1:10">
      <c r="A16" s="52">
        <v>46052.443055555559</v>
      </c>
      <c r="B16" t="s">
        <v>1275</v>
      </c>
      <c r="C16" t="s">
        <v>1316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1317</v>
      </c>
      <c r="G16" s="27"/>
      <c r="H16" t="s">
        <v>435</v>
      </c>
      <c r="I16" t="s">
        <v>1318</v>
      </c>
      <c r="J16" t="s">
        <v>1279</v>
      </c>
    </row>
    <row r="17" spans="1:10">
      <c r="A17" s="52">
        <v>46052.447916666657</v>
      </c>
      <c r="B17" t="s">
        <v>1275</v>
      </c>
      <c r="C17" t="s">
        <v>1319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1320</v>
      </c>
      <c r="G17" s="27"/>
      <c r="H17" t="s">
        <v>435</v>
      </c>
      <c r="I17" t="s">
        <v>1321</v>
      </c>
      <c r="J17" t="s">
        <v>1279</v>
      </c>
    </row>
    <row r="18" spans="1:10">
      <c r="A18" s="52">
        <v>46052.452777777777</v>
      </c>
      <c r="B18" t="s">
        <v>1275</v>
      </c>
      <c r="C18" t="s">
        <v>1322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1323</v>
      </c>
      <c r="G18" s="27"/>
      <c r="H18" t="s">
        <v>435</v>
      </c>
      <c r="I18" t="s">
        <v>1324</v>
      </c>
      <c r="J18" t="s">
        <v>1279</v>
      </c>
    </row>
    <row r="19" spans="1:10">
      <c r="A19" s="52">
        <v>46052.457638888889</v>
      </c>
      <c r="B19" t="s">
        <v>1275</v>
      </c>
      <c r="C19" t="s">
        <v>1325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1326</v>
      </c>
      <c r="G19" s="27"/>
      <c r="H19" t="s">
        <v>435</v>
      </c>
      <c r="I19" t="s">
        <v>1327</v>
      </c>
      <c r="J19" t="s">
        <v>1279</v>
      </c>
    </row>
    <row r="20" spans="1:10">
      <c r="A20" s="52">
        <v>46052.462500000001</v>
      </c>
      <c r="B20" t="s">
        <v>1275</v>
      </c>
      <c r="C20" t="s">
        <v>1328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1329</v>
      </c>
      <c r="G20" s="27"/>
      <c r="H20" t="s">
        <v>435</v>
      </c>
      <c r="I20" t="s">
        <v>1330</v>
      </c>
      <c r="J20" t="s">
        <v>1279</v>
      </c>
    </row>
    <row r="21" spans="1:10">
      <c r="A21" s="52">
        <v>46052.467361111107</v>
      </c>
      <c r="B21" t="s">
        <v>1275</v>
      </c>
      <c r="C21" t="s">
        <v>1331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1332</v>
      </c>
      <c r="G21" s="27"/>
      <c r="H21" t="s">
        <v>435</v>
      </c>
      <c r="I21" t="s">
        <v>1333</v>
      </c>
      <c r="J21" t="s">
        <v>1279</v>
      </c>
    </row>
    <row r="22" spans="1:10">
      <c r="A22" s="52">
        <v>46052.472222222219</v>
      </c>
      <c r="B22" t="s">
        <v>1275</v>
      </c>
      <c r="C22" t="s">
        <v>1334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1335</v>
      </c>
      <c r="G22" s="27"/>
      <c r="H22" t="s">
        <v>435</v>
      </c>
      <c r="I22" t="s">
        <v>1336</v>
      </c>
      <c r="J22" t="s">
        <v>1279</v>
      </c>
    </row>
    <row r="23" spans="1:10">
      <c r="A23" s="52">
        <v>46052.477083333331</v>
      </c>
      <c r="B23" t="s">
        <v>1275</v>
      </c>
      <c r="C23" t="s">
        <v>1337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1338</v>
      </c>
      <c r="G23" s="27"/>
      <c r="H23" t="s">
        <v>435</v>
      </c>
      <c r="I23" t="s">
        <v>1339</v>
      </c>
      <c r="J23" t="s">
        <v>1279</v>
      </c>
    </row>
    <row r="24" spans="1:10">
      <c r="A24" s="52">
        <v>46052.481944444437</v>
      </c>
      <c r="B24" t="s">
        <v>1275</v>
      </c>
      <c r="C24" t="s">
        <v>1340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1341</v>
      </c>
      <c r="G24" s="27"/>
      <c r="H24" t="s">
        <v>435</v>
      </c>
      <c r="I24" t="s">
        <v>1342</v>
      </c>
      <c r="J24" t="s">
        <v>1279</v>
      </c>
    </row>
    <row r="25" spans="1:10">
      <c r="A25" s="52">
        <v>46052.486805555563</v>
      </c>
      <c r="B25" t="s">
        <v>1275</v>
      </c>
      <c r="C25" t="s">
        <v>1343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1344</v>
      </c>
      <c r="G25" s="27"/>
      <c r="H25" t="s">
        <v>435</v>
      </c>
      <c r="I25" t="s">
        <v>1345</v>
      </c>
      <c r="J25" t="s">
        <v>1279</v>
      </c>
    </row>
    <row r="26" spans="1:10">
      <c r="A26" s="52">
        <v>46052.491666666669</v>
      </c>
      <c r="B26" t="s">
        <v>1275</v>
      </c>
      <c r="C26" t="s">
        <v>1346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1347</v>
      </c>
      <c r="G26" s="27"/>
      <c r="H26" t="s">
        <v>435</v>
      </c>
      <c r="I26" t="s">
        <v>1348</v>
      </c>
      <c r="J26" t="s">
        <v>1279</v>
      </c>
    </row>
    <row r="27" spans="1:10">
      <c r="A27" s="52">
        <v>46052.496527777781</v>
      </c>
      <c r="B27" t="s">
        <v>1275</v>
      </c>
      <c r="C27" t="s">
        <v>1349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1350</v>
      </c>
      <c r="G27" s="27"/>
      <c r="H27" t="s">
        <v>435</v>
      </c>
      <c r="I27" t="s">
        <v>1351</v>
      </c>
      <c r="J27" t="s">
        <v>1279</v>
      </c>
    </row>
    <row r="28" spans="1:10">
      <c r="A28" s="52">
        <v>46052.501388888893</v>
      </c>
      <c r="B28" t="s">
        <v>1275</v>
      </c>
      <c r="C28" t="s">
        <v>1352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1353</v>
      </c>
      <c r="G28" s="27"/>
      <c r="H28" t="s">
        <v>435</v>
      </c>
      <c r="I28" t="s">
        <v>1354</v>
      </c>
      <c r="J28" t="s">
        <v>1279</v>
      </c>
    </row>
    <row r="29" spans="1:10">
      <c r="A29" s="52">
        <v>46052.506249999999</v>
      </c>
      <c r="B29" t="s">
        <v>1275</v>
      </c>
      <c r="C29" t="s">
        <v>1355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1356</v>
      </c>
      <c r="G29" s="27"/>
      <c r="H29" t="s">
        <v>435</v>
      </c>
      <c r="I29" t="s">
        <v>1357</v>
      </c>
      <c r="J29" t="s">
        <v>1279</v>
      </c>
    </row>
    <row r="30" spans="1:10">
      <c r="A30" s="52">
        <v>46052.511111111111</v>
      </c>
      <c r="B30" t="s">
        <v>1275</v>
      </c>
      <c r="C30" t="s">
        <v>1358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1359</v>
      </c>
      <c r="G30" s="27"/>
      <c r="H30" t="s">
        <v>435</v>
      </c>
      <c r="I30" t="s">
        <v>1360</v>
      </c>
      <c r="J30" t="s">
        <v>1279</v>
      </c>
    </row>
    <row r="31" spans="1:10">
      <c r="A31" s="52">
        <v>46052.515972222223</v>
      </c>
      <c r="B31" t="s">
        <v>1275</v>
      </c>
      <c r="C31" t="s">
        <v>1361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1362</v>
      </c>
      <c r="G31" s="27"/>
      <c r="H31" t="s">
        <v>435</v>
      </c>
      <c r="I31" t="s">
        <v>1363</v>
      </c>
      <c r="J31" t="s">
        <v>1279</v>
      </c>
    </row>
    <row r="32" spans="1:10">
      <c r="A32" s="52">
        <v>46052.520833333343</v>
      </c>
      <c r="B32" t="s">
        <v>1275</v>
      </c>
      <c r="C32" t="s">
        <v>1364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1365</v>
      </c>
      <c r="G32" s="27"/>
      <c r="H32" t="s">
        <v>435</v>
      </c>
      <c r="I32" t="s">
        <v>1366</v>
      </c>
      <c r="J32" t="s">
        <v>1279</v>
      </c>
    </row>
    <row r="33" spans="1:10">
      <c r="A33" s="52">
        <v>46052.525694444441</v>
      </c>
      <c r="B33" t="s">
        <v>1275</v>
      </c>
      <c r="C33" t="s">
        <v>1367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1368</v>
      </c>
      <c r="G33" s="27"/>
      <c r="H33" t="s">
        <v>435</v>
      </c>
      <c r="I33" t="s">
        <v>1369</v>
      </c>
      <c r="J33" t="s">
        <v>1279</v>
      </c>
    </row>
    <row r="34" spans="1:10">
      <c r="A34" s="52">
        <v>46052.530555555553</v>
      </c>
      <c r="B34" t="s">
        <v>1275</v>
      </c>
      <c r="C34" t="s">
        <v>1370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1371</v>
      </c>
      <c r="G34" s="27"/>
      <c r="H34" t="s">
        <v>435</v>
      </c>
      <c r="I34" t="s">
        <v>1372</v>
      </c>
      <c r="J34" t="s">
        <v>1279</v>
      </c>
    </row>
    <row r="35" spans="1:10">
      <c r="A35" s="52">
        <v>46052.535416666673</v>
      </c>
      <c r="B35" t="s">
        <v>1275</v>
      </c>
      <c r="C35" t="s">
        <v>1373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1374</v>
      </c>
      <c r="G35" s="27"/>
      <c r="H35" t="s">
        <v>435</v>
      </c>
      <c r="I35" t="s">
        <v>1375</v>
      </c>
      <c r="J35" t="s">
        <v>1279</v>
      </c>
    </row>
    <row r="36" spans="1:10">
      <c r="A36" s="52">
        <v>46052.540277777778</v>
      </c>
      <c r="B36" t="s">
        <v>1275</v>
      </c>
      <c r="C36" t="s">
        <v>1376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1377</v>
      </c>
      <c r="G36" s="27"/>
      <c r="H36" t="s">
        <v>435</v>
      </c>
      <c r="I36" t="s">
        <v>1378</v>
      </c>
      <c r="J36" t="s">
        <v>1279</v>
      </c>
    </row>
    <row r="37" spans="1:10">
      <c r="A37" s="52">
        <v>46052.541666666657</v>
      </c>
      <c r="B37" t="s">
        <v>1379</v>
      </c>
      <c r="C37" t="s">
        <v>1295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1287</v>
      </c>
      <c r="G37" s="27"/>
      <c r="H37" t="s">
        <v>435</v>
      </c>
      <c r="I37" t="s">
        <v>1380</v>
      </c>
      <c r="J37" t="s">
        <v>1381</v>
      </c>
    </row>
    <row r="38" spans="1:10">
      <c r="A38" s="52">
        <v>46052.545138888891</v>
      </c>
      <c r="B38" t="s">
        <v>1275</v>
      </c>
      <c r="C38" t="s">
        <v>1382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1383</v>
      </c>
      <c r="G38" s="27"/>
      <c r="H38" t="s">
        <v>435</v>
      </c>
      <c r="I38" t="s">
        <v>1384</v>
      </c>
      <c r="J38" t="s">
        <v>1279</v>
      </c>
    </row>
    <row r="39" spans="1:10">
      <c r="A39" s="52">
        <v>46052.54791666667</v>
      </c>
      <c r="B39" t="s">
        <v>1379</v>
      </c>
      <c r="C39" t="s">
        <v>1298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1290</v>
      </c>
      <c r="G39" s="27"/>
      <c r="H39" t="s">
        <v>435</v>
      </c>
      <c r="I39" t="s">
        <v>1385</v>
      </c>
      <c r="J39" t="s">
        <v>1381</v>
      </c>
    </row>
    <row r="40" spans="1:10">
      <c r="A40" s="52">
        <v>46052.55</v>
      </c>
      <c r="B40" t="s">
        <v>1275</v>
      </c>
      <c r="C40" t="s">
        <v>1386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1387</v>
      </c>
      <c r="G40" s="27"/>
      <c r="H40" t="s">
        <v>435</v>
      </c>
      <c r="I40" t="s">
        <v>1388</v>
      </c>
      <c r="J40" t="s">
        <v>1279</v>
      </c>
    </row>
    <row r="41" spans="1:10">
      <c r="A41" s="52">
        <v>46052.554166666669</v>
      </c>
      <c r="B41" t="s">
        <v>1379</v>
      </c>
      <c r="C41" t="s">
        <v>1301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1293</v>
      </c>
      <c r="G41" s="27"/>
      <c r="H41" t="s">
        <v>435</v>
      </c>
      <c r="I41" t="s">
        <v>1389</v>
      </c>
      <c r="J41" t="s">
        <v>1381</v>
      </c>
    </row>
    <row r="42" spans="1:10">
      <c r="A42" s="52">
        <v>46052.554861111108</v>
      </c>
      <c r="B42" t="s">
        <v>1275</v>
      </c>
      <c r="C42" t="s">
        <v>1390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1391</v>
      </c>
      <c r="G42" s="27"/>
      <c r="H42" t="s">
        <v>435</v>
      </c>
      <c r="I42" t="s">
        <v>1392</v>
      </c>
      <c r="J42" t="s">
        <v>1279</v>
      </c>
    </row>
    <row r="43" spans="1:10">
      <c r="A43" s="52">
        <v>46052.55972222222</v>
      </c>
      <c r="B43" t="s">
        <v>1275</v>
      </c>
      <c r="C43" t="s">
        <v>1393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1394</v>
      </c>
      <c r="G43" s="27"/>
      <c r="H43" t="s">
        <v>435</v>
      </c>
      <c r="I43" t="s">
        <v>1395</v>
      </c>
      <c r="J43" t="s">
        <v>1279</v>
      </c>
    </row>
    <row r="44" spans="1:10">
      <c r="A44" s="52">
        <v>46052.560416666667</v>
      </c>
      <c r="B44" t="s">
        <v>1379</v>
      </c>
      <c r="C44" t="s">
        <v>1304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1296</v>
      </c>
      <c r="G44" s="27"/>
      <c r="H44" t="s">
        <v>435</v>
      </c>
      <c r="I44" t="s">
        <v>1396</v>
      </c>
      <c r="J44" t="s">
        <v>1381</v>
      </c>
    </row>
    <row r="45" spans="1:10">
      <c r="A45" s="52">
        <v>46052.564583333333</v>
      </c>
      <c r="B45" t="s">
        <v>1275</v>
      </c>
      <c r="C45" t="s">
        <v>1397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1398</v>
      </c>
      <c r="G45" s="27"/>
      <c r="H45" t="s">
        <v>435</v>
      </c>
      <c r="I45" t="s">
        <v>1399</v>
      </c>
      <c r="J45" t="s">
        <v>1279</v>
      </c>
    </row>
    <row r="46" spans="1:10">
      <c r="A46" s="52">
        <v>46052.566666666673</v>
      </c>
      <c r="B46" t="s">
        <v>1379</v>
      </c>
      <c r="C46" t="s">
        <v>1307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1299</v>
      </c>
      <c r="G46" s="27"/>
      <c r="H46" t="s">
        <v>435</v>
      </c>
      <c r="I46" t="s">
        <v>1400</v>
      </c>
      <c r="J46" t="s">
        <v>1381</v>
      </c>
    </row>
    <row r="47" spans="1:10">
      <c r="A47" s="52">
        <v>46052.569444444453</v>
      </c>
      <c r="B47" t="s">
        <v>1275</v>
      </c>
      <c r="C47" t="s">
        <v>1401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1402</v>
      </c>
      <c r="G47" s="27"/>
      <c r="H47" t="s">
        <v>435</v>
      </c>
      <c r="I47" t="s">
        <v>1403</v>
      </c>
      <c r="J47" t="s">
        <v>1279</v>
      </c>
    </row>
    <row r="48" spans="1:10">
      <c r="A48" s="52">
        <v>46052.572916666657</v>
      </c>
      <c r="B48" t="s">
        <v>1379</v>
      </c>
      <c r="C48" t="s">
        <v>1310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1302</v>
      </c>
      <c r="G48" s="27"/>
      <c r="H48" t="s">
        <v>435</v>
      </c>
      <c r="I48" t="s">
        <v>1404</v>
      </c>
      <c r="J48" t="s">
        <v>1381</v>
      </c>
    </row>
    <row r="49" spans="1:10">
      <c r="A49" s="52">
        <v>46052.574305555558</v>
      </c>
      <c r="B49" t="s">
        <v>1275</v>
      </c>
      <c r="C49" t="s">
        <v>1405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1406</v>
      </c>
      <c r="G49" s="27"/>
      <c r="H49" t="s">
        <v>435</v>
      </c>
      <c r="I49" t="s">
        <v>1407</v>
      </c>
      <c r="J49" t="s">
        <v>1279</v>
      </c>
    </row>
    <row r="50" spans="1:10">
      <c r="A50" s="52">
        <v>46052.57916666667</v>
      </c>
      <c r="B50" t="s">
        <v>1275</v>
      </c>
      <c r="C50" t="s">
        <v>1408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1409</v>
      </c>
      <c r="G50" s="27"/>
      <c r="H50" t="s">
        <v>435</v>
      </c>
      <c r="I50" t="s">
        <v>1410</v>
      </c>
      <c r="J50" t="s">
        <v>1279</v>
      </c>
    </row>
    <row r="51" spans="1:10">
      <c r="A51" s="52">
        <v>46052.57916666667</v>
      </c>
      <c r="B51" t="s">
        <v>1379</v>
      </c>
      <c r="C51" t="s">
        <v>1313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1305</v>
      </c>
      <c r="G51" s="27"/>
      <c r="H51" t="s">
        <v>435</v>
      </c>
      <c r="I51" t="s">
        <v>1411</v>
      </c>
      <c r="J51" t="s">
        <v>1381</v>
      </c>
    </row>
    <row r="52" spans="1:10">
      <c r="A52" s="52">
        <v>46052.584027777782</v>
      </c>
      <c r="B52" t="s">
        <v>1275</v>
      </c>
      <c r="C52" t="s">
        <v>1412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1413</v>
      </c>
      <c r="G52" s="27"/>
      <c r="H52" t="s">
        <v>435</v>
      </c>
      <c r="I52" t="s">
        <v>1414</v>
      </c>
      <c r="J52" t="s">
        <v>1279</v>
      </c>
    </row>
    <row r="53" spans="1:10">
      <c r="A53" s="52">
        <v>46052.585416666669</v>
      </c>
      <c r="B53" t="s">
        <v>1379</v>
      </c>
      <c r="C53" t="s">
        <v>1316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1308</v>
      </c>
      <c r="G53" s="27"/>
      <c r="H53" t="s">
        <v>435</v>
      </c>
      <c r="I53" t="s">
        <v>1415</v>
      </c>
      <c r="J53" t="s">
        <v>1381</v>
      </c>
    </row>
    <row r="54" spans="1:10">
      <c r="A54" s="52">
        <v>46052.588888888888</v>
      </c>
      <c r="B54" t="s">
        <v>1275</v>
      </c>
      <c r="C54" t="s">
        <v>1416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1417</v>
      </c>
      <c r="G54" s="27"/>
      <c r="H54" t="s">
        <v>435</v>
      </c>
      <c r="I54" t="s">
        <v>1418</v>
      </c>
      <c r="J54" t="s">
        <v>1279</v>
      </c>
    </row>
    <row r="55" spans="1:10">
      <c r="A55" s="52">
        <v>46052.59375</v>
      </c>
      <c r="B55" t="s">
        <v>1275</v>
      </c>
      <c r="C55" t="s">
        <v>1419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1420</v>
      </c>
      <c r="G55" s="27"/>
      <c r="H55" t="s">
        <v>435</v>
      </c>
      <c r="I55" t="s">
        <v>1421</v>
      </c>
      <c r="J55" t="s">
        <v>1279</v>
      </c>
    </row>
    <row r="56" spans="1:10">
      <c r="A56" s="52">
        <v>46052.598611111112</v>
      </c>
      <c r="B56" t="s">
        <v>1275</v>
      </c>
      <c r="C56" t="s">
        <v>1422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1423</v>
      </c>
      <c r="G56" s="27"/>
      <c r="H56" t="s">
        <v>435</v>
      </c>
      <c r="I56" t="s">
        <v>1424</v>
      </c>
      <c r="J56" t="s">
        <v>1279</v>
      </c>
    </row>
    <row r="57" spans="1:10">
      <c r="A57" s="52">
        <v>46052.603472222218</v>
      </c>
      <c r="B57" t="s">
        <v>1275</v>
      </c>
      <c r="C57" t="s">
        <v>1425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1426</v>
      </c>
      <c r="G57" s="27"/>
      <c r="H57" t="s">
        <v>435</v>
      </c>
      <c r="I57" t="s">
        <v>1427</v>
      </c>
      <c r="J57" t="s">
        <v>1279</v>
      </c>
    </row>
    <row r="58" spans="1:10">
      <c r="A58" s="52">
        <v>46052.60833333333</v>
      </c>
      <c r="B58" t="s">
        <v>1275</v>
      </c>
      <c r="C58" t="s">
        <v>1428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1429</v>
      </c>
      <c r="G58" s="27"/>
      <c r="H58" t="s">
        <v>435</v>
      </c>
      <c r="I58" t="s">
        <v>1430</v>
      </c>
      <c r="J58" t="s">
        <v>1279</v>
      </c>
    </row>
    <row r="59" spans="1:10">
      <c r="A59" s="52">
        <v>46052.613194444442</v>
      </c>
      <c r="B59" t="s">
        <v>1431</v>
      </c>
      <c r="C59" t="s">
        <v>1432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1257</v>
      </c>
      <c r="G59" s="27"/>
      <c r="H59" t="s">
        <v>435</v>
      </c>
      <c r="I59" t="s">
        <v>1433</v>
      </c>
      <c r="J59" t="s">
        <v>1434</v>
      </c>
    </row>
    <row r="60" spans="1:10">
      <c r="A60" s="52">
        <v>46052.618055555547</v>
      </c>
      <c r="B60" t="s">
        <v>1431</v>
      </c>
      <c r="C60" t="s">
        <v>1435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1257</v>
      </c>
      <c r="G60" s="27"/>
      <c r="H60" t="s">
        <v>435</v>
      </c>
      <c r="I60" t="s">
        <v>1436</v>
      </c>
      <c r="J60" t="s">
        <v>1434</v>
      </c>
    </row>
    <row r="61" spans="1:10">
      <c r="A61" s="52">
        <v>46052.622916666667</v>
      </c>
      <c r="B61" t="s">
        <v>1275</v>
      </c>
      <c r="C61" t="s">
        <v>1437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1438</v>
      </c>
      <c r="G61" s="27"/>
      <c r="H61" t="s">
        <v>435</v>
      </c>
      <c r="I61" t="s">
        <v>1439</v>
      </c>
      <c r="J61" t="s">
        <v>1279</v>
      </c>
    </row>
    <row r="62" spans="1:10">
      <c r="A62" s="52">
        <v>46052.62777777778</v>
      </c>
      <c r="B62" t="s">
        <v>1275</v>
      </c>
      <c r="C62" t="s">
        <v>1440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1441</v>
      </c>
      <c r="G62" s="27"/>
      <c r="H62" t="s">
        <v>435</v>
      </c>
      <c r="I62" t="s">
        <v>1442</v>
      </c>
      <c r="J62" t="s">
        <v>1279</v>
      </c>
    </row>
    <row r="63" spans="1:10">
      <c r="A63" s="52">
        <v>46052.632638888892</v>
      </c>
      <c r="B63" t="s">
        <v>1275</v>
      </c>
      <c r="C63" t="s">
        <v>1443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1444</v>
      </c>
      <c r="G63" s="27"/>
      <c r="H63" t="s">
        <v>435</v>
      </c>
      <c r="I63" t="s">
        <v>1445</v>
      </c>
      <c r="J63" t="s">
        <v>1279</v>
      </c>
    </row>
    <row r="64" spans="1:10">
      <c r="A64" s="52">
        <v>46052.637499999997</v>
      </c>
      <c r="B64" t="s">
        <v>1275</v>
      </c>
      <c r="C64" t="s">
        <v>1446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1447</v>
      </c>
      <c r="G64" s="27"/>
      <c r="H64" t="s">
        <v>435</v>
      </c>
      <c r="I64" t="s">
        <v>1448</v>
      </c>
      <c r="J64" t="s">
        <v>1279</v>
      </c>
    </row>
    <row r="65" spans="1:10">
      <c r="A65" s="52">
        <v>46052.642361111109</v>
      </c>
      <c r="B65" t="s">
        <v>1275</v>
      </c>
      <c r="C65" t="s">
        <v>1449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1450</v>
      </c>
      <c r="G65" s="27"/>
      <c r="H65" t="s">
        <v>435</v>
      </c>
      <c r="I65" t="s">
        <v>1451</v>
      </c>
      <c r="J65" t="s">
        <v>1279</v>
      </c>
    </row>
    <row r="66" spans="1:10">
      <c r="A66" s="52">
        <v>46052.647222222222</v>
      </c>
      <c r="B66" t="s">
        <v>1275</v>
      </c>
      <c r="C66" t="s">
        <v>1452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1453</v>
      </c>
      <c r="G66" s="27"/>
      <c r="H66" t="s">
        <v>435</v>
      </c>
      <c r="I66" t="s">
        <v>1454</v>
      </c>
      <c r="J66" t="s">
        <v>1279</v>
      </c>
    </row>
    <row r="67" spans="1:10">
      <c r="A67" s="52">
        <v>46052.652083333327</v>
      </c>
      <c r="B67" t="s">
        <v>1275</v>
      </c>
      <c r="C67" t="s">
        <v>1455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1456</v>
      </c>
      <c r="G67" s="27"/>
      <c r="H67" t="s">
        <v>435</v>
      </c>
      <c r="I67" t="s">
        <v>1457</v>
      </c>
      <c r="J67" t="s">
        <v>1279</v>
      </c>
    </row>
    <row r="68" spans="1:10">
      <c r="A68" s="52">
        <v>46052.656944444447</v>
      </c>
      <c r="B68" t="s">
        <v>1275</v>
      </c>
      <c r="C68" t="s">
        <v>1458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1459</v>
      </c>
      <c r="G68" s="27"/>
      <c r="H68" t="s">
        <v>435</v>
      </c>
      <c r="I68" t="s">
        <v>1460</v>
      </c>
      <c r="J68" t="s">
        <v>1279</v>
      </c>
    </row>
    <row r="69" spans="1:10">
      <c r="A69" s="52">
        <v>46052.661805555559</v>
      </c>
      <c r="B69" t="s">
        <v>1275</v>
      </c>
      <c r="C69" t="s">
        <v>1461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1462</v>
      </c>
      <c r="G69" s="27"/>
      <c r="H69" t="s">
        <v>435</v>
      </c>
      <c r="I69" t="s">
        <v>1463</v>
      </c>
      <c r="J69" t="s">
        <v>1279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80" priority="1" stopIfTrue="1">
      <formula>AND($B2&lt;&gt;"",OR($A2="",TRIM($C2)="",TRIM($E2)=""))</formula>
    </cfRule>
    <cfRule type="expression" dxfId="79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1464</v>
      </c>
      <c r="B1" s="50" t="s">
        <v>1465</v>
      </c>
      <c r="C1" s="50" t="s">
        <v>1466</v>
      </c>
      <c r="D1" s="50" t="s">
        <v>403</v>
      </c>
    </row>
    <row r="2" spans="1:4">
      <c r="A2" s="29" t="s">
        <v>1467</v>
      </c>
    </row>
    <row r="3" spans="1:4">
      <c r="A3" t="s">
        <v>1468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1469</v>
      </c>
    </row>
    <row r="4" spans="1:4">
      <c r="A4" t="s">
        <v>1468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1469</v>
      </c>
    </row>
    <row r="5" spans="1:4">
      <c r="A5" t="s">
        <v>1468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1469</v>
      </c>
    </row>
    <row r="6" spans="1:4">
      <c r="A6" t="s">
        <v>1468</v>
      </c>
      <c r="B6" t="str">
        <f>IF('02_Warehouse_Locations'!A5="","",'02_Warehouse_Locations'!A5)</f>
        <v>Z1</v>
      </c>
      <c r="C6" t="str">
        <f t="shared" si="0"/>
        <v>Z1</v>
      </c>
      <c r="D6" t="s">
        <v>1469</v>
      </c>
    </row>
    <row r="7" spans="1:4">
      <c r="A7" t="s">
        <v>1468</v>
      </c>
      <c r="B7" t="str">
        <f>IF('02_Warehouse_Locations'!A6="","",'02_Warehouse_Locations'!A6)</f>
        <v>A</v>
      </c>
      <c r="C7" t="str">
        <f t="shared" si="0"/>
        <v>A</v>
      </c>
      <c r="D7" t="s">
        <v>1469</v>
      </c>
    </row>
    <row r="8" spans="1:4">
      <c r="A8" t="s">
        <v>1468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1469</v>
      </c>
    </row>
    <row r="9" spans="1:4">
      <c r="A9" t="s">
        <v>1468</v>
      </c>
      <c r="B9" t="str">
        <f>IF('02_Warehouse_Locations'!A8="","",'02_Warehouse_Locations'!A8)</f>
        <v>01</v>
      </c>
      <c r="C9" t="str">
        <f t="shared" si="0"/>
        <v>01</v>
      </c>
      <c r="D9" t="s">
        <v>1469</v>
      </c>
    </row>
    <row r="10" spans="1:4">
      <c r="A10" t="s">
        <v>1468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1469</v>
      </c>
    </row>
    <row r="11" spans="1:4">
      <c r="A11" t="s">
        <v>1468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1469</v>
      </c>
    </row>
    <row r="12" spans="1:4">
      <c r="A12" t="s">
        <v>1468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1469</v>
      </c>
    </row>
    <row r="13" spans="1:4">
      <c r="A13" t="s">
        <v>1468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1469</v>
      </c>
    </row>
    <row r="14" spans="1:4">
      <c r="A14" t="s">
        <v>1468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1469</v>
      </c>
    </row>
    <row r="15" spans="1:4">
      <c r="A15" t="s">
        <v>1468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1469</v>
      </c>
    </row>
    <row r="16" spans="1:4">
      <c r="A16" t="s">
        <v>1468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1469</v>
      </c>
    </row>
    <row r="17" spans="1:4">
      <c r="A17" t="s">
        <v>1468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1469</v>
      </c>
    </row>
    <row r="18" spans="1:4">
      <c r="A18" t="s">
        <v>1468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1469</v>
      </c>
    </row>
    <row r="19" spans="1:4">
      <c r="A19" t="s">
        <v>1468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1469</v>
      </c>
    </row>
    <row r="20" spans="1:4">
      <c r="A20" t="s">
        <v>1468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1469</v>
      </c>
    </row>
    <row r="21" spans="1:4">
      <c r="A21" t="s">
        <v>1468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1469</v>
      </c>
    </row>
    <row r="22" spans="1:4">
      <c r="A22" t="s">
        <v>1468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1469</v>
      </c>
    </row>
    <row r="23" spans="1:4">
      <c r="A23" t="s">
        <v>1468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1469</v>
      </c>
    </row>
    <row r="24" spans="1:4">
      <c r="A24" t="s">
        <v>1468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1469</v>
      </c>
    </row>
    <row r="25" spans="1:4">
      <c r="A25" t="s">
        <v>1468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1469</v>
      </c>
    </row>
    <row r="26" spans="1:4">
      <c r="A26" t="s">
        <v>1468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1469</v>
      </c>
    </row>
    <row r="27" spans="1:4">
      <c r="A27" t="s">
        <v>1468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1469</v>
      </c>
    </row>
    <row r="28" spans="1:4">
      <c r="A28" t="s">
        <v>1468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1469</v>
      </c>
    </row>
    <row r="29" spans="1:4">
      <c r="A29" t="s">
        <v>1468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1469</v>
      </c>
    </row>
    <row r="30" spans="1:4">
      <c r="A30" t="s">
        <v>1468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1469</v>
      </c>
    </row>
    <row r="31" spans="1:4">
      <c r="A31" t="s">
        <v>1468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1469</v>
      </c>
    </row>
    <row r="32" spans="1:4">
      <c r="A32" t="s">
        <v>1468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1469</v>
      </c>
    </row>
    <row r="33" spans="1:4">
      <c r="A33" t="s">
        <v>1468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1469</v>
      </c>
    </row>
    <row r="34" spans="1:4">
      <c r="A34" t="s">
        <v>1468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1469</v>
      </c>
    </row>
    <row r="35" spans="1:4">
      <c r="A35" t="s">
        <v>1468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1469</v>
      </c>
    </row>
    <row r="36" spans="1:4">
      <c r="A36" t="s">
        <v>1468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1469</v>
      </c>
    </row>
    <row r="37" spans="1:4">
      <c r="A37" t="s">
        <v>1468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1469</v>
      </c>
    </row>
    <row r="38" spans="1:4">
      <c r="A38" t="s">
        <v>1468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1469</v>
      </c>
    </row>
    <row r="39" spans="1:4">
      <c r="A39" t="s">
        <v>1468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1469</v>
      </c>
    </row>
    <row r="40" spans="1:4">
      <c r="A40" t="s">
        <v>1468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1469</v>
      </c>
    </row>
    <row r="41" spans="1:4">
      <c r="A41" t="s">
        <v>1468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1469</v>
      </c>
    </row>
    <row r="42" spans="1:4">
      <c r="A42" t="s">
        <v>1468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1469</v>
      </c>
    </row>
    <row r="43" spans="1:4">
      <c r="A43" t="s">
        <v>1468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1469</v>
      </c>
    </row>
    <row r="44" spans="1:4">
      <c r="A44" t="s">
        <v>1468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1469</v>
      </c>
    </row>
    <row r="45" spans="1:4">
      <c r="A45" t="s">
        <v>1468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1469</v>
      </c>
    </row>
    <row r="46" spans="1:4">
      <c r="A46" t="s">
        <v>1468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1469</v>
      </c>
    </row>
    <row r="47" spans="1:4">
      <c r="A47" t="s">
        <v>1468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1469</v>
      </c>
    </row>
    <row r="48" spans="1:4">
      <c r="A48" t="s">
        <v>1468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1469</v>
      </c>
    </row>
    <row r="49" spans="1:4">
      <c r="A49" t="s">
        <v>1468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1469</v>
      </c>
    </row>
    <row r="50" spans="1:4">
      <c r="A50" t="s">
        <v>1468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1469</v>
      </c>
    </row>
    <row r="51" spans="1:4">
      <c r="A51" t="s">
        <v>1468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1469</v>
      </c>
    </row>
    <row r="52" spans="1:4">
      <c r="A52" t="s">
        <v>1468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1469</v>
      </c>
    </row>
    <row r="53" spans="1:4">
      <c r="A53" t="s">
        <v>1468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1469</v>
      </c>
    </row>
    <row r="54" spans="1:4">
      <c r="A54" t="s">
        <v>1468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1469</v>
      </c>
    </row>
    <row r="55" spans="1:4">
      <c r="A55" t="s">
        <v>1468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1469</v>
      </c>
    </row>
    <row r="56" spans="1:4">
      <c r="A56" t="s">
        <v>1468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1469</v>
      </c>
    </row>
    <row r="57" spans="1:4">
      <c r="A57" t="s">
        <v>1468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1469</v>
      </c>
    </row>
    <row r="58" spans="1:4">
      <c r="A58" t="s">
        <v>1468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1469</v>
      </c>
    </row>
    <row r="59" spans="1:4">
      <c r="A59" t="s">
        <v>1468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1469</v>
      </c>
    </row>
    <row r="60" spans="1:4">
      <c r="A60" t="s">
        <v>1468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1469</v>
      </c>
    </row>
    <row r="61" spans="1:4">
      <c r="A61" t="s">
        <v>1468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1469</v>
      </c>
    </row>
    <row r="62" spans="1:4">
      <c r="A62" t="s">
        <v>1468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1469</v>
      </c>
    </row>
    <row r="63" spans="1:4">
      <c r="A63" t="s">
        <v>1468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1469</v>
      </c>
    </row>
    <row r="64" spans="1:4">
      <c r="A64" t="s">
        <v>1468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1469</v>
      </c>
    </row>
    <row r="65" spans="1:4">
      <c r="A65" t="s">
        <v>1468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1469</v>
      </c>
    </row>
    <row r="66" spans="1:4">
      <c r="A66" t="s">
        <v>1468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1469</v>
      </c>
    </row>
    <row r="67" spans="1:4">
      <c r="A67" t="s">
        <v>1468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1469</v>
      </c>
    </row>
    <row r="68" spans="1:4">
      <c r="A68" t="s">
        <v>1468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1469</v>
      </c>
    </row>
    <row r="69" spans="1:4">
      <c r="A69" t="s">
        <v>1468</v>
      </c>
      <c r="B69" t="str">
        <f>IF('02_Warehouse_Locations'!A68="","",'02_Warehouse_Locations'!A68)</f>
        <v>D</v>
      </c>
      <c r="C69" t="str">
        <f t="shared" si="1"/>
        <v>D</v>
      </c>
      <c r="D69" t="s">
        <v>1469</v>
      </c>
    </row>
    <row r="70" spans="1:4">
      <c r="A70" t="s">
        <v>1468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1469</v>
      </c>
    </row>
    <row r="71" spans="1:4">
      <c r="A71" t="s">
        <v>1468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1469</v>
      </c>
    </row>
    <row r="72" spans="1:4">
      <c r="A72" t="s">
        <v>1468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1469</v>
      </c>
    </row>
    <row r="73" spans="1:4">
      <c r="A73" t="s">
        <v>1468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1469</v>
      </c>
    </row>
    <row r="74" spans="1:4">
      <c r="A74" t="s">
        <v>1468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1469</v>
      </c>
    </row>
    <row r="75" spans="1:4">
      <c r="A75" t="s">
        <v>1468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1469</v>
      </c>
    </row>
    <row r="76" spans="1:4">
      <c r="A76" t="s">
        <v>1468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1469</v>
      </c>
    </row>
    <row r="77" spans="1:4">
      <c r="A77" t="s">
        <v>1468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1469</v>
      </c>
    </row>
    <row r="78" spans="1:4">
      <c r="A78" t="s">
        <v>1468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1469</v>
      </c>
    </row>
    <row r="79" spans="1:4">
      <c r="A79" t="s">
        <v>1468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1469</v>
      </c>
    </row>
    <row r="80" spans="1:4">
      <c r="A80" t="s">
        <v>1468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1469</v>
      </c>
    </row>
    <row r="81" spans="1:4">
      <c r="A81" t="s">
        <v>1468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1469</v>
      </c>
    </row>
    <row r="82" spans="1:4">
      <c r="A82" t="s">
        <v>1468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1469</v>
      </c>
    </row>
    <row r="83" spans="1:4">
      <c r="A83" t="s">
        <v>1468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1469</v>
      </c>
    </row>
    <row r="84" spans="1:4">
      <c r="A84" t="s">
        <v>1468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1469</v>
      </c>
    </row>
    <row r="85" spans="1:4">
      <c r="A85" t="s">
        <v>1468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1469</v>
      </c>
    </row>
    <row r="86" spans="1:4">
      <c r="A86" t="s">
        <v>1468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1469</v>
      </c>
    </row>
    <row r="87" spans="1:4">
      <c r="A87" t="s">
        <v>1468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1469</v>
      </c>
    </row>
    <row r="88" spans="1:4">
      <c r="A88" t="s">
        <v>1468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1469</v>
      </c>
    </row>
    <row r="89" spans="1:4">
      <c r="A89" t="s">
        <v>1468</v>
      </c>
      <c r="B89" t="str">
        <f>IF('02_Warehouse_Locations'!A88="","",'02_Warehouse_Locations'!A88)</f>
        <v>E</v>
      </c>
      <c r="C89" t="str">
        <f t="shared" si="1"/>
        <v>E</v>
      </c>
      <c r="D89" t="s">
        <v>1469</v>
      </c>
    </row>
    <row r="90" spans="1:4">
      <c r="A90" t="s">
        <v>1468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1469</v>
      </c>
    </row>
    <row r="91" spans="1:4">
      <c r="A91" t="s">
        <v>1468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1469</v>
      </c>
    </row>
    <row r="92" spans="1:4">
      <c r="A92" t="s">
        <v>1468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1469</v>
      </c>
    </row>
    <row r="93" spans="1:4">
      <c r="A93" t="s">
        <v>1468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1469</v>
      </c>
    </row>
    <row r="94" spans="1:4">
      <c r="A94" t="s">
        <v>1468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1469</v>
      </c>
    </row>
    <row r="95" spans="1:4">
      <c r="A95" t="s">
        <v>1468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1469</v>
      </c>
    </row>
    <row r="96" spans="1:4">
      <c r="A96" t="s">
        <v>1468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1469</v>
      </c>
    </row>
    <row r="97" spans="1:4">
      <c r="A97" t="s">
        <v>1468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1469</v>
      </c>
    </row>
    <row r="98" spans="1:4">
      <c r="A98" t="s">
        <v>1468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1469</v>
      </c>
    </row>
    <row r="99" spans="1:4">
      <c r="A99" t="s">
        <v>1468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1469</v>
      </c>
    </row>
    <row r="100" spans="1:4">
      <c r="A100" t="s">
        <v>1468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1469</v>
      </c>
    </row>
    <row r="101" spans="1:4">
      <c r="A101" t="s">
        <v>1468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1469</v>
      </c>
    </row>
    <row r="102" spans="1:4">
      <c r="A102" t="s">
        <v>1468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1469</v>
      </c>
    </row>
    <row r="103" spans="1:4">
      <c r="A103" t="s">
        <v>1468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1469</v>
      </c>
    </row>
    <row r="104" spans="1:4">
      <c r="A104" t="s">
        <v>1468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1469</v>
      </c>
    </row>
    <row r="105" spans="1:4">
      <c r="A105" t="s">
        <v>1468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1469</v>
      </c>
    </row>
    <row r="106" spans="1:4">
      <c r="A106" t="s">
        <v>1468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1469</v>
      </c>
    </row>
    <row r="107" spans="1:4">
      <c r="A107" t="s">
        <v>1468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1469</v>
      </c>
    </row>
    <row r="108" spans="1:4">
      <c r="A108" t="s">
        <v>1468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1469</v>
      </c>
    </row>
    <row r="109" spans="1:4">
      <c r="A109" t="s">
        <v>1468</v>
      </c>
      <c r="B109" t="str">
        <f>IF('02_Warehouse_Locations'!A108="","",'02_Warehouse_Locations'!A108)</f>
        <v>F</v>
      </c>
      <c r="C109" t="str">
        <f t="shared" si="1"/>
        <v>F</v>
      </c>
      <c r="D109" t="s">
        <v>1469</v>
      </c>
    </row>
    <row r="110" spans="1:4">
      <c r="A110" t="s">
        <v>1468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1469</v>
      </c>
    </row>
    <row r="111" spans="1:4">
      <c r="A111" t="s">
        <v>1468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1469</v>
      </c>
    </row>
    <row r="112" spans="1:4">
      <c r="A112" t="s">
        <v>1468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1469</v>
      </c>
    </row>
    <row r="113" spans="1:4">
      <c r="A113" t="s">
        <v>1468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1469</v>
      </c>
    </row>
    <row r="114" spans="1:4">
      <c r="A114" t="s">
        <v>1468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1469</v>
      </c>
    </row>
    <row r="115" spans="1:4">
      <c r="A115" t="s">
        <v>1468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1469</v>
      </c>
    </row>
    <row r="116" spans="1:4">
      <c r="A116" t="s">
        <v>1468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1469</v>
      </c>
    </row>
    <row r="117" spans="1:4">
      <c r="A117" t="s">
        <v>1468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1469</v>
      </c>
    </row>
    <row r="118" spans="1:4">
      <c r="A118" t="s">
        <v>1468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1469</v>
      </c>
    </row>
    <row r="119" spans="1:4">
      <c r="A119" t="s">
        <v>1468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1469</v>
      </c>
    </row>
    <row r="120" spans="1:4">
      <c r="A120" t="s">
        <v>1468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1469</v>
      </c>
    </row>
    <row r="121" spans="1:4">
      <c r="A121" t="s">
        <v>1468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1469</v>
      </c>
    </row>
    <row r="122" spans="1:4">
      <c r="A122" t="s">
        <v>1468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1469</v>
      </c>
    </row>
    <row r="123" spans="1:4">
      <c r="A123" t="s">
        <v>1468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1469</v>
      </c>
    </row>
    <row r="124" spans="1:4">
      <c r="A124" t="s">
        <v>1468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1469</v>
      </c>
    </row>
    <row r="125" spans="1:4">
      <c r="A125" t="s">
        <v>1468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1469</v>
      </c>
    </row>
    <row r="126" spans="1:4">
      <c r="A126" t="s">
        <v>1468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1469</v>
      </c>
    </row>
    <row r="127" spans="1:4">
      <c r="A127" t="s">
        <v>1468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1469</v>
      </c>
    </row>
    <row r="128" spans="1:4">
      <c r="A128" t="s">
        <v>1468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1469</v>
      </c>
    </row>
    <row r="129" spans="1:4">
      <c r="A129" t="s">
        <v>1468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1469</v>
      </c>
    </row>
    <row r="130" spans="1:4">
      <c r="A130" t="s">
        <v>1468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1469</v>
      </c>
    </row>
    <row r="131" spans="1:4">
      <c r="A131" t="s">
        <v>1468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1469</v>
      </c>
    </row>
    <row r="132" spans="1:4">
      <c r="A132" t="s">
        <v>1468</v>
      </c>
      <c r="B132" t="str">
        <f>IF('02_Warehouse_Locations'!A131="","",'02_Warehouse_Locations'!A131)</f>
        <v>O</v>
      </c>
      <c r="C132" t="str">
        <f t="shared" si="2"/>
        <v>O</v>
      </c>
      <c r="D132" t="s">
        <v>1469</v>
      </c>
    </row>
    <row r="133" spans="1:4">
      <c r="A133" t="s">
        <v>1468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1469</v>
      </c>
    </row>
    <row r="134" spans="1:4">
      <c r="A134" t="s">
        <v>1468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1469</v>
      </c>
    </row>
    <row r="135" spans="1:4">
      <c r="A135" t="s">
        <v>1468</v>
      </c>
      <c r="B135" t="str">
        <f>IF('02_Warehouse_Locations'!A134="","",'02_Warehouse_Locations'!A134)</f>
        <v/>
      </c>
      <c r="C135" t="str">
        <f t="shared" si="2"/>
        <v/>
      </c>
      <c r="D135" t="s">
        <v>1469</v>
      </c>
    </row>
    <row r="136" spans="1:4">
      <c r="A136" t="s">
        <v>1468</v>
      </c>
      <c r="B136" t="str">
        <f>IF('02_Warehouse_Locations'!A135="","",'02_Warehouse_Locations'!A135)</f>
        <v/>
      </c>
      <c r="C136" t="str">
        <f t="shared" si="2"/>
        <v/>
      </c>
      <c r="D136" t="s">
        <v>1469</v>
      </c>
    </row>
    <row r="137" spans="1:4">
      <c r="A137" t="s">
        <v>1468</v>
      </c>
      <c r="B137" t="str">
        <f>IF('02_Warehouse_Locations'!A136="","",'02_Warehouse_Locations'!A136)</f>
        <v/>
      </c>
      <c r="C137" t="str">
        <f t="shared" si="2"/>
        <v/>
      </c>
      <c r="D137" t="s">
        <v>1469</v>
      </c>
    </row>
    <row r="138" spans="1:4">
      <c r="A138" t="s">
        <v>1468</v>
      </c>
      <c r="B138" t="str">
        <f>IF('02_Warehouse_Locations'!A137="","",'02_Warehouse_Locations'!A137)</f>
        <v/>
      </c>
      <c r="C138" t="str">
        <f t="shared" si="2"/>
        <v/>
      </c>
      <c r="D138" t="s">
        <v>1469</v>
      </c>
    </row>
    <row r="139" spans="1:4">
      <c r="A139" t="s">
        <v>1468</v>
      </c>
      <c r="B139" t="str">
        <f>IF('02_Warehouse_Locations'!A138="","",'02_Warehouse_Locations'!A138)</f>
        <v/>
      </c>
      <c r="C139" t="str">
        <f t="shared" si="2"/>
        <v/>
      </c>
      <c r="D139" t="s">
        <v>1469</v>
      </c>
    </row>
    <row r="140" spans="1:4">
      <c r="A140" t="s">
        <v>1468</v>
      </c>
      <c r="B140" t="str">
        <f>IF('02_Warehouse_Locations'!A139="","",'02_Warehouse_Locations'!A139)</f>
        <v/>
      </c>
      <c r="C140" t="str">
        <f t="shared" si="2"/>
        <v/>
      </c>
      <c r="D140" t="s">
        <v>1469</v>
      </c>
    </row>
    <row r="141" spans="1:4">
      <c r="A141" t="s">
        <v>1468</v>
      </c>
      <c r="B141" t="str">
        <f>IF('02_Warehouse_Locations'!A140="","",'02_Warehouse_Locations'!A140)</f>
        <v/>
      </c>
      <c r="C141" t="str">
        <f t="shared" si="2"/>
        <v/>
      </c>
      <c r="D141" t="s">
        <v>1469</v>
      </c>
    </row>
    <row r="142" spans="1:4">
      <c r="A142" t="s">
        <v>1468</v>
      </c>
      <c r="B142" t="str">
        <f>IF('02_Warehouse_Locations'!A141="","",'02_Warehouse_Locations'!A141)</f>
        <v/>
      </c>
      <c r="C142" t="str">
        <f t="shared" si="2"/>
        <v/>
      </c>
      <c r="D142" t="s">
        <v>1469</v>
      </c>
    </row>
    <row r="143" spans="1:4">
      <c r="A143" t="s">
        <v>1468</v>
      </c>
      <c r="B143" t="str">
        <f>IF('02_Warehouse_Locations'!A142="","",'02_Warehouse_Locations'!A142)</f>
        <v/>
      </c>
      <c r="C143" t="str">
        <f t="shared" si="2"/>
        <v/>
      </c>
      <c r="D143" t="s">
        <v>1469</v>
      </c>
    </row>
    <row r="144" spans="1:4">
      <c r="A144" t="s">
        <v>1468</v>
      </c>
      <c r="B144" t="str">
        <f>IF('02_Warehouse_Locations'!A143="","",'02_Warehouse_Locations'!A143)</f>
        <v/>
      </c>
      <c r="C144" t="str">
        <f t="shared" si="2"/>
        <v/>
      </c>
      <c r="D144" t="s">
        <v>1469</v>
      </c>
    </row>
    <row r="145" spans="1:4">
      <c r="A145" t="s">
        <v>1468</v>
      </c>
      <c r="B145" t="str">
        <f>IF('02_Warehouse_Locations'!A144="","",'02_Warehouse_Locations'!A144)</f>
        <v/>
      </c>
      <c r="C145" t="str">
        <f t="shared" si="2"/>
        <v/>
      </c>
      <c r="D145" t="s">
        <v>1469</v>
      </c>
    </row>
    <row r="146" spans="1:4">
      <c r="A146" t="s">
        <v>1468</v>
      </c>
      <c r="B146" t="str">
        <f>IF('02_Warehouse_Locations'!A145="","",'02_Warehouse_Locations'!A145)</f>
        <v/>
      </c>
      <c r="C146" t="str">
        <f t="shared" si="2"/>
        <v/>
      </c>
      <c r="D146" t="s">
        <v>1469</v>
      </c>
    </row>
    <row r="147" spans="1:4">
      <c r="A147" t="s">
        <v>1468</v>
      </c>
      <c r="B147" t="str">
        <f>IF('02_Warehouse_Locations'!A146="","",'02_Warehouse_Locations'!A146)</f>
        <v/>
      </c>
      <c r="C147" t="str">
        <f t="shared" si="2"/>
        <v/>
      </c>
      <c r="D147" t="s">
        <v>1469</v>
      </c>
    </row>
    <row r="148" spans="1:4">
      <c r="A148" t="s">
        <v>1468</v>
      </c>
      <c r="B148" t="str">
        <f>IF('02_Warehouse_Locations'!A147="","",'02_Warehouse_Locations'!A147)</f>
        <v/>
      </c>
      <c r="C148" t="str">
        <f t="shared" si="2"/>
        <v/>
      </c>
      <c r="D148" t="s">
        <v>1469</v>
      </c>
    </row>
    <row r="149" spans="1:4">
      <c r="A149" t="s">
        <v>1468</v>
      </c>
      <c r="B149" t="str">
        <f>IF('02_Warehouse_Locations'!A148="","",'02_Warehouse_Locations'!A148)</f>
        <v/>
      </c>
      <c r="C149" t="str">
        <f t="shared" si="2"/>
        <v/>
      </c>
      <c r="D149" t="s">
        <v>1469</v>
      </c>
    </row>
    <row r="150" spans="1:4">
      <c r="A150" t="s">
        <v>1468</v>
      </c>
      <c r="B150" t="str">
        <f>IF('02_Warehouse_Locations'!A149="","",'02_Warehouse_Locations'!A149)</f>
        <v/>
      </c>
      <c r="C150" t="str">
        <f t="shared" si="2"/>
        <v/>
      </c>
      <c r="D150" t="s">
        <v>1469</v>
      </c>
    </row>
    <row r="151" spans="1:4">
      <c r="A151" t="s">
        <v>1468</v>
      </c>
      <c r="B151" t="str">
        <f>IF('02_Warehouse_Locations'!A150="","",'02_Warehouse_Locations'!A150)</f>
        <v/>
      </c>
      <c r="C151" t="str">
        <f t="shared" si="2"/>
        <v/>
      </c>
      <c r="D151" t="s">
        <v>1469</v>
      </c>
    </row>
    <row r="152" spans="1:4">
      <c r="A152" t="s">
        <v>1468</v>
      </c>
      <c r="B152" t="str">
        <f>IF('02_Warehouse_Locations'!A151="","",'02_Warehouse_Locations'!A151)</f>
        <v/>
      </c>
      <c r="C152" t="str">
        <f t="shared" si="2"/>
        <v/>
      </c>
      <c r="D152" t="s">
        <v>1469</v>
      </c>
    </row>
    <row r="153" spans="1:4">
      <c r="A153" t="s">
        <v>1468</v>
      </c>
      <c r="B153" t="str">
        <f>IF('02_Warehouse_Locations'!A152="","",'02_Warehouse_Locations'!A152)</f>
        <v/>
      </c>
      <c r="C153" t="str">
        <f t="shared" si="2"/>
        <v/>
      </c>
      <c r="D153" t="s">
        <v>1469</v>
      </c>
    </row>
    <row r="154" spans="1:4">
      <c r="A154" t="s">
        <v>1468</v>
      </c>
      <c r="B154" t="str">
        <f>IF('02_Warehouse_Locations'!A153="","",'02_Warehouse_Locations'!A153)</f>
        <v/>
      </c>
      <c r="C154" t="str">
        <f t="shared" si="2"/>
        <v/>
      </c>
      <c r="D154" t="s">
        <v>1469</v>
      </c>
    </row>
    <row r="155" spans="1:4">
      <c r="A155" t="s">
        <v>1468</v>
      </c>
      <c r="B155" t="str">
        <f>IF('02_Warehouse_Locations'!A154="","",'02_Warehouse_Locations'!A154)</f>
        <v/>
      </c>
      <c r="C155" t="str">
        <f t="shared" si="2"/>
        <v/>
      </c>
      <c r="D155" t="s">
        <v>1469</v>
      </c>
    </row>
    <row r="156" spans="1:4">
      <c r="A156" t="s">
        <v>1468</v>
      </c>
      <c r="B156" t="str">
        <f>IF('02_Warehouse_Locations'!A155="","",'02_Warehouse_Locations'!A155)</f>
        <v/>
      </c>
      <c r="C156" t="str">
        <f t="shared" si="2"/>
        <v/>
      </c>
      <c r="D156" t="s">
        <v>1469</v>
      </c>
    </row>
    <row r="157" spans="1:4">
      <c r="A157" t="s">
        <v>1468</v>
      </c>
      <c r="B157" t="str">
        <f>IF('02_Warehouse_Locations'!A156="","",'02_Warehouse_Locations'!A156)</f>
        <v/>
      </c>
      <c r="C157" t="str">
        <f t="shared" si="2"/>
        <v/>
      </c>
      <c r="D157" t="s">
        <v>1469</v>
      </c>
    </row>
    <row r="158" spans="1:4">
      <c r="A158" t="s">
        <v>1468</v>
      </c>
      <c r="B158" t="str">
        <f>IF('02_Warehouse_Locations'!A157="","",'02_Warehouse_Locations'!A157)</f>
        <v/>
      </c>
      <c r="C158" t="str">
        <f t="shared" si="2"/>
        <v/>
      </c>
      <c r="D158" t="s">
        <v>1469</v>
      </c>
    </row>
    <row r="159" spans="1:4">
      <c r="A159" t="s">
        <v>1468</v>
      </c>
      <c r="B159" t="str">
        <f>IF('02_Warehouse_Locations'!A158="","",'02_Warehouse_Locations'!A158)</f>
        <v/>
      </c>
      <c r="C159" t="str">
        <f t="shared" si="2"/>
        <v/>
      </c>
      <c r="D159" t="s">
        <v>1469</v>
      </c>
    </row>
    <row r="160" spans="1:4">
      <c r="A160" t="s">
        <v>1468</v>
      </c>
      <c r="B160" t="str">
        <f>IF('02_Warehouse_Locations'!A159="","",'02_Warehouse_Locations'!A159)</f>
        <v/>
      </c>
      <c r="C160" t="str">
        <f t="shared" si="2"/>
        <v/>
      </c>
      <c r="D160" t="s">
        <v>1469</v>
      </c>
    </row>
    <row r="161" spans="1:4">
      <c r="A161" t="s">
        <v>1468</v>
      </c>
      <c r="B161" t="str">
        <f>IF('02_Warehouse_Locations'!A160="","",'02_Warehouse_Locations'!A160)</f>
        <v/>
      </c>
      <c r="C161" t="str">
        <f t="shared" si="2"/>
        <v/>
      </c>
      <c r="D161" t="s">
        <v>1469</v>
      </c>
    </row>
    <row r="162" spans="1:4">
      <c r="A162" t="s">
        <v>1468</v>
      </c>
      <c r="B162" t="str">
        <f>IF('02_Warehouse_Locations'!A161="","",'02_Warehouse_Locations'!A161)</f>
        <v/>
      </c>
      <c r="C162" t="str">
        <f t="shared" si="2"/>
        <v/>
      </c>
      <c r="D162" t="s">
        <v>1469</v>
      </c>
    </row>
    <row r="163" spans="1:4">
      <c r="A163" t="s">
        <v>1468</v>
      </c>
      <c r="B163" t="str">
        <f>IF('02_Warehouse_Locations'!A162="","",'02_Warehouse_Locations'!A162)</f>
        <v/>
      </c>
      <c r="C163" t="str">
        <f t="shared" si="2"/>
        <v/>
      </c>
      <c r="D163" t="s">
        <v>1469</v>
      </c>
    </row>
    <row r="164" spans="1:4">
      <c r="A164" t="s">
        <v>1468</v>
      </c>
      <c r="B164" t="str">
        <f>IF('02_Warehouse_Locations'!A163="","",'02_Warehouse_Locations'!A163)</f>
        <v/>
      </c>
      <c r="C164" t="str">
        <f t="shared" si="2"/>
        <v/>
      </c>
      <c r="D164" t="s">
        <v>1469</v>
      </c>
    </row>
    <row r="165" spans="1:4">
      <c r="A165" t="s">
        <v>1468</v>
      </c>
      <c r="B165" t="str">
        <f>IF('02_Warehouse_Locations'!A164="","",'02_Warehouse_Locations'!A164)</f>
        <v/>
      </c>
      <c r="C165" t="str">
        <f t="shared" si="2"/>
        <v/>
      </c>
      <c r="D165" t="s">
        <v>1469</v>
      </c>
    </row>
    <row r="166" spans="1:4">
      <c r="A166" t="s">
        <v>1468</v>
      </c>
      <c r="B166" t="str">
        <f>IF('02_Warehouse_Locations'!A165="","",'02_Warehouse_Locations'!A165)</f>
        <v/>
      </c>
      <c r="C166" t="str">
        <f t="shared" si="2"/>
        <v/>
      </c>
      <c r="D166" t="s">
        <v>1469</v>
      </c>
    </row>
    <row r="167" spans="1:4">
      <c r="A167" t="s">
        <v>1468</v>
      </c>
      <c r="B167" t="str">
        <f>IF('02_Warehouse_Locations'!A166="","",'02_Warehouse_Locations'!A166)</f>
        <v/>
      </c>
      <c r="C167" t="str">
        <f t="shared" si="2"/>
        <v/>
      </c>
      <c r="D167" t="s">
        <v>1469</v>
      </c>
    </row>
    <row r="168" spans="1:4">
      <c r="A168" t="s">
        <v>1468</v>
      </c>
      <c r="B168" t="str">
        <f>IF('02_Warehouse_Locations'!A167="","",'02_Warehouse_Locations'!A167)</f>
        <v/>
      </c>
      <c r="C168" t="str">
        <f t="shared" si="2"/>
        <v/>
      </c>
      <c r="D168" t="s">
        <v>1469</v>
      </c>
    </row>
    <row r="169" spans="1:4">
      <c r="A169" t="s">
        <v>1468</v>
      </c>
      <c r="B169" t="str">
        <f>IF('02_Warehouse_Locations'!A168="","",'02_Warehouse_Locations'!A168)</f>
        <v/>
      </c>
      <c r="C169" t="str">
        <f t="shared" si="2"/>
        <v/>
      </c>
      <c r="D169" t="s">
        <v>1469</v>
      </c>
    </row>
    <row r="170" spans="1:4">
      <c r="A170" t="s">
        <v>1468</v>
      </c>
      <c r="B170" t="str">
        <f>IF('02_Warehouse_Locations'!A169="","",'02_Warehouse_Locations'!A169)</f>
        <v/>
      </c>
      <c r="C170" t="str">
        <f t="shared" si="2"/>
        <v/>
      </c>
      <c r="D170" t="s">
        <v>1469</v>
      </c>
    </row>
    <row r="171" spans="1:4">
      <c r="A171" t="s">
        <v>1468</v>
      </c>
      <c r="B171" t="str">
        <f>IF('02_Warehouse_Locations'!A170="","",'02_Warehouse_Locations'!A170)</f>
        <v/>
      </c>
      <c r="C171" t="str">
        <f t="shared" si="2"/>
        <v/>
      </c>
      <c r="D171" t="s">
        <v>1469</v>
      </c>
    </row>
    <row r="172" spans="1:4">
      <c r="A172" t="s">
        <v>1468</v>
      </c>
      <c r="B172" t="str">
        <f>IF('02_Warehouse_Locations'!A171="","",'02_Warehouse_Locations'!A171)</f>
        <v/>
      </c>
      <c r="C172" t="str">
        <f t="shared" si="2"/>
        <v/>
      </c>
      <c r="D172" t="s">
        <v>1469</v>
      </c>
    </row>
    <row r="173" spans="1:4">
      <c r="A173" t="s">
        <v>1468</v>
      </c>
      <c r="B173" t="str">
        <f>IF('02_Warehouse_Locations'!A172="","",'02_Warehouse_Locations'!A172)</f>
        <v/>
      </c>
      <c r="C173" t="str">
        <f t="shared" si="2"/>
        <v/>
      </c>
      <c r="D173" t="s">
        <v>1469</v>
      </c>
    </row>
    <row r="174" spans="1:4">
      <c r="A174" t="s">
        <v>1468</v>
      </c>
      <c r="B174" t="str">
        <f>IF('02_Warehouse_Locations'!A173="","",'02_Warehouse_Locations'!A173)</f>
        <v/>
      </c>
      <c r="C174" t="str">
        <f t="shared" si="2"/>
        <v/>
      </c>
      <c r="D174" t="s">
        <v>1469</v>
      </c>
    </row>
    <row r="175" spans="1:4">
      <c r="A175" t="s">
        <v>1468</v>
      </c>
      <c r="B175" t="str">
        <f>IF('02_Warehouse_Locations'!A174="","",'02_Warehouse_Locations'!A174)</f>
        <v/>
      </c>
      <c r="C175" t="str">
        <f t="shared" si="2"/>
        <v/>
      </c>
      <c r="D175" t="s">
        <v>1469</v>
      </c>
    </row>
    <row r="176" spans="1:4">
      <c r="A176" t="s">
        <v>1468</v>
      </c>
      <c r="B176" t="str">
        <f>IF('02_Warehouse_Locations'!A175="","",'02_Warehouse_Locations'!A175)</f>
        <v/>
      </c>
      <c r="C176" t="str">
        <f t="shared" si="2"/>
        <v/>
      </c>
      <c r="D176" t="s">
        <v>1469</v>
      </c>
    </row>
    <row r="177" spans="1:4">
      <c r="A177" t="s">
        <v>1468</v>
      </c>
      <c r="B177" t="str">
        <f>IF('02_Warehouse_Locations'!A176="","",'02_Warehouse_Locations'!A176)</f>
        <v/>
      </c>
      <c r="C177" t="str">
        <f t="shared" si="2"/>
        <v/>
      </c>
      <c r="D177" t="s">
        <v>1469</v>
      </c>
    </row>
    <row r="178" spans="1:4">
      <c r="A178" t="s">
        <v>1468</v>
      </c>
      <c r="B178" t="str">
        <f>IF('02_Warehouse_Locations'!A177="","",'02_Warehouse_Locations'!A177)</f>
        <v/>
      </c>
      <c r="C178" t="str">
        <f t="shared" si="2"/>
        <v/>
      </c>
      <c r="D178" t="s">
        <v>1469</v>
      </c>
    </row>
    <row r="179" spans="1:4">
      <c r="A179" t="s">
        <v>1468</v>
      </c>
      <c r="B179" t="str">
        <f>IF('02_Warehouse_Locations'!A178="","",'02_Warehouse_Locations'!A178)</f>
        <v/>
      </c>
      <c r="C179" t="str">
        <f t="shared" si="2"/>
        <v/>
      </c>
      <c r="D179" t="s">
        <v>1469</v>
      </c>
    </row>
    <row r="180" spans="1:4">
      <c r="A180" t="s">
        <v>1468</v>
      </c>
      <c r="B180" t="str">
        <f>IF('02_Warehouse_Locations'!A179="","",'02_Warehouse_Locations'!A179)</f>
        <v/>
      </c>
      <c r="C180" t="str">
        <f t="shared" si="2"/>
        <v/>
      </c>
      <c r="D180" t="s">
        <v>1469</v>
      </c>
    </row>
    <row r="181" spans="1:4">
      <c r="A181" t="s">
        <v>1468</v>
      </c>
      <c r="B181" t="str">
        <f>IF('02_Warehouse_Locations'!A180="","",'02_Warehouse_Locations'!A180)</f>
        <v/>
      </c>
      <c r="C181" t="str">
        <f t="shared" si="2"/>
        <v/>
      </c>
      <c r="D181" t="s">
        <v>1469</v>
      </c>
    </row>
    <row r="182" spans="1:4">
      <c r="A182" t="s">
        <v>1468</v>
      </c>
      <c r="B182" t="str">
        <f>IF('02_Warehouse_Locations'!A181="","",'02_Warehouse_Locations'!A181)</f>
        <v/>
      </c>
      <c r="C182" t="str">
        <f t="shared" si="2"/>
        <v/>
      </c>
      <c r="D182" t="s">
        <v>1469</v>
      </c>
    </row>
    <row r="183" spans="1:4">
      <c r="A183" t="s">
        <v>1468</v>
      </c>
      <c r="B183" t="str">
        <f>IF('02_Warehouse_Locations'!A182="","",'02_Warehouse_Locations'!A182)</f>
        <v/>
      </c>
      <c r="C183" t="str">
        <f t="shared" si="2"/>
        <v/>
      </c>
      <c r="D183" t="s">
        <v>1469</v>
      </c>
    </row>
    <row r="184" spans="1:4">
      <c r="A184" t="s">
        <v>1468</v>
      </c>
      <c r="B184" t="str">
        <f>IF('02_Warehouse_Locations'!A183="","",'02_Warehouse_Locations'!A183)</f>
        <v/>
      </c>
      <c r="C184" t="str">
        <f t="shared" si="2"/>
        <v/>
      </c>
      <c r="D184" t="s">
        <v>1469</v>
      </c>
    </row>
    <row r="185" spans="1:4">
      <c r="A185" t="s">
        <v>1468</v>
      </c>
      <c r="B185" t="str">
        <f>IF('02_Warehouse_Locations'!A184="","",'02_Warehouse_Locations'!A184)</f>
        <v/>
      </c>
      <c r="C185" t="str">
        <f t="shared" si="2"/>
        <v/>
      </c>
      <c r="D185" t="s">
        <v>1469</v>
      </c>
    </row>
    <row r="186" spans="1:4">
      <c r="A186" t="s">
        <v>1468</v>
      </c>
      <c r="B186" t="str">
        <f>IF('02_Warehouse_Locations'!A185="","",'02_Warehouse_Locations'!A185)</f>
        <v/>
      </c>
      <c r="C186" t="str">
        <f t="shared" si="2"/>
        <v/>
      </c>
      <c r="D186" t="s">
        <v>1469</v>
      </c>
    </row>
    <row r="187" spans="1:4">
      <c r="A187" t="s">
        <v>1468</v>
      </c>
      <c r="B187" t="str">
        <f>IF('02_Warehouse_Locations'!A186="","",'02_Warehouse_Locations'!A186)</f>
        <v/>
      </c>
      <c r="C187" t="str">
        <f t="shared" si="2"/>
        <v/>
      </c>
      <c r="D187" t="s">
        <v>1469</v>
      </c>
    </row>
    <row r="188" spans="1:4">
      <c r="A188" t="s">
        <v>1468</v>
      </c>
      <c r="B188" t="str">
        <f>IF('02_Warehouse_Locations'!A187="","",'02_Warehouse_Locations'!A187)</f>
        <v/>
      </c>
      <c r="C188" t="str">
        <f t="shared" si="2"/>
        <v/>
      </c>
      <c r="D188" t="s">
        <v>1469</v>
      </c>
    </row>
    <row r="189" spans="1:4">
      <c r="A189" t="s">
        <v>1468</v>
      </c>
      <c r="B189" t="str">
        <f>IF('02_Warehouse_Locations'!A188="","",'02_Warehouse_Locations'!A188)</f>
        <v/>
      </c>
      <c r="C189" t="str">
        <f t="shared" si="2"/>
        <v/>
      </c>
      <c r="D189" t="s">
        <v>1469</v>
      </c>
    </row>
    <row r="190" spans="1:4">
      <c r="A190" t="s">
        <v>1468</v>
      </c>
      <c r="B190" t="str">
        <f>IF('02_Warehouse_Locations'!A189="","",'02_Warehouse_Locations'!A189)</f>
        <v/>
      </c>
      <c r="C190" t="str">
        <f t="shared" si="2"/>
        <v/>
      </c>
      <c r="D190" t="s">
        <v>1469</v>
      </c>
    </row>
    <row r="191" spans="1:4">
      <c r="A191" t="s">
        <v>1468</v>
      </c>
      <c r="B191" t="str">
        <f>IF('02_Warehouse_Locations'!A190="","",'02_Warehouse_Locations'!A190)</f>
        <v/>
      </c>
      <c r="C191" t="str">
        <f t="shared" si="2"/>
        <v/>
      </c>
      <c r="D191" t="s">
        <v>1469</v>
      </c>
    </row>
    <row r="192" spans="1:4">
      <c r="A192" t="s">
        <v>1468</v>
      </c>
      <c r="B192" t="str">
        <f>IF('02_Warehouse_Locations'!A191="","",'02_Warehouse_Locations'!A191)</f>
        <v/>
      </c>
      <c r="C192" t="str">
        <f t="shared" si="2"/>
        <v/>
      </c>
      <c r="D192" t="s">
        <v>1469</v>
      </c>
    </row>
    <row r="193" spans="1:4">
      <c r="A193" t="s">
        <v>1468</v>
      </c>
      <c r="B193" t="str">
        <f>IF('02_Warehouse_Locations'!A192="","",'02_Warehouse_Locations'!A192)</f>
        <v/>
      </c>
      <c r="C193" t="str">
        <f t="shared" si="2"/>
        <v/>
      </c>
      <c r="D193" t="s">
        <v>1469</v>
      </c>
    </row>
    <row r="194" spans="1:4">
      <c r="A194" t="s">
        <v>1468</v>
      </c>
      <c r="B194" t="str">
        <f>IF('02_Warehouse_Locations'!A193="","",'02_Warehouse_Locations'!A193)</f>
        <v/>
      </c>
      <c r="C194" t="str">
        <f t="shared" si="2"/>
        <v/>
      </c>
      <c r="D194" t="s">
        <v>1469</v>
      </c>
    </row>
    <row r="195" spans="1:4">
      <c r="A195" t="s">
        <v>1468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1469</v>
      </c>
    </row>
    <row r="196" spans="1:4">
      <c r="A196" t="s">
        <v>1468</v>
      </c>
      <c r="B196" t="str">
        <f>IF('02_Warehouse_Locations'!A195="","",'02_Warehouse_Locations'!A195)</f>
        <v/>
      </c>
      <c r="C196" t="str">
        <f t="shared" si="3"/>
        <v/>
      </c>
      <c r="D196" t="s">
        <v>1469</v>
      </c>
    </row>
    <row r="197" spans="1:4">
      <c r="A197" t="s">
        <v>1468</v>
      </c>
      <c r="B197" t="str">
        <f>IF('02_Warehouse_Locations'!A196="","",'02_Warehouse_Locations'!A196)</f>
        <v/>
      </c>
      <c r="C197" t="str">
        <f t="shared" si="3"/>
        <v/>
      </c>
      <c r="D197" t="s">
        <v>1469</v>
      </c>
    </row>
    <row r="198" spans="1:4">
      <c r="A198" t="s">
        <v>1468</v>
      </c>
      <c r="B198" t="str">
        <f>IF('02_Warehouse_Locations'!A197="","",'02_Warehouse_Locations'!A197)</f>
        <v/>
      </c>
      <c r="C198" t="str">
        <f t="shared" si="3"/>
        <v/>
      </c>
      <c r="D198" t="s">
        <v>1469</v>
      </c>
    </row>
    <row r="199" spans="1:4">
      <c r="A199" t="s">
        <v>1468</v>
      </c>
      <c r="B199" t="str">
        <f>IF('02_Warehouse_Locations'!A198="","",'02_Warehouse_Locations'!A198)</f>
        <v/>
      </c>
      <c r="C199" t="str">
        <f t="shared" si="3"/>
        <v/>
      </c>
      <c r="D199" t="s">
        <v>1469</v>
      </c>
    </row>
    <row r="200" spans="1:4">
      <c r="A200" t="s">
        <v>1468</v>
      </c>
      <c r="B200" t="str">
        <f>IF('02_Warehouse_Locations'!A199="","",'02_Warehouse_Locations'!A199)</f>
        <v/>
      </c>
      <c r="C200" t="str">
        <f t="shared" si="3"/>
        <v/>
      </c>
      <c r="D200" t="s">
        <v>1469</v>
      </c>
    </row>
    <row r="201" spans="1:4">
      <c r="A201" t="s">
        <v>1468</v>
      </c>
      <c r="B201" t="str">
        <f>IF('02_Warehouse_Locations'!A200="","",'02_Warehouse_Locations'!A200)</f>
        <v/>
      </c>
      <c r="C201" t="str">
        <f t="shared" si="3"/>
        <v/>
      </c>
      <c r="D201" t="s">
        <v>1469</v>
      </c>
    </row>
    <row r="202" spans="1:4">
      <c r="A202" t="s">
        <v>1468</v>
      </c>
      <c r="B202" t="str">
        <f>IF('02_Warehouse_Locations'!A201="","",'02_Warehouse_Locations'!A201)</f>
        <v/>
      </c>
      <c r="C202" t="str">
        <f t="shared" si="3"/>
        <v/>
      </c>
      <c r="D202" t="s">
        <v>1469</v>
      </c>
    </row>
    <row r="203" spans="1:4">
      <c r="A203" t="s">
        <v>1468</v>
      </c>
      <c r="B203" t="str">
        <f>IF('02_Warehouse_Locations'!A202="","",'02_Warehouse_Locations'!A202)</f>
        <v/>
      </c>
      <c r="C203" t="str">
        <f t="shared" si="3"/>
        <v/>
      </c>
      <c r="D203" t="s">
        <v>1469</v>
      </c>
    </row>
    <row r="204" spans="1:4">
      <c r="A204" t="s">
        <v>1468</v>
      </c>
      <c r="B204" t="str">
        <f>IF('02_Warehouse_Locations'!A203="","",'02_Warehouse_Locations'!A203)</f>
        <v/>
      </c>
      <c r="C204" t="str">
        <f t="shared" si="3"/>
        <v/>
      </c>
      <c r="D204" t="s">
        <v>1469</v>
      </c>
    </row>
    <row r="205" spans="1:4">
      <c r="A205" t="s">
        <v>1468</v>
      </c>
      <c r="B205" t="str">
        <f>IF('02_Warehouse_Locations'!A204="","",'02_Warehouse_Locations'!A204)</f>
        <v/>
      </c>
      <c r="C205" t="str">
        <f t="shared" si="3"/>
        <v/>
      </c>
      <c r="D205" t="s">
        <v>1469</v>
      </c>
    </row>
    <row r="206" spans="1:4">
      <c r="A206" t="s">
        <v>1468</v>
      </c>
      <c r="B206" t="str">
        <f>IF('02_Warehouse_Locations'!A205="","",'02_Warehouse_Locations'!A205)</f>
        <v/>
      </c>
      <c r="C206" t="str">
        <f t="shared" si="3"/>
        <v/>
      </c>
      <c r="D206" t="s">
        <v>1469</v>
      </c>
    </row>
    <row r="207" spans="1:4">
      <c r="A207" t="s">
        <v>1468</v>
      </c>
      <c r="B207" t="str">
        <f>IF('02_Warehouse_Locations'!A206="","",'02_Warehouse_Locations'!A206)</f>
        <v/>
      </c>
      <c r="C207" t="str">
        <f t="shared" si="3"/>
        <v/>
      </c>
      <c r="D207" t="s">
        <v>1469</v>
      </c>
    </row>
    <row r="208" spans="1:4">
      <c r="A208" t="s">
        <v>1468</v>
      </c>
      <c r="B208" t="str">
        <f>IF('02_Warehouse_Locations'!A207="","",'02_Warehouse_Locations'!A207)</f>
        <v/>
      </c>
      <c r="C208" t="str">
        <f t="shared" si="3"/>
        <v/>
      </c>
      <c r="D208" t="s">
        <v>1469</v>
      </c>
    </row>
    <row r="209" spans="1:4">
      <c r="A209" t="s">
        <v>1468</v>
      </c>
      <c r="B209" t="str">
        <f>IF('02_Warehouse_Locations'!A208="","",'02_Warehouse_Locations'!A208)</f>
        <v/>
      </c>
      <c r="C209" t="str">
        <f t="shared" si="3"/>
        <v/>
      </c>
      <c r="D209" t="s">
        <v>1469</v>
      </c>
    </row>
    <row r="210" spans="1:4">
      <c r="A210" t="s">
        <v>1468</v>
      </c>
      <c r="B210" t="str">
        <f>IF('02_Warehouse_Locations'!A209="","",'02_Warehouse_Locations'!A209)</f>
        <v/>
      </c>
      <c r="C210" t="str">
        <f t="shared" si="3"/>
        <v/>
      </c>
      <c r="D210" t="s">
        <v>1469</v>
      </c>
    </row>
    <row r="211" spans="1:4">
      <c r="A211" t="s">
        <v>1468</v>
      </c>
      <c r="B211" t="str">
        <f>IF('02_Warehouse_Locations'!A210="","",'02_Warehouse_Locations'!A210)</f>
        <v/>
      </c>
      <c r="C211" t="str">
        <f t="shared" si="3"/>
        <v/>
      </c>
      <c r="D211" t="s">
        <v>1469</v>
      </c>
    </row>
    <row r="212" spans="1:4">
      <c r="A212" t="s">
        <v>1468</v>
      </c>
      <c r="B212" t="str">
        <f>IF('02_Warehouse_Locations'!A211="","",'02_Warehouse_Locations'!A211)</f>
        <v/>
      </c>
      <c r="C212" t="str">
        <f t="shared" si="3"/>
        <v/>
      </c>
      <c r="D212" t="s">
        <v>1469</v>
      </c>
    </row>
    <row r="213" spans="1:4">
      <c r="A213" t="s">
        <v>1468</v>
      </c>
      <c r="B213" t="str">
        <f>IF('02_Warehouse_Locations'!A212="","",'02_Warehouse_Locations'!A212)</f>
        <v/>
      </c>
      <c r="C213" t="str">
        <f t="shared" si="3"/>
        <v/>
      </c>
      <c r="D213" t="s">
        <v>1469</v>
      </c>
    </row>
    <row r="214" spans="1:4">
      <c r="A214" t="s">
        <v>1468</v>
      </c>
      <c r="B214" t="str">
        <f>IF('02_Warehouse_Locations'!A213="","",'02_Warehouse_Locations'!A213)</f>
        <v/>
      </c>
      <c r="C214" t="str">
        <f t="shared" si="3"/>
        <v/>
      </c>
      <c r="D214" t="s">
        <v>1469</v>
      </c>
    </row>
    <row r="215" spans="1:4">
      <c r="A215" t="s">
        <v>1468</v>
      </c>
      <c r="B215" t="str">
        <f>IF('02_Warehouse_Locations'!A214="","",'02_Warehouse_Locations'!A214)</f>
        <v/>
      </c>
      <c r="C215" t="str">
        <f t="shared" si="3"/>
        <v/>
      </c>
      <c r="D215" t="s">
        <v>1469</v>
      </c>
    </row>
    <row r="216" spans="1:4">
      <c r="A216" t="s">
        <v>1468</v>
      </c>
      <c r="B216" t="str">
        <f>IF('02_Warehouse_Locations'!A215="","",'02_Warehouse_Locations'!A215)</f>
        <v/>
      </c>
      <c r="C216" t="str">
        <f t="shared" si="3"/>
        <v/>
      </c>
      <c r="D216" t="s">
        <v>1469</v>
      </c>
    </row>
    <row r="217" spans="1:4">
      <c r="A217" t="s">
        <v>1468</v>
      </c>
      <c r="B217" t="str">
        <f>IF('02_Warehouse_Locations'!A216="","",'02_Warehouse_Locations'!A216)</f>
        <v/>
      </c>
      <c r="C217" t="str">
        <f t="shared" si="3"/>
        <v/>
      </c>
      <c r="D217" t="s">
        <v>1469</v>
      </c>
    </row>
    <row r="218" spans="1:4">
      <c r="A218" t="s">
        <v>1468</v>
      </c>
      <c r="B218" t="str">
        <f>IF('02_Warehouse_Locations'!A217="","",'02_Warehouse_Locations'!A217)</f>
        <v/>
      </c>
      <c r="C218" t="str">
        <f t="shared" si="3"/>
        <v/>
      </c>
      <c r="D218" t="s">
        <v>1469</v>
      </c>
    </row>
    <row r="219" spans="1:4">
      <c r="A219" t="s">
        <v>1468</v>
      </c>
      <c r="B219" t="str">
        <f>IF('02_Warehouse_Locations'!A218="","",'02_Warehouse_Locations'!A218)</f>
        <v/>
      </c>
      <c r="C219" t="str">
        <f t="shared" si="3"/>
        <v/>
      </c>
      <c r="D219" t="s">
        <v>1469</v>
      </c>
    </row>
    <row r="220" spans="1:4">
      <c r="A220" t="s">
        <v>1468</v>
      </c>
      <c r="B220" t="str">
        <f>IF('02_Warehouse_Locations'!A219="","",'02_Warehouse_Locations'!A219)</f>
        <v/>
      </c>
      <c r="C220" t="str">
        <f t="shared" si="3"/>
        <v/>
      </c>
      <c r="D220" t="s">
        <v>1469</v>
      </c>
    </row>
    <row r="221" spans="1:4">
      <c r="A221" t="s">
        <v>1468</v>
      </c>
      <c r="B221" t="str">
        <f>IF('02_Warehouse_Locations'!A220="","",'02_Warehouse_Locations'!A220)</f>
        <v/>
      </c>
      <c r="C221" t="str">
        <f t="shared" si="3"/>
        <v/>
      </c>
      <c r="D221" t="s">
        <v>1469</v>
      </c>
    </row>
    <row r="222" spans="1:4">
      <c r="A222" t="s">
        <v>1468</v>
      </c>
      <c r="B222" t="str">
        <f>IF('02_Warehouse_Locations'!A221="","",'02_Warehouse_Locations'!A221)</f>
        <v/>
      </c>
      <c r="C222" t="str">
        <f t="shared" si="3"/>
        <v/>
      </c>
      <c r="D222" t="s">
        <v>1469</v>
      </c>
    </row>
    <row r="223" spans="1:4">
      <c r="A223" t="s">
        <v>1468</v>
      </c>
      <c r="B223" t="str">
        <f>IF('02_Warehouse_Locations'!A222="","",'02_Warehouse_Locations'!A222)</f>
        <v/>
      </c>
      <c r="C223" t="str">
        <f t="shared" si="3"/>
        <v/>
      </c>
      <c r="D223" t="s">
        <v>1469</v>
      </c>
    </row>
    <row r="224" spans="1:4">
      <c r="A224" t="s">
        <v>1468</v>
      </c>
      <c r="B224" t="str">
        <f>IF('02_Warehouse_Locations'!A223="","",'02_Warehouse_Locations'!A223)</f>
        <v/>
      </c>
      <c r="C224" t="str">
        <f t="shared" si="3"/>
        <v/>
      </c>
      <c r="D224" t="s">
        <v>1469</v>
      </c>
    </row>
    <row r="225" spans="1:4">
      <c r="A225" t="s">
        <v>1468</v>
      </c>
      <c r="B225" t="str">
        <f>IF('02_Warehouse_Locations'!A224="","",'02_Warehouse_Locations'!A224)</f>
        <v/>
      </c>
      <c r="C225" t="str">
        <f t="shared" si="3"/>
        <v/>
      </c>
      <c r="D225" t="s">
        <v>1469</v>
      </c>
    </row>
    <row r="226" spans="1:4">
      <c r="A226" t="s">
        <v>1468</v>
      </c>
      <c r="B226" t="str">
        <f>IF('02_Warehouse_Locations'!A225="","",'02_Warehouse_Locations'!A225)</f>
        <v/>
      </c>
      <c r="C226" t="str">
        <f t="shared" si="3"/>
        <v/>
      </c>
      <c r="D226" t="s">
        <v>1469</v>
      </c>
    </row>
    <row r="227" spans="1:4">
      <c r="A227" t="s">
        <v>1468</v>
      </c>
      <c r="B227" t="str">
        <f>IF('02_Warehouse_Locations'!A226="","",'02_Warehouse_Locations'!A226)</f>
        <v/>
      </c>
      <c r="C227" t="str">
        <f t="shared" si="3"/>
        <v/>
      </c>
      <c r="D227" t="s">
        <v>1469</v>
      </c>
    </row>
    <row r="228" spans="1:4">
      <c r="A228" t="s">
        <v>1468</v>
      </c>
      <c r="B228" t="str">
        <f>IF('02_Warehouse_Locations'!A227="","",'02_Warehouse_Locations'!A227)</f>
        <v/>
      </c>
      <c r="C228" t="str">
        <f t="shared" si="3"/>
        <v/>
      </c>
      <c r="D228" t="s">
        <v>1469</v>
      </c>
    </row>
    <row r="229" spans="1:4">
      <c r="A229" t="s">
        <v>1468</v>
      </c>
      <c r="B229" t="str">
        <f>IF('02_Warehouse_Locations'!A228="","",'02_Warehouse_Locations'!A228)</f>
        <v/>
      </c>
      <c r="C229" t="str">
        <f t="shared" si="3"/>
        <v/>
      </c>
      <c r="D229" t="s">
        <v>1469</v>
      </c>
    </row>
    <row r="230" spans="1:4">
      <c r="A230" t="s">
        <v>1468</v>
      </c>
      <c r="B230" t="str">
        <f>IF('02_Warehouse_Locations'!A229="","",'02_Warehouse_Locations'!A229)</f>
        <v/>
      </c>
      <c r="C230" t="str">
        <f t="shared" si="3"/>
        <v/>
      </c>
      <c r="D230" t="s">
        <v>1469</v>
      </c>
    </row>
    <row r="231" spans="1:4">
      <c r="A231" t="s">
        <v>1468</v>
      </c>
      <c r="B231" t="str">
        <f>IF('02_Warehouse_Locations'!A230="","",'02_Warehouse_Locations'!A230)</f>
        <v/>
      </c>
      <c r="C231" t="str">
        <f t="shared" si="3"/>
        <v/>
      </c>
      <c r="D231" t="s">
        <v>1469</v>
      </c>
    </row>
    <row r="232" spans="1:4">
      <c r="A232" t="s">
        <v>1468</v>
      </c>
      <c r="B232" t="str">
        <f>IF('02_Warehouse_Locations'!A231="","",'02_Warehouse_Locations'!A231)</f>
        <v/>
      </c>
      <c r="C232" t="str">
        <f t="shared" si="3"/>
        <v/>
      </c>
      <c r="D232" t="s">
        <v>1469</v>
      </c>
    </row>
    <row r="233" spans="1:4">
      <c r="A233" t="s">
        <v>1468</v>
      </c>
      <c r="B233" t="str">
        <f>IF('02_Warehouse_Locations'!A232="","",'02_Warehouse_Locations'!A232)</f>
        <v/>
      </c>
      <c r="C233" t="str">
        <f t="shared" si="3"/>
        <v/>
      </c>
      <c r="D233" t="s">
        <v>1469</v>
      </c>
    </row>
    <row r="234" spans="1:4">
      <c r="A234" t="s">
        <v>1468</v>
      </c>
      <c r="B234" t="str">
        <f>IF('02_Warehouse_Locations'!A233="","",'02_Warehouse_Locations'!A233)</f>
        <v/>
      </c>
      <c r="C234" t="str">
        <f t="shared" si="3"/>
        <v/>
      </c>
      <c r="D234" t="s">
        <v>1469</v>
      </c>
    </row>
    <row r="235" spans="1:4">
      <c r="A235" t="s">
        <v>1468</v>
      </c>
      <c r="B235" t="str">
        <f>IF('02_Warehouse_Locations'!A234="","",'02_Warehouse_Locations'!A234)</f>
        <v/>
      </c>
      <c r="C235" t="str">
        <f t="shared" si="3"/>
        <v/>
      </c>
      <c r="D235" t="s">
        <v>1469</v>
      </c>
    </row>
    <row r="236" spans="1:4">
      <c r="A236" t="s">
        <v>1468</v>
      </c>
      <c r="B236" t="str">
        <f>IF('02_Warehouse_Locations'!A235="","",'02_Warehouse_Locations'!A235)</f>
        <v/>
      </c>
      <c r="C236" t="str">
        <f t="shared" si="3"/>
        <v/>
      </c>
      <c r="D236" t="s">
        <v>1469</v>
      </c>
    </row>
    <row r="237" spans="1:4">
      <c r="A237" t="s">
        <v>1468</v>
      </c>
      <c r="B237" t="str">
        <f>IF('02_Warehouse_Locations'!A236="","",'02_Warehouse_Locations'!A236)</f>
        <v/>
      </c>
      <c r="C237" t="str">
        <f t="shared" si="3"/>
        <v/>
      </c>
      <c r="D237" t="s">
        <v>1469</v>
      </c>
    </row>
    <row r="238" spans="1:4">
      <c r="A238" t="s">
        <v>1468</v>
      </c>
      <c r="B238" t="str">
        <f>IF('02_Warehouse_Locations'!A237="","",'02_Warehouse_Locations'!A237)</f>
        <v/>
      </c>
      <c r="C238" t="str">
        <f t="shared" si="3"/>
        <v/>
      </c>
      <c r="D238" t="s">
        <v>1469</v>
      </c>
    </row>
    <row r="239" spans="1:4">
      <c r="A239" t="s">
        <v>1468</v>
      </c>
      <c r="B239" t="str">
        <f>IF('02_Warehouse_Locations'!A238="","",'02_Warehouse_Locations'!A238)</f>
        <v/>
      </c>
      <c r="C239" t="str">
        <f t="shared" si="3"/>
        <v/>
      </c>
      <c r="D239" t="s">
        <v>1469</v>
      </c>
    </row>
    <row r="240" spans="1:4">
      <c r="A240" t="s">
        <v>1468</v>
      </c>
      <c r="B240" t="str">
        <f>IF('02_Warehouse_Locations'!A239="","",'02_Warehouse_Locations'!A239)</f>
        <v/>
      </c>
      <c r="C240" t="str">
        <f t="shared" si="3"/>
        <v/>
      </c>
      <c r="D240" t="s">
        <v>1469</v>
      </c>
    </row>
    <row r="241" spans="1:4">
      <c r="A241" t="s">
        <v>1468</v>
      </c>
      <c r="B241" t="str">
        <f>IF('02_Warehouse_Locations'!A240="","",'02_Warehouse_Locations'!A240)</f>
        <v/>
      </c>
      <c r="C241" t="str">
        <f t="shared" si="3"/>
        <v/>
      </c>
      <c r="D241" t="s">
        <v>1469</v>
      </c>
    </row>
    <row r="242" spans="1:4">
      <c r="A242" t="s">
        <v>1468</v>
      </c>
      <c r="B242" t="str">
        <f>IF('02_Warehouse_Locations'!A241="","",'02_Warehouse_Locations'!A241)</f>
        <v/>
      </c>
      <c r="C242" t="str">
        <f t="shared" si="3"/>
        <v/>
      </c>
      <c r="D242" t="s">
        <v>1469</v>
      </c>
    </row>
    <row r="243" spans="1:4">
      <c r="A243" t="s">
        <v>1468</v>
      </c>
      <c r="B243" t="str">
        <f>IF('02_Warehouse_Locations'!A242="","",'02_Warehouse_Locations'!A242)</f>
        <v/>
      </c>
      <c r="C243" t="str">
        <f t="shared" si="3"/>
        <v/>
      </c>
      <c r="D243" t="s">
        <v>1469</v>
      </c>
    </row>
    <row r="244" spans="1:4">
      <c r="A244" t="s">
        <v>1468</v>
      </c>
      <c r="B244" t="str">
        <f>IF('02_Warehouse_Locations'!A243="","",'02_Warehouse_Locations'!A243)</f>
        <v/>
      </c>
      <c r="C244" t="str">
        <f t="shared" si="3"/>
        <v/>
      </c>
      <c r="D244" t="s">
        <v>1469</v>
      </c>
    </row>
    <row r="245" spans="1:4">
      <c r="A245" t="s">
        <v>1468</v>
      </c>
      <c r="B245" t="str">
        <f>IF('02_Warehouse_Locations'!A244="","",'02_Warehouse_Locations'!A244)</f>
        <v/>
      </c>
      <c r="C245" t="str">
        <f t="shared" si="3"/>
        <v/>
      </c>
      <c r="D245" t="s">
        <v>1469</v>
      </c>
    </row>
    <row r="246" spans="1:4">
      <c r="A246" t="s">
        <v>1468</v>
      </c>
      <c r="B246" t="str">
        <f>IF('02_Warehouse_Locations'!A245="","",'02_Warehouse_Locations'!A245)</f>
        <v/>
      </c>
      <c r="C246" t="str">
        <f t="shared" si="3"/>
        <v/>
      </c>
      <c r="D246" t="s">
        <v>1469</v>
      </c>
    </row>
    <row r="247" spans="1:4">
      <c r="A247" t="s">
        <v>1468</v>
      </c>
      <c r="B247" t="str">
        <f>IF('02_Warehouse_Locations'!A246="","",'02_Warehouse_Locations'!A246)</f>
        <v/>
      </c>
      <c r="C247" t="str">
        <f t="shared" si="3"/>
        <v/>
      </c>
      <c r="D247" t="s">
        <v>1469</v>
      </c>
    </row>
    <row r="248" spans="1:4">
      <c r="A248" t="s">
        <v>1468</v>
      </c>
      <c r="B248" t="str">
        <f>IF('02_Warehouse_Locations'!A247="","",'02_Warehouse_Locations'!A247)</f>
        <v/>
      </c>
      <c r="C248" t="str">
        <f t="shared" si="3"/>
        <v/>
      </c>
      <c r="D248" t="s">
        <v>1469</v>
      </c>
    </row>
    <row r="249" spans="1:4">
      <c r="A249" t="s">
        <v>1468</v>
      </c>
      <c r="B249" t="str">
        <f>IF('02_Warehouse_Locations'!A248="","",'02_Warehouse_Locations'!A248)</f>
        <v/>
      </c>
      <c r="C249" t="str">
        <f t="shared" si="3"/>
        <v/>
      </c>
      <c r="D249" t="s">
        <v>1469</v>
      </c>
    </row>
    <row r="250" spans="1:4">
      <c r="A250" t="s">
        <v>1468</v>
      </c>
      <c r="B250" t="str">
        <f>IF('02_Warehouse_Locations'!A249="","",'02_Warehouse_Locations'!A249)</f>
        <v/>
      </c>
      <c r="C250" t="str">
        <f t="shared" si="3"/>
        <v/>
      </c>
      <c r="D250" t="s">
        <v>1469</v>
      </c>
    </row>
    <row r="251" spans="1:4">
      <c r="A251" t="s">
        <v>1468</v>
      </c>
      <c r="B251" t="str">
        <f>IF('02_Warehouse_Locations'!A250="","",'02_Warehouse_Locations'!A250)</f>
        <v/>
      </c>
      <c r="C251" t="str">
        <f t="shared" si="3"/>
        <v/>
      </c>
      <c r="D251" t="s">
        <v>1469</v>
      </c>
    </row>
    <row r="252" spans="1:4">
      <c r="A252" t="s">
        <v>1468</v>
      </c>
      <c r="B252" t="str">
        <f>IF('02_Warehouse_Locations'!A251="","",'02_Warehouse_Locations'!A251)</f>
        <v/>
      </c>
      <c r="C252" t="str">
        <f t="shared" si="3"/>
        <v/>
      </c>
      <c r="D252" t="s">
        <v>1469</v>
      </c>
    </row>
    <row r="253" spans="1:4">
      <c r="A253" t="s">
        <v>1468</v>
      </c>
      <c r="B253" t="str">
        <f>IF('02_Warehouse_Locations'!A252="","",'02_Warehouse_Locations'!A252)</f>
        <v/>
      </c>
      <c r="C253" t="str">
        <f t="shared" si="3"/>
        <v/>
      </c>
      <c r="D253" t="s">
        <v>1469</v>
      </c>
    </row>
    <row r="254" spans="1:4">
      <c r="A254" t="s">
        <v>1468</v>
      </c>
      <c r="B254" t="str">
        <f>IF('02_Warehouse_Locations'!A253="","",'02_Warehouse_Locations'!A253)</f>
        <v/>
      </c>
      <c r="C254" t="str">
        <f t="shared" si="3"/>
        <v/>
      </c>
      <c r="D254" t="s">
        <v>1469</v>
      </c>
    </row>
    <row r="255" spans="1:4">
      <c r="A255" t="s">
        <v>1468</v>
      </c>
      <c r="B255" t="str">
        <f>IF('02_Warehouse_Locations'!A254="","",'02_Warehouse_Locations'!A254)</f>
        <v/>
      </c>
      <c r="C255" t="str">
        <f t="shared" si="3"/>
        <v/>
      </c>
      <c r="D255" t="s">
        <v>1469</v>
      </c>
    </row>
    <row r="256" spans="1:4">
      <c r="A256" t="s">
        <v>1468</v>
      </c>
      <c r="B256" t="str">
        <f>IF('02_Warehouse_Locations'!A255="","",'02_Warehouse_Locations'!A255)</f>
        <v/>
      </c>
      <c r="C256" t="str">
        <f t="shared" si="3"/>
        <v/>
      </c>
      <c r="D256" t="s">
        <v>1469</v>
      </c>
    </row>
    <row r="257" spans="1:4">
      <c r="A257" t="s">
        <v>1468</v>
      </c>
      <c r="B257" t="str">
        <f>IF('02_Warehouse_Locations'!A256="","",'02_Warehouse_Locations'!A256)</f>
        <v/>
      </c>
      <c r="C257" t="str">
        <f t="shared" si="3"/>
        <v/>
      </c>
      <c r="D257" t="s">
        <v>1469</v>
      </c>
    </row>
    <row r="258" spans="1:4">
      <c r="A258" t="s">
        <v>1468</v>
      </c>
      <c r="B258" t="str">
        <f>IF('02_Warehouse_Locations'!A257="","",'02_Warehouse_Locations'!A257)</f>
        <v/>
      </c>
      <c r="C258" t="str">
        <f t="shared" si="3"/>
        <v/>
      </c>
      <c r="D258" t="s">
        <v>1469</v>
      </c>
    </row>
    <row r="259" spans="1:4">
      <c r="A259" t="s">
        <v>1468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1469</v>
      </c>
    </row>
    <row r="260" spans="1:4">
      <c r="A260" t="s">
        <v>1468</v>
      </c>
      <c r="B260" t="str">
        <f>IF('02_Warehouse_Locations'!A259="","",'02_Warehouse_Locations'!A259)</f>
        <v/>
      </c>
      <c r="C260" t="str">
        <f t="shared" si="4"/>
        <v/>
      </c>
      <c r="D260" t="s">
        <v>1469</v>
      </c>
    </row>
    <row r="261" spans="1:4">
      <c r="A261" t="s">
        <v>1468</v>
      </c>
      <c r="B261" t="str">
        <f>IF('02_Warehouse_Locations'!A260="","",'02_Warehouse_Locations'!A260)</f>
        <v/>
      </c>
      <c r="C261" t="str">
        <f t="shared" si="4"/>
        <v/>
      </c>
      <c r="D261" t="s">
        <v>1469</v>
      </c>
    </row>
    <row r="262" spans="1:4">
      <c r="A262" t="s">
        <v>1468</v>
      </c>
      <c r="B262" t="str">
        <f>IF('02_Warehouse_Locations'!A261="","",'02_Warehouse_Locations'!A261)</f>
        <v/>
      </c>
      <c r="C262" t="str">
        <f t="shared" si="4"/>
        <v/>
      </c>
      <c r="D262" t="s">
        <v>1469</v>
      </c>
    </row>
    <row r="263" spans="1:4">
      <c r="A263" t="s">
        <v>1468</v>
      </c>
      <c r="B263" t="str">
        <f>IF('02_Warehouse_Locations'!A262="","",'02_Warehouse_Locations'!A262)</f>
        <v/>
      </c>
      <c r="C263" t="str">
        <f t="shared" si="4"/>
        <v/>
      </c>
      <c r="D263" t="s">
        <v>1469</v>
      </c>
    </row>
    <row r="264" spans="1:4">
      <c r="A264" t="s">
        <v>1468</v>
      </c>
      <c r="B264" t="str">
        <f>IF('02_Warehouse_Locations'!A263="","",'02_Warehouse_Locations'!A263)</f>
        <v/>
      </c>
      <c r="C264" t="str">
        <f t="shared" si="4"/>
        <v/>
      </c>
      <c r="D264" t="s">
        <v>1469</v>
      </c>
    </row>
    <row r="265" spans="1:4">
      <c r="A265" t="s">
        <v>1468</v>
      </c>
      <c r="B265" t="str">
        <f>IF('02_Warehouse_Locations'!A264="","",'02_Warehouse_Locations'!A264)</f>
        <v/>
      </c>
      <c r="C265" t="str">
        <f t="shared" si="4"/>
        <v/>
      </c>
      <c r="D265" t="s">
        <v>1469</v>
      </c>
    </row>
    <row r="266" spans="1:4">
      <c r="A266" t="s">
        <v>1468</v>
      </c>
      <c r="B266" t="str">
        <f>IF('02_Warehouse_Locations'!A265="","",'02_Warehouse_Locations'!A265)</f>
        <v/>
      </c>
      <c r="C266" t="str">
        <f t="shared" si="4"/>
        <v/>
      </c>
      <c r="D266" t="s">
        <v>1469</v>
      </c>
    </row>
    <row r="267" spans="1:4">
      <c r="A267" t="s">
        <v>1468</v>
      </c>
      <c r="B267" t="str">
        <f>IF('02_Warehouse_Locations'!A266="","",'02_Warehouse_Locations'!A266)</f>
        <v/>
      </c>
      <c r="C267" t="str">
        <f t="shared" si="4"/>
        <v/>
      </c>
      <c r="D267" t="s">
        <v>1469</v>
      </c>
    </row>
    <row r="268" spans="1:4">
      <c r="A268" t="s">
        <v>1468</v>
      </c>
      <c r="B268" t="str">
        <f>IF('02_Warehouse_Locations'!A267="","",'02_Warehouse_Locations'!A267)</f>
        <v/>
      </c>
      <c r="C268" t="str">
        <f t="shared" si="4"/>
        <v/>
      </c>
      <c r="D268" t="s">
        <v>1469</v>
      </c>
    </row>
    <row r="269" spans="1:4">
      <c r="A269" t="s">
        <v>1468</v>
      </c>
      <c r="B269" t="str">
        <f>IF('02_Warehouse_Locations'!A268="","",'02_Warehouse_Locations'!A268)</f>
        <v/>
      </c>
      <c r="C269" t="str">
        <f t="shared" si="4"/>
        <v/>
      </c>
      <c r="D269" t="s">
        <v>1469</v>
      </c>
    </row>
    <row r="270" spans="1:4">
      <c r="A270" t="s">
        <v>1468</v>
      </c>
      <c r="B270" t="str">
        <f>IF('02_Warehouse_Locations'!A269="","",'02_Warehouse_Locations'!A269)</f>
        <v/>
      </c>
      <c r="C270" t="str">
        <f t="shared" si="4"/>
        <v/>
      </c>
      <c r="D270" t="s">
        <v>1469</v>
      </c>
    </row>
    <row r="271" spans="1:4">
      <c r="A271" t="s">
        <v>1468</v>
      </c>
      <c r="B271" t="str">
        <f>IF('02_Warehouse_Locations'!A270="","",'02_Warehouse_Locations'!A270)</f>
        <v/>
      </c>
      <c r="C271" t="str">
        <f t="shared" si="4"/>
        <v/>
      </c>
      <c r="D271" t="s">
        <v>1469</v>
      </c>
    </row>
    <row r="272" spans="1:4">
      <c r="A272" t="s">
        <v>1468</v>
      </c>
      <c r="B272" t="str">
        <f>IF('02_Warehouse_Locations'!A271="","",'02_Warehouse_Locations'!A271)</f>
        <v/>
      </c>
      <c r="C272" t="str">
        <f t="shared" si="4"/>
        <v/>
      </c>
      <c r="D272" t="s">
        <v>1469</v>
      </c>
    </row>
    <row r="273" spans="1:4">
      <c r="A273" t="s">
        <v>1468</v>
      </c>
      <c r="B273" t="str">
        <f>IF('02_Warehouse_Locations'!A272="","",'02_Warehouse_Locations'!A272)</f>
        <v/>
      </c>
      <c r="C273" t="str">
        <f t="shared" si="4"/>
        <v/>
      </c>
      <c r="D273" t="s">
        <v>1469</v>
      </c>
    </row>
    <row r="274" spans="1:4">
      <c r="A274" t="s">
        <v>1468</v>
      </c>
      <c r="B274" t="str">
        <f>IF('02_Warehouse_Locations'!A273="","",'02_Warehouse_Locations'!A273)</f>
        <v/>
      </c>
      <c r="C274" t="str">
        <f t="shared" si="4"/>
        <v/>
      </c>
      <c r="D274" t="s">
        <v>1469</v>
      </c>
    </row>
    <row r="275" spans="1:4">
      <c r="A275" t="s">
        <v>1468</v>
      </c>
      <c r="B275" t="str">
        <f>IF('02_Warehouse_Locations'!A274="","",'02_Warehouse_Locations'!A274)</f>
        <v/>
      </c>
      <c r="C275" t="str">
        <f t="shared" si="4"/>
        <v/>
      </c>
      <c r="D275" t="s">
        <v>1469</v>
      </c>
    </row>
    <row r="276" spans="1:4">
      <c r="A276" t="s">
        <v>1468</v>
      </c>
      <c r="B276" t="str">
        <f>IF('02_Warehouse_Locations'!A275="","",'02_Warehouse_Locations'!A275)</f>
        <v/>
      </c>
      <c r="C276" t="str">
        <f t="shared" si="4"/>
        <v/>
      </c>
      <c r="D276" t="s">
        <v>1469</v>
      </c>
    </row>
    <row r="277" spans="1:4">
      <c r="A277" t="s">
        <v>1468</v>
      </c>
      <c r="B277" t="str">
        <f>IF('02_Warehouse_Locations'!A276="","",'02_Warehouse_Locations'!A276)</f>
        <v/>
      </c>
      <c r="C277" t="str">
        <f t="shared" si="4"/>
        <v/>
      </c>
      <c r="D277" t="s">
        <v>1469</v>
      </c>
    </row>
    <row r="278" spans="1:4">
      <c r="A278" t="s">
        <v>1468</v>
      </c>
      <c r="B278" t="str">
        <f>IF('02_Warehouse_Locations'!A277="","",'02_Warehouse_Locations'!A277)</f>
        <v/>
      </c>
      <c r="C278" t="str">
        <f t="shared" si="4"/>
        <v/>
      </c>
      <c r="D278" t="s">
        <v>1469</v>
      </c>
    </row>
    <row r="279" spans="1:4">
      <c r="A279" t="s">
        <v>1468</v>
      </c>
      <c r="B279" t="str">
        <f>IF('02_Warehouse_Locations'!A278="","",'02_Warehouse_Locations'!A278)</f>
        <v/>
      </c>
      <c r="C279" t="str">
        <f t="shared" si="4"/>
        <v/>
      </c>
      <c r="D279" t="s">
        <v>1469</v>
      </c>
    </row>
    <row r="280" spans="1:4">
      <c r="A280" t="s">
        <v>1468</v>
      </c>
      <c r="B280" t="str">
        <f>IF('02_Warehouse_Locations'!A279="","",'02_Warehouse_Locations'!A279)</f>
        <v/>
      </c>
      <c r="C280" t="str">
        <f t="shared" si="4"/>
        <v/>
      </c>
      <c r="D280" t="s">
        <v>1469</v>
      </c>
    </row>
    <row r="281" spans="1:4">
      <c r="A281" t="s">
        <v>1468</v>
      </c>
      <c r="B281" t="str">
        <f>IF('02_Warehouse_Locations'!A280="","",'02_Warehouse_Locations'!A280)</f>
        <v/>
      </c>
      <c r="C281" t="str">
        <f t="shared" si="4"/>
        <v/>
      </c>
      <c r="D281" t="s">
        <v>1469</v>
      </c>
    </row>
    <row r="282" spans="1:4">
      <c r="A282" t="s">
        <v>1468</v>
      </c>
      <c r="B282" t="str">
        <f>IF('02_Warehouse_Locations'!A281="","",'02_Warehouse_Locations'!A281)</f>
        <v/>
      </c>
      <c r="C282" t="str">
        <f t="shared" si="4"/>
        <v/>
      </c>
      <c r="D282" t="s">
        <v>1469</v>
      </c>
    </row>
    <row r="283" spans="1:4">
      <c r="A283" t="s">
        <v>1468</v>
      </c>
      <c r="B283" t="str">
        <f>IF('02_Warehouse_Locations'!A282="","",'02_Warehouse_Locations'!A282)</f>
        <v/>
      </c>
      <c r="C283" t="str">
        <f t="shared" si="4"/>
        <v/>
      </c>
      <c r="D283" t="s">
        <v>1469</v>
      </c>
    </row>
    <row r="284" spans="1:4">
      <c r="A284" t="s">
        <v>1468</v>
      </c>
      <c r="B284" t="str">
        <f>IF('02_Warehouse_Locations'!A283="","",'02_Warehouse_Locations'!A283)</f>
        <v/>
      </c>
      <c r="C284" t="str">
        <f t="shared" si="4"/>
        <v/>
      </c>
      <c r="D284" t="s">
        <v>1469</v>
      </c>
    </row>
    <row r="285" spans="1:4">
      <c r="A285" t="s">
        <v>1468</v>
      </c>
      <c r="B285" t="str">
        <f>IF('02_Warehouse_Locations'!A284="","",'02_Warehouse_Locations'!A284)</f>
        <v/>
      </c>
      <c r="C285" t="str">
        <f t="shared" si="4"/>
        <v/>
      </c>
      <c r="D285" t="s">
        <v>1469</v>
      </c>
    </row>
    <row r="286" spans="1:4">
      <c r="A286" t="s">
        <v>1468</v>
      </c>
      <c r="B286" t="str">
        <f>IF('02_Warehouse_Locations'!A285="","",'02_Warehouse_Locations'!A285)</f>
        <v/>
      </c>
      <c r="C286" t="str">
        <f t="shared" si="4"/>
        <v/>
      </c>
      <c r="D286" t="s">
        <v>1469</v>
      </c>
    </row>
    <row r="287" spans="1:4">
      <c r="A287" t="s">
        <v>1468</v>
      </c>
      <c r="B287" t="str">
        <f>IF('02_Warehouse_Locations'!A286="","",'02_Warehouse_Locations'!A286)</f>
        <v/>
      </c>
      <c r="C287" t="str">
        <f t="shared" si="4"/>
        <v/>
      </c>
      <c r="D287" t="s">
        <v>1469</v>
      </c>
    </row>
    <row r="288" spans="1:4">
      <c r="A288" t="s">
        <v>1468</v>
      </c>
      <c r="B288" t="str">
        <f>IF('02_Warehouse_Locations'!A287="","",'02_Warehouse_Locations'!A287)</f>
        <v/>
      </c>
      <c r="C288" t="str">
        <f t="shared" si="4"/>
        <v/>
      </c>
      <c r="D288" t="s">
        <v>1469</v>
      </c>
    </row>
    <row r="289" spans="1:4">
      <c r="A289" t="s">
        <v>1468</v>
      </c>
      <c r="B289" t="str">
        <f>IF('02_Warehouse_Locations'!A288="","",'02_Warehouse_Locations'!A288)</f>
        <v/>
      </c>
      <c r="C289" t="str">
        <f t="shared" si="4"/>
        <v/>
      </c>
      <c r="D289" t="s">
        <v>1469</v>
      </c>
    </row>
    <row r="290" spans="1:4">
      <c r="A290" t="s">
        <v>1468</v>
      </c>
      <c r="B290" t="str">
        <f>IF('02_Warehouse_Locations'!A289="","",'02_Warehouse_Locations'!A289)</f>
        <v/>
      </c>
      <c r="C290" t="str">
        <f t="shared" si="4"/>
        <v/>
      </c>
      <c r="D290" t="s">
        <v>1469</v>
      </c>
    </row>
    <row r="291" spans="1:4">
      <c r="A291" t="s">
        <v>1468</v>
      </c>
      <c r="B291" t="str">
        <f>IF('02_Warehouse_Locations'!A290="","",'02_Warehouse_Locations'!A290)</f>
        <v/>
      </c>
      <c r="C291" t="str">
        <f t="shared" si="4"/>
        <v/>
      </c>
      <c r="D291" t="s">
        <v>1469</v>
      </c>
    </row>
    <row r="292" spans="1:4">
      <c r="A292" t="s">
        <v>1468</v>
      </c>
      <c r="B292" t="str">
        <f>IF('02_Warehouse_Locations'!A291="","",'02_Warehouse_Locations'!A291)</f>
        <v/>
      </c>
      <c r="C292" t="str">
        <f t="shared" si="4"/>
        <v/>
      </c>
      <c r="D292" t="s">
        <v>1469</v>
      </c>
    </row>
    <row r="293" spans="1:4">
      <c r="A293" t="s">
        <v>1468</v>
      </c>
      <c r="B293" t="str">
        <f>IF('02_Warehouse_Locations'!A292="","",'02_Warehouse_Locations'!A292)</f>
        <v/>
      </c>
      <c r="C293" t="str">
        <f t="shared" si="4"/>
        <v/>
      </c>
      <c r="D293" t="s">
        <v>1469</v>
      </c>
    </row>
    <row r="294" spans="1:4">
      <c r="A294" t="s">
        <v>1468</v>
      </c>
      <c r="B294" t="str">
        <f>IF('02_Warehouse_Locations'!A293="","",'02_Warehouse_Locations'!A293)</f>
        <v/>
      </c>
      <c r="C294" t="str">
        <f t="shared" si="4"/>
        <v/>
      </c>
      <c r="D294" t="s">
        <v>1469</v>
      </c>
    </row>
    <row r="295" spans="1:4">
      <c r="A295" t="s">
        <v>1468</v>
      </c>
      <c r="B295" t="str">
        <f>IF('02_Warehouse_Locations'!A294="","",'02_Warehouse_Locations'!A294)</f>
        <v/>
      </c>
      <c r="C295" t="str">
        <f t="shared" si="4"/>
        <v/>
      </c>
      <c r="D295" t="s">
        <v>1469</v>
      </c>
    </row>
    <row r="296" spans="1:4">
      <c r="A296" t="s">
        <v>1468</v>
      </c>
      <c r="B296" t="str">
        <f>IF('02_Warehouse_Locations'!A295="","",'02_Warehouse_Locations'!A295)</f>
        <v/>
      </c>
      <c r="C296" t="str">
        <f t="shared" si="4"/>
        <v/>
      </c>
      <c r="D296" t="s">
        <v>1469</v>
      </c>
    </row>
    <row r="297" spans="1:4">
      <c r="A297" t="s">
        <v>1468</v>
      </c>
      <c r="B297" t="str">
        <f>IF('02_Warehouse_Locations'!A296="","",'02_Warehouse_Locations'!A296)</f>
        <v/>
      </c>
      <c r="C297" t="str">
        <f t="shared" si="4"/>
        <v/>
      </c>
      <c r="D297" t="s">
        <v>1469</v>
      </c>
    </row>
    <row r="298" spans="1:4">
      <c r="A298" t="s">
        <v>1468</v>
      </c>
      <c r="B298" t="str">
        <f>IF('02_Warehouse_Locations'!A297="","",'02_Warehouse_Locations'!A297)</f>
        <v/>
      </c>
      <c r="C298" t="str">
        <f t="shared" si="4"/>
        <v/>
      </c>
      <c r="D298" t="s">
        <v>1469</v>
      </c>
    </row>
    <row r="299" spans="1:4">
      <c r="A299" t="s">
        <v>1468</v>
      </c>
      <c r="B299" t="str">
        <f>IF('02_Warehouse_Locations'!A298="","",'02_Warehouse_Locations'!A298)</f>
        <v/>
      </c>
      <c r="C299" t="str">
        <f t="shared" si="4"/>
        <v/>
      </c>
      <c r="D299" t="s">
        <v>1469</v>
      </c>
    </row>
    <row r="300" spans="1:4">
      <c r="A300" t="s">
        <v>1468</v>
      </c>
      <c r="B300" t="str">
        <f>IF('02_Warehouse_Locations'!A299="","",'02_Warehouse_Locations'!A299)</f>
        <v/>
      </c>
      <c r="C300" t="str">
        <f t="shared" si="4"/>
        <v/>
      </c>
      <c r="D300" t="s">
        <v>1469</v>
      </c>
    </row>
    <row r="301" spans="1:4">
      <c r="A301" t="s">
        <v>1468</v>
      </c>
      <c r="B301" t="str">
        <f>IF('02_Warehouse_Locations'!A300="","",'02_Warehouse_Locations'!A300)</f>
        <v/>
      </c>
      <c r="C301" t="str">
        <f t="shared" si="4"/>
        <v/>
      </c>
      <c r="D301" t="s">
        <v>1469</v>
      </c>
    </row>
    <row r="302" spans="1:4">
      <c r="A302" t="s">
        <v>1468</v>
      </c>
      <c r="B302" t="str">
        <f>IF('02_Warehouse_Locations'!A301="","",'02_Warehouse_Locations'!A301)</f>
        <v/>
      </c>
      <c r="C302" t="str">
        <f t="shared" si="4"/>
        <v/>
      </c>
      <c r="D302" t="s">
        <v>1469</v>
      </c>
    </row>
    <row r="303" spans="1:4">
      <c r="A303" t="s">
        <v>1468</v>
      </c>
      <c r="B303" t="str">
        <f>IF('02_Warehouse_Locations'!A302="","",'02_Warehouse_Locations'!A302)</f>
        <v/>
      </c>
      <c r="C303" t="str">
        <f t="shared" si="4"/>
        <v/>
      </c>
      <c r="D303" t="s">
        <v>1469</v>
      </c>
    </row>
    <row r="304" spans="1:4">
      <c r="A304" t="s">
        <v>1468</v>
      </c>
      <c r="B304" t="str">
        <f>IF('02_Warehouse_Locations'!A303="","",'02_Warehouse_Locations'!A303)</f>
        <v/>
      </c>
      <c r="C304" t="str">
        <f t="shared" si="4"/>
        <v/>
      </c>
      <c r="D304" t="s">
        <v>1469</v>
      </c>
    </row>
    <row r="305" spans="1:4">
      <c r="A305" t="s">
        <v>1468</v>
      </c>
      <c r="B305" t="str">
        <f>IF('02_Warehouse_Locations'!A304="","",'02_Warehouse_Locations'!A304)</f>
        <v/>
      </c>
      <c r="C305" t="str">
        <f t="shared" si="4"/>
        <v/>
      </c>
      <c r="D305" t="s">
        <v>1469</v>
      </c>
    </row>
    <row r="306" spans="1:4">
      <c r="A306" t="s">
        <v>1468</v>
      </c>
      <c r="B306" t="str">
        <f>IF('02_Warehouse_Locations'!A305="","",'02_Warehouse_Locations'!A305)</f>
        <v/>
      </c>
      <c r="C306" t="str">
        <f t="shared" si="4"/>
        <v/>
      </c>
      <c r="D306" t="s">
        <v>1469</v>
      </c>
    </row>
    <row r="307" spans="1:4">
      <c r="A307" t="s">
        <v>1468</v>
      </c>
      <c r="B307" t="str">
        <f>IF('02_Warehouse_Locations'!A306="","",'02_Warehouse_Locations'!A306)</f>
        <v/>
      </c>
      <c r="C307" t="str">
        <f t="shared" si="4"/>
        <v/>
      </c>
      <c r="D307" t="s">
        <v>1469</v>
      </c>
    </row>
    <row r="308" spans="1:4">
      <c r="A308" t="s">
        <v>1468</v>
      </c>
      <c r="B308" t="str">
        <f>IF('02_Warehouse_Locations'!A307="","",'02_Warehouse_Locations'!A307)</f>
        <v/>
      </c>
      <c r="C308" t="str">
        <f t="shared" si="4"/>
        <v/>
      </c>
      <c r="D308" t="s">
        <v>1469</v>
      </c>
    </row>
    <row r="309" spans="1:4">
      <c r="A309" t="s">
        <v>1468</v>
      </c>
      <c r="B309" t="str">
        <f>IF('02_Warehouse_Locations'!A308="","",'02_Warehouse_Locations'!A308)</f>
        <v/>
      </c>
      <c r="C309" t="str">
        <f t="shared" si="4"/>
        <v/>
      </c>
      <c r="D309" t="s">
        <v>1469</v>
      </c>
    </row>
    <row r="310" spans="1:4">
      <c r="A310" t="s">
        <v>1468</v>
      </c>
      <c r="B310" t="str">
        <f>IF('02_Warehouse_Locations'!A309="","",'02_Warehouse_Locations'!A309)</f>
        <v/>
      </c>
      <c r="C310" t="str">
        <f t="shared" si="4"/>
        <v/>
      </c>
      <c r="D310" t="s">
        <v>1469</v>
      </c>
    </row>
    <row r="311" spans="1:4">
      <c r="A311" t="s">
        <v>1468</v>
      </c>
      <c r="B311" t="str">
        <f>IF('02_Warehouse_Locations'!A310="","",'02_Warehouse_Locations'!A310)</f>
        <v/>
      </c>
      <c r="C311" t="str">
        <f t="shared" si="4"/>
        <v/>
      </c>
      <c r="D311" t="s">
        <v>1469</v>
      </c>
    </row>
    <row r="312" spans="1:4">
      <c r="A312" t="s">
        <v>1468</v>
      </c>
      <c r="B312" t="str">
        <f>IF('02_Warehouse_Locations'!A311="","",'02_Warehouse_Locations'!A311)</f>
        <v/>
      </c>
      <c r="C312" t="str">
        <f t="shared" si="4"/>
        <v/>
      </c>
      <c r="D312" t="s">
        <v>1469</v>
      </c>
    </row>
    <row r="313" spans="1:4">
      <c r="A313" t="s">
        <v>1468</v>
      </c>
      <c r="B313" t="str">
        <f>IF('02_Warehouse_Locations'!A312="","",'02_Warehouse_Locations'!A312)</f>
        <v/>
      </c>
      <c r="C313" t="str">
        <f t="shared" si="4"/>
        <v/>
      </c>
      <c r="D313" t="s">
        <v>1469</v>
      </c>
    </row>
    <row r="314" spans="1:4">
      <c r="A314" t="s">
        <v>1468</v>
      </c>
      <c r="B314" t="str">
        <f>IF('02_Warehouse_Locations'!A313="","",'02_Warehouse_Locations'!A313)</f>
        <v/>
      </c>
      <c r="C314" t="str">
        <f t="shared" si="4"/>
        <v/>
      </c>
      <c r="D314" t="s">
        <v>1469</v>
      </c>
    </row>
    <row r="315" spans="1:4">
      <c r="A315" t="s">
        <v>1468</v>
      </c>
      <c r="B315" t="str">
        <f>IF('02_Warehouse_Locations'!A314="","",'02_Warehouse_Locations'!A314)</f>
        <v/>
      </c>
      <c r="C315" t="str">
        <f t="shared" si="4"/>
        <v/>
      </c>
      <c r="D315" t="s">
        <v>1469</v>
      </c>
    </row>
    <row r="316" spans="1:4">
      <c r="A316" t="s">
        <v>1468</v>
      </c>
      <c r="B316" t="str">
        <f>IF('02_Warehouse_Locations'!A315="","",'02_Warehouse_Locations'!A315)</f>
        <v/>
      </c>
      <c r="C316" t="str">
        <f t="shared" si="4"/>
        <v/>
      </c>
      <c r="D316" t="s">
        <v>1469</v>
      </c>
    </row>
    <row r="317" spans="1:4">
      <c r="A317" t="s">
        <v>1468</v>
      </c>
      <c r="B317" t="str">
        <f>IF('02_Warehouse_Locations'!A316="","",'02_Warehouse_Locations'!A316)</f>
        <v/>
      </c>
      <c r="C317" t="str">
        <f t="shared" si="4"/>
        <v/>
      </c>
      <c r="D317" t="s">
        <v>1469</v>
      </c>
    </row>
    <row r="318" spans="1:4">
      <c r="A318" t="s">
        <v>1468</v>
      </c>
      <c r="B318" t="str">
        <f>IF('02_Warehouse_Locations'!A317="","",'02_Warehouse_Locations'!A317)</f>
        <v/>
      </c>
      <c r="C318" t="str">
        <f t="shared" si="4"/>
        <v/>
      </c>
      <c r="D318" t="s">
        <v>1469</v>
      </c>
    </row>
    <row r="319" spans="1:4">
      <c r="A319" t="s">
        <v>1468</v>
      </c>
      <c r="B319" t="str">
        <f>IF('02_Warehouse_Locations'!A318="","",'02_Warehouse_Locations'!A318)</f>
        <v/>
      </c>
      <c r="C319" t="str">
        <f t="shared" si="4"/>
        <v/>
      </c>
      <c r="D319" t="s">
        <v>1469</v>
      </c>
    </row>
    <row r="320" spans="1:4">
      <c r="A320" t="s">
        <v>1468</v>
      </c>
      <c r="B320" t="str">
        <f>IF('02_Warehouse_Locations'!A319="","",'02_Warehouse_Locations'!A319)</f>
        <v/>
      </c>
      <c r="C320" t="str">
        <f t="shared" si="4"/>
        <v/>
      </c>
      <c r="D320" t="s">
        <v>1469</v>
      </c>
    </row>
    <row r="321" spans="1:4">
      <c r="A321" t="s">
        <v>1468</v>
      </c>
      <c r="B321" t="str">
        <f>IF('02_Warehouse_Locations'!A320="","",'02_Warehouse_Locations'!A320)</f>
        <v/>
      </c>
      <c r="C321" t="str">
        <f t="shared" si="4"/>
        <v/>
      </c>
      <c r="D321" t="s">
        <v>1469</v>
      </c>
    </row>
    <row r="322" spans="1:4">
      <c r="A322" t="s">
        <v>1468</v>
      </c>
      <c r="B322" t="str">
        <f>IF('02_Warehouse_Locations'!A321="","",'02_Warehouse_Locations'!A321)</f>
        <v/>
      </c>
      <c r="C322" t="str">
        <f t="shared" si="4"/>
        <v/>
      </c>
      <c r="D322" t="s">
        <v>1469</v>
      </c>
    </row>
    <row r="323" spans="1:4">
      <c r="A323" t="s">
        <v>1468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1469</v>
      </c>
    </row>
    <row r="324" spans="1:4">
      <c r="A324" t="s">
        <v>1468</v>
      </c>
      <c r="B324" t="str">
        <f>IF('02_Warehouse_Locations'!A323="","",'02_Warehouse_Locations'!A323)</f>
        <v/>
      </c>
      <c r="C324" t="str">
        <f t="shared" si="5"/>
        <v/>
      </c>
      <c r="D324" t="s">
        <v>1469</v>
      </c>
    </row>
    <row r="325" spans="1:4">
      <c r="A325" t="s">
        <v>1468</v>
      </c>
      <c r="B325" t="str">
        <f>IF('02_Warehouse_Locations'!A324="","",'02_Warehouse_Locations'!A324)</f>
        <v/>
      </c>
      <c r="C325" t="str">
        <f t="shared" si="5"/>
        <v/>
      </c>
      <c r="D325" t="s">
        <v>1469</v>
      </c>
    </row>
    <row r="326" spans="1:4">
      <c r="A326" t="s">
        <v>1468</v>
      </c>
      <c r="B326" t="str">
        <f>IF('02_Warehouse_Locations'!A325="","",'02_Warehouse_Locations'!A325)</f>
        <v/>
      </c>
      <c r="C326" t="str">
        <f t="shared" si="5"/>
        <v/>
      </c>
      <c r="D326" t="s">
        <v>1469</v>
      </c>
    </row>
    <row r="327" spans="1:4">
      <c r="A327" t="s">
        <v>1468</v>
      </c>
      <c r="B327" t="str">
        <f>IF('02_Warehouse_Locations'!A326="","",'02_Warehouse_Locations'!A326)</f>
        <v/>
      </c>
      <c r="C327" t="str">
        <f t="shared" si="5"/>
        <v/>
      </c>
      <c r="D327" t="s">
        <v>1469</v>
      </c>
    </row>
    <row r="328" spans="1:4">
      <c r="A328" t="s">
        <v>1468</v>
      </c>
      <c r="B328" t="str">
        <f>IF('02_Warehouse_Locations'!A327="","",'02_Warehouse_Locations'!A327)</f>
        <v/>
      </c>
      <c r="C328" t="str">
        <f t="shared" si="5"/>
        <v/>
      </c>
      <c r="D328" t="s">
        <v>1469</v>
      </c>
    </row>
    <row r="329" spans="1:4">
      <c r="A329" t="s">
        <v>1468</v>
      </c>
      <c r="B329" t="str">
        <f>IF('02_Warehouse_Locations'!A328="","",'02_Warehouse_Locations'!A328)</f>
        <v/>
      </c>
      <c r="C329" t="str">
        <f t="shared" si="5"/>
        <v/>
      </c>
      <c r="D329" t="s">
        <v>1469</v>
      </c>
    </row>
    <row r="330" spans="1:4">
      <c r="A330" t="s">
        <v>1468</v>
      </c>
      <c r="B330" t="str">
        <f>IF('02_Warehouse_Locations'!A329="","",'02_Warehouse_Locations'!A329)</f>
        <v/>
      </c>
      <c r="C330" t="str">
        <f t="shared" si="5"/>
        <v/>
      </c>
      <c r="D330" t="s">
        <v>1469</v>
      </c>
    </row>
    <row r="331" spans="1:4">
      <c r="A331" t="s">
        <v>1468</v>
      </c>
      <c r="B331" t="str">
        <f>IF('02_Warehouse_Locations'!A330="","",'02_Warehouse_Locations'!A330)</f>
        <v/>
      </c>
      <c r="C331" t="str">
        <f t="shared" si="5"/>
        <v/>
      </c>
      <c r="D331" t="s">
        <v>1469</v>
      </c>
    </row>
    <row r="332" spans="1:4">
      <c r="A332" t="s">
        <v>1468</v>
      </c>
      <c r="B332" t="str">
        <f>IF('02_Warehouse_Locations'!A331="","",'02_Warehouse_Locations'!A331)</f>
        <v/>
      </c>
      <c r="C332" t="str">
        <f t="shared" si="5"/>
        <v/>
      </c>
      <c r="D332" t="s">
        <v>1469</v>
      </c>
    </row>
    <row r="333" spans="1:4">
      <c r="A333" t="s">
        <v>1468</v>
      </c>
      <c r="B333" t="str">
        <f>IF('02_Warehouse_Locations'!A332="","",'02_Warehouse_Locations'!A332)</f>
        <v/>
      </c>
      <c r="C333" t="str">
        <f t="shared" si="5"/>
        <v/>
      </c>
      <c r="D333" t="s">
        <v>1469</v>
      </c>
    </row>
    <row r="334" spans="1:4">
      <c r="A334" t="s">
        <v>1468</v>
      </c>
      <c r="B334" t="str">
        <f>IF('02_Warehouse_Locations'!A333="","",'02_Warehouse_Locations'!A333)</f>
        <v/>
      </c>
      <c r="C334" t="str">
        <f t="shared" si="5"/>
        <v/>
      </c>
      <c r="D334" t="s">
        <v>1469</v>
      </c>
    </row>
    <row r="335" spans="1:4">
      <c r="A335" t="s">
        <v>1468</v>
      </c>
      <c r="B335" t="str">
        <f>IF('02_Warehouse_Locations'!A334="","",'02_Warehouse_Locations'!A334)</f>
        <v/>
      </c>
      <c r="C335" t="str">
        <f t="shared" si="5"/>
        <v/>
      </c>
      <c r="D335" t="s">
        <v>1469</v>
      </c>
    </row>
    <row r="336" spans="1:4">
      <c r="A336" t="s">
        <v>1468</v>
      </c>
      <c r="B336" t="str">
        <f>IF('02_Warehouse_Locations'!A335="","",'02_Warehouse_Locations'!A335)</f>
        <v/>
      </c>
      <c r="C336" t="str">
        <f t="shared" si="5"/>
        <v/>
      </c>
      <c r="D336" t="s">
        <v>1469</v>
      </c>
    </row>
    <row r="337" spans="1:4">
      <c r="A337" t="s">
        <v>1468</v>
      </c>
      <c r="B337" t="str">
        <f>IF('02_Warehouse_Locations'!A336="","",'02_Warehouse_Locations'!A336)</f>
        <v/>
      </c>
      <c r="C337" t="str">
        <f t="shared" si="5"/>
        <v/>
      </c>
      <c r="D337" t="s">
        <v>1469</v>
      </c>
    </row>
    <row r="338" spans="1:4">
      <c r="A338" t="s">
        <v>1468</v>
      </c>
      <c r="B338" t="str">
        <f>IF('02_Warehouse_Locations'!A337="","",'02_Warehouse_Locations'!A337)</f>
        <v/>
      </c>
      <c r="C338" t="str">
        <f t="shared" si="5"/>
        <v/>
      </c>
      <c r="D338" t="s">
        <v>1469</v>
      </c>
    </row>
    <row r="339" spans="1:4">
      <c r="A339" t="s">
        <v>1468</v>
      </c>
      <c r="B339" t="str">
        <f>IF('02_Warehouse_Locations'!A338="","",'02_Warehouse_Locations'!A338)</f>
        <v/>
      </c>
      <c r="C339" t="str">
        <f t="shared" si="5"/>
        <v/>
      </c>
      <c r="D339" t="s">
        <v>1469</v>
      </c>
    </row>
    <row r="340" spans="1:4">
      <c r="A340" t="s">
        <v>1468</v>
      </c>
      <c r="B340" t="str">
        <f>IF('02_Warehouse_Locations'!A339="","",'02_Warehouse_Locations'!A339)</f>
        <v/>
      </c>
      <c r="C340" t="str">
        <f t="shared" si="5"/>
        <v/>
      </c>
      <c r="D340" t="s">
        <v>1469</v>
      </c>
    </row>
    <row r="341" spans="1:4">
      <c r="A341" t="s">
        <v>1468</v>
      </c>
      <c r="B341" t="str">
        <f>IF('02_Warehouse_Locations'!A340="","",'02_Warehouse_Locations'!A340)</f>
        <v/>
      </c>
      <c r="C341" t="str">
        <f t="shared" si="5"/>
        <v/>
      </c>
      <c r="D341" t="s">
        <v>1469</v>
      </c>
    </row>
    <row r="342" spans="1:4">
      <c r="A342" t="s">
        <v>1468</v>
      </c>
      <c r="B342" t="str">
        <f>IF('02_Warehouse_Locations'!A341="","",'02_Warehouse_Locations'!A341)</f>
        <v/>
      </c>
      <c r="C342" t="str">
        <f t="shared" si="5"/>
        <v/>
      </c>
      <c r="D342" t="s">
        <v>1469</v>
      </c>
    </row>
    <row r="343" spans="1:4">
      <c r="A343" t="s">
        <v>1468</v>
      </c>
      <c r="B343" t="str">
        <f>IF('02_Warehouse_Locations'!A342="","",'02_Warehouse_Locations'!A342)</f>
        <v/>
      </c>
      <c r="C343" t="str">
        <f t="shared" si="5"/>
        <v/>
      </c>
      <c r="D343" t="s">
        <v>1469</v>
      </c>
    </row>
    <row r="344" spans="1:4">
      <c r="A344" t="s">
        <v>1468</v>
      </c>
      <c r="B344" t="str">
        <f>IF('02_Warehouse_Locations'!A343="","",'02_Warehouse_Locations'!A343)</f>
        <v/>
      </c>
      <c r="C344" t="str">
        <f t="shared" si="5"/>
        <v/>
      </c>
      <c r="D344" t="s">
        <v>1469</v>
      </c>
    </row>
    <row r="345" spans="1:4">
      <c r="A345" t="s">
        <v>1468</v>
      </c>
      <c r="B345" t="str">
        <f>IF('02_Warehouse_Locations'!A344="","",'02_Warehouse_Locations'!A344)</f>
        <v/>
      </c>
      <c r="C345" t="str">
        <f t="shared" si="5"/>
        <v/>
      </c>
      <c r="D345" t="s">
        <v>1469</v>
      </c>
    </row>
    <row r="346" spans="1:4">
      <c r="A346" t="s">
        <v>1468</v>
      </c>
      <c r="B346" t="str">
        <f>IF('02_Warehouse_Locations'!A345="","",'02_Warehouse_Locations'!A345)</f>
        <v/>
      </c>
      <c r="C346" t="str">
        <f t="shared" si="5"/>
        <v/>
      </c>
      <c r="D346" t="s">
        <v>1469</v>
      </c>
    </row>
    <row r="347" spans="1:4">
      <c r="A347" t="s">
        <v>1468</v>
      </c>
      <c r="B347" t="str">
        <f>IF('02_Warehouse_Locations'!A346="","",'02_Warehouse_Locations'!A346)</f>
        <v/>
      </c>
      <c r="C347" t="str">
        <f t="shared" si="5"/>
        <v/>
      </c>
      <c r="D347" t="s">
        <v>1469</v>
      </c>
    </row>
    <row r="348" spans="1:4">
      <c r="A348" t="s">
        <v>1468</v>
      </c>
      <c r="B348" t="str">
        <f>IF('02_Warehouse_Locations'!A347="","",'02_Warehouse_Locations'!A347)</f>
        <v/>
      </c>
      <c r="C348" t="str">
        <f t="shared" si="5"/>
        <v/>
      </c>
      <c r="D348" t="s">
        <v>1469</v>
      </c>
    </row>
    <row r="349" spans="1:4">
      <c r="A349" t="s">
        <v>1468</v>
      </c>
      <c r="B349" t="str">
        <f>IF('02_Warehouse_Locations'!A348="","",'02_Warehouse_Locations'!A348)</f>
        <v/>
      </c>
      <c r="C349" t="str">
        <f t="shared" si="5"/>
        <v/>
      </c>
      <c r="D349" t="s">
        <v>1469</v>
      </c>
    </row>
    <row r="350" spans="1:4">
      <c r="A350" t="s">
        <v>1468</v>
      </c>
      <c r="B350" t="str">
        <f>IF('02_Warehouse_Locations'!A349="","",'02_Warehouse_Locations'!A349)</f>
        <v/>
      </c>
      <c r="C350" t="str">
        <f t="shared" si="5"/>
        <v/>
      </c>
      <c r="D350" t="s">
        <v>1469</v>
      </c>
    </row>
    <row r="351" spans="1:4">
      <c r="A351" t="s">
        <v>1468</v>
      </c>
      <c r="B351" t="str">
        <f>IF('02_Warehouse_Locations'!A350="","",'02_Warehouse_Locations'!A350)</f>
        <v/>
      </c>
      <c r="C351" t="str">
        <f t="shared" si="5"/>
        <v/>
      </c>
      <c r="D351" t="s">
        <v>1469</v>
      </c>
    </row>
    <row r="352" spans="1:4">
      <c r="A352" t="s">
        <v>1468</v>
      </c>
      <c r="B352" t="str">
        <f>IF('02_Warehouse_Locations'!A351="","",'02_Warehouse_Locations'!A351)</f>
        <v/>
      </c>
      <c r="C352" t="str">
        <f t="shared" si="5"/>
        <v/>
      </c>
      <c r="D352" t="s">
        <v>1469</v>
      </c>
    </row>
    <row r="353" spans="1:4">
      <c r="A353" t="s">
        <v>1468</v>
      </c>
      <c r="B353" t="str">
        <f>IF('02_Warehouse_Locations'!A352="","",'02_Warehouse_Locations'!A352)</f>
        <v/>
      </c>
      <c r="C353" t="str">
        <f t="shared" si="5"/>
        <v/>
      </c>
      <c r="D353" t="s">
        <v>1469</v>
      </c>
    </row>
    <row r="354" spans="1:4">
      <c r="A354" t="s">
        <v>1468</v>
      </c>
      <c r="B354" t="str">
        <f>IF('02_Warehouse_Locations'!A353="","",'02_Warehouse_Locations'!A353)</f>
        <v/>
      </c>
      <c r="C354" t="str">
        <f t="shared" si="5"/>
        <v/>
      </c>
      <c r="D354" t="s">
        <v>1469</v>
      </c>
    </row>
    <row r="355" spans="1:4">
      <c r="A355" t="s">
        <v>1468</v>
      </c>
      <c r="B355" t="str">
        <f>IF('02_Warehouse_Locations'!A354="","",'02_Warehouse_Locations'!A354)</f>
        <v/>
      </c>
      <c r="C355" t="str">
        <f t="shared" si="5"/>
        <v/>
      </c>
      <c r="D355" t="s">
        <v>1469</v>
      </c>
    </row>
    <row r="356" spans="1:4">
      <c r="A356" t="s">
        <v>1468</v>
      </c>
      <c r="B356" t="str">
        <f>IF('02_Warehouse_Locations'!A355="","",'02_Warehouse_Locations'!A355)</f>
        <v/>
      </c>
      <c r="C356" t="str">
        <f t="shared" si="5"/>
        <v/>
      </c>
      <c r="D356" t="s">
        <v>1469</v>
      </c>
    </row>
    <row r="357" spans="1:4">
      <c r="A357" t="s">
        <v>1468</v>
      </c>
      <c r="B357" t="str">
        <f>IF('02_Warehouse_Locations'!A356="","",'02_Warehouse_Locations'!A356)</f>
        <v/>
      </c>
      <c r="C357" t="str">
        <f t="shared" si="5"/>
        <v/>
      </c>
      <c r="D357" t="s">
        <v>1469</v>
      </c>
    </row>
    <row r="358" spans="1:4">
      <c r="A358" t="s">
        <v>1468</v>
      </c>
      <c r="B358" t="str">
        <f>IF('02_Warehouse_Locations'!A357="","",'02_Warehouse_Locations'!A357)</f>
        <v/>
      </c>
      <c r="C358" t="str">
        <f t="shared" si="5"/>
        <v/>
      </c>
      <c r="D358" t="s">
        <v>1469</v>
      </c>
    </row>
    <row r="359" spans="1:4">
      <c r="A359" t="s">
        <v>1468</v>
      </c>
      <c r="B359" t="str">
        <f>IF('02_Warehouse_Locations'!A358="","",'02_Warehouse_Locations'!A358)</f>
        <v/>
      </c>
      <c r="C359" t="str">
        <f t="shared" si="5"/>
        <v/>
      </c>
      <c r="D359" t="s">
        <v>1469</v>
      </c>
    </row>
    <row r="360" spans="1:4">
      <c r="A360" t="s">
        <v>1468</v>
      </c>
      <c r="B360" t="str">
        <f>IF('02_Warehouse_Locations'!A359="","",'02_Warehouse_Locations'!A359)</f>
        <v/>
      </c>
      <c r="C360" t="str">
        <f t="shared" si="5"/>
        <v/>
      </c>
      <c r="D360" t="s">
        <v>1469</v>
      </c>
    </row>
    <row r="361" spans="1:4">
      <c r="A361" t="s">
        <v>1468</v>
      </c>
      <c r="B361" t="str">
        <f>IF('02_Warehouse_Locations'!A360="","",'02_Warehouse_Locations'!A360)</f>
        <v/>
      </c>
      <c r="C361" t="str">
        <f t="shared" si="5"/>
        <v/>
      </c>
      <c r="D361" t="s">
        <v>1469</v>
      </c>
    </row>
    <row r="362" spans="1:4">
      <c r="A362" t="s">
        <v>1468</v>
      </c>
      <c r="B362" t="str">
        <f>IF('02_Warehouse_Locations'!A361="","",'02_Warehouse_Locations'!A361)</f>
        <v/>
      </c>
      <c r="C362" t="str">
        <f t="shared" si="5"/>
        <v/>
      </c>
      <c r="D362" t="s">
        <v>1469</v>
      </c>
    </row>
    <row r="363" spans="1:4">
      <c r="A363" t="s">
        <v>1468</v>
      </c>
      <c r="B363" t="str">
        <f>IF('02_Warehouse_Locations'!A362="","",'02_Warehouse_Locations'!A362)</f>
        <v/>
      </c>
      <c r="C363" t="str">
        <f t="shared" si="5"/>
        <v/>
      </c>
      <c r="D363" t="s">
        <v>1469</v>
      </c>
    </row>
    <row r="364" spans="1:4">
      <c r="A364" t="s">
        <v>1468</v>
      </c>
      <c r="B364" t="str">
        <f>IF('02_Warehouse_Locations'!A363="","",'02_Warehouse_Locations'!A363)</f>
        <v/>
      </c>
      <c r="C364" t="str">
        <f t="shared" si="5"/>
        <v/>
      </c>
      <c r="D364" t="s">
        <v>1469</v>
      </c>
    </row>
    <row r="365" spans="1:4">
      <c r="A365" t="s">
        <v>1468</v>
      </c>
      <c r="B365" t="str">
        <f>IF('02_Warehouse_Locations'!A364="","",'02_Warehouse_Locations'!A364)</f>
        <v/>
      </c>
      <c r="C365" t="str">
        <f t="shared" si="5"/>
        <v/>
      </c>
      <c r="D365" t="s">
        <v>1469</v>
      </c>
    </row>
    <row r="366" spans="1:4">
      <c r="A366" t="s">
        <v>1468</v>
      </c>
      <c r="B366" t="str">
        <f>IF('02_Warehouse_Locations'!A365="","",'02_Warehouse_Locations'!A365)</f>
        <v/>
      </c>
      <c r="C366" t="str">
        <f t="shared" si="5"/>
        <v/>
      </c>
      <c r="D366" t="s">
        <v>1469</v>
      </c>
    </row>
    <row r="367" spans="1:4">
      <c r="A367" t="s">
        <v>1468</v>
      </c>
      <c r="B367" t="str">
        <f>IF('02_Warehouse_Locations'!A366="","",'02_Warehouse_Locations'!A366)</f>
        <v/>
      </c>
      <c r="C367" t="str">
        <f t="shared" si="5"/>
        <v/>
      </c>
      <c r="D367" t="s">
        <v>1469</v>
      </c>
    </row>
    <row r="368" spans="1:4">
      <c r="A368" t="s">
        <v>1468</v>
      </c>
      <c r="B368" t="str">
        <f>IF('02_Warehouse_Locations'!A367="","",'02_Warehouse_Locations'!A367)</f>
        <v/>
      </c>
      <c r="C368" t="str">
        <f t="shared" si="5"/>
        <v/>
      </c>
      <c r="D368" t="s">
        <v>1469</v>
      </c>
    </row>
    <row r="369" spans="1:4">
      <c r="A369" t="s">
        <v>1468</v>
      </c>
      <c r="B369" t="str">
        <f>IF('02_Warehouse_Locations'!A368="","",'02_Warehouse_Locations'!A368)</f>
        <v/>
      </c>
      <c r="C369" t="str">
        <f t="shared" si="5"/>
        <v/>
      </c>
      <c r="D369" t="s">
        <v>1469</v>
      </c>
    </row>
    <row r="370" spans="1:4">
      <c r="A370" t="s">
        <v>1468</v>
      </c>
      <c r="B370" t="str">
        <f>IF('02_Warehouse_Locations'!A369="","",'02_Warehouse_Locations'!A369)</f>
        <v/>
      </c>
      <c r="C370" t="str">
        <f t="shared" si="5"/>
        <v/>
      </c>
      <c r="D370" t="s">
        <v>1469</v>
      </c>
    </row>
    <row r="371" spans="1:4">
      <c r="A371" t="s">
        <v>1468</v>
      </c>
      <c r="B371" t="str">
        <f>IF('02_Warehouse_Locations'!A370="","",'02_Warehouse_Locations'!A370)</f>
        <v/>
      </c>
      <c r="C371" t="str">
        <f t="shared" si="5"/>
        <v/>
      </c>
      <c r="D371" t="s">
        <v>1469</v>
      </c>
    </row>
    <row r="372" spans="1:4">
      <c r="A372" t="s">
        <v>1468</v>
      </c>
      <c r="B372" t="str">
        <f>IF('02_Warehouse_Locations'!A371="","",'02_Warehouse_Locations'!A371)</f>
        <v/>
      </c>
      <c r="C372" t="str">
        <f t="shared" si="5"/>
        <v/>
      </c>
      <c r="D372" t="s">
        <v>1469</v>
      </c>
    </row>
    <row r="373" spans="1:4">
      <c r="A373" t="s">
        <v>1468</v>
      </c>
      <c r="B373" t="str">
        <f>IF('02_Warehouse_Locations'!A372="","",'02_Warehouse_Locations'!A372)</f>
        <v/>
      </c>
      <c r="C373" t="str">
        <f t="shared" si="5"/>
        <v/>
      </c>
      <c r="D373" t="s">
        <v>1469</v>
      </c>
    </row>
    <row r="374" spans="1:4">
      <c r="A374" t="s">
        <v>1468</v>
      </c>
      <c r="B374" t="str">
        <f>IF('02_Warehouse_Locations'!A373="","",'02_Warehouse_Locations'!A373)</f>
        <v/>
      </c>
      <c r="C374" t="str">
        <f t="shared" si="5"/>
        <v/>
      </c>
      <c r="D374" t="s">
        <v>1469</v>
      </c>
    </row>
    <row r="375" spans="1:4">
      <c r="A375" t="s">
        <v>1468</v>
      </c>
      <c r="B375" t="str">
        <f>IF('02_Warehouse_Locations'!A374="","",'02_Warehouse_Locations'!A374)</f>
        <v/>
      </c>
      <c r="C375" t="str">
        <f t="shared" si="5"/>
        <v/>
      </c>
      <c r="D375" t="s">
        <v>1469</v>
      </c>
    </row>
    <row r="376" spans="1:4">
      <c r="A376" t="s">
        <v>1468</v>
      </c>
      <c r="B376" t="str">
        <f>IF('02_Warehouse_Locations'!A375="","",'02_Warehouse_Locations'!A375)</f>
        <v/>
      </c>
      <c r="C376" t="str">
        <f t="shared" si="5"/>
        <v/>
      </c>
      <c r="D376" t="s">
        <v>1469</v>
      </c>
    </row>
    <row r="377" spans="1:4">
      <c r="A377" t="s">
        <v>1468</v>
      </c>
      <c r="B377" t="str">
        <f>IF('02_Warehouse_Locations'!A376="","",'02_Warehouse_Locations'!A376)</f>
        <v/>
      </c>
      <c r="C377" t="str">
        <f t="shared" si="5"/>
        <v/>
      </c>
      <c r="D377" t="s">
        <v>1469</v>
      </c>
    </row>
    <row r="378" spans="1:4">
      <c r="A378" t="s">
        <v>1468</v>
      </c>
      <c r="B378" t="str">
        <f>IF('02_Warehouse_Locations'!A377="","",'02_Warehouse_Locations'!A377)</f>
        <v/>
      </c>
      <c r="C378" t="str">
        <f t="shared" si="5"/>
        <v/>
      </c>
      <c r="D378" t="s">
        <v>1469</v>
      </c>
    </row>
    <row r="379" spans="1:4">
      <c r="A379" t="s">
        <v>1468</v>
      </c>
      <c r="B379" t="str">
        <f>IF('02_Warehouse_Locations'!A378="","",'02_Warehouse_Locations'!A378)</f>
        <v/>
      </c>
      <c r="C379" t="str">
        <f t="shared" si="5"/>
        <v/>
      </c>
      <c r="D379" t="s">
        <v>1469</v>
      </c>
    </row>
    <row r="380" spans="1:4">
      <c r="A380" t="s">
        <v>1468</v>
      </c>
      <c r="B380" t="str">
        <f>IF('02_Warehouse_Locations'!A379="","",'02_Warehouse_Locations'!A379)</f>
        <v/>
      </c>
      <c r="C380" t="str">
        <f t="shared" si="5"/>
        <v/>
      </c>
      <c r="D380" t="s">
        <v>1469</v>
      </c>
    </row>
    <row r="381" spans="1:4">
      <c r="A381" t="s">
        <v>1468</v>
      </c>
      <c r="B381" t="str">
        <f>IF('02_Warehouse_Locations'!A380="","",'02_Warehouse_Locations'!A380)</f>
        <v/>
      </c>
      <c r="C381" t="str">
        <f t="shared" si="5"/>
        <v/>
      </c>
      <c r="D381" t="s">
        <v>1469</v>
      </c>
    </row>
    <row r="382" spans="1:4">
      <c r="A382" t="s">
        <v>1468</v>
      </c>
      <c r="B382" t="str">
        <f>IF('02_Warehouse_Locations'!A381="","",'02_Warehouse_Locations'!A381)</f>
        <v/>
      </c>
      <c r="C382" t="str">
        <f t="shared" si="5"/>
        <v/>
      </c>
      <c r="D382" t="s">
        <v>1469</v>
      </c>
    </row>
    <row r="383" spans="1:4">
      <c r="A383" t="s">
        <v>1468</v>
      </c>
      <c r="B383" t="str">
        <f>IF('02_Warehouse_Locations'!A382="","",'02_Warehouse_Locations'!A382)</f>
        <v/>
      </c>
      <c r="C383" t="str">
        <f t="shared" si="5"/>
        <v/>
      </c>
      <c r="D383" t="s">
        <v>1469</v>
      </c>
    </row>
    <row r="384" spans="1:4">
      <c r="A384" t="s">
        <v>1468</v>
      </c>
      <c r="B384" t="str">
        <f>IF('02_Warehouse_Locations'!A383="","",'02_Warehouse_Locations'!A383)</f>
        <v/>
      </c>
      <c r="C384" t="str">
        <f t="shared" si="5"/>
        <v/>
      </c>
      <c r="D384" t="s">
        <v>1469</v>
      </c>
    </row>
    <row r="385" spans="1:4">
      <c r="A385" t="s">
        <v>1468</v>
      </c>
      <c r="B385" t="str">
        <f>IF('02_Warehouse_Locations'!A384="","",'02_Warehouse_Locations'!A384)</f>
        <v/>
      </c>
      <c r="C385" t="str">
        <f t="shared" si="5"/>
        <v/>
      </c>
      <c r="D385" t="s">
        <v>1469</v>
      </c>
    </row>
    <row r="386" spans="1:4">
      <c r="A386" t="s">
        <v>1468</v>
      </c>
      <c r="B386" t="str">
        <f>IF('02_Warehouse_Locations'!A385="","",'02_Warehouse_Locations'!A385)</f>
        <v/>
      </c>
      <c r="C386" t="str">
        <f t="shared" si="5"/>
        <v/>
      </c>
      <c r="D386" t="s">
        <v>1469</v>
      </c>
    </row>
    <row r="387" spans="1:4">
      <c r="A387" t="s">
        <v>1468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1469</v>
      </c>
    </row>
    <row r="388" spans="1:4">
      <c r="A388" t="s">
        <v>1468</v>
      </c>
      <c r="B388" t="str">
        <f>IF('02_Warehouse_Locations'!A387="","",'02_Warehouse_Locations'!A387)</f>
        <v/>
      </c>
      <c r="C388" t="str">
        <f t="shared" si="6"/>
        <v/>
      </c>
      <c r="D388" t="s">
        <v>1469</v>
      </c>
    </row>
    <row r="389" spans="1:4">
      <c r="A389" t="s">
        <v>1468</v>
      </c>
      <c r="B389" t="str">
        <f>IF('02_Warehouse_Locations'!A388="","",'02_Warehouse_Locations'!A388)</f>
        <v/>
      </c>
      <c r="C389" t="str">
        <f t="shared" si="6"/>
        <v/>
      </c>
      <c r="D389" t="s">
        <v>1469</v>
      </c>
    </row>
    <row r="390" spans="1:4">
      <c r="A390" t="s">
        <v>1468</v>
      </c>
      <c r="B390" t="str">
        <f>IF('02_Warehouse_Locations'!A389="","",'02_Warehouse_Locations'!A389)</f>
        <v/>
      </c>
      <c r="C390" t="str">
        <f t="shared" si="6"/>
        <v/>
      </c>
      <c r="D390" t="s">
        <v>1469</v>
      </c>
    </row>
    <row r="391" spans="1:4">
      <c r="A391" t="s">
        <v>1468</v>
      </c>
      <c r="B391" t="str">
        <f>IF('02_Warehouse_Locations'!A390="","",'02_Warehouse_Locations'!A390)</f>
        <v/>
      </c>
      <c r="C391" t="str">
        <f t="shared" si="6"/>
        <v/>
      </c>
      <c r="D391" t="s">
        <v>1469</v>
      </c>
    </row>
    <row r="392" spans="1:4">
      <c r="A392" t="s">
        <v>1468</v>
      </c>
      <c r="B392" t="str">
        <f>IF('02_Warehouse_Locations'!A391="","",'02_Warehouse_Locations'!A391)</f>
        <v/>
      </c>
      <c r="C392" t="str">
        <f t="shared" si="6"/>
        <v/>
      </c>
      <c r="D392" t="s">
        <v>1469</v>
      </c>
    </row>
    <row r="393" spans="1:4">
      <c r="A393" t="s">
        <v>1468</v>
      </c>
      <c r="B393" t="str">
        <f>IF('02_Warehouse_Locations'!A392="","",'02_Warehouse_Locations'!A392)</f>
        <v/>
      </c>
      <c r="C393" t="str">
        <f t="shared" si="6"/>
        <v/>
      </c>
      <c r="D393" t="s">
        <v>1469</v>
      </c>
    </row>
    <row r="394" spans="1:4">
      <c r="A394" t="s">
        <v>1468</v>
      </c>
      <c r="B394" t="str">
        <f>IF('02_Warehouse_Locations'!A393="","",'02_Warehouse_Locations'!A393)</f>
        <v/>
      </c>
      <c r="C394" t="str">
        <f t="shared" si="6"/>
        <v/>
      </c>
      <c r="D394" t="s">
        <v>1469</v>
      </c>
    </row>
    <row r="395" spans="1:4">
      <c r="A395" t="s">
        <v>1468</v>
      </c>
      <c r="B395" t="str">
        <f>IF('02_Warehouse_Locations'!A394="","",'02_Warehouse_Locations'!A394)</f>
        <v/>
      </c>
      <c r="C395" t="str">
        <f t="shared" si="6"/>
        <v/>
      </c>
      <c r="D395" t="s">
        <v>1469</v>
      </c>
    </row>
    <row r="396" spans="1:4">
      <c r="A396" t="s">
        <v>1468</v>
      </c>
      <c r="B396" t="str">
        <f>IF('02_Warehouse_Locations'!A395="","",'02_Warehouse_Locations'!A395)</f>
        <v/>
      </c>
      <c r="C396" t="str">
        <f t="shared" si="6"/>
        <v/>
      </c>
      <c r="D396" t="s">
        <v>1469</v>
      </c>
    </row>
    <row r="397" spans="1:4">
      <c r="A397" t="s">
        <v>1468</v>
      </c>
      <c r="B397" t="str">
        <f>IF('02_Warehouse_Locations'!A396="","",'02_Warehouse_Locations'!A396)</f>
        <v/>
      </c>
      <c r="C397" t="str">
        <f t="shared" si="6"/>
        <v/>
      </c>
      <c r="D397" t="s">
        <v>1469</v>
      </c>
    </row>
    <row r="398" spans="1:4">
      <c r="A398" t="s">
        <v>1468</v>
      </c>
      <c r="B398" t="str">
        <f>IF('02_Warehouse_Locations'!A397="","",'02_Warehouse_Locations'!A397)</f>
        <v/>
      </c>
      <c r="C398" t="str">
        <f t="shared" si="6"/>
        <v/>
      </c>
      <c r="D398" t="s">
        <v>1469</v>
      </c>
    </row>
    <row r="399" spans="1:4">
      <c r="A399" t="s">
        <v>1468</v>
      </c>
      <c r="B399" t="str">
        <f>IF('02_Warehouse_Locations'!A398="","",'02_Warehouse_Locations'!A398)</f>
        <v/>
      </c>
      <c r="C399" t="str">
        <f t="shared" si="6"/>
        <v/>
      </c>
      <c r="D399" t="s">
        <v>1469</v>
      </c>
    </row>
    <row r="400" spans="1:4">
      <c r="A400" t="s">
        <v>1468</v>
      </c>
      <c r="B400" t="str">
        <f>IF('02_Warehouse_Locations'!A399="","",'02_Warehouse_Locations'!A399)</f>
        <v/>
      </c>
      <c r="C400" t="str">
        <f t="shared" si="6"/>
        <v/>
      </c>
      <c r="D400" t="s">
        <v>1469</v>
      </c>
    </row>
    <row r="401" spans="1:4">
      <c r="A401" t="s">
        <v>1468</v>
      </c>
      <c r="B401" t="str">
        <f>IF('02_Warehouse_Locations'!A400="","",'02_Warehouse_Locations'!A400)</f>
        <v/>
      </c>
      <c r="C401" t="str">
        <f t="shared" si="6"/>
        <v/>
      </c>
      <c r="D401" t="s">
        <v>1469</v>
      </c>
    </row>
    <row r="402" spans="1:4">
      <c r="A402" t="s">
        <v>1468</v>
      </c>
      <c r="B402" t="str">
        <f>IF('02_Warehouse_Locations'!A401="","",'02_Warehouse_Locations'!A401)</f>
        <v/>
      </c>
      <c r="C402" t="str">
        <f t="shared" si="6"/>
        <v/>
      </c>
      <c r="D402" t="s">
        <v>1469</v>
      </c>
    </row>
    <row r="403" spans="1:4">
      <c r="A403" t="s">
        <v>1468</v>
      </c>
      <c r="B403" t="str">
        <f>IF('02_Warehouse_Locations'!A402="","",'02_Warehouse_Locations'!A402)</f>
        <v/>
      </c>
      <c r="C403" t="str">
        <f t="shared" si="6"/>
        <v/>
      </c>
      <c r="D403" t="s">
        <v>1469</v>
      </c>
    </row>
    <row r="404" spans="1:4">
      <c r="A404" t="s">
        <v>1468</v>
      </c>
      <c r="B404" t="str">
        <f>IF('02_Warehouse_Locations'!A403="","",'02_Warehouse_Locations'!A403)</f>
        <v/>
      </c>
      <c r="C404" t="str">
        <f t="shared" si="6"/>
        <v/>
      </c>
      <c r="D404" t="s">
        <v>1469</v>
      </c>
    </row>
    <row r="405" spans="1:4">
      <c r="A405" t="s">
        <v>1468</v>
      </c>
      <c r="B405" t="str">
        <f>IF('02_Warehouse_Locations'!A404="","",'02_Warehouse_Locations'!A404)</f>
        <v/>
      </c>
      <c r="C405" t="str">
        <f t="shared" si="6"/>
        <v/>
      </c>
      <c r="D405" t="s">
        <v>1469</v>
      </c>
    </row>
    <row r="406" spans="1:4">
      <c r="A406" t="s">
        <v>1468</v>
      </c>
      <c r="B406" t="str">
        <f>IF('02_Warehouse_Locations'!A405="","",'02_Warehouse_Locations'!A405)</f>
        <v/>
      </c>
      <c r="C406" t="str">
        <f t="shared" si="6"/>
        <v/>
      </c>
      <c r="D406" t="s">
        <v>1469</v>
      </c>
    </row>
    <row r="407" spans="1:4">
      <c r="A407" t="s">
        <v>1468</v>
      </c>
      <c r="B407" t="str">
        <f>IF('02_Warehouse_Locations'!A406="","",'02_Warehouse_Locations'!A406)</f>
        <v/>
      </c>
      <c r="C407" t="str">
        <f t="shared" si="6"/>
        <v/>
      </c>
      <c r="D407" t="s">
        <v>1469</v>
      </c>
    </row>
    <row r="408" spans="1:4">
      <c r="A408" t="s">
        <v>1468</v>
      </c>
      <c r="B408" t="str">
        <f>IF('02_Warehouse_Locations'!A407="","",'02_Warehouse_Locations'!A407)</f>
        <v/>
      </c>
      <c r="C408" t="str">
        <f t="shared" si="6"/>
        <v/>
      </c>
      <c r="D408" t="s">
        <v>1469</v>
      </c>
    </row>
    <row r="409" spans="1:4">
      <c r="A409" t="s">
        <v>1468</v>
      </c>
      <c r="B409" t="str">
        <f>IF('02_Warehouse_Locations'!A408="","",'02_Warehouse_Locations'!A408)</f>
        <v/>
      </c>
      <c r="C409" t="str">
        <f t="shared" si="6"/>
        <v/>
      </c>
      <c r="D409" t="s">
        <v>1469</v>
      </c>
    </row>
    <row r="410" spans="1:4">
      <c r="A410" t="s">
        <v>1468</v>
      </c>
      <c r="B410" t="str">
        <f>IF('02_Warehouse_Locations'!A409="","",'02_Warehouse_Locations'!A409)</f>
        <v/>
      </c>
      <c r="C410" t="str">
        <f t="shared" si="6"/>
        <v/>
      </c>
      <c r="D410" t="s">
        <v>1469</v>
      </c>
    </row>
    <row r="411" spans="1:4">
      <c r="A411" t="s">
        <v>1468</v>
      </c>
      <c r="B411" t="str">
        <f>IF('02_Warehouse_Locations'!A410="","",'02_Warehouse_Locations'!A410)</f>
        <v/>
      </c>
      <c r="C411" t="str">
        <f t="shared" si="6"/>
        <v/>
      </c>
      <c r="D411" t="s">
        <v>1469</v>
      </c>
    </row>
    <row r="412" spans="1:4">
      <c r="A412" t="s">
        <v>1468</v>
      </c>
      <c r="B412" t="str">
        <f>IF('02_Warehouse_Locations'!A411="","",'02_Warehouse_Locations'!A411)</f>
        <v/>
      </c>
      <c r="C412" t="str">
        <f t="shared" si="6"/>
        <v/>
      </c>
      <c r="D412" t="s">
        <v>1469</v>
      </c>
    </row>
    <row r="413" spans="1:4">
      <c r="A413" t="s">
        <v>1468</v>
      </c>
      <c r="B413" t="str">
        <f>IF('02_Warehouse_Locations'!A412="","",'02_Warehouse_Locations'!A412)</f>
        <v/>
      </c>
      <c r="C413" t="str">
        <f t="shared" si="6"/>
        <v/>
      </c>
      <c r="D413" t="s">
        <v>1469</v>
      </c>
    </row>
    <row r="414" spans="1:4">
      <c r="A414" t="s">
        <v>1468</v>
      </c>
      <c r="B414" t="str">
        <f>IF('02_Warehouse_Locations'!A413="","",'02_Warehouse_Locations'!A413)</f>
        <v/>
      </c>
      <c r="C414" t="str">
        <f t="shared" si="6"/>
        <v/>
      </c>
      <c r="D414" t="s">
        <v>1469</v>
      </c>
    </row>
    <row r="415" spans="1:4">
      <c r="A415" t="s">
        <v>1468</v>
      </c>
      <c r="B415" t="str">
        <f>IF('02_Warehouse_Locations'!A414="","",'02_Warehouse_Locations'!A414)</f>
        <v/>
      </c>
      <c r="C415" t="str">
        <f t="shared" si="6"/>
        <v/>
      </c>
      <c r="D415" t="s">
        <v>1469</v>
      </c>
    </row>
    <row r="416" spans="1:4">
      <c r="A416" t="s">
        <v>1468</v>
      </c>
      <c r="B416" t="str">
        <f>IF('02_Warehouse_Locations'!A415="","",'02_Warehouse_Locations'!A415)</f>
        <v/>
      </c>
      <c r="C416" t="str">
        <f t="shared" si="6"/>
        <v/>
      </c>
      <c r="D416" t="s">
        <v>1469</v>
      </c>
    </row>
    <row r="417" spans="1:4">
      <c r="A417" t="s">
        <v>1468</v>
      </c>
      <c r="B417" t="str">
        <f>IF('02_Warehouse_Locations'!A416="","",'02_Warehouse_Locations'!A416)</f>
        <v/>
      </c>
      <c r="C417" t="str">
        <f t="shared" si="6"/>
        <v/>
      </c>
      <c r="D417" t="s">
        <v>1469</v>
      </c>
    </row>
    <row r="418" spans="1:4">
      <c r="A418" t="s">
        <v>1468</v>
      </c>
      <c r="B418" t="str">
        <f>IF('02_Warehouse_Locations'!A417="","",'02_Warehouse_Locations'!A417)</f>
        <v/>
      </c>
      <c r="C418" t="str">
        <f t="shared" si="6"/>
        <v/>
      </c>
      <c r="D418" t="s">
        <v>1469</v>
      </c>
    </row>
    <row r="419" spans="1:4">
      <c r="A419" t="s">
        <v>1468</v>
      </c>
      <c r="B419" t="str">
        <f>IF('02_Warehouse_Locations'!A418="","",'02_Warehouse_Locations'!A418)</f>
        <v/>
      </c>
      <c r="C419" t="str">
        <f t="shared" si="6"/>
        <v/>
      </c>
      <c r="D419" t="s">
        <v>1469</v>
      </c>
    </row>
    <row r="420" spans="1:4">
      <c r="A420" t="s">
        <v>1468</v>
      </c>
      <c r="B420" t="str">
        <f>IF('02_Warehouse_Locations'!A419="","",'02_Warehouse_Locations'!A419)</f>
        <v/>
      </c>
      <c r="C420" t="str">
        <f t="shared" si="6"/>
        <v/>
      </c>
      <c r="D420" t="s">
        <v>1469</v>
      </c>
    </row>
    <row r="421" spans="1:4">
      <c r="A421" t="s">
        <v>1468</v>
      </c>
      <c r="B421" t="str">
        <f>IF('02_Warehouse_Locations'!A420="","",'02_Warehouse_Locations'!A420)</f>
        <v/>
      </c>
      <c r="C421" t="str">
        <f t="shared" si="6"/>
        <v/>
      </c>
      <c r="D421" t="s">
        <v>1469</v>
      </c>
    </row>
    <row r="422" spans="1:4">
      <c r="A422" t="s">
        <v>1468</v>
      </c>
      <c r="B422" t="str">
        <f>IF('02_Warehouse_Locations'!A421="","",'02_Warehouse_Locations'!A421)</f>
        <v/>
      </c>
      <c r="C422" t="str">
        <f t="shared" si="6"/>
        <v/>
      </c>
      <c r="D422" t="s">
        <v>1469</v>
      </c>
    </row>
    <row r="423" spans="1:4">
      <c r="A423" t="s">
        <v>1468</v>
      </c>
      <c r="B423" t="str">
        <f>IF('02_Warehouse_Locations'!A422="","",'02_Warehouse_Locations'!A422)</f>
        <v/>
      </c>
      <c r="C423" t="str">
        <f t="shared" si="6"/>
        <v/>
      </c>
      <c r="D423" t="s">
        <v>1469</v>
      </c>
    </row>
    <row r="424" spans="1:4">
      <c r="A424" t="s">
        <v>1468</v>
      </c>
      <c r="B424" t="str">
        <f>IF('02_Warehouse_Locations'!A423="","",'02_Warehouse_Locations'!A423)</f>
        <v/>
      </c>
      <c r="C424" t="str">
        <f t="shared" si="6"/>
        <v/>
      </c>
      <c r="D424" t="s">
        <v>1469</v>
      </c>
    </row>
    <row r="425" spans="1:4">
      <c r="A425" t="s">
        <v>1468</v>
      </c>
      <c r="B425" t="str">
        <f>IF('02_Warehouse_Locations'!A424="","",'02_Warehouse_Locations'!A424)</f>
        <v/>
      </c>
      <c r="C425" t="str">
        <f t="shared" si="6"/>
        <v/>
      </c>
      <c r="D425" t="s">
        <v>1469</v>
      </c>
    </row>
    <row r="426" spans="1:4">
      <c r="A426" t="s">
        <v>1468</v>
      </c>
      <c r="B426" t="str">
        <f>IF('02_Warehouse_Locations'!A425="","",'02_Warehouse_Locations'!A425)</f>
        <v/>
      </c>
      <c r="C426" t="str">
        <f t="shared" si="6"/>
        <v/>
      </c>
      <c r="D426" t="s">
        <v>1469</v>
      </c>
    </row>
    <row r="427" spans="1:4">
      <c r="A427" t="s">
        <v>1468</v>
      </c>
      <c r="B427" t="str">
        <f>IF('02_Warehouse_Locations'!A426="","",'02_Warehouse_Locations'!A426)</f>
        <v/>
      </c>
      <c r="C427" t="str">
        <f t="shared" si="6"/>
        <v/>
      </c>
      <c r="D427" t="s">
        <v>1469</v>
      </c>
    </row>
    <row r="428" spans="1:4">
      <c r="A428" t="s">
        <v>1468</v>
      </c>
      <c r="B428" t="str">
        <f>IF('02_Warehouse_Locations'!A427="","",'02_Warehouse_Locations'!A427)</f>
        <v/>
      </c>
      <c r="C428" t="str">
        <f t="shared" si="6"/>
        <v/>
      </c>
      <c r="D428" t="s">
        <v>1469</v>
      </c>
    </row>
    <row r="429" spans="1:4">
      <c r="A429" t="s">
        <v>1468</v>
      </c>
      <c r="B429" t="str">
        <f>IF('02_Warehouse_Locations'!A428="","",'02_Warehouse_Locations'!A428)</f>
        <v/>
      </c>
      <c r="C429" t="str">
        <f t="shared" si="6"/>
        <v/>
      </c>
      <c r="D429" t="s">
        <v>1469</v>
      </c>
    </row>
    <row r="430" spans="1:4">
      <c r="A430" t="s">
        <v>1468</v>
      </c>
      <c r="B430" t="str">
        <f>IF('02_Warehouse_Locations'!A429="","",'02_Warehouse_Locations'!A429)</f>
        <v/>
      </c>
      <c r="C430" t="str">
        <f t="shared" si="6"/>
        <v/>
      </c>
      <c r="D430" t="s">
        <v>1469</v>
      </c>
    </row>
    <row r="431" spans="1:4">
      <c r="A431" t="s">
        <v>1468</v>
      </c>
      <c r="B431" t="str">
        <f>IF('02_Warehouse_Locations'!A430="","",'02_Warehouse_Locations'!A430)</f>
        <v/>
      </c>
      <c r="C431" t="str">
        <f t="shared" si="6"/>
        <v/>
      </c>
      <c r="D431" t="s">
        <v>1469</v>
      </c>
    </row>
    <row r="432" spans="1:4">
      <c r="A432" t="s">
        <v>1468</v>
      </c>
      <c r="B432" t="str">
        <f>IF('02_Warehouse_Locations'!A431="","",'02_Warehouse_Locations'!A431)</f>
        <v/>
      </c>
      <c r="C432" t="str">
        <f t="shared" si="6"/>
        <v/>
      </c>
      <c r="D432" t="s">
        <v>1469</v>
      </c>
    </row>
    <row r="433" spans="1:4">
      <c r="A433" t="s">
        <v>1468</v>
      </c>
      <c r="B433" t="str">
        <f>IF('02_Warehouse_Locations'!A432="","",'02_Warehouse_Locations'!A432)</f>
        <v/>
      </c>
      <c r="C433" t="str">
        <f t="shared" si="6"/>
        <v/>
      </c>
      <c r="D433" t="s">
        <v>1469</v>
      </c>
    </row>
    <row r="434" spans="1:4">
      <c r="A434" t="s">
        <v>1468</v>
      </c>
      <c r="B434" t="str">
        <f>IF('02_Warehouse_Locations'!A433="","",'02_Warehouse_Locations'!A433)</f>
        <v/>
      </c>
      <c r="C434" t="str">
        <f t="shared" si="6"/>
        <v/>
      </c>
      <c r="D434" t="s">
        <v>1469</v>
      </c>
    </row>
    <row r="435" spans="1:4">
      <c r="A435" t="s">
        <v>1468</v>
      </c>
      <c r="B435" t="str">
        <f>IF('02_Warehouse_Locations'!A434="","",'02_Warehouse_Locations'!A434)</f>
        <v/>
      </c>
      <c r="C435" t="str">
        <f t="shared" si="6"/>
        <v/>
      </c>
      <c r="D435" t="s">
        <v>1469</v>
      </c>
    </row>
    <row r="436" spans="1:4">
      <c r="A436" t="s">
        <v>1468</v>
      </c>
      <c r="B436" t="str">
        <f>IF('02_Warehouse_Locations'!A435="","",'02_Warehouse_Locations'!A435)</f>
        <v/>
      </c>
      <c r="C436" t="str">
        <f t="shared" si="6"/>
        <v/>
      </c>
      <c r="D436" t="s">
        <v>1469</v>
      </c>
    </row>
    <row r="437" spans="1:4">
      <c r="A437" t="s">
        <v>1468</v>
      </c>
      <c r="B437" t="str">
        <f>IF('02_Warehouse_Locations'!A436="","",'02_Warehouse_Locations'!A436)</f>
        <v/>
      </c>
      <c r="C437" t="str">
        <f t="shared" si="6"/>
        <v/>
      </c>
      <c r="D437" t="s">
        <v>1469</v>
      </c>
    </row>
    <row r="438" spans="1:4">
      <c r="A438" t="s">
        <v>1468</v>
      </c>
      <c r="B438" t="str">
        <f>IF('02_Warehouse_Locations'!A437="","",'02_Warehouse_Locations'!A437)</f>
        <v/>
      </c>
      <c r="C438" t="str">
        <f t="shared" si="6"/>
        <v/>
      </c>
      <c r="D438" t="s">
        <v>1469</v>
      </c>
    </row>
    <row r="439" spans="1:4">
      <c r="A439" t="s">
        <v>1468</v>
      </c>
      <c r="B439" t="str">
        <f>IF('02_Warehouse_Locations'!A438="","",'02_Warehouse_Locations'!A438)</f>
        <v/>
      </c>
      <c r="C439" t="str">
        <f t="shared" si="6"/>
        <v/>
      </c>
      <c r="D439" t="s">
        <v>1469</v>
      </c>
    </row>
    <row r="440" spans="1:4">
      <c r="A440" t="s">
        <v>1468</v>
      </c>
      <c r="B440" t="str">
        <f>IF('02_Warehouse_Locations'!A439="","",'02_Warehouse_Locations'!A439)</f>
        <v/>
      </c>
      <c r="C440" t="str">
        <f t="shared" si="6"/>
        <v/>
      </c>
      <c r="D440" t="s">
        <v>1469</v>
      </c>
    </row>
    <row r="441" spans="1:4">
      <c r="A441" t="s">
        <v>1468</v>
      </c>
      <c r="B441" t="str">
        <f>IF('02_Warehouse_Locations'!A440="","",'02_Warehouse_Locations'!A440)</f>
        <v/>
      </c>
      <c r="C441" t="str">
        <f t="shared" si="6"/>
        <v/>
      </c>
      <c r="D441" t="s">
        <v>1469</v>
      </c>
    </row>
    <row r="442" spans="1:4">
      <c r="A442" t="s">
        <v>1468</v>
      </c>
      <c r="B442" t="str">
        <f>IF('02_Warehouse_Locations'!A441="","",'02_Warehouse_Locations'!A441)</f>
        <v/>
      </c>
      <c r="C442" t="str">
        <f t="shared" si="6"/>
        <v/>
      </c>
      <c r="D442" t="s">
        <v>1469</v>
      </c>
    </row>
    <row r="443" spans="1:4">
      <c r="A443" t="s">
        <v>1468</v>
      </c>
      <c r="B443" t="str">
        <f>IF('02_Warehouse_Locations'!A442="","",'02_Warehouse_Locations'!A442)</f>
        <v/>
      </c>
      <c r="C443" t="str">
        <f t="shared" si="6"/>
        <v/>
      </c>
      <c r="D443" t="s">
        <v>1469</v>
      </c>
    </row>
    <row r="444" spans="1:4">
      <c r="A444" t="s">
        <v>1468</v>
      </c>
      <c r="B444" t="str">
        <f>IF('02_Warehouse_Locations'!A443="","",'02_Warehouse_Locations'!A443)</f>
        <v/>
      </c>
      <c r="C444" t="str">
        <f t="shared" si="6"/>
        <v/>
      </c>
      <c r="D444" t="s">
        <v>1469</v>
      </c>
    </row>
    <row r="445" spans="1:4">
      <c r="A445" t="s">
        <v>1468</v>
      </c>
      <c r="B445" t="str">
        <f>IF('02_Warehouse_Locations'!A444="","",'02_Warehouse_Locations'!A444)</f>
        <v/>
      </c>
      <c r="C445" t="str">
        <f t="shared" si="6"/>
        <v/>
      </c>
      <c r="D445" t="s">
        <v>1469</v>
      </c>
    </row>
    <row r="446" spans="1:4">
      <c r="A446" t="s">
        <v>1468</v>
      </c>
      <c r="B446" t="str">
        <f>IF('02_Warehouse_Locations'!A445="","",'02_Warehouse_Locations'!A445)</f>
        <v/>
      </c>
      <c r="C446" t="str">
        <f t="shared" si="6"/>
        <v/>
      </c>
      <c r="D446" t="s">
        <v>1469</v>
      </c>
    </row>
    <row r="447" spans="1:4">
      <c r="A447" t="s">
        <v>1468</v>
      </c>
      <c r="B447" t="str">
        <f>IF('02_Warehouse_Locations'!A446="","",'02_Warehouse_Locations'!A446)</f>
        <v/>
      </c>
      <c r="C447" t="str">
        <f t="shared" si="6"/>
        <v/>
      </c>
      <c r="D447" t="s">
        <v>1469</v>
      </c>
    </row>
    <row r="448" spans="1:4">
      <c r="A448" t="s">
        <v>1468</v>
      </c>
      <c r="B448" t="str">
        <f>IF('02_Warehouse_Locations'!A447="","",'02_Warehouse_Locations'!A447)</f>
        <v/>
      </c>
      <c r="C448" t="str">
        <f t="shared" si="6"/>
        <v/>
      </c>
      <c r="D448" t="s">
        <v>1469</v>
      </c>
    </row>
    <row r="449" spans="1:4">
      <c r="A449" t="s">
        <v>1468</v>
      </c>
      <c r="B449" t="str">
        <f>IF('02_Warehouse_Locations'!A448="","",'02_Warehouse_Locations'!A448)</f>
        <v/>
      </c>
      <c r="C449" t="str">
        <f t="shared" si="6"/>
        <v/>
      </c>
      <c r="D449" t="s">
        <v>1469</v>
      </c>
    </row>
    <row r="450" spans="1:4">
      <c r="A450" t="s">
        <v>1468</v>
      </c>
      <c r="B450" t="str">
        <f>IF('02_Warehouse_Locations'!A449="","",'02_Warehouse_Locations'!A449)</f>
        <v/>
      </c>
      <c r="C450" t="str">
        <f t="shared" si="6"/>
        <v/>
      </c>
      <c r="D450" t="s">
        <v>1469</v>
      </c>
    </row>
    <row r="451" spans="1:4">
      <c r="A451" t="s">
        <v>1468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1469</v>
      </c>
    </row>
    <row r="452" spans="1:4">
      <c r="A452" t="s">
        <v>1468</v>
      </c>
      <c r="B452" t="str">
        <f>IF('02_Warehouse_Locations'!A451="","",'02_Warehouse_Locations'!A451)</f>
        <v/>
      </c>
      <c r="C452" t="str">
        <f t="shared" si="7"/>
        <v/>
      </c>
      <c r="D452" t="s">
        <v>1469</v>
      </c>
    </row>
    <row r="453" spans="1:4">
      <c r="A453" t="s">
        <v>1468</v>
      </c>
      <c r="B453" t="str">
        <f>IF('02_Warehouse_Locations'!A452="","",'02_Warehouse_Locations'!A452)</f>
        <v/>
      </c>
      <c r="C453" t="str">
        <f t="shared" si="7"/>
        <v/>
      </c>
      <c r="D453" t="s">
        <v>1469</v>
      </c>
    </row>
    <row r="454" spans="1:4">
      <c r="A454" t="s">
        <v>1468</v>
      </c>
      <c r="B454" t="str">
        <f>IF('02_Warehouse_Locations'!A453="","",'02_Warehouse_Locations'!A453)</f>
        <v/>
      </c>
      <c r="C454" t="str">
        <f t="shared" si="7"/>
        <v/>
      </c>
      <c r="D454" t="s">
        <v>1469</v>
      </c>
    </row>
    <row r="455" spans="1:4">
      <c r="A455" t="s">
        <v>1468</v>
      </c>
      <c r="B455" t="str">
        <f>IF('02_Warehouse_Locations'!A454="","",'02_Warehouse_Locations'!A454)</f>
        <v/>
      </c>
      <c r="C455" t="str">
        <f t="shared" si="7"/>
        <v/>
      </c>
      <c r="D455" t="s">
        <v>1469</v>
      </c>
    </row>
    <row r="456" spans="1:4">
      <c r="A456" t="s">
        <v>1468</v>
      </c>
      <c r="B456" t="str">
        <f>IF('02_Warehouse_Locations'!A455="","",'02_Warehouse_Locations'!A455)</f>
        <v/>
      </c>
      <c r="C456" t="str">
        <f t="shared" si="7"/>
        <v/>
      </c>
      <c r="D456" t="s">
        <v>1469</v>
      </c>
    </row>
    <row r="457" spans="1:4">
      <c r="A457" t="s">
        <v>1468</v>
      </c>
      <c r="B457" t="str">
        <f>IF('02_Warehouse_Locations'!A456="","",'02_Warehouse_Locations'!A456)</f>
        <v/>
      </c>
      <c r="C457" t="str">
        <f t="shared" si="7"/>
        <v/>
      </c>
      <c r="D457" t="s">
        <v>1469</v>
      </c>
    </row>
    <row r="458" spans="1:4">
      <c r="A458" t="s">
        <v>1468</v>
      </c>
      <c r="B458" t="str">
        <f>IF('02_Warehouse_Locations'!A457="","",'02_Warehouse_Locations'!A457)</f>
        <v/>
      </c>
      <c r="C458" t="str">
        <f t="shared" si="7"/>
        <v/>
      </c>
      <c r="D458" t="s">
        <v>1469</v>
      </c>
    </row>
    <row r="459" spans="1:4">
      <c r="A459" t="s">
        <v>1468</v>
      </c>
      <c r="B459" t="str">
        <f>IF('02_Warehouse_Locations'!A458="","",'02_Warehouse_Locations'!A458)</f>
        <v/>
      </c>
      <c r="C459" t="str">
        <f t="shared" si="7"/>
        <v/>
      </c>
      <c r="D459" t="s">
        <v>1469</v>
      </c>
    </row>
    <row r="460" spans="1:4">
      <c r="A460" t="s">
        <v>1468</v>
      </c>
      <c r="B460" t="str">
        <f>IF('02_Warehouse_Locations'!A459="","",'02_Warehouse_Locations'!A459)</f>
        <v/>
      </c>
      <c r="C460" t="str">
        <f t="shared" si="7"/>
        <v/>
      </c>
      <c r="D460" t="s">
        <v>1469</v>
      </c>
    </row>
    <row r="461" spans="1:4">
      <c r="A461" t="s">
        <v>1468</v>
      </c>
      <c r="B461" t="str">
        <f>IF('02_Warehouse_Locations'!A460="","",'02_Warehouse_Locations'!A460)</f>
        <v/>
      </c>
      <c r="C461" t="str">
        <f t="shared" si="7"/>
        <v/>
      </c>
      <c r="D461" t="s">
        <v>1469</v>
      </c>
    </row>
    <row r="462" spans="1:4">
      <c r="A462" t="s">
        <v>1468</v>
      </c>
      <c r="B462" t="str">
        <f>IF('02_Warehouse_Locations'!A461="","",'02_Warehouse_Locations'!A461)</f>
        <v/>
      </c>
      <c r="C462" t="str">
        <f t="shared" si="7"/>
        <v/>
      </c>
      <c r="D462" t="s">
        <v>1469</v>
      </c>
    </row>
    <row r="463" spans="1:4">
      <c r="A463" t="s">
        <v>1468</v>
      </c>
      <c r="B463" t="str">
        <f>IF('02_Warehouse_Locations'!A462="","",'02_Warehouse_Locations'!A462)</f>
        <v/>
      </c>
      <c r="C463" t="str">
        <f t="shared" si="7"/>
        <v/>
      </c>
      <c r="D463" t="s">
        <v>1469</v>
      </c>
    </row>
    <row r="464" spans="1:4">
      <c r="A464" t="s">
        <v>1468</v>
      </c>
      <c r="B464" t="str">
        <f>IF('02_Warehouse_Locations'!A463="","",'02_Warehouse_Locations'!A463)</f>
        <v/>
      </c>
      <c r="C464" t="str">
        <f t="shared" si="7"/>
        <v/>
      </c>
      <c r="D464" t="s">
        <v>1469</v>
      </c>
    </row>
    <row r="465" spans="1:4">
      <c r="A465" t="s">
        <v>1468</v>
      </c>
      <c r="B465" t="str">
        <f>IF('02_Warehouse_Locations'!A464="","",'02_Warehouse_Locations'!A464)</f>
        <v/>
      </c>
      <c r="C465" t="str">
        <f t="shared" si="7"/>
        <v/>
      </c>
      <c r="D465" t="s">
        <v>1469</v>
      </c>
    </row>
    <row r="466" spans="1:4">
      <c r="A466" t="s">
        <v>1468</v>
      </c>
      <c r="B466" t="str">
        <f>IF('02_Warehouse_Locations'!A465="","",'02_Warehouse_Locations'!A465)</f>
        <v/>
      </c>
      <c r="C466" t="str">
        <f t="shared" si="7"/>
        <v/>
      </c>
      <c r="D466" t="s">
        <v>1469</v>
      </c>
    </row>
    <row r="467" spans="1:4">
      <c r="A467" t="s">
        <v>1468</v>
      </c>
      <c r="B467" t="str">
        <f>IF('02_Warehouse_Locations'!A466="","",'02_Warehouse_Locations'!A466)</f>
        <v/>
      </c>
      <c r="C467" t="str">
        <f t="shared" si="7"/>
        <v/>
      </c>
      <c r="D467" t="s">
        <v>1469</v>
      </c>
    </row>
    <row r="468" spans="1:4">
      <c r="A468" t="s">
        <v>1468</v>
      </c>
      <c r="B468" t="str">
        <f>IF('02_Warehouse_Locations'!A467="","",'02_Warehouse_Locations'!A467)</f>
        <v/>
      </c>
      <c r="C468" t="str">
        <f t="shared" si="7"/>
        <v/>
      </c>
      <c r="D468" t="s">
        <v>1469</v>
      </c>
    </row>
    <row r="469" spans="1:4">
      <c r="A469" t="s">
        <v>1468</v>
      </c>
      <c r="B469" t="str">
        <f>IF('02_Warehouse_Locations'!A468="","",'02_Warehouse_Locations'!A468)</f>
        <v/>
      </c>
      <c r="C469" t="str">
        <f t="shared" si="7"/>
        <v/>
      </c>
      <c r="D469" t="s">
        <v>1469</v>
      </c>
    </row>
    <row r="470" spans="1:4">
      <c r="A470" t="s">
        <v>1468</v>
      </c>
      <c r="B470" t="str">
        <f>IF('02_Warehouse_Locations'!A469="","",'02_Warehouse_Locations'!A469)</f>
        <v/>
      </c>
      <c r="C470" t="str">
        <f t="shared" si="7"/>
        <v/>
      </c>
      <c r="D470" t="s">
        <v>1469</v>
      </c>
    </row>
    <row r="471" spans="1:4">
      <c r="A471" t="s">
        <v>1468</v>
      </c>
      <c r="B471" t="str">
        <f>IF('02_Warehouse_Locations'!A470="","",'02_Warehouse_Locations'!A470)</f>
        <v/>
      </c>
      <c r="C471" t="str">
        <f t="shared" si="7"/>
        <v/>
      </c>
      <c r="D471" t="s">
        <v>1469</v>
      </c>
    </row>
    <row r="472" spans="1:4">
      <c r="A472" t="s">
        <v>1468</v>
      </c>
      <c r="B472" t="str">
        <f>IF('02_Warehouse_Locations'!A471="","",'02_Warehouse_Locations'!A471)</f>
        <v/>
      </c>
      <c r="C472" t="str">
        <f t="shared" si="7"/>
        <v/>
      </c>
      <c r="D472" t="s">
        <v>1469</v>
      </c>
    </row>
    <row r="473" spans="1:4">
      <c r="A473" t="s">
        <v>1468</v>
      </c>
      <c r="B473" t="str">
        <f>IF('02_Warehouse_Locations'!A472="","",'02_Warehouse_Locations'!A472)</f>
        <v/>
      </c>
      <c r="C473" t="str">
        <f t="shared" si="7"/>
        <v/>
      </c>
      <c r="D473" t="s">
        <v>1469</v>
      </c>
    </row>
    <row r="474" spans="1:4">
      <c r="A474" t="s">
        <v>1468</v>
      </c>
      <c r="B474" t="str">
        <f>IF('02_Warehouse_Locations'!A473="","",'02_Warehouse_Locations'!A473)</f>
        <v/>
      </c>
      <c r="C474" t="str">
        <f t="shared" si="7"/>
        <v/>
      </c>
      <c r="D474" t="s">
        <v>1469</v>
      </c>
    </row>
    <row r="475" spans="1:4">
      <c r="A475" t="s">
        <v>1468</v>
      </c>
      <c r="B475" t="str">
        <f>IF('02_Warehouse_Locations'!A474="","",'02_Warehouse_Locations'!A474)</f>
        <v/>
      </c>
      <c r="C475" t="str">
        <f t="shared" si="7"/>
        <v/>
      </c>
      <c r="D475" t="s">
        <v>1469</v>
      </c>
    </row>
    <row r="476" spans="1:4">
      <c r="A476" t="s">
        <v>1468</v>
      </c>
      <c r="B476" t="str">
        <f>IF('02_Warehouse_Locations'!A475="","",'02_Warehouse_Locations'!A475)</f>
        <v/>
      </c>
      <c r="C476" t="str">
        <f t="shared" si="7"/>
        <v/>
      </c>
      <c r="D476" t="s">
        <v>1469</v>
      </c>
    </row>
    <row r="477" spans="1:4">
      <c r="A477" t="s">
        <v>1468</v>
      </c>
      <c r="B477" t="str">
        <f>IF('02_Warehouse_Locations'!A476="","",'02_Warehouse_Locations'!A476)</f>
        <v/>
      </c>
      <c r="C477" t="str">
        <f t="shared" si="7"/>
        <v/>
      </c>
      <c r="D477" t="s">
        <v>1469</v>
      </c>
    </row>
    <row r="478" spans="1:4">
      <c r="A478" t="s">
        <v>1468</v>
      </c>
      <c r="B478" t="str">
        <f>IF('02_Warehouse_Locations'!A477="","",'02_Warehouse_Locations'!A477)</f>
        <v/>
      </c>
      <c r="C478" t="str">
        <f t="shared" si="7"/>
        <v/>
      </c>
      <c r="D478" t="s">
        <v>1469</v>
      </c>
    </row>
    <row r="479" spans="1:4">
      <c r="A479" t="s">
        <v>1468</v>
      </c>
      <c r="B479" t="str">
        <f>IF('02_Warehouse_Locations'!A478="","",'02_Warehouse_Locations'!A478)</f>
        <v/>
      </c>
      <c r="C479" t="str">
        <f t="shared" si="7"/>
        <v/>
      </c>
      <c r="D479" t="s">
        <v>1469</v>
      </c>
    </row>
    <row r="480" spans="1:4">
      <c r="A480" t="s">
        <v>1468</v>
      </c>
      <c r="B480" t="str">
        <f>IF('02_Warehouse_Locations'!A479="","",'02_Warehouse_Locations'!A479)</f>
        <v/>
      </c>
      <c r="C480" t="str">
        <f t="shared" si="7"/>
        <v/>
      </c>
      <c r="D480" t="s">
        <v>1469</v>
      </c>
    </row>
    <row r="481" spans="1:4">
      <c r="A481" t="s">
        <v>1468</v>
      </c>
      <c r="B481" t="str">
        <f>IF('02_Warehouse_Locations'!A480="","",'02_Warehouse_Locations'!A480)</f>
        <v/>
      </c>
      <c r="C481" t="str">
        <f t="shared" si="7"/>
        <v/>
      </c>
      <c r="D481" t="s">
        <v>1469</v>
      </c>
    </row>
    <row r="482" spans="1:4">
      <c r="A482" t="s">
        <v>1468</v>
      </c>
      <c r="B482" t="str">
        <f>IF('02_Warehouse_Locations'!A481="","",'02_Warehouse_Locations'!A481)</f>
        <v/>
      </c>
      <c r="C482" t="str">
        <f t="shared" si="7"/>
        <v/>
      </c>
      <c r="D482" t="s">
        <v>1469</v>
      </c>
    </row>
    <row r="483" spans="1:4">
      <c r="A483" t="s">
        <v>1468</v>
      </c>
      <c r="B483" t="str">
        <f>IF('02_Warehouse_Locations'!A482="","",'02_Warehouse_Locations'!A482)</f>
        <v/>
      </c>
      <c r="C483" t="str">
        <f t="shared" si="7"/>
        <v/>
      </c>
      <c r="D483" t="s">
        <v>1469</v>
      </c>
    </row>
    <row r="484" spans="1:4">
      <c r="A484" t="s">
        <v>1468</v>
      </c>
      <c r="B484" t="str">
        <f>IF('02_Warehouse_Locations'!A483="","",'02_Warehouse_Locations'!A483)</f>
        <v/>
      </c>
      <c r="C484" t="str">
        <f t="shared" si="7"/>
        <v/>
      </c>
      <c r="D484" t="s">
        <v>1469</v>
      </c>
    </row>
    <row r="485" spans="1:4">
      <c r="A485" t="s">
        <v>1468</v>
      </c>
      <c r="B485" t="str">
        <f>IF('02_Warehouse_Locations'!A484="","",'02_Warehouse_Locations'!A484)</f>
        <v/>
      </c>
      <c r="C485" t="str">
        <f t="shared" si="7"/>
        <v/>
      </c>
      <c r="D485" t="s">
        <v>1469</v>
      </c>
    </row>
    <row r="486" spans="1:4">
      <c r="A486" t="s">
        <v>1468</v>
      </c>
      <c r="B486" t="str">
        <f>IF('02_Warehouse_Locations'!A485="","",'02_Warehouse_Locations'!A485)</f>
        <v/>
      </c>
      <c r="C486" t="str">
        <f t="shared" si="7"/>
        <v/>
      </c>
      <c r="D486" t="s">
        <v>1469</v>
      </c>
    </row>
    <row r="487" spans="1:4">
      <c r="A487" t="s">
        <v>1468</v>
      </c>
      <c r="B487" t="str">
        <f>IF('02_Warehouse_Locations'!A486="","",'02_Warehouse_Locations'!A486)</f>
        <v/>
      </c>
      <c r="C487" t="str">
        <f t="shared" si="7"/>
        <v/>
      </c>
      <c r="D487" t="s">
        <v>1469</v>
      </c>
    </row>
    <row r="488" spans="1:4">
      <c r="A488" t="s">
        <v>1468</v>
      </c>
      <c r="B488" t="str">
        <f>IF('02_Warehouse_Locations'!A487="","",'02_Warehouse_Locations'!A487)</f>
        <v/>
      </c>
      <c r="C488" t="str">
        <f t="shared" si="7"/>
        <v/>
      </c>
      <c r="D488" t="s">
        <v>1469</v>
      </c>
    </row>
    <row r="489" spans="1:4">
      <c r="A489" t="s">
        <v>1468</v>
      </c>
      <c r="B489" t="str">
        <f>IF('02_Warehouse_Locations'!A488="","",'02_Warehouse_Locations'!A488)</f>
        <v/>
      </c>
      <c r="C489" t="str">
        <f t="shared" si="7"/>
        <v/>
      </c>
      <c r="D489" t="s">
        <v>1469</v>
      </c>
    </row>
    <row r="490" spans="1:4">
      <c r="A490" t="s">
        <v>1468</v>
      </c>
      <c r="B490" t="str">
        <f>IF('02_Warehouse_Locations'!A489="","",'02_Warehouse_Locations'!A489)</f>
        <v/>
      </c>
      <c r="C490" t="str">
        <f t="shared" si="7"/>
        <v/>
      </c>
      <c r="D490" t="s">
        <v>1469</v>
      </c>
    </row>
    <row r="491" spans="1:4">
      <c r="A491" t="s">
        <v>1468</v>
      </c>
      <c r="B491" t="str">
        <f>IF('02_Warehouse_Locations'!A490="","",'02_Warehouse_Locations'!A490)</f>
        <v/>
      </c>
      <c r="C491" t="str">
        <f t="shared" si="7"/>
        <v/>
      </c>
      <c r="D491" t="s">
        <v>1469</v>
      </c>
    </row>
    <row r="492" spans="1:4">
      <c r="A492" t="s">
        <v>1468</v>
      </c>
      <c r="B492" t="str">
        <f>IF('02_Warehouse_Locations'!A491="","",'02_Warehouse_Locations'!A491)</f>
        <v/>
      </c>
      <c r="C492" t="str">
        <f t="shared" si="7"/>
        <v/>
      </c>
      <c r="D492" t="s">
        <v>1469</v>
      </c>
    </row>
    <row r="493" spans="1:4">
      <c r="A493" t="s">
        <v>1468</v>
      </c>
      <c r="B493" t="str">
        <f>IF('02_Warehouse_Locations'!A492="","",'02_Warehouse_Locations'!A492)</f>
        <v/>
      </c>
      <c r="C493" t="str">
        <f t="shared" si="7"/>
        <v/>
      </c>
      <c r="D493" t="s">
        <v>1469</v>
      </c>
    </row>
    <row r="494" spans="1:4">
      <c r="A494" t="s">
        <v>1468</v>
      </c>
      <c r="B494" t="str">
        <f>IF('02_Warehouse_Locations'!A493="","",'02_Warehouse_Locations'!A493)</f>
        <v/>
      </c>
      <c r="C494" t="str">
        <f t="shared" si="7"/>
        <v/>
      </c>
      <c r="D494" t="s">
        <v>1469</v>
      </c>
    </row>
    <row r="495" spans="1:4">
      <c r="A495" t="s">
        <v>1468</v>
      </c>
      <c r="B495" t="str">
        <f>IF('02_Warehouse_Locations'!A494="","",'02_Warehouse_Locations'!A494)</f>
        <v/>
      </c>
      <c r="C495" t="str">
        <f t="shared" si="7"/>
        <v/>
      </c>
      <c r="D495" t="s">
        <v>1469</v>
      </c>
    </row>
    <row r="496" spans="1:4">
      <c r="A496" t="s">
        <v>1468</v>
      </c>
      <c r="B496" t="str">
        <f>IF('02_Warehouse_Locations'!A495="","",'02_Warehouse_Locations'!A495)</f>
        <v/>
      </c>
      <c r="C496" t="str">
        <f t="shared" si="7"/>
        <v/>
      </c>
      <c r="D496" t="s">
        <v>1469</v>
      </c>
    </row>
    <row r="497" spans="1:4">
      <c r="A497" t="s">
        <v>1468</v>
      </c>
      <c r="B497" t="str">
        <f>IF('02_Warehouse_Locations'!A496="","",'02_Warehouse_Locations'!A496)</f>
        <v/>
      </c>
      <c r="C497" t="str">
        <f t="shared" si="7"/>
        <v/>
      </c>
      <c r="D497" t="s">
        <v>1469</v>
      </c>
    </row>
    <row r="498" spans="1:4">
      <c r="A498" t="s">
        <v>1468</v>
      </c>
      <c r="B498" t="str">
        <f>IF('02_Warehouse_Locations'!A497="","",'02_Warehouse_Locations'!A497)</f>
        <v/>
      </c>
      <c r="C498" t="str">
        <f t="shared" si="7"/>
        <v/>
      </c>
      <c r="D498" t="s">
        <v>1469</v>
      </c>
    </row>
    <row r="499" spans="1:4">
      <c r="A499" t="s">
        <v>1468</v>
      </c>
      <c r="B499" t="str">
        <f>IF('02_Warehouse_Locations'!A498="","",'02_Warehouse_Locations'!A498)</f>
        <v/>
      </c>
      <c r="C499" t="str">
        <f t="shared" si="7"/>
        <v/>
      </c>
      <c r="D499" t="s">
        <v>1469</v>
      </c>
    </row>
    <row r="500" spans="1:4">
      <c r="A500" t="s">
        <v>1468</v>
      </c>
      <c r="B500" t="str">
        <f>IF('02_Warehouse_Locations'!A499="","",'02_Warehouse_Locations'!A499)</f>
        <v/>
      </c>
      <c r="C500" t="str">
        <f t="shared" si="7"/>
        <v/>
      </c>
      <c r="D500" t="s">
        <v>1469</v>
      </c>
    </row>
    <row r="501" spans="1:4">
      <c r="A501" t="s">
        <v>1468</v>
      </c>
      <c r="B501" t="str">
        <f>IF('02_Warehouse_Locations'!A500="","",'02_Warehouse_Locations'!A500)</f>
        <v/>
      </c>
      <c r="C501" t="str">
        <f t="shared" si="7"/>
        <v/>
      </c>
      <c r="D501" t="s">
        <v>1469</v>
      </c>
    </row>
    <row r="502" spans="1:4">
      <c r="A502" t="s">
        <v>1468</v>
      </c>
      <c r="B502" t="str">
        <f>IF('02_Warehouse_Locations'!A501="","",'02_Warehouse_Locations'!A501)</f>
        <v/>
      </c>
      <c r="C502" t="str">
        <f t="shared" si="7"/>
        <v/>
      </c>
      <c r="D502" t="s">
        <v>1469</v>
      </c>
    </row>
    <row r="505" spans="1:4">
      <c r="A505" s="29" t="s">
        <v>1470</v>
      </c>
    </row>
    <row r="506" spans="1:4">
      <c r="A506" t="s">
        <v>1471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1472</v>
      </c>
    </row>
    <row r="507" spans="1:4">
      <c r="A507" t="s">
        <v>1471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1472</v>
      </c>
    </row>
    <row r="508" spans="1:4">
      <c r="A508" t="s">
        <v>1471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1472</v>
      </c>
    </row>
    <row r="509" spans="1:4">
      <c r="A509" t="s">
        <v>1471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1472</v>
      </c>
    </row>
    <row r="510" spans="1:4">
      <c r="A510" t="s">
        <v>1471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1472</v>
      </c>
    </row>
    <row r="511" spans="1:4">
      <c r="A511" t="s">
        <v>1471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1472</v>
      </c>
    </row>
    <row r="512" spans="1:4">
      <c r="A512" t="s">
        <v>1471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1472</v>
      </c>
    </row>
    <row r="513" spans="1:4">
      <c r="A513" t="s">
        <v>1471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1472</v>
      </c>
    </row>
    <row r="514" spans="1:4">
      <c r="A514" t="s">
        <v>1471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1472</v>
      </c>
    </row>
    <row r="515" spans="1:4">
      <c r="A515" t="s">
        <v>1471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1472</v>
      </c>
    </row>
    <row r="516" spans="1:4">
      <c r="A516" t="s">
        <v>1471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1472</v>
      </c>
    </row>
    <row r="517" spans="1:4">
      <c r="A517" t="s">
        <v>1471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1472</v>
      </c>
    </row>
    <row r="518" spans="1:4">
      <c r="A518" t="s">
        <v>1471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1472</v>
      </c>
    </row>
    <row r="519" spans="1:4">
      <c r="A519" t="s">
        <v>1471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1472</v>
      </c>
    </row>
    <row r="520" spans="1:4">
      <c r="A520" t="s">
        <v>1471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1472</v>
      </c>
    </row>
    <row r="521" spans="1:4">
      <c r="A521" t="s">
        <v>1471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1472</v>
      </c>
    </row>
    <row r="522" spans="1:4">
      <c r="A522" t="s">
        <v>1471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1472</v>
      </c>
    </row>
    <row r="523" spans="1:4">
      <c r="A523" t="s">
        <v>1471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1472</v>
      </c>
    </row>
    <row r="524" spans="1:4">
      <c r="A524" t="s">
        <v>1471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1472</v>
      </c>
    </row>
    <row r="525" spans="1:4">
      <c r="A525" t="s">
        <v>1471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1472</v>
      </c>
    </row>
    <row r="526" spans="1:4">
      <c r="A526" t="s">
        <v>1471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1472</v>
      </c>
    </row>
    <row r="527" spans="1:4">
      <c r="A527" t="s">
        <v>1471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1472</v>
      </c>
    </row>
    <row r="528" spans="1:4">
      <c r="A528" t="s">
        <v>1471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1472</v>
      </c>
    </row>
    <row r="529" spans="1:4">
      <c r="A529" t="s">
        <v>1471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1472</v>
      </c>
    </row>
    <row r="530" spans="1:4">
      <c r="A530" t="s">
        <v>1471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1472</v>
      </c>
    </row>
    <row r="531" spans="1:4">
      <c r="A531" t="s">
        <v>1471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1472</v>
      </c>
    </row>
    <row r="532" spans="1:4">
      <c r="A532" t="s">
        <v>1471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1472</v>
      </c>
    </row>
    <row r="533" spans="1:4">
      <c r="A533" t="s">
        <v>1471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1472</v>
      </c>
    </row>
    <row r="534" spans="1:4">
      <c r="A534" t="s">
        <v>1471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1472</v>
      </c>
    </row>
    <row r="535" spans="1:4">
      <c r="A535" t="s">
        <v>1471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1472</v>
      </c>
    </row>
    <row r="536" spans="1:4">
      <c r="A536" t="s">
        <v>1471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1472</v>
      </c>
    </row>
    <row r="537" spans="1:4">
      <c r="A537" t="s">
        <v>1471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1472</v>
      </c>
    </row>
    <row r="538" spans="1:4">
      <c r="A538" t="s">
        <v>1471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1472</v>
      </c>
    </row>
    <row r="539" spans="1:4">
      <c r="A539" t="s">
        <v>1471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1472</v>
      </c>
    </row>
    <row r="540" spans="1:4">
      <c r="A540" t="s">
        <v>1471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1472</v>
      </c>
    </row>
    <row r="541" spans="1:4">
      <c r="A541" t="s">
        <v>1471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1472</v>
      </c>
    </row>
    <row r="542" spans="1:4">
      <c r="A542" t="s">
        <v>1471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1472</v>
      </c>
    </row>
    <row r="543" spans="1:4">
      <c r="A543" t="s">
        <v>1471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1472</v>
      </c>
    </row>
    <row r="544" spans="1:4">
      <c r="A544" t="s">
        <v>1471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1472</v>
      </c>
    </row>
    <row r="545" spans="1:4">
      <c r="A545" t="s">
        <v>1471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1472</v>
      </c>
    </row>
    <row r="546" spans="1:4">
      <c r="A546" t="s">
        <v>1471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1472</v>
      </c>
    </row>
    <row r="547" spans="1:4">
      <c r="A547" t="s">
        <v>1471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1472</v>
      </c>
    </row>
    <row r="548" spans="1:4">
      <c r="A548" t="s">
        <v>1471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1472</v>
      </c>
    </row>
    <row r="549" spans="1:4">
      <c r="A549" t="s">
        <v>1471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1472</v>
      </c>
    </row>
    <row r="550" spans="1:4">
      <c r="A550" t="s">
        <v>1471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1472</v>
      </c>
    </row>
    <row r="551" spans="1:4">
      <c r="A551" t="s">
        <v>1471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1472</v>
      </c>
    </row>
    <row r="552" spans="1:4">
      <c r="A552" t="s">
        <v>1471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1472</v>
      </c>
    </row>
    <row r="553" spans="1:4">
      <c r="A553" t="s">
        <v>1471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1472</v>
      </c>
    </row>
    <row r="554" spans="1:4">
      <c r="A554" t="s">
        <v>1471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1472</v>
      </c>
    </row>
    <row r="555" spans="1:4">
      <c r="A555" t="s">
        <v>1471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1472</v>
      </c>
    </row>
    <row r="556" spans="1:4">
      <c r="A556" t="s">
        <v>1471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1472</v>
      </c>
    </row>
    <row r="557" spans="1:4">
      <c r="A557" t="s">
        <v>1471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1472</v>
      </c>
    </row>
    <row r="558" spans="1:4">
      <c r="A558" t="s">
        <v>1471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1472</v>
      </c>
    </row>
    <row r="559" spans="1:4">
      <c r="A559" t="s">
        <v>1471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1472</v>
      </c>
    </row>
    <row r="560" spans="1:4">
      <c r="A560" t="s">
        <v>1471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1472</v>
      </c>
    </row>
    <row r="561" spans="1:4">
      <c r="A561" t="s">
        <v>1471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1472</v>
      </c>
    </row>
    <row r="562" spans="1:4">
      <c r="A562" t="s">
        <v>1471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1472</v>
      </c>
    </row>
    <row r="563" spans="1:4">
      <c r="A563" t="s">
        <v>1471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1472</v>
      </c>
    </row>
    <row r="564" spans="1:4">
      <c r="A564" t="s">
        <v>1471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1472</v>
      </c>
    </row>
    <row r="565" spans="1:4">
      <c r="A565" t="s">
        <v>1471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1472</v>
      </c>
    </row>
    <row r="566" spans="1:4">
      <c r="A566" t="s">
        <v>1471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1472</v>
      </c>
    </row>
    <row r="567" spans="1:4">
      <c r="A567" t="s">
        <v>1471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1472</v>
      </c>
    </row>
    <row r="568" spans="1:4">
      <c r="A568" t="s">
        <v>1471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1472</v>
      </c>
    </row>
    <row r="569" spans="1:4">
      <c r="A569" t="s">
        <v>1471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1472</v>
      </c>
    </row>
    <row r="570" spans="1:4">
      <c r="A570" t="s">
        <v>1471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1472</v>
      </c>
    </row>
    <row r="571" spans="1:4">
      <c r="A571" t="s">
        <v>1471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1472</v>
      </c>
    </row>
    <row r="572" spans="1:4">
      <c r="A572" t="s">
        <v>1471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1472</v>
      </c>
    </row>
    <row r="573" spans="1:4">
      <c r="A573" t="s">
        <v>1471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1472</v>
      </c>
    </row>
    <row r="574" spans="1:4">
      <c r="A574" t="s">
        <v>1471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1472</v>
      </c>
    </row>
    <row r="575" spans="1:4">
      <c r="A575" t="s">
        <v>1471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1472</v>
      </c>
    </row>
    <row r="576" spans="1:4">
      <c r="A576" t="s">
        <v>1471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1472</v>
      </c>
    </row>
    <row r="577" spans="1:4">
      <c r="A577" t="s">
        <v>1471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1472</v>
      </c>
    </row>
    <row r="578" spans="1:4">
      <c r="A578" t="s">
        <v>1471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1472</v>
      </c>
    </row>
    <row r="579" spans="1:4">
      <c r="A579" t="s">
        <v>1471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1472</v>
      </c>
    </row>
    <row r="580" spans="1:4">
      <c r="A580" t="s">
        <v>1471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1472</v>
      </c>
    </row>
    <row r="581" spans="1:4">
      <c r="A581" t="s">
        <v>1471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1472</v>
      </c>
    </row>
    <row r="582" spans="1:4">
      <c r="A582" t="s">
        <v>1471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1472</v>
      </c>
    </row>
    <row r="583" spans="1:4">
      <c r="A583" t="s">
        <v>1471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1472</v>
      </c>
    </row>
    <row r="584" spans="1:4">
      <c r="A584" t="s">
        <v>1471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1472</v>
      </c>
    </row>
    <row r="585" spans="1:4">
      <c r="A585" t="s">
        <v>1471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1472</v>
      </c>
    </row>
    <row r="586" spans="1:4">
      <c r="A586" t="s">
        <v>1471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1472</v>
      </c>
    </row>
    <row r="587" spans="1:4">
      <c r="A587" t="s">
        <v>1471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1472</v>
      </c>
    </row>
    <row r="588" spans="1:4">
      <c r="A588" t="s">
        <v>1471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1472</v>
      </c>
    </row>
    <row r="589" spans="1:4">
      <c r="A589" t="s">
        <v>1471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1472</v>
      </c>
    </row>
    <row r="590" spans="1:4">
      <c r="A590" t="s">
        <v>1471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1472</v>
      </c>
    </row>
    <row r="591" spans="1:4">
      <c r="A591" t="s">
        <v>1471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1472</v>
      </c>
    </row>
    <row r="592" spans="1:4">
      <c r="A592" t="s">
        <v>1471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1472</v>
      </c>
    </row>
    <row r="593" spans="1:4">
      <c r="A593" t="s">
        <v>1471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1472</v>
      </c>
    </row>
    <row r="594" spans="1:4">
      <c r="A594" t="s">
        <v>1471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1472</v>
      </c>
    </row>
    <row r="595" spans="1:4">
      <c r="A595" t="s">
        <v>1471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1472</v>
      </c>
    </row>
    <row r="596" spans="1:4">
      <c r="A596" t="s">
        <v>1471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1472</v>
      </c>
    </row>
    <row r="597" spans="1:4">
      <c r="A597" t="s">
        <v>1471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1472</v>
      </c>
    </row>
    <row r="598" spans="1:4">
      <c r="A598" t="s">
        <v>1471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1472</v>
      </c>
    </row>
    <row r="599" spans="1:4">
      <c r="A599" t="s">
        <v>1471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1472</v>
      </c>
    </row>
    <row r="600" spans="1:4">
      <c r="A600" t="s">
        <v>1471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1472</v>
      </c>
    </row>
    <row r="601" spans="1:4">
      <c r="A601" t="s">
        <v>1471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1472</v>
      </c>
    </row>
    <row r="602" spans="1:4">
      <c r="A602" t="s">
        <v>1471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1472</v>
      </c>
    </row>
    <row r="603" spans="1:4">
      <c r="A603" t="s">
        <v>1471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1472</v>
      </c>
    </row>
    <row r="604" spans="1:4">
      <c r="A604" t="s">
        <v>1471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1472</v>
      </c>
    </row>
    <row r="605" spans="1:4">
      <c r="A605" t="s">
        <v>1471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1472</v>
      </c>
    </row>
    <row r="606" spans="1:4">
      <c r="A606" t="s">
        <v>1471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1472</v>
      </c>
    </row>
    <row r="607" spans="1:4">
      <c r="A607" t="s">
        <v>1471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1472</v>
      </c>
    </row>
    <row r="608" spans="1:4">
      <c r="A608" t="s">
        <v>1471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1472</v>
      </c>
    </row>
    <row r="609" spans="1:4">
      <c r="A609" t="s">
        <v>1471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1472</v>
      </c>
    </row>
    <row r="610" spans="1:4">
      <c r="A610" t="s">
        <v>1471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1472</v>
      </c>
    </row>
    <row r="611" spans="1:4">
      <c r="A611" t="s">
        <v>1471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1472</v>
      </c>
    </row>
    <row r="612" spans="1:4">
      <c r="A612" t="s">
        <v>1471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1472</v>
      </c>
    </row>
    <row r="613" spans="1:4">
      <c r="A613" t="s">
        <v>1471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1472</v>
      </c>
    </row>
    <row r="614" spans="1:4">
      <c r="A614" t="s">
        <v>1471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1472</v>
      </c>
    </row>
    <row r="615" spans="1:4">
      <c r="A615" t="s">
        <v>1471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1472</v>
      </c>
    </row>
    <row r="616" spans="1:4">
      <c r="A616" t="s">
        <v>1471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1472</v>
      </c>
    </row>
    <row r="617" spans="1:4">
      <c r="A617" t="s">
        <v>1471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1472</v>
      </c>
    </row>
    <row r="618" spans="1:4">
      <c r="A618" t="s">
        <v>1471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1472</v>
      </c>
    </row>
    <row r="619" spans="1:4">
      <c r="A619" t="s">
        <v>1471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1472</v>
      </c>
    </row>
    <row r="620" spans="1:4">
      <c r="A620" t="s">
        <v>1471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1472</v>
      </c>
    </row>
    <row r="621" spans="1:4">
      <c r="A621" t="s">
        <v>1471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1472</v>
      </c>
    </row>
    <row r="622" spans="1:4">
      <c r="A622" t="s">
        <v>1471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1472</v>
      </c>
    </row>
    <row r="623" spans="1:4">
      <c r="A623" t="s">
        <v>1471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1472</v>
      </c>
    </row>
    <row r="624" spans="1:4">
      <c r="A624" t="s">
        <v>1471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1472</v>
      </c>
    </row>
    <row r="625" spans="1:4">
      <c r="A625" t="s">
        <v>1471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1472</v>
      </c>
    </row>
    <row r="626" spans="1:4">
      <c r="A626" t="s">
        <v>1471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1472</v>
      </c>
    </row>
    <row r="627" spans="1:4">
      <c r="A627" t="s">
        <v>1471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1472</v>
      </c>
    </row>
    <row r="628" spans="1:4">
      <c r="A628" t="s">
        <v>1471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1472</v>
      </c>
    </row>
    <row r="629" spans="1:4">
      <c r="A629" t="s">
        <v>1471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1472</v>
      </c>
    </row>
    <row r="630" spans="1:4">
      <c r="A630" t="s">
        <v>1471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1472</v>
      </c>
    </row>
    <row r="631" spans="1:4">
      <c r="A631" t="s">
        <v>1471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1472</v>
      </c>
    </row>
    <row r="632" spans="1:4">
      <c r="A632" t="s">
        <v>1471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1472</v>
      </c>
    </row>
    <row r="633" spans="1:4">
      <c r="A633" t="s">
        <v>1471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1472</v>
      </c>
    </row>
    <row r="634" spans="1:4">
      <c r="A634" t="s">
        <v>1471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1472</v>
      </c>
    </row>
    <row r="635" spans="1:4">
      <c r="A635" t="s">
        <v>1471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1472</v>
      </c>
    </row>
    <row r="636" spans="1:4">
      <c r="A636" t="s">
        <v>1471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1472</v>
      </c>
    </row>
    <row r="637" spans="1:4">
      <c r="A637" t="s">
        <v>1471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1472</v>
      </c>
    </row>
    <row r="638" spans="1:4">
      <c r="A638" t="s">
        <v>1471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1472</v>
      </c>
    </row>
    <row r="639" spans="1:4">
      <c r="A639" t="s">
        <v>1471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1472</v>
      </c>
    </row>
    <row r="640" spans="1:4">
      <c r="A640" t="s">
        <v>1471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1472</v>
      </c>
    </row>
    <row r="641" spans="1:4">
      <c r="A641" t="s">
        <v>1471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1472</v>
      </c>
    </row>
    <row r="642" spans="1:4">
      <c r="A642" t="s">
        <v>1471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1472</v>
      </c>
    </row>
    <row r="643" spans="1:4">
      <c r="A643" t="s">
        <v>1471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1472</v>
      </c>
    </row>
    <row r="644" spans="1:4">
      <c r="A644" t="s">
        <v>1471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1472</v>
      </c>
    </row>
    <row r="645" spans="1:4">
      <c r="A645" t="s">
        <v>1471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1472</v>
      </c>
    </row>
    <row r="646" spans="1:4">
      <c r="A646" t="s">
        <v>1471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1472</v>
      </c>
    </row>
    <row r="647" spans="1:4">
      <c r="A647" t="s">
        <v>1471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1472</v>
      </c>
    </row>
    <row r="648" spans="1:4">
      <c r="A648" t="s">
        <v>1471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1472</v>
      </c>
    </row>
    <row r="649" spans="1:4">
      <c r="A649" t="s">
        <v>1471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1472</v>
      </c>
    </row>
    <row r="650" spans="1:4">
      <c r="A650" t="s">
        <v>1471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1472</v>
      </c>
    </row>
    <row r="651" spans="1:4">
      <c r="A651" t="s">
        <v>1471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1472</v>
      </c>
    </row>
    <row r="652" spans="1:4">
      <c r="A652" t="s">
        <v>1471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1472</v>
      </c>
    </row>
    <row r="653" spans="1:4">
      <c r="A653" t="s">
        <v>1471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1472</v>
      </c>
    </row>
    <row r="654" spans="1:4">
      <c r="A654" t="s">
        <v>1471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1472</v>
      </c>
    </row>
    <row r="655" spans="1:4">
      <c r="A655" t="s">
        <v>1471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1472</v>
      </c>
    </row>
    <row r="656" spans="1:4">
      <c r="A656" t="s">
        <v>1471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1472</v>
      </c>
    </row>
    <row r="657" spans="1:4">
      <c r="A657" t="s">
        <v>1471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1472</v>
      </c>
    </row>
    <row r="658" spans="1:4">
      <c r="A658" t="s">
        <v>1471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1472</v>
      </c>
    </row>
    <row r="659" spans="1:4">
      <c r="A659" t="s">
        <v>1471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1472</v>
      </c>
    </row>
    <row r="660" spans="1:4">
      <c r="A660" t="s">
        <v>1471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1472</v>
      </c>
    </row>
    <row r="661" spans="1:4">
      <c r="A661" t="s">
        <v>1471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1472</v>
      </c>
    </row>
    <row r="662" spans="1:4">
      <c r="A662" t="s">
        <v>1471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1472</v>
      </c>
    </row>
    <row r="663" spans="1:4">
      <c r="A663" t="s">
        <v>1471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1472</v>
      </c>
    </row>
    <row r="664" spans="1:4">
      <c r="A664" t="s">
        <v>1471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1472</v>
      </c>
    </row>
    <row r="665" spans="1:4">
      <c r="A665" t="s">
        <v>1471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1472</v>
      </c>
    </row>
    <row r="666" spans="1:4">
      <c r="A666" t="s">
        <v>1471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1472</v>
      </c>
    </row>
    <row r="667" spans="1:4">
      <c r="A667" t="s">
        <v>1471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1472</v>
      </c>
    </row>
    <row r="668" spans="1:4">
      <c r="A668" t="s">
        <v>1471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1472</v>
      </c>
    </row>
    <row r="669" spans="1:4">
      <c r="A669" t="s">
        <v>1471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1472</v>
      </c>
    </row>
    <row r="670" spans="1:4">
      <c r="A670" t="s">
        <v>1471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1472</v>
      </c>
    </row>
    <row r="671" spans="1:4">
      <c r="A671" t="s">
        <v>1471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1472</v>
      </c>
    </row>
    <row r="672" spans="1:4">
      <c r="A672" t="s">
        <v>1471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1472</v>
      </c>
    </row>
    <row r="673" spans="1:4">
      <c r="A673" t="s">
        <v>1471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1472</v>
      </c>
    </row>
    <row r="674" spans="1:4">
      <c r="A674" t="s">
        <v>1471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1472</v>
      </c>
    </row>
    <row r="675" spans="1:4">
      <c r="A675" t="s">
        <v>1471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1472</v>
      </c>
    </row>
    <row r="676" spans="1:4">
      <c r="A676" t="s">
        <v>1471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1472</v>
      </c>
    </row>
    <row r="677" spans="1:4">
      <c r="A677" t="s">
        <v>1471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1472</v>
      </c>
    </row>
    <row r="678" spans="1:4">
      <c r="A678" t="s">
        <v>1471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1472</v>
      </c>
    </row>
    <row r="679" spans="1:4">
      <c r="A679" t="s">
        <v>1471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1472</v>
      </c>
    </row>
    <row r="680" spans="1:4">
      <c r="A680" t="s">
        <v>1471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1472</v>
      </c>
    </row>
    <row r="681" spans="1:4">
      <c r="A681" t="s">
        <v>1471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1472</v>
      </c>
    </row>
    <row r="682" spans="1:4">
      <c r="A682" t="s">
        <v>1471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1472</v>
      </c>
    </row>
    <row r="683" spans="1:4">
      <c r="A683" t="s">
        <v>1471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1472</v>
      </c>
    </row>
    <row r="684" spans="1:4">
      <c r="A684" t="s">
        <v>1471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1472</v>
      </c>
    </row>
    <row r="685" spans="1:4">
      <c r="A685" t="s">
        <v>1471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1472</v>
      </c>
    </row>
    <row r="686" spans="1:4">
      <c r="A686" t="s">
        <v>1471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1472</v>
      </c>
    </row>
    <row r="687" spans="1:4">
      <c r="A687" t="s">
        <v>1471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1472</v>
      </c>
    </row>
    <row r="688" spans="1:4">
      <c r="A688" t="s">
        <v>1471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1472</v>
      </c>
    </row>
    <row r="689" spans="1:4">
      <c r="A689" t="s">
        <v>1471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1472</v>
      </c>
    </row>
    <row r="690" spans="1:4">
      <c r="A690" t="s">
        <v>1471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1472</v>
      </c>
    </row>
    <row r="691" spans="1:4">
      <c r="A691" t="s">
        <v>1471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1472</v>
      </c>
    </row>
    <row r="692" spans="1:4">
      <c r="A692" t="s">
        <v>1471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1472</v>
      </c>
    </row>
    <row r="693" spans="1:4">
      <c r="A693" t="s">
        <v>1471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1472</v>
      </c>
    </row>
    <row r="694" spans="1:4">
      <c r="A694" t="s">
        <v>1471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1472</v>
      </c>
    </row>
    <row r="695" spans="1:4">
      <c r="A695" t="s">
        <v>1471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1472</v>
      </c>
    </row>
    <row r="696" spans="1:4">
      <c r="A696" t="s">
        <v>1471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1472</v>
      </c>
    </row>
    <row r="697" spans="1:4">
      <c r="A697" t="s">
        <v>1471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1472</v>
      </c>
    </row>
    <row r="698" spans="1:4">
      <c r="A698" t="s">
        <v>1471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1472</v>
      </c>
    </row>
    <row r="699" spans="1:4">
      <c r="A699" t="s">
        <v>1471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1472</v>
      </c>
    </row>
    <row r="700" spans="1:4">
      <c r="A700" t="s">
        <v>1471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1472</v>
      </c>
    </row>
    <row r="701" spans="1:4">
      <c r="A701" t="s">
        <v>1471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1472</v>
      </c>
    </row>
    <row r="702" spans="1:4">
      <c r="A702" t="s">
        <v>1471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1472</v>
      </c>
    </row>
    <row r="703" spans="1:4">
      <c r="A703" t="s">
        <v>1471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1472</v>
      </c>
    </row>
    <row r="704" spans="1:4">
      <c r="A704" t="s">
        <v>1471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1472</v>
      </c>
    </row>
    <row r="705" spans="1:4">
      <c r="A705" t="s">
        <v>1471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1472</v>
      </c>
    </row>
    <row r="706" spans="1:4">
      <c r="A706" t="s">
        <v>1471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1472</v>
      </c>
    </row>
    <row r="707" spans="1:4">
      <c r="A707" t="s">
        <v>1471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1472</v>
      </c>
    </row>
    <row r="708" spans="1:4">
      <c r="A708" t="s">
        <v>1471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1472</v>
      </c>
    </row>
    <row r="709" spans="1:4">
      <c r="A709" t="s">
        <v>1471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1472</v>
      </c>
    </row>
    <row r="710" spans="1:4">
      <c r="A710" t="s">
        <v>1471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1472</v>
      </c>
    </row>
    <row r="711" spans="1:4">
      <c r="A711" t="s">
        <v>1471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1472</v>
      </c>
    </row>
    <row r="712" spans="1:4">
      <c r="A712" t="s">
        <v>1471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1472</v>
      </c>
    </row>
    <row r="713" spans="1:4">
      <c r="A713" t="s">
        <v>1471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1472</v>
      </c>
    </row>
    <row r="714" spans="1:4">
      <c r="A714" t="s">
        <v>1471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1472</v>
      </c>
    </row>
    <row r="715" spans="1:4">
      <c r="A715" t="s">
        <v>1471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1472</v>
      </c>
    </row>
    <row r="716" spans="1:4">
      <c r="A716" t="s">
        <v>1471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1472</v>
      </c>
    </row>
    <row r="717" spans="1:4">
      <c r="A717" t="s">
        <v>1471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1472</v>
      </c>
    </row>
    <row r="718" spans="1:4">
      <c r="A718" t="s">
        <v>1471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1472</v>
      </c>
    </row>
    <row r="719" spans="1:4">
      <c r="A719" t="s">
        <v>1471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1472</v>
      </c>
    </row>
    <row r="720" spans="1:4">
      <c r="A720" t="s">
        <v>1471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1472</v>
      </c>
    </row>
    <row r="721" spans="1:4">
      <c r="A721" t="s">
        <v>1471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1472</v>
      </c>
    </row>
    <row r="722" spans="1:4">
      <c r="A722" t="s">
        <v>1471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1472</v>
      </c>
    </row>
    <row r="723" spans="1:4">
      <c r="A723" t="s">
        <v>1471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1472</v>
      </c>
    </row>
    <row r="724" spans="1:4">
      <c r="A724" t="s">
        <v>1471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1472</v>
      </c>
    </row>
    <row r="725" spans="1:4">
      <c r="A725" t="s">
        <v>1471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1472</v>
      </c>
    </row>
    <row r="726" spans="1:4">
      <c r="A726" t="s">
        <v>1471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1472</v>
      </c>
    </row>
    <row r="727" spans="1:4">
      <c r="A727" t="s">
        <v>1471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1472</v>
      </c>
    </row>
    <row r="728" spans="1:4">
      <c r="A728" t="s">
        <v>1471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1472</v>
      </c>
    </row>
    <row r="729" spans="1:4">
      <c r="A729" t="s">
        <v>1471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1472</v>
      </c>
    </row>
    <row r="730" spans="1:4">
      <c r="A730" t="s">
        <v>1471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1472</v>
      </c>
    </row>
    <row r="731" spans="1:4">
      <c r="A731" t="s">
        <v>1471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1472</v>
      </c>
    </row>
    <row r="732" spans="1:4">
      <c r="A732" t="s">
        <v>1471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1472</v>
      </c>
    </row>
    <row r="733" spans="1:4">
      <c r="A733" t="s">
        <v>1471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1472</v>
      </c>
    </row>
    <row r="734" spans="1:4">
      <c r="A734" t="s">
        <v>1471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1472</v>
      </c>
    </row>
    <row r="735" spans="1:4">
      <c r="A735" t="s">
        <v>1471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1472</v>
      </c>
    </row>
    <row r="736" spans="1:4">
      <c r="A736" t="s">
        <v>1471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1472</v>
      </c>
    </row>
    <row r="737" spans="1:4">
      <c r="A737" t="s">
        <v>1471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1472</v>
      </c>
    </row>
    <row r="738" spans="1:4">
      <c r="A738" t="s">
        <v>1471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1472</v>
      </c>
    </row>
    <row r="739" spans="1:4">
      <c r="A739" t="s">
        <v>1471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1472</v>
      </c>
    </row>
    <row r="740" spans="1:4">
      <c r="A740" t="s">
        <v>1471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1472</v>
      </c>
    </row>
    <row r="741" spans="1:4">
      <c r="A741" t="s">
        <v>1471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1472</v>
      </c>
    </row>
    <row r="742" spans="1:4">
      <c r="A742" t="s">
        <v>1471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1472</v>
      </c>
    </row>
    <row r="743" spans="1:4">
      <c r="A743" t="s">
        <v>1471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1472</v>
      </c>
    </row>
    <row r="744" spans="1:4">
      <c r="A744" t="s">
        <v>1471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1472</v>
      </c>
    </row>
    <row r="745" spans="1:4">
      <c r="A745" t="s">
        <v>1471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1472</v>
      </c>
    </row>
    <row r="746" spans="1:4">
      <c r="A746" t="s">
        <v>1471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1472</v>
      </c>
    </row>
    <row r="747" spans="1:4">
      <c r="A747" t="s">
        <v>1471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1472</v>
      </c>
    </row>
    <row r="748" spans="1:4">
      <c r="A748" t="s">
        <v>1471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1472</v>
      </c>
    </row>
    <row r="749" spans="1:4">
      <c r="A749" t="s">
        <v>1471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1472</v>
      </c>
    </row>
    <row r="750" spans="1:4">
      <c r="A750" t="s">
        <v>1471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1472</v>
      </c>
    </row>
    <row r="751" spans="1:4">
      <c r="A751" t="s">
        <v>1471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1472</v>
      </c>
    </row>
    <row r="752" spans="1:4">
      <c r="A752" t="s">
        <v>1471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1472</v>
      </c>
    </row>
    <row r="753" spans="1:4">
      <c r="A753" t="s">
        <v>1471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1472</v>
      </c>
    </row>
    <row r="754" spans="1:4">
      <c r="A754" t="s">
        <v>1471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1472</v>
      </c>
    </row>
    <row r="755" spans="1:4">
      <c r="A755" t="s">
        <v>1471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1472</v>
      </c>
    </row>
    <row r="756" spans="1:4">
      <c r="A756" t="s">
        <v>1471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1472</v>
      </c>
    </row>
    <row r="757" spans="1:4">
      <c r="A757" t="s">
        <v>1471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1472</v>
      </c>
    </row>
    <row r="758" spans="1:4">
      <c r="A758" t="s">
        <v>1471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1472</v>
      </c>
    </row>
    <row r="759" spans="1:4">
      <c r="A759" t="s">
        <v>1471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1472</v>
      </c>
    </row>
    <row r="760" spans="1:4">
      <c r="A760" t="s">
        <v>1471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1472</v>
      </c>
    </row>
    <row r="761" spans="1:4">
      <c r="A761" t="s">
        <v>1471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1472</v>
      </c>
    </row>
    <row r="762" spans="1:4">
      <c r="A762" t="s">
        <v>1471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1472</v>
      </c>
    </row>
    <row r="763" spans="1:4">
      <c r="A763" t="s">
        <v>1471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1472</v>
      </c>
    </row>
    <row r="764" spans="1:4">
      <c r="A764" t="s">
        <v>1471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1472</v>
      </c>
    </row>
    <row r="765" spans="1:4">
      <c r="A765" t="s">
        <v>1471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1472</v>
      </c>
    </row>
    <row r="766" spans="1:4">
      <c r="A766" t="s">
        <v>1471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1472</v>
      </c>
    </row>
    <row r="767" spans="1:4">
      <c r="A767" t="s">
        <v>1471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1472</v>
      </c>
    </row>
    <row r="768" spans="1:4">
      <c r="A768" t="s">
        <v>1471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1472</v>
      </c>
    </row>
    <row r="769" spans="1:4">
      <c r="A769" t="s">
        <v>1471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1472</v>
      </c>
    </row>
    <row r="770" spans="1:4">
      <c r="A770" t="s">
        <v>1471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1472</v>
      </c>
    </row>
    <row r="771" spans="1:4">
      <c r="A771" t="s">
        <v>1471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1472</v>
      </c>
    </row>
    <row r="772" spans="1:4">
      <c r="A772" t="s">
        <v>1471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1472</v>
      </c>
    </row>
    <row r="773" spans="1:4">
      <c r="A773" t="s">
        <v>1471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1472</v>
      </c>
    </row>
    <row r="774" spans="1:4">
      <c r="A774" t="s">
        <v>1471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1472</v>
      </c>
    </row>
    <row r="775" spans="1:4">
      <c r="A775" t="s">
        <v>1471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1472</v>
      </c>
    </row>
    <row r="776" spans="1:4">
      <c r="A776" t="s">
        <v>1471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1472</v>
      </c>
    </row>
    <row r="777" spans="1:4">
      <c r="A777" t="s">
        <v>1471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1472</v>
      </c>
    </row>
    <row r="778" spans="1:4">
      <c r="A778" t="s">
        <v>1471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1472</v>
      </c>
    </row>
    <row r="779" spans="1:4">
      <c r="A779" t="s">
        <v>1471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1472</v>
      </c>
    </row>
    <row r="780" spans="1:4">
      <c r="A780" t="s">
        <v>1471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1472</v>
      </c>
    </row>
    <row r="781" spans="1:4">
      <c r="A781" t="s">
        <v>1471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1472</v>
      </c>
    </row>
    <row r="782" spans="1:4">
      <c r="A782" t="s">
        <v>1471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1472</v>
      </c>
    </row>
    <row r="783" spans="1:4">
      <c r="A783" t="s">
        <v>1471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1472</v>
      </c>
    </row>
    <row r="784" spans="1:4">
      <c r="A784" t="s">
        <v>1471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1472</v>
      </c>
    </row>
    <row r="785" spans="1:4">
      <c r="A785" t="s">
        <v>1471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1472</v>
      </c>
    </row>
    <row r="786" spans="1:4">
      <c r="A786" t="s">
        <v>1471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1472</v>
      </c>
    </row>
    <row r="787" spans="1:4">
      <c r="A787" t="s">
        <v>1471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1472</v>
      </c>
    </row>
    <row r="788" spans="1:4">
      <c r="A788" t="s">
        <v>1471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1472</v>
      </c>
    </row>
    <row r="789" spans="1:4">
      <c r="A789" t="s">
        <v>1471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1472</v>
      </c>
    </row>
    <row r="790" spans="1:4">
      <c r="A790" t="s">
        <v>1471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1472</v>
      </c>
    </row>
    <row r="791" spans="1:4">
      <c r="A791" t="s">
        <v>1471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1472</v>
      </c>
    </row>
    <row r="792" spans="1:4">
      <c r="A792" t="s">
        <v>1471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1472</v>
      </c>
    </row>
    <row r="793" spans="1:4">
      <c r="A793" t="s">
        <v>1471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1472</v>
      </c>
    </row>
    <row r="794" spans="1:4">
      <c r="A794" t="s">
        <v>1471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1472</v>
      </c>
    </row>
    <row r="795" spans="1:4">
      <c r="A795" t="s">
        <v>1471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1472</v>
      </c>
    </row>
    <row r="796" spans="1:4">
      <c r="A796" t="s">
        <v>1471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1472</v>
      </c>
    </row>
    <row r="797" spans="1:4">
      <c r="A797" t="s">
        <v>1471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1472</v>
      </c>
    </row>
    <row r="798" spans="1:4">
      <c r="A798" t="s">
        <v>1471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1472</v>
      </c>
    </row>
    <row r="799" spans="1:4">
      <c r="A799" t="s">
        <v>1471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1472</v>
      </c>
    </row>
    <row r="800" spans="1:4">
      <c r="A800" t="s">
        <v>1471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1472</v>
      </c>
    </row>
    <row r="801" spans="1:4">
      <c r="A801" t="s">
        <v>1471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1472</v>
      </c>
    </row>
    <row r="802" spans="1:4">
      <c r="A802" t="s">
        <v>1471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1472</v>
      </c>
    </row>
    <row r="803" spans="1:4">
      <c r="A803" t="s">
        <v>1471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1472</v>
      </c>
    </row>
    <row r="804" spans="1:4">
      <c r="A804" t="s">
        <v>1471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1472</v>
      </c>
    </row>
    <row r="805" spans="1:4">
      <c r="A805" t="s">
        <v>1471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1472</v>
      </c>
    </row>
    <row r="806" spans="1:4">
      <c r="A806" t="s">
        <v>1471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1472</v>
      </c>
    </row>
    <row r="807" spans="1:4">
      <c r="A807" t="s">
        <v>1471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1472</v>
      </c>
    </row>
    <row r="808" spans="1:4">
      <c r="A808" t="s">
        <v>1471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1472</v>
      </c>
    </row>
    <row r="809" spans="1:4">
      <c r="A809" t="s">
        <v>1471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1472</v>
      </c>
    </row>
    <row r="810" spans="1:4">
      <c r="A810" t="s">
        <v>1471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1472</v>
      </c>
    </row>
    <row r="811" spans="1:4">
      <c r="A811" t="s">
        <v>1471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1472</v>
      </c>
    </row>
    <row r="812" spans="1:4">
      <c r="A812" t="s">
        <v>1471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1472</v>
      </c>
    </row>
    <row r="813" spans="1:4">
      <c r="A813" t="s">
        <v>1471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1472</v>
      </c>
    </row>
    <row r="814" spans="1:4">
      <c r="A814" t="s">
        <v>1471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1472</v>
      </c>
    </row>
    <row r="815" spans="1:4">
      <c r="A815" t="s">
        <v>1471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1472</v>
      </c>
    </row>
    <row r="816" spans="1:4">
      <c r="A816" t="s">
        <v>1471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1472</v>
      </c>
    </row>
    <row r="817" spans="1:4">
      <c r="A817" t="s">
        <v>1471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1472</v>
      </c>
    </row>
    <row r="818" spans="1:4">
      <c r="A818" t="s">
        <v>1471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1472</v>
      </c>
    </row>
    <row r="819" spans="1:4">
      <c r="A819" t="s">
        <v>1471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1472</v>
      </c>
    </row>
    <row r="820" spans="1:4">
      <c r="A820" t="s">
        <v>1471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1472</v>
      </c>
    </row>
    <row r="821" spans="1:4">
      <c r="A821" t="s">
        <v>1471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1472</v>
      </c>
    </row>
    <row r="822" spans="1:4">
      <c r="A822" t="s">
        <v>1471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1472</v>
      </c>
    </row>
    <row r="823" spans="1:4">
      <c r="A823" t="s">
        <v>1471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1472</v>
      </c>
    </row>
    <row r="824" spans="1:4">
      <c r="A824" t="s">
        <v>1471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1472</v>
      </c>
    </row>
    <row r="825" spans="1:4">
      <c r="A825" t="s">
        <v>1471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1472</v>
      </c>
    </row>
    <row r="826" spans="1:4">
      <c r="A826" t="s">
        <v>1471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1472</v>
      </c>
    </row>
    <row r="827" spans="1:4">
      <c r="A827" t="s">
        <v>1471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1472</v>
      </c>
    </row>
    <row r="828" spans="1:4">
      <c r="A828" t="s">
        <v>1471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1472</v>
      </c>
    </row>
    <row r="829" spans="1:4">
      <c r="A829" t="s">
        <v>1471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1472</v>
      </c>
    </row>
    <row r="830" spans="1:4">
      <c r="A830" t="s">
        <v>1471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1472</v>
      </c>
    </row>
    <row r="831" spans="1:4">
      <c r="A831" t="s">
        <v>1471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1472</v>
      </c>
    </row>
    <row r="832" spans="1:4">
      <c r="A832" t="s">
        <v>1471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1472</v>
      </c>
    </row>
    <row r="833" spans="1:4">
      <c r="A833" t="s">
        <v>1471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1472</v>
      </c>
    </row>
    <row r="834" spans="1:4">
      <c r="A834" t="s">
        <v>1471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1472</v>
      </c>
    </row>
    <row r="835" spans="1:4">
      <c r="A835" t="s">
        <v>1471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1472</v>
      </c>
    </row>
    <row r="836" spans="1:4">
      <c r="A836" t="s">
        <v>1471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1472</v>
      </c>
    </row>
    <row r="837" spans="1:4">
      <c r="A837" t="s">
        <v>1471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1472</v>
      </c>
    </row>
    <row r="838" spans="1:4">
      <c r="A838" t="s">
        <v>1471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1472</v>
      </c>
    </row>
    <row r="839" spans="1:4">
      <c r="A839" t="s">
        <v>1471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1472</v>
      </c>
    </row>
    <row r="840" spans="1:4">
      <c r="A840" t="s">
        <v>1471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1472</v>
      </c>
    </row>
    <row r="841" spans="1:4">
      <c r="A841" t="s">
        <v>1471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1472</v>
      </c>
    </row>
    <row r="842" spans="1:4">
      <c r="A842" t="s">
        <v>1471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1472</v>
      </c>
    </row>
    <row r="843" spans="1:4">
      <c r="A843" t="s">
        <v>1471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1472</v>
      </c>
    </row>
    <row r="844" spans="1:4">
      <c r="A844" t="s">
        <v>1471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1472</v>
      </c>
    </row>
    <row r="845" spans="1:4">
      <c r="A845" t="s">
        <v>1471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1472</v>
      </c>
    </row>
    <row r="846" spans="1:4">
      <c r="A846" t="s">
        <v>1471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1472</v>
      </c>
    </row>
    <row r="847" spans="1:4">
      <c r="A847" t="s">
        <v>1471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1472</v>
      </c>
    </row>
    <row r="848" spans="1:4">
      <c r="A848" t="s">
        <v>1471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1472</v>
      </c>
    </row>
    <row r="849" spans="1:4">
      <c r="A849" t="s">
        <v>1471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1472</v>
      </c>
    </row>
    <row r="850" spans="1:4">
      <c r="A850" t="s">
        <v>1471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1472</v>
      </c>
    </row>
    <row r="851" spans="1:4">
      <c r="A851" t="s">
        <v>1471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1472</v>
      </c>
    </row>
    <row r="852" spans="1:4">
      <c r="A852" t="s">
        <v>1471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1472</v>
      </c>
    </row>
    <row r="853" spans="1:4">
      <c r="A853" t="s">
        <v>1471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1472</v>
      </c>
    </row>
    <row r="854" spans="1:4">
      <c r="A854" t="s">
        <v>1471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1472</v>
      </c>
    </row>
    <row r="855" spans="1:4">
      <c r="A855" t="s">
        <v>1471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1472</v>
      </c>
    </row>
    <row r="856" spans="1:4">
      <c r="A856" t="s">
        <v>1471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1472</v>
      </c>
    </row>
    <row r="857" spans="1:4">
      <c r="A857" t="s">
        <v>1471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1472</v>
      </c>
    </row>
    <row r="858" spans="1:4">
      <c r="A858" t="s">
        <v>1471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1472</v>
      </c>
    </row>
    <row r="859" spans="1:4">
      <c r="A859" t="s">
        <v>1471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1472</v>
      </c>
    </row>
    <row r="860" spans="1:4">
      <c r="A860" t="s">
        <v>1471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1472</v>
      </c>
    </row>
    <row r="861" spans="1:4">
      <c r="A861" t="s">
        <v>1471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1472</v>
      </c>
    </row>
    <row r="862" spans="1:4">
      <c r="A862" t="s">
        <v>1471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1472</v>
      </c>
    </row>
    <row r="863" spans="1:4">
      <c r="A863" t="s">
        <v>1471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1472</v>
      </c>
    </row>
    <row r="864" spans="1:4">
      <c r="A864" t="s">
        <v>1471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1472</v>
      </c>
    </row>
    <row r="865" spans="1:4">
      <c r="A865" t="s">
        <v>1471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1472</v>
      </c>
    </row>
    <row r="866" spans="1:4">
      <c r="A866" t="s">
        <v>1471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1472</v>
      </c>
    </row>
    <row r="867" spans="1:4">
      <c r="A867" t="s">
        <v>1471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1472</v>
      </c>
    </row>
    <row r="868" spans="1:4">
      <c r="A868" t="s">
        <v>1471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1472</v>
      </c>
    </row>
    <row r="869" spans="1:4">
      <c r="A869" t="s">
        <v>1471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1472</v>
      </c>
    </row>
    <row r="870" spans="1:4">
      <c r="A870" t="s">
        <v>1471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1472</v>
      </c>
    </row>
    <row r="871" spans="1:4">
      <c r="A871" t="s">
        <v>1471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1472</v>
      </c>
    </row>
    <row r="872" spans="1:4">
      <c r="A872" t="s">
        <v>1471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1472</v>
      </c>
    </row>
    <row r="873" spans="1:4">
      <c r="A873" t="s">
        <v>1471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1472</v>
      </c>
    </row>
    <row r="874" spans="1:4">
      <c r="A874" t="s">
        <v>1471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1472</v>
      </c>
    </row>
    <row r="875" spans="1:4">
      <c r="A875" t="s">
        <v>1471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1472</v>
      </c>
    </row>
    <row r="876" spans="1:4">
      <c r="A876" t="s">
        <v>1471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1472</v>
      </c>
    </row>
    <row r="877" spans="1:4">
      <c r="A877" t="s">
        <v>1471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1472</v>
      </c>
    </row>
    <row r="878" spans="1:4">
      <c r="A878" t="s">
        <v>1471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1472</v>
      </c>
    </row>
    <row r="879" spans="1:4">
      <c r="A879" t="s">
        <v>1471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1472</v>
      </c>
    </row>
    <row r="880" spans="1:4">
      <c r="A880" t="s">
        <v>1471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1472</v>
      </c>
    </row>
    <row r="881" spans="1:4">
      <c r="A881" t="s">
        <v>1471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1472</v>
      </c>
    </row>
    <row r="882" spans="1:4">
      <c r="A882" t="s">
        <v>1471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1472</v>
      </c>
    </row>
    <row r="883" spans="1:4">
      <c r="A883" t="s">
        <v>1471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1472</v>
      </c>
    </row>
    <row r="884" spans="1:4">
      <c r="A884" t="s">
        <v>1471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1472</v>
      </c>
    </row>
    <row r="885" spans="1:4">
      <c r="A885" t="s">
        <v>1471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1472</v>
      </c>
    </row>
    <row r="886" spans="1:4">
      <c r="A886" t="s">
        <v>1471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1472</v>
      </c>
    </row>
    <row r="887" spans="1:4">
      <c r="A887" t="s">
        <v>1471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1472</v>
      </c>
    </row>
    <row r="888" spans="1:4">
      <c r="A888" t="s">
        <v>1471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1472</v>
      </c>
    </row>
    <row r="889" spans="1:4">
      <c r="A889" t="s">
        <v>1471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1472</v>
      </c>
    </row>
    <row r="890" spans="1:4">
      <c r="A890" t="s">
        <v>1471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1472</v>
      </c>
    </row>
    <row r="891" spans="1:4">
      <c r="A891" t="s">
        <v>1471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1472</v>
      </c>
    </row>
    <row r="892" spans="1:4">
      <c r="A892" t="s">
        <v>1471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1472</v>
      </c>
    </row>
    <row r="893" spans="1:4">
      <c r="A893" t="s">
        <v>1471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1472</v>
      </c>
    </row>
    <row r="894" spans="1:4">
      <c r="A894" t="s">
        <v>1471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1472</v>
      </c>
    </row>
    <row r="895" spans="1:4">
      <c r="A895" t="s">
        <v>1471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1472</v>
      </c>
    </row>
    <row r="896" spans="1:4">
      <c r="A896" t="s">
        <v>1471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1472</v>
      </c>
    </row>
    <row r="897" spans="1:4">
      <c r="A897" t="s">
        <v>1471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1472</v>
      </c>
    </row>
    <row r="898" spans="1:4">
      <c r="A898" t="s">
        <v>1471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1472</v>
      </c>
    </row>
    <row r="899" spans="1:4">
      <c r="A899" t="s">
        <v>1471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1472</v>
      </c>
    </row>
    <row r="900" spans="1:4">
      <c r="A900" t="s">
        <v>1471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1472</v>
      </c>
    </row>
    <row r="901" spans="1:4">
      <c r="A901" t="s">
        <v>1471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1472</v>
      </c>
    </row>
    <row r="902" spans="1:4">
      <c r="A902" t="s">
        <v>1471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1472</v>
      </c>
    </row>
    <row r="903" spans="1:4">
      <c r="A903" t="s">
        <v>1471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1472</v>
      </c>
    </row>
    <row r="904" spans="1:4">
      <c r="A904" t="s">
        <v>1471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1472</v>
      </c>
    </row>
    <row r="905" spans="1:4">
      <c r="A905" t="s">
        <v>1471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1472</v>
      </c>
    </row>
    <row r="906" spans="1:4">
      <c r="A906" t="s">
        <v>1471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1472</v>
      </c>
    </row>
    <row r="907" spans="1:4">
      <c r="A907" t="s">
        <v>1471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1472</v>
      </c>
    </row>
    <row r="908" spans="1:4">
      <c r="A908" t="s">
        <v>1471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1472</v>
      </c>
    </row>
    <row r="909" spans="1:4">
      <c r="A909" t="s">
        <v>1471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1472</v>
      </c>
    </row>
    <row r="910" spans="1:4">
      <c r="A910" t="s">
        <v>1471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1472</v>
      </c>
    </row>
    <row r="911" spans="1:4">
      <c r="A911" t="s">
        <v>1471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1472</v>
      </c>
    </row>
    <row r="912" spans="1:4">
      <c r="A912" t="s">
        <v>1471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1472</v>
      </c>
    </row>
    <row r="913" spans="1:4">
      <c r="A913" t="s">
        <v>1471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1472</v>
      </c>
    </row>
    <row r="914" spans="1:4">
      <c r="A914" t="s">
        <v>1471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1472</v>
      </c>
    </row>
    <row r="915" spans="1:4">
      <c r="A915" t="s">
        <v>1471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1472</v>
      </c>
    </row>
    <row r="916" spans="1:4">
      <c r="A916" t="s">
        <v>1471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1472</v>
      </c>
    </row>
    <row r="917" spans="1:4">
      <c r="A917" t="s">
        <v>1471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1472</v>
      </c>
    </row>
    <row r="918" spans="1:4">
      <c r="A918" t="s">
        <v>1471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1472</v>
      </c>
    </row>
    <row r="919" spans="1:4">
      <c r="A919" t="s">
        <v>1471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1472</v>
      </c>
    </row>
    <row r="920" spans="1:4">
      <c r="A920" t="s">
        <v>1471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1472</v>
      </c>
    </row>
    <row r="921" spans="1:4">
      <c r="A921" t="s">
        <v>1471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1472</v>
      </c>
    </row>
    <row r="922" spans="1:4">
      <c r="A922" t="s">
        <v>1471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1472</v>
      </c>
    </row>
    <row r="923" spans="1:4">
      <c r="A923" t="s">
        <v>1471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1472</v>
      </c>
    </row>
    <row r="924" spans="1:4">
      <c r="A924" t="s">
        <v>1471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1472</v>
      </c>
    </row>
    <row r="925" spans="1:4">
      <c r="A925" t="s">
        <v>1471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1472</v>
      </c>
    </row>
    <row r="926" spans="1:4">
      <c r="A926" t="s">
        <v>1471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1472</v>
      </c>
    </row>
    <row r="927" spans="1:4">
      <c r="A927" t="s">
        <v>1471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1472</v>
      </c>
    </row>
    <row r="928" spans="1:4">
      <c r="A928" t="s">
        <v>1471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1472</v>
      </c>
    </row>
    <row r="929" spans="1:4">
      <c r="A929" t="s">
        <v>1471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1472</v>
      </c>
    </row>
    <row r="930" spans="1:4">
      <c r="A930" t="s">
        <v>1471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1472</v>
      </c>
    </row>
    <row r="931" spans="1:4">
      <c r="A931" t="s">
        <v>1471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1472</v>
      </c>
    </row>
    <row r="932" spans="1:4">
      <c r="A932" t="s">
        <v>1471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1472</v>
      </c>
    </row>
    <row r="933" spans="1:4">
      <c r="A933" t="s">
        <v>1471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1472</v>
      </c>
    </row>
    <row r="934" spans="1:4">
      <c r="A934" t="s">
        <v>1471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1472</v>
      </c>
    </row>
    <row r="935" spans="1:4">
      <c r="A935" t="s">
        <v>1471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1472</v>
      </c>
    </row>
    <row r="936" spans="1:4">
      <c r="A936" t="s">
        <v>1471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1472</v>
      </c>
    </row>
    <row r="937" spans="1:4">
      <c r="A937" t="s">
        <v>1471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1472</v>
      </c>
    </row>
    <row r="938" spans="1:4">
      <c r="A938" t="s">
        <v>1471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1472</v>
      </c>
    </row>
    <row r="939" spans="1:4">
      <c r="A939" t="s">
        <v>1471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1472</v>
      </c>
    </row>
    <row r="940" spans="1:4">
      <c r="A940" t="s">
        <v>1471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1472</v>
      </c>
    </row>
    <row r="941" spans="1:4">
      <c r="A941" t="s">
        <v>1471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1472</v>
      </c>
    </row>
    <row r="942" spans="1:4">
      <c r="A942" t="s">
        <v>1471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1472</v>
      </c>
    </row>
    <row r="943" spans="1:4">
      <c r="A943" t="s">
        <v>1471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1472</v>
      </c>
    </row>
    <row r="944" spans="1:4">
      <c r="A944" t="s">
        <v>1471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1472</v>
      </c>
    </row>
    <row r="945" spans="1:4">
      <c r="A945" t="s">
        <v>1471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1472</v>
      </c>
    </row>
    <row r="946" spans="1:4">
      <c r="A946" t="s">
        <v>1471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1472</v>
      </c>
    </row>
    <row r="947" spans="1:4">
      <c r="A947" t="s">
        <v>1471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1472</v>
      </c>
    </row>
    <row r="948" spans="1:4">
      <c r="A948" t="s">
        <v>1471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1472</v>
      </c>
    </row>
    <row r="949" spans="1:4">
      <c r="A949" t="s">
        <v>1471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1472</v>
      </c>
    </row>
    <row r="950" spans="1:4">
      <c r="A950" t="s">
        <v>1471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1472</v>
      </c>
    </row>
    <row r="951" spans="1:4">
      <c r="A951" t="s">
        <v>1471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1472</v>
      </c>
    </row>
    <row r="952" spans="1:4">
      <c r="A952" t="s">
        <v>1471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1472</v>
      </c>
    </row>
    <row r="953" spans="1:4">
      <c r="A953" t="s">
        <v>1471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1472</v>
      </c>
    </row>
    <row r="954" spans="1:4">
      <c r="A954" t="s">
        <v>1471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1472</v>
      </c>
    </row>
    <row r="955" spans="1:4">
      <c r="A955" t="s">
        <v>1471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1472</v>
      </c>
    </row>
    <row r="956" spans="1:4">
      <c r="A956" t="s">
        <v>1471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1472</v>
      </c>
    </row>
    <row r="957" spans="1:4">
      <c r="A957" t="s">
        <v>1471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1472</v>
      </c>
    </row>
    <row r="958" spans="1:4">
      <c r="A958" t="s">
        <v>1471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1472</v>
      </c>
    </row>
    <row r="959" spans="1:4">
      <c r="A959" t="s">
        <v>1471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1472</v>
      </c>
    </row>
    <row r="960" spans="1:4">
      <c r="A960" t="s">
        <v>1471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1472</v>
      </c>
    </row>
    <row r="961" spans="1:4">
      <c r="A961" t="s">
        <v>1471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1472</v>
      </c>
    </row>
    <row r="962" spans="1:4">
      <c r="A962" t="s">
        <v>1471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1472</v>
      </c>
    </row>
    <row r="963" spans="1:4">
      <c r="A963" t="s">
        <v>1471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1472</v>
      </c>
    </row>
    <row r="964" spans="1:4">
      <c r="A964" t="s">
        <v>1471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1472</v>
      </c>
    </row>
    <row r="965" spans="1:4">
      <c r="A965" t="s">
        <v>1471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1472</v>
      </c>
    </row>
    <row r="966" spans="1:4">
      <c r="A966" t="s">
        <v>1471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1472</v>
      </c>
    </row>
    <row r="967" spans="1:4">
      <c r="A967" t="s">
        <v>1471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1472</v>
      </c>
    </row>
    <row r="968" spans="1:4">
      <c r="A968" t="s">
        <v>1471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1472</v>
      </c>
    </row>
    <row r="969" spans="1:4">
      <c r="A969" t="s">
        <v>1471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1472</v>
      </c>
    </row>
    <row r="970" spans="1:4">
      <c r="A970" t="s">
        <v>1471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1472</v>
      </c>
    </row>
    <row r="971" spans="1:4">
      <c r="A971" t="s">
        <v>1471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1472</v>
      </c>
    </row>
    <row r="972" spans="1:4">
      <c r="A972" t="s">
        <v>1471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1472</v>
      </c>
    </row>
    <row r="973" spans="1:4">
      <c r="A973" t="s">
        <v>1471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1472</v>
      </c>
    </row>
    <row r="974" spans="1:4">
      <c r="A974" t="s">
        <v>1471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1472</v>
      </c>
    </row>
    <row r="975" spans="1:4">
      <c r="A975" t="s">
        <v>1471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1472</v>
      </c>
    </row>
    <row r="976" spans="1:4">
      <c r="A976" t="s">
        <v>1471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1472</v>
      </c>
    </row>
    <row r="977" spans="1:4">
      <c r="A977" t="s">
        <v>1471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1472</v>
      </c>
    </row>
    <row r="978" spans="1:4">
      <c r="A978" t="s">
        <v>1471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1472</v>
      </c>
    </row>
    <row r="979" spans="1:4">
      <c r="A979" t="s">
        <v>1471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1472</v>
      </c>
    </row>
    <row r="980" spans="1:4">
      <c r="A980" t="s">
        <v>1471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1472</v>
      </c>
    </row>
    <row r="981" spans="1:4">
      <c r="A981" t="s">
        <v>1471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1472</v>
      </c>
    </row>
    <row r="982" spans="1:4">
      <c r="A982" t="s">
        <v>1471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1472</v>
      </c>
    </row>
    <row r="983" spans="1:4">
      <c r="A983" t="s">
        <v>1471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1472</v>
      </c>
    </row>
    <row r="984" spans="1:4">
      <c r="A984" t="s">
        <v>1471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1472</v>
      </c>
    </row>
    <row r="985" spans="1:4">
      <c r="A985" t="s">
        <v>1471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1472</v>
      </c>
    </row>
    <row r="986" spans="1:4">
      <c r="A986" t="s">
        <v>1471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1472</v>
      </c>
    </row>
    <row r="987" spans="1:4">
      <c r="A987" t="s">
        <v>1471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1472</v>
      </c>
    </row>
    <row r="988" spans="1:4">
      <c r="A988" t="s">
        <v>1471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1472</v>
      </c>
    </row>
    <row r="989" spans="1:4">
      <c r="A989" t="s">
        <v>1471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1472</v>
      </c>
    </row>
    <row r="990" spans="1:4">
      <c r="A990" t="s">
        <v>1471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1472</v>
      </c>
    </row>
    <row r="991" spans="1:4">
      <c r="A991" t="s">
        <v>1471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1472</v>
      </c>
    </row>
    <row r="992" spans="1:4">
      <c r="A992" t="s">
        <v>1471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1472</v>
      </c>
    </row>
    <row r="993" spans="1:4">
      <c r="A993" t="s">
        <v>1471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1472</v>
      </c>
    </row>
    <row r="994" spans="1:4">
      <c r="A994" t="s">
        <v>1471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1472</v>
      </c>
    </row>
    <row r="995" spans="1:4">
      <c r="A995" t="s">
        <v>1471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1472</v>
      </c>
    </row>
    <row r="996" spans="1:4">
      <c r="A996" t="s">
        <v>1471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1472</v>
      </c>
    </row>
    <row r="997" spans="1:4">
      <c r="A997" t="s">
        <v>1471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1472</v>
      </c>
    </row>
    <row r="998" spans="1:4">
      <c r="A998" t="s">
        <v>1471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1472</v>
      </c>
    </row>
    <row r="999" spans="1:4">
      <c r="A999" t="s">
        <v>1471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1472</v>
      </c>
    </row>
    <row r="1000" spans="1:4">
      <c r="A1000" t="s">
        <v>1471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1472</v>
      </c>
    </row>
    <row r="1001" spans="1:4">
      <c r="A1001" t="s">
        <v>1471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1472</v>
      </c>
    </row>
    <row r="1002" spans="1:4">
      <c r="A1002" t="s">
        <v>1471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1472</v>
      </c>
    </row>
    <row r="1003" spans="1:4">
      <c r="A1003" t="s">
        <v>1471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1472</v>
      </c>
    </row>
    <row r="1004" spans="1:4">
      <c r="A1004" t="s">
        <v>1471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1472</v>
      </c>
    </row>
    <row r="1005" spans="1:4">
      <c r="A1005" t="s">
        <v>1471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1472</v>
      </c>
    </row>
  </sheetData>
  <conditionalFormatting sqref="A3:D1005">
    <cfRule type="expression" dxfId="78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1473</v>
      </c>
    </row>
    <row r="3" spans="1:4">
      <c r="A3" s="31" t="s">
        <v>1474</v>
      </c>
      <c r="B3" s="4"/>
      <c r="D3" s="32" t="s">
        <v>1475</v>
      </c>
    </row>
    <row r="4" spans="1:4">
      <c r="A4" s="5"/>
      <c r="B4" s="5"/>
    </row>
    <row r="5" spans="1:4">
      <c r="A5" s="33" t="s">
        <v>395</v>
      </c>
      <c r="B5" s="34" t="str">
        <f>IFERROR(INDEX('01_Warehouse_Ledger'!$B$2:$B$2002,MATCH($B$3,'01_Warehouse_Ledger'!$A$2:$A$2002,0)),"")</f>
        <v/>
      </c>
    </row>
    <row r="6" spans="1:4">
      <c r="A6" s="33" t="s">
        <v>1476</v>
      </c>
      <c r="B6" s="34" t="str">
        <f>IFERROR(INDEX('01_Warehouse_Ledger'!$D$2:$D$2002,MATCH($B$3,'01_Warehouse_Ledger'!$A$2:$A$2002,0)),"")</f>
        <v/>
      </c>
    </row>
    <row r="7" spans="1:4">
      <c r="A7" s="33" t="s">
        <v>1477</v>
      </c>
      <c r="B7" s="34" t="str">
        <f>IFERROR(INDEX('02_Warehouse_Locations'!$J$2:$J$501,MATCH($B$6,'02_Warehouse_Locations'!$A$2:$A$501,0)),"")</f>
        <v/>
      </c>
    </row>
    <row r="8" spans="1:4">
      <c r="A8" s="33" t="s">
        <v>1029</v>
      </c>
      <c r="B8" s="34" t="str">
        <f>IFERROR(INDEX('02_Warehouse_Locations'!$B$2:$B$501,MATCH($B$6,'02_Warehouse_Locations'!$A$2:$A$501,0)),"")</f>
        <v/>
      </c>
    </row>
    <row r="9" spans="1:4">
      <c r="A9" s="33" t="s">
        <v>1030</v>
      </c>
      <c r="B9" s="34" t="str">
        <f>IFERROR(INDEX('02_Warehouse_Locations'!$C$2:$C$501,MATCH($B$6,'02_Warehouse_Locations'!$A$2:$A$501,0)),"")</f>
        <v/>
      </c>
    </row>
    <row r="10" spans="1:4">
      <c r="A10" s="33" t="s">
        <v>1478</v>
      </c>
      <c r="B10" s="34" t="str">
        <f>IFERROR(INDEX('02_Warehouse_Locations'!$D$2:$D$501,MATCH($B$6,'02_Warehouse_Locations'!$A$2:$A$501,0)),"")</f>
        <v/>
      </c>
    </row>
    <row r="11" spans="1:4">
      <c r="A11" s="33" t="s">
        <v>1032</v>
      </c>
      <c r="B11" s="34" t="str">
        <f>IFERROR(INDEX('02_Warehouse_Locations'!$E$2:$E$501,MATCH($B$6,'02_Warehouse_Locations'!$A$2:$A$501,0)),"")</f>
        <v/>
      </c>
    </row>
    <row r="12" spans="1:4">
      <c r="A12" s="33" t="s">
        <v>1479</v>
      </c>
      <c r="B12" s="34" t="str">
        <f>IFERROR(INDEX('02_Warehouse_Locations'!$N$2:$N$501,MATCH($B$6,'02_Warehouse_Locations'!$A$2:$A$501,0)),"")</f>
        <v/>
      </c>
    </row>
    <row r="13" spans="1:4">
      <c r="A13" s="33" t="s">
        <v>1040</v>
      </c>
      <c r="B13" s="34" t="str">
        <f>IFERROR(INDEX('02_Warehouse_Locations'!$O$2:$O$501,MATCH($B$6,'02_Warehouse_Locations'!$A$2:$A$501,0)),"")</f>
        <v/>
      </c>
    </row>
    <row r="14" spans="1:4">
      <c r="A14" s="33" t="s">
        <v>1041</v>
      </c>
      <c r="B14" s="34" t="str">
        <f>IFERROR(INDEX('02_Warehouse_Locations'!$P$2:$P$501,MATCH($B$6,'02_Warehouse_Locations'!$A$2:$A$501,0)),"")</f>
        <v/>
      </c>
    </row>
    <row r="15" spans="1:4">
      <c r="A15" t="s">
        <v>1042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77" priority="1" stopIfTrue="1">
      <formula>AND(TRIM($A3)="",OR($B3&lt;&gt;"",$C3&lt;&gt;"",$D3&lt;&gt;"",$E3&lt;&gt;"",$I3&lt;&gt;"",$J3&lt;&gt;""))</formula>
    </cfRule>
    <cfRule type="expression" dxfId="76" priority="2">
      <formula>AND(TRIM($A3)&lt;&gt;"",NOT(AND(LEFT($A3,4)="PAL-",LEN($A3)=11,ISNUMBER(--MID($A3,5,7)))))</formula>
    </cfRule>
    <cfRule type="expression" dxfId="75" priority="3">
      <formula>AND(TRIM($A3)&lt;&gt;"",COUNTIF($A$2:$A$2002,$A3)&gt;1)</formula>
    </cfRule>
    <cfRule type="expression" dxfId="74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1480</v>
      </c>
    </row>
    <row r="2" spans="1:21">
      <c r="A2" s="36" t="s">
        <v>1481</v>
      </c>
      <c r="B2" s="37" t="str">
        <f>IFERROR('05_Scan_Lookup'!$B$13,"")</f>
        <v/>
      </c>
    </row>
    <row r="3" spans="1:21">
      <c r="A3" s="36" t="s">
        <v>1482</v>
      </c>
      <c r="B3" s="37" t="str">
        <f>IFERROR('05_Scan_Lookup'!$B$14,"")</f>
        <v/>
      </c>
    </row>
    <row r="4" spans="1:21">
      <c r="A4" s="36" t="s">
        <v>1483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1484</v>
      </c>
      <c r="B5" s="37" t="s">
        <v>1485</v>
      </c>
    </row>
    <row r="6" spans="1:21" ht="20.100000000000001" customHeight="1">
      <c r="A6" s="40" t="s">
        <v>1486</v>
      </c>
      <c r="B6" s="40" t="s">
        <v>1059</v>
      </c>
      <c r="C6" s="40" t="s">
        <v>471</v>
      </c>
      <c r="D6" s="40" t="s">
        <v>1110</v>
      </c>
      <c r="E6" s="40" t="s">
        <v>1135</v>
      </c>
      <c r="F6" s="40" t="s">
        <v>1176</v>
      </c>
      <c r="G6" s="40" t="s">
        <v>1217</v>
      </c>
      <c r="H6" s="40" t="s">
        <v>1487</v>
      </c>
      <c r="I6" s="40" t="s">
        <v>1488</v>
      </c>
      <c r="J6" s="40" t="s">
        <v>1489</v>
      </c>
      <c r="K6" s="40" t="s">
        <v>1490</v>
      </c>
      <c r="L6" s="40" t="s">
        <v>1491</v>
      </c>
      <c r="M6" s="40" t="s">
        <v>1055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1492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1493</v>
      </c>
    </row>
    <row r="39" spans="1:21">
      <c r="A39" s="32" t="s">
        <v>1494</v>
      </c>
    </row>
    <row r="40" spans="1:21">
      <c r="A40" s="32" t="s">
        <v>1494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394</v>
      </c>
      <c r="B1" s="50" t="s">
        <v>1495</v>
      </c>
      <c r="C1" s="50" t="s">
        <v>1496</v>
      </c>
      <c r="D1" s="50" t="s">
        <v>1272</v>
      </c>
      <c r="E1" s="50" t="s">
        <v>1497</v>
      </c>
      <c r="F1" s="50" t="s">
        <v>1498</v>
      </c>
      <c r="G1" s="50" t="s">
        <v>1499</v>
      </c>
      <c r="H1" s="50" t="s">
        <v>403</v>
      </c>
      <c r="I1" s="50" t="s">
        <v>1500</v>
      </c>
      <c r="J1" s="50" t="s">
        <v>1501</v>
      </c>
      <c r="L1" s="50" t="s">
        <v>1502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1503</v>
      </c>
      <c r="B1" s="15" t="s">
        <v>1504</v>
      </c>
      <c r="C1" s="15" t="s">
        <v>1505</v>
      </c>
      <c r="D1" s="15" t="s">
        <v>1506</v>
      </c>
      <c r="E1" s="15" t="s">
        <v>1507</v>
      </c>
      <c r="F1" s="15" t="s">
        <v>1508</v>
      </c>
      <c r="G1" s="15" t="s">
        <v>1509</v>
      </c>
      <c r="H1" s="15" t="s">
        <v>403</v>
      </c>
    </row>
    <row r="2" spans="1:8" ht="20.25" customHeight="1">
      <c r="B2" t="s">
        <v>1510</v>
      </c>
      <c r="C2" t="s">
        <v>1511</v>
      </c>
      <c r="D2" s="14">
        <v>56</v>
      </c>
      <c r="E2" s="14" t="s">
        <v>1512</v>
      </c>
      <c r="F2" s="14" t="s">
        <v>1513</v>
      </c>
      <c r="G2" s="14" t="s">
        <v>1514</v>
      </c>
    </row>
    <row r="3" spans="1:8" ht="20.25" customHeight="1">
      <c r="B3" t="s">
        <v>1510</v>
      </c>
      <c r="C3" t="s">
        <v>1515</v>
      </c>
      <c r="D3" s="14">
        <v>35</v>
      </c>
      <c r="E3" s="14" t="s">
        <v>1512</v>
      </c>
      <c r="F3" s="14" t="s">
        <v>1513</v>
      </c>
      <c r="G3" s="14" t="s">
        <v>1514</v>
      </c>
    </row>
    <row r="4" spans="1:8" s="45" customFormat="1" ht="20.25" customHeight="1">
      <c r="B4" s="45" t="s">
        <v>1510</v>
      </c>
      <c r="C4" s="45" t="s">
        <v>1516</v>
      </c>
      <c r="D4" s="46">
        <v>28</v>
      </c>
      <c r="E4" s="46" t="s">
        <v>1512</v>
      </c>
      <c r="F4" s="46" t="s">
        <v>1513</v>
      </c>
      <c r="G4" s="46" t="s">
        <v>1514</v>
      </c>
    </row>
    <row r="5" spans="1:8" s="45" customFormat="1" ht="20.25" customHeight="1">
      <c r="B5" s="45" t="s">
        <v>1510</v>
      </c>
      <c r="C5" s="45" t="s">
        <v>1517</v>
      </c>
      <c r="D5" s="46">
        <v>52</v>
      </c>
      <c r="E5" s="46" t="s">
        <v>1512</v>
      </c>
      <c r="F5" s="46" t="s">
        <v>1513</v>
      </c>
      <c r="G5" s="46" t="s">
        <v>1514</v>
      </c>
    </row>
    <row r="6" spans="1:8" s="45" customFormat="1" ht="20.25" customHeight="1">
      <c r="B6" s="45" t="s">
        <v>1510</v>
      </c>
      <c r="C6" s="45" t="s">
        <v>1518</v>
      </c>
      <c r="D6" s="46">
        <v>50</v>
      </c>
      <c r="E6" s="46" t="s">
        <v>1512</v>
      </c>
      <c r="F6" s="46" t="s">
        <v>1513</v>
      </c>
      <c r="G6" s="46" t="s">
        <v>1514</v>
      </c>
    </row>
    <row r="7" spans="1:8" ht="20.25" customHeight="1">
      <c r="B7" t="s">
        <v>1510</v>
      </c>
      <c r="C7" t="s">
        <v>1519</v>
      </c>
      <c r="D7" s="14">
        <v>29</v>
      </c>
      <c r="E7" s="14" t="s">
        <v>1512</v>
      </c>
      <c r="F7" s="14" t="s">
        <v>1513</v>
      </c>
      <c r="G7" s="14" t="s">
        <v>1514</v>
      </c>
    </row>
    <row r="8" spans="1:8" s="45" customFormat="1" ht="20.25" customHeight="1">
      <c r="B8" s="45" t="s">
        <v>1510</v>
      </c>
      <c r="C8" s="45" t="s">
        <v>1520</v>
      </c>
      <c r="D8" s="46">
        <v>13</v>
      </c>
      <c r="E8" s="46" t="s">
        <v>1512</v>
      </c>
      <c r="F8" s="46" t="s">
        <v>1513</v>
      </c>
      <c r="G8" s="46" t="s">
        <v>1514</v>
      </c>
    </row>
    <row r="9" spans="1:8" s="47" customFormat="1" ht="20.25" customHeight="1">
      <c r="B9" s="47" t="s">
        <v>1510</v>
      </c>
      <c r="C9" s="47" t="s">
        <v>1521</v>
      </c>
      <c r="D9" s="48">
        <v>4</v>
      </c>
      <c r="E9" s="48" t="s">
        <v>1512</v>
      </c>
      <c r="F9" s="48" t="s">
        <v>1513</v>
      </c>
      <c r="G9" s="48" t="s">
        <v>1514</v>
      </c>
    </row>
    <row r="10" spans="1:8" ht="20.25" customHeight="1">
      <c r="B10" t="s">
        <v>1510</v>
      </c>
      <c r="C10" t="s">
        <v>1522</v>
      </c>
      <c r="D10" s="14">
        <v>2</v>
      </c>
      <c r="E10" s="14" t="s">
        <v>1512</v>
      </c>
      <c r="F10" s="14" t="s">
        <v>1513</v>
      </c>
      <c r="G10" s="14" t="s">
        <v>1514</v>
      </c>
    </row>
    <row r="11" spans="1:8" s="45" customFormat="1" ht="20.25" customHeight="1">
      <c r="B11" s="45" t="s">
        <v>1510</v>
      </c>
      <c r="C11" s="45" t="s">
        <v>1523</v>
      </c>
      <c r="D11" s="46">
        <v>2</v>
      </c>
      <c r="E11" s="46" t="s">
        <v>1512</v>
      </c>
      <c r="F11" s="46" t="s">
        <v>1513</v>
      </c>
      <c r="G11" s="46" t="s">
        <v>1514</v>
      </c>
    </row>
    <row r="12" spans="1:8" ht="20.25" customHeight="1">
      <c r="B12" t="s">
        <v>1510</v>
      </c>
      <c r="C12" t="s">
        <v>1524</v>
      </c>
      <c r="D12" s="14">
        <v>117</v>
      </c>
      <c r="E12" s="14" t="s">
        <v>1512</v>
      </c>
      <c r="F12" s="14" t="s">
        <v>1513</v>
      </c>
      <c r="G12" s="14" t="s">
        <v>1514</v>
      </c>
    </row>
    <row r="13" spans="1:8" s="45" customFormat="1" ht="20.25" customHeight="1">
      <c r="B13" s="45" t="s">
        <v>1510</v>
      </c>
      <c r="C13" s="45" t="s">
        <v>1525</v>
      </c>
      <c r="D13" s="46">
        <v>73</v>
      </c>
      <c r="E13" s="46" t="s">
        <v>1512</v>
      </c>
      <c r="F13" s="46" t="s">
        <v>1513</v>
      </c>
      <c r="G13" s="46" t="s">
        <v>1514</v>
      </c>
    </row>
    <row r="14" spans="1:8" ht="20.25" customHeight="1">
      <c r="B14" t="s">
        <v>1510</v>
      </c>
      <c r="C14" t="s">
        <v>1526</v>
      </c>
      <c r="D14" s="14">
        <v>35</v>
      </c>
      <c r="E14" s="14" t="s">
        <v>1512</v>
      </c>
      <c r="F14" s="14" t="s">
        <v>1513</v>
      </c>
      <c r="G14" s="14" t="s">
        <v>1514</v>
      </c>
    </row>
    <row r="15" spans="1:8" ht="20.25" customHeight="1">
      <c r="B15" t="s">
        <v>1510</v>
      </c>
      <c r="C15" t="s">
        <v>1527</v>
      </c>
      <c r="D15" s="14">
        <v>16</v>
      </c>
      <c r="E15" s="14" t="s">
        <v>1512</v>
      </c>
      <c r="F15" s="14" t="s">
        <v>1513</v>
      </c>
      <c r="G15" s="14" t="s">
        <v>1514</v>
      </c>
    </row>
    <row r="16" spans="1:8" ht="20.25" customHeight="1">
      <c r="B16" t="s">
        <v>1510</v>
      </c>
      <c r="C16" t="s">
        <v>1528</v>
      </c>
      <c r="D16" s="14">
        <v>122</v>
      </c>
      <c r="E16" s="14" t="s">
        <v>1512</v>
      </c>
      <c r="F16" s="14" t="s">
        <v>1529</v>
      </c>
      <c r="G16" s="14" t="s">
        <v>1529</v>
      </c>
    </row>
    <row r="17" spans="2:8" ht="20.25" customHeight="1">
      <c r="B17" t="s">
        <v>1510</v>
      </c>
      <c r="C17" t="s">
        <v>1530</v>
      </c>
      <c r="D17" s="14">
        <v>26</v>
      </c>
      <c r="E17" s="14" t="s">
        <v>1531</v>
      </c>
      <c r="F17" s="14" t="s">
        <v>1532</v>
      </c>
      <c r="G17" s="14" t="s">
        <v>1533</v>
      </c>
      <c r="H17" t="s">
        <v>1534</v>
      </c>
    </row>
    <row r="18" spans="2:8" ht="20.25" customHeight="1">
      <c r="B18" t="s">
        <v>1535</v>
      </c>
      <c r="C18" t="s">
        <v>1536</v>
      </c>
      <c r="D18" s="14">
        <v>55</v>
      </c>
      <c r="E18" s="14" t="s">
        <v>1531</v>
      </c>
      <c r="F18" s="14" t="s">
        <v>1532</v>
      </c>
      <c r="G18" s="14" t="s">
        <v>1533</v>
      </c>
      <c r="H18" t="s">
        <v>1534</v>
      </c>
    </row>
    <row r="19" spans="2:8" ht="20.25" customHeight="1">
      <c r="B19" t="s">
        <v>1535</v>
      </c>
      <c r="C19" t="s">
        <v>1537</v>
      </c>
      <c r="D19" s="14">
        <v>98</v>
      </c>
      <c r="E19" s="14" t="s">
        <v>1531</v>
      </c>
      <c r="F19" s="14" t="s">
        <v>1532</v>
      </c>
      <c r="G19" s="14" t="s">
        <v>1533</v>
      </c>
      <c r="H19" t="s">
        <v>1534</v>
      </c>
    </row>
    <row r="20" spans="2:8" ht="20.25" customHeight="1">
      <c r="B20" t="s">
        <v>1535</v>
      </c>
      <c r="C20" t="s">
        <v>1538</v>
      </c>
      <c r="D20" s="14">
        <v>45</v>
      </c>
      <c r="E20" s="14" t="s">
        <v>1531</v>
      </c>
      <c r="F20" s="14" t="s">
        <v>1532</v>
      </c>
      <c r="G20" s="14" t="s">
        <v>1539</v>
      </c>
      <c r="H20" t="s">
        <v>1540</v>
      </c>
    </row>
    <row r="21" spans="2:8" ht="20.25" customHeight="1">
      <c r="B21" t="s">
        <v>1541</v>
      </c>
      <c r="C21" t="s">
        <v>1541</v>
      </c>
      <c r="D21" s="14">
        <v>53</v>
      </c>
      <c r="E21" s="14" t="s">
        <v>1531</v>
      </c>
      <c r="F21" s="14" t="s">
        <v>1532</v>
      </c>
      <c r="G21" s="14" t="s">
        <v>1533</v>
      </c>
      <c r="H21" t="s">
        <v>1534</v>
      </c>
    </row>
    <row r="22" spans="2:8" ht="20.25" customHeight="1">
      <c r="B22" t="s">
        <v>1542</v>
      </c>
      <c r="C22" t="s">
        <v>1543</v>
      </c>
      <c r="D22" s="14">
        <v>25</v>
      </c>
      <c r="E22" s="14" t="s">
        <v>1531</v>
      </c>
      <c r="F22" s="14" t="s">
        <v>1532</v>
      </c>
      <c r="G22" s="14" t="s">
        <v>1533</v>
      </c>
      <c r="H22" t="s">
        <v>1534</v>
      </c>
    </row>
    <row r="23" spans="2:8" ht="20.25" customHeight="1">
      <c r="B23" t="s">
        <v>1544</v>
      </c>
      <c r="C23" t="s">
        <v>1544</v>
      </c>
      <c r="D23" s="14">
        <v>25</v>
      </c>
      <c r="E23" s="14" t="s">
        <v>1531</v>
      </c>
      <c r="F23" s="14" t="s">
        <v>1532</v>
      </c>
      <c r="G23" s="14" t="s">
        <v>1533</v>
      </c>
      <c r="H23" t="s">
        <v>1534</v>
      </c>
    </row>
    <row r="24" spans="2:8" ht="20.25" customHeight="1">
      <c r="B24" t="s">
        <v>1545</v>
      </c>
      <c r="C24" t="s">
        <v>1546</v>
      </c>
      <c r="D24" s="14">
        <v>45</v>
      </c>
      <c r="E24" s="14" t="s">
        <v>1531</v>
      </c>
      <c r="F24" s="14" t="s">
        <v>1532</v>
      </c>
      <c r="G24" s="14" t="s">
        <v>1547</v>
      </c>
      <c r="H24" t="s">
        <v>1540</v>
      </c>
    </row>
    <row r="25" spans="2:8" ht="20.25" customHeight="1">
      <c r="B25" t="s">
        <v>1548</v>
      </c>
      <c r="C25" t="s">
        <v>1549</v>
      </c>
      <c r="D25" s="14">
        <v>28</v>
      </c>
      <c r="E25" s="14" t="s">
        <v>1531</v>
      </c>
      <c r="F25" s="14" t="s">
        <v>1532</v>
      </c>
      <c r="G25" s="14" t="s">
        <v>1533</v>
      </c>
    </row>
    <row r="26" spans="2:8" ht="20.25" customHeight="1">
      <c r="B26" t="s">
        <v>1550</v>
      </c>
      <c r="C26" t="s">
        <v>1551</v>
      </c>
      <c r="D26" s="14">
        <v>25</v>
      </c>
      <c r="E26" s="14" t="s">
        <v>1512</v>
      </c>
      <c r="F26" s="14" t="s">
        <v>1513</v>
      </c>
      <c r="G26" s="14" t="s">
        <v>1552</v>
      </c>
    </row>
    <row r="27" spans="2:8" ht="20.25" customHeight="1">
      <c r="B27" t="s">
        <v>1535</v>
      </c>
      <c r="C27" t="s">
        <v>1553</v>
      </c>
      <c r="D27" s="14">
        <v>25</v>
      </c>
      <c r="E27" s="14" t="s">
        <v>1512</v>
      </c>
      <c r="F27" s="14" t="s">
        <v>1513</v>
      </c>
      <c r="G27" s="14" t="s">
        <v>1552</v>
      </c>
      <c r="H27" t="s">
        <v>1554</v>
      </c>
    </row>
    <row r="28" spans="2:8" ht="20.25" customHeight="1">
      <c r="B28" t="s">
        <v>1535</v>
      </c>
      <c r="C28" t="s">
        <v>1555</v>
      </c>
      <c r="D28" s="14">
        <v>4</v>
      </c>
      <c r="E28" s="14" t="s">
        <v>1512</v>
      </c>
      <c r="F28" s="14" t="s">
        <v>1513</v>
      </c>
      <c r="G28" s="14" t="s">
        <v>1533</v>
      </c>
    </row>
    <row r="29" spans="2:8" ht="20.25" customHeight="1">
      <c r="B29" t="s">
        <v>1548</v>
      </c>
      <c r="C29" s="16" t="s">
        <v>1556</v>
      </c>
      <c r="D29" s="14">
        <v>0</v>
      </c>
      <c r="E29" s="14" t="s">
        <v>136</v>
      </c>
    </row>
    <row r="30" spans="2:8" ht="20.25" customHeight="1">
      <c r="C30" t="s">
        <v>1557</v>
      </c>
      <c r="D30" s="14">
        <v>1</v>
      </c>
    </row>
    <row r="31" spans="2:8" s="45" customFormat="1" ht="20.25" customHeight="1">
      <c r="B31" s="45" t="s">
        <v>1544</v>
      </c>
      <c r="C31" s="45" t="s">
        <v>1558</v>
      </c>
      <c r="D31" s="46">
        <v>69</v>
      </c>
      <c r="E31" s="46" t="s">
        <v>1512</v>
      </c>
      <c r="F31" s="46" t="s">
        <v>1559</v>
      </c>
      <c r="G31" s="46" t="s">
        <v>1560</v>
      </c>
      <c r="H31" s="45" t="s">
        <v>1561</v>
      </c>
    </row>
    <row r="32" spans="2:8" s="45" customFormat="1" ht="20.25" customHeight="1">
      <c r="B32" s="45" t="s">
        <v>1542</v>
      </c>
      <c r="C32" s="45" t="s">
        <v>1562</v>
      </c>
      <c r="D32" s="46">
        <v>60</v>
      </c>
      <c r="E32" s="46" t="s">
        <v>1512</v>
      </c>
      <c r="F32" s="46" t="s">
        <v>1559</v>
      </c>
      <c r="G32" s="46" t="s">
        <v>1560</v>
      </c>
      <c r="H32" s="45" t="s">
        <v>1561</v>
      </c>
    </row>
    <row r="33" spans="2:8" ht="20.25" customHeight="1">
      <c r="B33" t="s">
        <v>1535</v>
      </c>
      <c r="C33" s="45" t="s">
        <v>1563</v>
      </c>
      <c r="D33" s="14">
        <v>211</v>
      </c>
      <c r="E33" s="14" t="s">
        <v>1512</v>
      </c>
      <c r="F33" s="14" t="s">
        <v>1564</v>
      </c>
      <c r="G33" s="14" t="s">
        <v>1560</v>
      </c>
      <c r="H33" t="s">
        <v>1565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topLeftCell="T63" workbookViewId="0">
      <selection activeCell="I1" sqref="I1"/>
    </sheetView>
  </sheetViews>
  <sheetFormatPr defaultRowHeight="15"/>
  <cols>
    <col min="12" max="12" width="0" style="20" hidden="1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1566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1572</v>
      </c>
      <c r="K1" t="s">
        <v>1573</v>
      </c>
      <c r="L1" s="20" t="s">
        <v>1574</v>
      </c>
      <c r="M1" t="s">
        <v>1575</v>
      </c>
      <c r="N1" t="s">
        <v>1576</v>
      </c>
      <c r="O1" t="s">
        <v>1577</v>
      </c>
      <c r="P1" t="s">
        <v>1578</v>
      </c>
      <c r="Q1" t="s">
        <v>1579</v>
      </c>
      <c r="R1" t="s">
        <v>1580</v>
      </c>
      <c r="S1" t="s">
        <v>1581</v>
      </c>
      <c r="T1" t="s">
        <v>1582</v>
      </c>
      <c r="U1" t="s">
        <v>4</v>
      </c>
      <c r="V1" t="s">
        <v>5</v>
      </c>
      <c r="W1" t="s">
        <v>1583</v>
      </c>
      <c r="X1" t="s">
        <v>1584</v>
      </c>
      <c r="Y1" t="s">
        <v>1585</v>
      </c>
      <c r="Z1" t="s">
        <v>1586</v>
      </c>
      <c r="AA1" t="s">
        <v>1587</v>
      </c>
      <c r="AB1" t="s">
        <v>1588</v>
      </c>
      <c r="AC1" t="s">
        <v>1589</v>
      </c>
      <c r="AD1" t="s">
        <v>1590</v>
      </c>
      <c r="AE1" t="s">
        <v>1591</v>
      </c>
      <c r="AF1" t="s">
        <v>1592</v>
      </c>
      <c r="AG1" t="s">
        <v>1593</v>
      </c>
      <c r="AH1" t="s">
        <v>1594</v>
      </c>
      <c r="AI1" t="s">
        <v>1595</v>
      </c>
      <c r="AJ1" t="s">
        <v>1596</v>
      </c>
      <c r="AK1" t="s">
        <v>1597</v>
      </c>
      <c r="AL1" t="s">
        <v>1598</v>
      </c>
      <c r="AM1" t="s">
        <v>1599</v>
      </c>
      <c r="AN1" t="s">
        <v>1600</v>
      </c>
      <c r="AO1" t="s">
        <v>1601</v>
      </c>
      <c r="AP1" t="s">
        <v>1602</v>
      </c>
      <c r="AQ1" t="s">
        <v>1603</v>
      </c>
      <c r="AR1" t="s">
        <v>1604</v>
      </c>
      <c r="AS1" t="s">
        <v>1605</v>
      </c>
      <c r="AT1" t="s">
        <v>1606</v>
      </c>
      <c r="AU1" t="s">
        <v>1607</v>
      </c>
      <c r="AV1" t="s">
        <v>1608</v>
      </c>
      <c r="AW1" t="s">
        <v>1609</v>
      </c>
      <c r="AX1" t="s">
        <v>1610</v>
      </c>
      <c r="AY1" t="s">
        <v>1611</v>
      </c>
      <c r="AZ1" t="s">
        <v>1612</v>
      </c>
      <c r="BA1" t="s">
        <v>1613</v>
      </c>
      <c r="BB1" t="s">
        <v>1614</v>
      </c>
      <c r="BC1" t="s">
        <v>403</v>
      </c>
      <c r="BD1" t="s">
        <v>1615</v>
      </c>
      <c r="BE1" t="s">
        <v>1616</v>
      </c>
      <c r="BF1" t="s">
        <v>1617</v>
      </c>
      <c r="BG1" t="s">
        <v>1618</v>
      </c>
      <c r="BH1" t="s">
        <v>1619</v>
      </c>
      <c r="BI1" t="s">
        <v>6</v>
      </c>
      <c r="BJ1" t="s">
        <v>1620</v>
      </c>
      <c r="BK1" t="s">
        <v>1621</v>
      </c>
      <c r="BL1" t="s">
        <v>1622</v>
      </c>
      <c r="BM1" t="s">
        <v>1623</v>
      </c>
      <c r="BN1" t="s">
        <v>1624</v>
      </c>
      <c r="BO1" t="s">
        <v>1625</v>
      </c>
      <c r="BP1" t="s">
        <v>1626</v>
      </c>
      <c r="BQ1" t="s">
        <v>1627</v>
      </c>
      <c r="BR1" t="s">
        <v>1628</v>
      </c>
      <c r="BS1" t="s">
        <v>1629</v>
      </c>
      <c r="BT1" t="s">
        <v>1630</v>
      </c>
      <c r="BU1" t="s">
        <v>1631</v>
      </c>
      <c r="BV1" t="s">
        <v>1632</v>
      </c>
      <c r="BW1" t="s">
        <v>1633</v>
      </c>
      <c r="BX1" t="s">
        <v>1634</v>
      </c>
      <c r="BY1" t="s">
        <v>1635</v>
      </c>
      <c r="BZ1" t="s">
        <v>1636</v>
      </c>
      <c r="CA1" t="s">
        <v>1637</v>
      </c>
      <c r="CB1" t="s">
        <v>1638</v>
      </c>
      <c r="CC1" t="s">
        <v>1639</v>
      </c>
    </row>
    <row r="2" spans="1:81">
      <c r="A2" t="s">
        <v>1545</v>
      </c>
      <c r="B2" t="s">
        <v>1640</v>
      </c>
      <c r="C2" t="s">
        <v>1640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V2&lt;&gt;"",LOWER(TRIM($V2))&lt;&gt;"n/a",COUNTIF($V$2:$V$532,$V2)&gt;1),AND($W2&lt;&gt;"",LOWER(TRIM($W2))&lt;&gt;"n/a",COUNTIF($W$2:$W$532,$W2)&gt;1),AND($Z2&lt;&gt;"",LOWER(TRIM($Z2))&lt;&gt;"n/a",COUNTIF($Z$2:$Z$532,$Z2)&gt;1)),"Yes","No"),IF($A2="Cybernet",IF(OR(AND($AB2&lt;&gt;"",LOWER(TRIM($AB2))&lt;&gt;"n/a",COUNTIF($AB$2:$AB$532,$AB2)&gt;1),AND($AC2&lt;&gt;"",LOWER(TRIM($AC2))&lt;&gt;"n/a",COUNTIF($AC$2:$AC$532,$AC2)&gt;1)),"Yes","No"),IF(AND($AL2&lt;&gt;"",LOWER(TRIM($AL2))&lt;&gt;"n/a",COUNTIF($AL$2:$AL$532,$AL2)&gt;1),"Yes","No"))))</f>
        <v>No</v>
      </c>
      <c r="F2" t="str">
        <f t="shared" ref="F2:F49" si="2">IF($B2&lt;&gt;"Yes","",
IF($A2="Neuron",
IF(OR(
AND($V2&lt;&gt;"",LOWER(TRIM($V2))&lt;&gt;"n/a",COUNTIFS($B$2:$B$532,"Yes",$A$2:$A$532,"Neuron",$V$2:$V$532,$V2)&gt;1),
AND($W2&lt;&gt;"",LOWER(TRIM($W2))&lt;&gt;"n/a",COUNTIFS($B$2:$B$532,"Yes",$A$2:$A$532,"Neuron",$W$2:$W$532,$W2)&gt;1),
AND($Z2&lt;&gt;"",LOWER(TRIM($Z2))&lt;&gt;"n/a",COUNTIFS($B$2:$B$532,"Yes",$A$2:$A$532,"Neuron",$Z$2:$Z$532,$Z2)&gt;1)
),"Yes","No"),
IF($A2="Cybernet",
IF(OR(
AND($AB2&lt;&gt;"",LOWER(TRIM($AB2))&lt;&gt;"n/a",COUNTIFS($B$2:$B$532,"Yes",$A$2:$A$532,"Cybernet",$AB$2:$AB$532,$AB2)&gt;1),
AND($AC2&lt;&gt;"",LOWER(TRIM($AC2))&lt;&gt;"n/a",COUNTIFS($B$2:$B$532,"Yes",$A$2:$A$532,"Cybernet",$AC$2:$AC$532,$AC2)&gt;1)
),"Yes","No"),
IF(AND($AL2&lt;&gt;"",LOWER(TRIM($AL2))&lt;&gt;"n/a"),
IF(COUNTIFS($B$2:$B$532,"Yes",$A$2:$A$532,$A2,$AL$2:$AL$532,$AL2)&gt;1,"Yes","No"),
"No")
)
)
)</f>
        <v>No</v>
      </c>
      <c r="G2" t="s">
        <v>1641</v>
      </c>
      <c r="H2" t="s">
        <v>1641</v>
      </c>
      <c r="N2" t="s">
        <v>1642</v>
      </c>
      <c r="O2" t="s">
        <v>1642</v>
      </c>
      <c r="P2" t="s">
        <v>1642</v>
      </c>
      <c r="V2" t="s">
        <v>1643</v>
      </c>
      <c r="W2" t="s">
        <v>1644</v>
      </c>
      <c r="X2" t="s">
        <v>1645</v>
      </c>
      <c r="Y2" t="s">
        <v>1640</v>
      </c>
      <c r="Z2" t="s">
        <v>1646</v>
      </c>
      <c r="AA2" t="s">
        <v>1647</v>
      </c>
      <c r="AB2" t="s">
        <v>1648</v>
      </c>
      <c r="AD2" t="s">
        <v>1649</v>
      </c>
      <c r="AF2" t="s">
        <v>1650</v>
      </c>
      <c r="AG2" t="s">
        <v>1648</v>
      </c>
      <c r="AI2" t="s">
        <v>1651</v>
      </c>
      <c r="AJ2" t="s">
        <v>1652</v>
      </c>
      <c r="AK2" t="s">
        <v>1653</v>
      </c>
      <c r="AL2" t="s">
        <v>1650</v>
      </c>
      <c r="AM2" t="s">
        <v>1549</v>
      </c>
      <c r="AR2" t="s">
        <v>1648</v>
      </c>
      <c r="AS2" t="s">
        <v>1654</v>
      </c>
      <c r="AT2" t="s">
        <v>1648</v>
      </c>
      <c r="AU2" t="s">
        <v>1648</v>
      </c>
      <c r="AV2" t="s">
        <v>1648</v>
      </c>
      <c r="AW2" t="s">
        <v>1640</v>
      </c>
      <c r="AX2" t="s">
        <v>1640</v>
      </c>
      <c r="BA2">
        <v>46027</v>
      </c>
      <c r="BB2" t="s">
        <v>1640</v>
      </c>
      <c r="BD2" t="s">
        <v>1617</v>
      </c>
      <c r="BE2" t="s">
        <v>1640</v>
      </c>
      <c r="BF2" t="s">
        <v>1640</v>
      </c>
      <c r="BG2" t="s">
        <v>1640</v>
      </c>
      <c r="BH2" t="s">
        <v>1640</v>
      </c>
      <c r="BI2" t="s">
        <v>1655</v>
      </c>
      <c r="BJ2" t="s">
        <v>1640</v>
      </c>
      <c r="BK2" t="s">
        <v>1656</v>
      </c>
      <c r="BL2" t="str">
        <f t="shared" ref="BL2:BL33" si="3">IF($W2="","",IF((IF(AND($AW2&lt;&gt;"Yes",$AW2&lt;&gt;"N/A"),"Power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IF($W2="","",IF($BL2="","Yes","Blocked"))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1545</v>
      </c>
      <c r="B3" t="s">
        <v>1640</v>
      </c>
      <c r="C3" t="s">
        <v>1640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1641</v>
      </c>
      <c r="H3" t="s">
        <v>1641</v>
      </c>
      <c r="N3" t="s">
        <v>1642</v>
      </c>
      <c r="O3" t="s">
        <v>1642</v>
      </c>
      <c r="P3" t="s">
        <v>1642</v>
      </c>
      <c r="V3" t="s">
        <v>1657</v>
      </c>
      <c r="W3" t="s">
        <v>1658</v>
      </c>
      <c r="X3" t="s">
        <v>1659</v>
      </c>
      <c r="Y3" t="s">
        <v>1640</v>
      </c>
      <c r="Z3" t="s">
        <v>1660</v>
      </c>
      <c r="AA3" t="s">
        <v>1647</v>
      </c>
      <c r="AB3" t="s">
        <v>1648</v>
      </c>
      <c r="AD3" t="s">
        <v>1649</v>
      </c>
      <c r="AF3" t="s">
        <v>1661</v>
      </c>
      <c r="AG3" t="s">
        <v>1648</v>
      </c>
      <c r="AI3" t="s">
        <v>1662</v>
      </c>
      <c r="AJ3" t="s">
        <v>1652</v>
      </c>
      <c r="AK3" t="s">
        <v>1653</v>
      </c>
      <c r="AL3" t="s">
        <v>1661</v>
      </c>
      <c r="AM3" t="s">
        <v>1549</v>
      </c>
      <c r="AR3" t="s">
        <v>1648</v>
      </c>
      <c r="AS3" t="s">
        <v>1654</v>
      </c>
      <c r="AT3" t="s">
        <v>1648</v>
      </c>
      <c r="AU3" t="s">
        <v>1648</v>
      </c>
      <c r="AV3" t="s">
        <v>1648</v>
      </c>
      <c r="AW3" t="s">
        <v>1640</v>
      </c>
      <c r="AX3" t="s">
        <v>1640</v>
      </c>
      <c r="BA3">
        <v>46027</v>
      </c>
      <c r="BB3" t="s">
        <v>1640</v>
      </c>
      <c r="BD3" t="s">
        <v>1617</v>
      </c>
      <c r="BE3" t="s">
        <v>1640</v>
      </c>
      <c r="BF3" t="s">
        <v>1640</v>
      </c>
      <c r="BG3" t="s">
        <v>1640</v>
      </c>
      <c r="BH3" t="s">
        <v>1640</v>
      </c>
      <c r="BJ3" t="s">
        <v>1640</v>
      </c>
      <c r="BK3" t="s">
        <v>1656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1545</v>
      </c>
      <c r="B4" t="s">
        <v>1640</v>
      </c>
      <c r="C4" t="s">
        <v>1640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1641</v>
      </c>
      <c r="H4" t="s">
        <v>1641</v>
      </c>
      <c r="N4" t="s">
        <v>1642</v>
      </c>
      <c r="O4" t="s">
        <v>1642</v>
      </c>
      <c r="P4" t="s">
        <v>1642</v>
      </c>
      <c r="V4" t="s">
        <v>1663</v>
      </c>
      <c r="W4" t="s">
        <v>1664</v>
      </c>
      <c r="X4" t="s">
        <v>1665</v>
      </c>
      <c r="Y4" t="s">
        <v>1640</v>
      </c>
      <c r="Z4" t="s">
        <v>1666</v>
      </c>
      <c r="AA4" t="s">
        <v>1647</v>
      </c>
      <c r="AB4" t="s">
        <v>1648</v>
      </c>
      <c r="AD4" t="s">
        <v>1649</v>
      </c>
      <c r="AF4" t="s">
        <v>1667</v>
      </c>
      <c r="AG4" t="s">
        <v>1648</v>
      </c>
      <c r="AI4" t="s">
        <v>1668</v>
      </c>
      <c r="AJ4" t="s">
        <v>1652</v>
      </c>
      <c r="AK4" t="s">
        <v>1653</v>
      </c>
      <c r="AL4" t="s">
        <v>1667</v>
      </c>
      <c r="AM4" t="s">
        <v>1549</v>
      </c>
      <c r="AR4" t="s">
        <v>1648</v>
      </c>
      <c r="AS4" t="s">
        <v>1654</v>
      </c>
      <c r="AT4" t="s">
        <v>1648</v>
      </c>
      <c r="AU4" t="s">
        <v>1648</v>
      </c>
      <c r="AV4" t="s">
        <v>1648</v>
      </c>
      <c r="AW4" t="s">
        <v>1640</v>
      </c>
      <c r="AX4" t="s">
        <v>1640</v>
      </c>
      <c r="BA4">
        <v>46027</v>
      </c>
      <c r="BB4" t="s">
        <v>1640</v>
      </c>
      <c r="BD4" t="s">
        <v>1617</v>
      </c>
      <c r="BE4" t="s">
        <v>1640</v>
      </c>
      <c r="BF4" t="s">
        <v>1640</v>
      </c>
      <c r="BG4" t="s">
        <v>1640</v>
      </c>
      <c r="BH4" t="s">
        <v>1640</v>
      </c>
      <c r="BJ4" t="s">
        <v>1640</v>
      </c>
      <c r="BK4" t="s">
        <v>1656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1545</v>
      </c>
      <c r="B5" t="s">
        <v>1640</v>
      </c>
      <c r="C5" t="s">
        <v>1640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1641</v>
      </c>
      <c r="H5" t="s">
        <v>1641</v>
      </c>
      <c r="N5" t="s">
        <v>1642</v>
      </c>
      <c r="O5" t="s">
        <v>1642</v>
      </c>
      <c r="P5" t="s">
        <v>1642</v>
      </c>
      <c r="V5" t="s">
        <v>1669</v>
      </c>
      <c r="W5" t="s">
        <v>1670</v>
      </c>
      <c r="X5" t="s">
        <v>1671</v>
      </c>
      <c r="Y5" t="s">
        <v>1640</v>
      </c>
      <c r="Z5" t="s">
        <v>1672</v>
      </c>
      <c r="AA5" t="s">
        <v>1647</v>
      </c>
      <c r="AB5" t="s">
        <v>1648</v>
      </c>
      <c r="AD5" t="s">
        <v>1649</v>
      </c>
      <c r="AF5" t="s">
        <v>1673</v>
      </c>
      <c r="AG5" t="s">
        <v>1648</v>
      </c>
      <c r="AI5" t="s">
        <v>1674</v>
      </c>
      <c r="AJ5" t="s">
        <v>1652</v>
      </c>
      <c r="AK5" t="s">
        <v>1653</v>
      </c>
      <c r="AL5" t="s">
        <v>1673</v>
      </c>
      <c r="AM5" t="s">
        <v>1549</v>
      </c>
      <c r="AR5" t="s">
        <v>1648</v>
      </c>
      <c r="AS5" t="s">
        <v>1654</v>
      </c>
      <c r="AT5" t="s">
        <v>1648</v>
      </c>
      <c r="AU5" t="s">
        <v>1648</v>
      </c>
      <c r="AV5" t="s">
        <v>1648</v>
      </c>
      <c r="AW5" t="s">
        <v>1640</v>
      </c>
      <c r="AX5" t="s">
        <v>1640</v>
      </c>
      <c r="BA5">
        <v>46027</v>
      </c>
      <c r="BB5" t="s">
        <v>1640</v>
      </c>
      <c r="BD5" t="s">
        <v>1617</v>
      </c>
      <c r="BE5" t="s">
        <v>1640</v>
      </c>
      <c r="BF5" t="s">
        <v>1640</v>
      </c>
      <c r="BG5" t="s">
        <v>1640</v>
      </c>
      <c r="BH5" t="s">
        <v>1640</v>
      </c>
      <c r="BJ5" t="s">
        <v>1640</v>
      </c>
      <c r="BK5" t="s">
        <v>1656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1545</v>
      </c>
      <c r="B6" t="s">
        <v>1640</v>
      </c>
      <c r="C6" t="s">
        <v>1640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1641</v>
      </c>
      <c r="H6" t="s">
        <v>1641</v>
      </c>
      <c r="N6" t="s">
        <v>1642</v>
      </c>
      <c r="O6" t="s">
        <v>1642</v>
      </c>
      <c r="P6" t="s">
        <v>1642</v>
      </c>
      <c r="V6" t="s">
        <v>1675</v>
      </c>
      <c r="W6" t="s">
        <v>1676</v>
      </c>
      <c r="X6" t="s">
        <v>1677</v>
      </c>
      <c r="Y6" t="s">
        <v>1640</v>
      </c>
      <c r="Z6" t="s">
        <v>1678</v>
      </c>
      <c r="AA6" t="s">
        <v>1647</v>
      </c>
      <c r="AB6" t="s">
        <v>1648</v>
      </c>
      <c r="AD6" t="s">
        <v>1649</v>
      </c>
      <c r="AF6" t="s">
        <v>1679</v>
      </c>
      <c r="AG6" t="s">
        <v>1648</v>
      </c>
      <c r="AI6" t="s">
        <v>1680</v>
      </c>
      <c r="AJ6" t="s">
        <v>1652</v>
      </c>
      <c r="AK6" t="s">
        <v>1653</v>
      </c>
      <c r="AL6" t="s">
        <v>1679</v>
      </c>
      <c r="AM6" t="s">
        <v>1549</v>
      </c>
      <c r="AR6" t="s">
        <v>1648</v>
      </c>
      <c r="AS6" t="s">
        <v>1654</v>
      </c>
      <c r="AT6" t="s">
        <v>1648</v>
      </c>
      <c r="AU6" t="s">
        <v>1648</v>
      </c>
      <c r="AV6" t="s">
        <v>1648</v>
      </c>
      <c r="AW6" t="s">
        <v>1640</v>
      </c>
      <c r="AX6" t="s">
        <v>1640</v>
      </c>
      <c r="BA6">
        <v>46027</v>
      </c>
      <c r="BB6" t="s">
        <v>1640</v>
      </c>
      <c r="BD6" t="s">
        <v>1617</v>
      </c>
      <c r="BE6" t="s">
        <v>1640</v>
      </c>
      <c r="BF6" t="s">
        <v>1640</v>
      </c>
      <c r="BG6" t="s">
        <v>1640</v>
      </c>
      <c r="BH6" t="s">
        <v>1640</v>
      </c>
      <c r="BJ6" t="s">
        <v>1640</v>
      </c>
      <c r="BK6" t="s">
        <v>1656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1545</v>
      </c>
      <c r="B7" t="s">
        <v>1640</v>
      </c>
      <c r="C7" t="s">
        <v>1640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1641</v>
      </c>
      <c r="H7" t="s">
        <v>1641</v>
      </c>
      <c r="N7" t="s">
        <v>1642</v>
      </c>
      <c r="O7" t="s">
        <v>1642</v>
      </c>
      <c r="P7" t="s">
        <v>1642</v>
      </c>
      <c r="V7" t="s">
        <v>1681</v>
      </c>
      <c r="W7" t="s">
        <v>1682</v>
      </c>
      <c r="X7" t="s">
        <v>1683</v>
      </c>
      <c r="Y7" t="s">
        <v>1640</v>
      </c>
      <c r="Z7" t="s">
        <v>1684</v>
      </c>
      <c r="AA7" t="s">
        <v>1647</v>
      </c>
      <c r="AB7" t="s">
        <v>1648</v>
      </c>
      <c r="AD7" t="s">
        <v>1649</v>
      </c>
      <c r="AF7" t="s">
        <v>1685</v>
      </c>
      <c r="AG7" t="s">
        <v>1648</v>
      </c>
      <c r="AI7" t="s">
        <v>1686</v>
      </c>
      <c r="AJ7" t="s">
        <v>1652</v>
      </c>
      <c r="AK7" t="s">
        <v>1653</v>
      </c>
      <c r="AL7" t="s">
        <v>1685</v>
      </c>
      <c r="AM7" t="s">
        <v>1549</v>
      </c>
      <c r="AR7" t="s">
        <v>1648</v>
      </c>
      <c r="AS7" t="s">
        <v>1654</v>
      </c>
      <c r="AT7" t="s">
        <v>1648</v>
      </c>
      <c r="AU7" t="s">
        <v>1648</v>
      </c>
      <c r="AV7" t="s">
        <v>1648</v>
      </c>
      <c r="AW7" t="s">
        <v>1640</v>
      </c>
      <c r="AX7" t="s">
        <v>1640</v>
      </c>
      <c r="BA7">
        <v>46027</v>
      </c>
      <c r="BB7" t="s">
        <v>1640</v>
      </c>
      <c r="BD7" t="s">
        <v>1617</v>
      </c>
      <c r="BE7" t="s">
        <v>1640</v>
      </c>
      <c r="BF7" t="s">
        <v>1640</v>
      </c>
      <c r="BG7" t="s">
        <v>1640</v>
      </c>
      <c r="BH7" t="s">
        <v>1640</v>
      </c>
      <c r="BJ7" t="s">
        <v>1640</v>
      </c>
      <c r="BK7" t="s">
        <v>1656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1545</v>
      </c>
      <c r="B8" t="s">
        <v>1640</v>
      </c>
      <c r="C8" t="s">
        <v>1640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1641</v>
      </c>
      <c r="H8" t="s">
        <v>1641</v>
      </c>
      <c r="N8" t="s">
        <v>1642</v>
      </c>
      <c r="O8" t="s">
        <v>1642</v>
      </c>
      <c r="P8" t="s">
        <v>1642</v>
      </c>
      <c r="V8" t="s">
        <v>1687</v>
      </c>
      <c r="W8" t="s">
        <v>1688</v>
      </c>
      <c r="X8" t="s">
        <v>1689</v>
      </c>
      <c r="Y8" t="s">
        <v>1640</v>
      </c>
      <c r="Z8" t="s">
        <v>1690</v>
      </c>
      <c r="AA8" t="s">
        <v>1647</v>
      </c>
      <c r="AB8" t="s">
        <v>1648</v>
      </c>
      <c r="AD8" t="s">
        <v>1649</v>
      </c>
      <c r="AF8" t="s">
        <v>1691</v>
      </c>
      <c r="AG8" t="s">
        <v>1648</v>
      </c>
      <c r="AI8" t="s">
        <v>1692</v>
      </c>
      <c r="AJ8" t="s">
        <v>1652</v>
      </c>
      <c r="AK8" t="s">
        <v>1653</v>
      </c>
      <c r="AL8" t="s">
        <v>1691</v>
      </c>
      <c r="AM8" t="s">
        <v>1549</v>
      </c>
      <c r="AR8" t="s">
        <v>1648</v>
      </c>
      <c r="AS8" t="s">
        <v>1654</v>
      </c>
      <c r="AT8" t="s">
        <v>1648</v>
      </c>
      <c r="AU8" t="s">
        <v>1648</v>
      </c>
      <c r="AV8" t="s">
        <v>1648</v>
      </c>
      <c r="AW8" t="s">
        <v>1640</v>
      </c>
      <c r="AX8" t="s">
        <v>1640</v>
      </c>
      <c r="BA8">
        <v>46027</v>
      </c>
      <c r="BB8" t="s">
        <v>1640</v>
      </c>
      <c r="BD8" t="s">
        <v>1617</v>
      </c>
      <c r="BE8" t="s">
        <v>1640</v>
      </c>
      <c r="BF8" t="s">
        <v>1640</v>
      </c>
      <c r="BG8" t="s">
        <v>1640</v>
      </c>
      <c r="BH8" t="s">
        <v>1640</v>
      </c>
      <c r="BJ8" t="s">
        <v>1640</v>
      </c>
      <c r="BK8" t="s">
        <v>1656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1545</v>
      </c>
      <c r="B9" t="s">
        <v>1640</v>
      </c>
      <c r="C9" t="s">
        <v>1640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1641</v>
      </c>
      <c r="H9" t="s">
        <v>1641</v>
      </c>
      <c r="N9" t="s">
        <v>1642</v>
      </c>
      <c r="O9" t="s">
        <v>1642</v>
      </c>
      <c r="P9" t="s">
        <v>1642</v>
      </c>
      <c r="V9" t="s">
        <v>1693</v>
      </c>
      <c r="W9" t="s">
        <v>1694</v>
      </c>
      <c r="X9" t="s">
        <v>1695</v>
      </c>
      <c r="Y9" t="s">
        <v>1640</v>
      </c>
      <c r="Z9" t="s">
        <v>1696</v>
      </c>
      <c r="AA9" t="s">
        <v>1647</v>
      </c>
      <c r="AB9" t="s">
        <v>1648</v>
      </c>
      <c r="AD9" t="s">
        <v>1649</v>
      </c>
      <c r="AF9" t="s">
        <v>1697</v>
      </c>
      <c r="AG9" t="s">
        <v>1648</v>
      </c>
      <c r="AI9" t="s">
        <v>1698</v>
      </c>
      <c r="AJ9" t="s">
        <v>1652</v>
      </c>
      <c r="AK9" t="s">
        <v>1653</v>
      </c>
      <c r="AL9" t="s">
        <v>1697</v>
      </c>
      <c r="AM9" t="s">
        <v>1549</v>
      </c>
      <c r="AR9" t="s">
        <v>1648</v>
      </c>
      <c r="AS9" t="s">
        <v>1654</v>
      </c>
      <c r="AT9" t="s">
        <v>1648</v>
      </c>
      <c r="AU9" t="s">
        <v>1648</v>
      </c>
      <c r="AV9" t="s">
        <v>1648</v>
      </c>
      <c r="AW9" t="s">
        <v>1640</v>
      </c>
      <c r="AX9" t="s">
        <v>1640</v>
      </c>
      <c r="BA9">
        <v>46027</v>
      </c>
      <c r="BB9" t="s">
        <v>1640</v>
      </c>
      <c r="BD9" t="s">
        <v>1617</v>
      </c>
      <c r="BE9" t="s">
        <v>1640</v>
      </c>
      <c r="BF9" t="s">
        <v>1640</v>
      </c>
      <c r="BG9" t="s">
        <v>1640</v>
      </c>
      <c r="BH9" t="s">
        <v>1640</v>
      </c>
      <c r="BJ9" t="s">
        <v>1640</v>
      </c>
      <c r="BK9" t="s">
        <v>1656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1545</v>
      </c>
      <c r="B10" t="s">
        <v>1640</v>
      </c>
      <c r="C10" t="s">
        <v>1640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1641</v>
      </c>
      <c r="H10" t="s">
        <v>1641</v>
      </c>
      <c r="N10" t="s">
        <v>1642</v>
      </c>
      <c r="O10" t="s">
        <v>1642</v>
      </c>
      <c r="P10" t="s">
        <v>1642</v>
      </c>
      <c r="V10" t="s">
        <v>1699</v>
      </c>
      <c r="W10" t="s">
        <v>1700</v>
      </c>
      <c r="X10" t="s">
        <v>1701</v>
      </c>
      <c r="Y10" t="s">
        <v>1640</v>
      </c>
      <c r="Z10" t="s">
        <v>1702</v>
      </c>
      <c r="AA10" t="s">
        <v>1647</v>
      </c>
      <c r="AB10" t="s">
        <v>1648</v>
      </c>
      <c r="AD10" t="s">
        <v>1649</v>
      </c>
      <c r="AF10" t="s">
        <v>1703</v>
      </c>
      <c r="AG10" t="s">
        <v>1648</v>
      </c>
      <c r="AI10" t="s">
        <v>1704</v>
      </c>
      <c r="AJ10" t="s">
        <v>1652</v>
      </c>
      <c r="AK10" t="s">
        <v>1653</v>
      </c>
      <c r="AL10" t="s">
        <v>1703</v>
      </c>
      <c r="AM10" t="s">
        <v>1549</v>
      </c>
      <c r="AR10" t="s">
        <v>1648</v>
      </c>
      <c r="AS10" t="s">
        <v>1654</v>
      </c>
      <c r="AT10" t="s">
        <v>1648</v>
      </c>
      <c r="AU10" t="s">
        <v>1648</v>
      </c>
      <c r="AV10" t="s">
        <v>1648</v>
      </c>
      <c r="AW10" t="s">
        <v>1640</v>
      </c>
      <c r="AX10" t="s">
        <v>1640</v>
      </c>
      <c r="BA10">
        <v>46027</v>
      </c>
      <c r="BB10" t="s">
        <v>1640</v>
      </c>
      <c r="BD10" t="s">
        <v>1617</v>
      </c>
      <c r="BE10" t="s">
        <v>1640</v>
      </c>
      <c r="BF10" t="s">
        <v>1640</v>
      </c>
      <c r="BG10" t="s">
        <v>1640</v>
      </c>
      <c r="BH10" t="s">
        <v>1640</v>
      </c>
      <c r="BJ10" t="s">
        <v>1640</v>
      </c>
      <c r="BK10" t="s">
        <v>1656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1545</v>
      </c>
      <c r="B11" t="s">
        <v>1640</v>
      </c>
      <c r="C11" t="s">
        <v>1640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1641</v>
      </c>
      <c r="H11" t="s">
        <v>1641</v>
      </c>
      <c r="N11" t="s">
        <v>1642</v>
      </c>
      <c r="O11" t="s">
        <v>1642</v>
      </c>
      <c r="P11" t="s">
        <v>1642</v>
      </c>
      <c r="V11" t="s">
        <v>1705</v>
      </c>
      <c r="W11" t="s">
        <v>1706</v>
      </c>
      <c r="X11" t="s">
        <v>1707</v>
      </c>
      <c r="Y11" t="s">
        <v>1640</v>
      </c>
      <c r="Z11" t="s">
        <v>1708</v>
      </c>
      <c r="AA11" t="s">
        <v>1647</v>
      </c>
      <c r="AB11" t="s">
        <v>1648</v>
      </c>
      <c r="AD11" t="s">
        <v>1649</v>
      </c>
      <c r="AF11" t="s">
        <v>1709</v>
      </c>
      <c r="AG11" t="s">
        <v>1648</v>
      </c>
      <c r="AI11" t="s">
        <v>1710</v>
      </c>
      <c r="AJ11" t="s">
        <v>1652</v>
      </c>
      <c r="AK11" t="s">
        <v>1653</v>
      </c>
      <c r="AL11" t="s">
        <v>1709</v>
      </c>
      <c r="AM11" t="s">
        <v>1549</v>
      </c>
      <c r="AR11" t="s">
        <v>1648</v>
      </c>
      <c r="AS11" t="s">
        <v>1654</v>
      </c>
      <c r="AT11" t="s">
        <v>1648</v>
      </c>
      <c r="AU11" t="s">
        <v>1648</v>
      </c>
      <c r="AV11" t="s">
        <v>1648</v>
      </c>
      <c r="AW11" t="s">
        <v>1640</v>
      </c>
      <c r="AX11" t="s">
        <v>1640</v>
      </c>
      <c r="BA11">
        <v>46027</v>
      </c>
      <c r="BB11" t="s">
        <v>1640</v>
      </c>
      <c r="BD11" t="s">
        <v>1617</v>
      </c>
      <c r="BE11" t="s">
        <v>1640</v>
      </c>
      <c r="BF11" t="s">
        <v>1640</v>
      </c>
      <c r="BG11" t="s">
        <v>1640</v>
      </c>
      <c r="BH11" t="s">
        <v>1640</v>
      </c>
      <c r="BJ11" t="s">
        <v>1640</v>
      </c>
      <c r="BK11" t="s">
        <v>1656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1545</v>
      </c>
      <c r="B12" t="s">
        <v>1640</v>
      </c>
      <c r="C12" t="s">
        <v>1640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1641</v>
      </c>
      <c r="H12" t="s">
        <v>1641</v>
      </c>
      <c r="N12" t="s">
        <v>1642</v>
      </c>
      <c r="O12" t="s">
        <v>1642</v>
      </c>
      <c r="P12" t="s">
        <v>1642</v>
      </c>
      <c r="V12" t="s">
        <v>1711</v>
      </c>
      <c r="W12" t="s">
        <v>1712</v>
      </c>
      <c r="X12" t="s">
        <v>1713</v>
      </c>
      <c r="Y12" t="s">
        <v>1640</v>
      </c>
      <c r="Z12" t="s">
        <v>1714</v>
      </c>
      <c r="AA12" t="s">
        <v>1647</v>
      </c>
      <c r="AB12" t="s">
        <v>1648</v>
      </c>
      <c r="AD12" t="s">
        <v>1649</v>
      </c>
      <c r="AF12" t="s">
        <v>1715</v>
      </c>
      <c r="AG12" t="s">
        <v>1648</v>
      </c>
      <c r="AI12" t="s">
        <v>1716</v>
      </c>
      <c r="AJ12" t="s">
        <v>1652</v>
      </c>
      <c r="AK12" t="s">
        <v>1653</v>
      </c>
      <c r="AL12" t="s">
        <v>1715</v>
      </c>
      <c r="AM12" t="s">
        <v>1549</v>
      </c>
      <c r="AR12" t="s">
        <v>1648</v>
      </c>
      <c r="AS12" t="s">
        <v>1654</v>
      </c>
      <c r="AT12" t="s">
        <v>1648</v>
      </c>
      <c r="AU12" t="s">
        <v>1648</v>
      </c>
      <c r="AV12" t="s">
        <v>1648</v>
      </c>
      <c r="AW12" t="s">
        <v>1640</v>
      </c>
      <c r="AX12" t="s">
        <v>1640</v>
      </c>
      <c r="BA12">
        <v>46027</v>
      </c>
      <c r="BB12" t="s">
        <v>1640</v>
      </c>
      <c r="BC12" t="s">
        <v>1717</v>
      </c>
      <c r="BD12" t="s">
        <v>1617</v>
      </c>
      <c r="BE12" t="s">
        <v>1640</v>
      </c>
      <c r="BF12" t="s">
        <v>1640</v>
      </c>
      <c r="BG12" t="s">
        <v>1640</v>
      </c>
      <c r="BH12" t="s">
        <v>1640</v>
      </c>
      <c r="BJ12" t="s">
        <v>1640</v>
      </c>
      <c r="BK12" t="s">
        <v>1656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1545</v>
      </c>
      <c r="B13" t="s">
        <v>1640</v>
      </c>
      <c r="C13" t="s">
        <v>1640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1641</v>
      </c>
      <c r="H13" t="s">
        <v>1641</v>
      </c>
      <c r="N13" t="s">
        <v>1642</v>
      </c>
      <c r="O13" t="s">
        <v>1642</v>
      </c>
      <c r="P13" t="s">
        <v>1642</v>
      </c>
      <c r="V13" t="s">
        <v>1718</v>
      </c>
      <c r="W13" t="s">
        <v>1719</v>
      </c>
      <c r="X13" t="s">
        <v>1720</v>
      </c>
      <c r="Y13" t="s">
        <v>1640</v>
      </c>
      <c r="Z13" t="s">
        <v>1721</v>
      </c>
      <c r="AA13" t="s">
        <v>1647</v>
      </c>
      <c r="AB13" t="s">
        <v>1648</v>
      </c>
      <c r="AD13" t="s">
        <v>1649</v>
      </c>
      <c r="AF13" t="s">
        <v>1722</v>
      </c>
      <c r="AG13" t="s">
        <v>1648</v>
      </c>
      <c r="AI13" t="s">
        <v>1723</v>
      </c>
      <c r="AJ13" t="s">
        <v>1652</v>
      </c>
      <c r="AK13" t="s">
        <v>1653</v>
      </c>
      <c r="AL13" t="s">
        <v>1722</v>
      </c>
      <c r="AM13" t="s">
        <v>1549</v>
      </c>
      <c r="AR13" t="s">
        <v>1648</v>
      </c>
      <c r="AS13" t="s">
        <v>1654</v>
      </c>
      <c r="AT13" t="s">
        <v>1648</v>
      </c>
      <c r="AU13" t="s">
        <v>1648</v>
      </c>
      <c r="AV13" t="s">
        <v>1648</v>
      </c>
      <c r="AW13" t="s">
        <v>1640</v>
      </c>
      <c r="AX13" t="s">
        <v>1640</v>
      </c>
      <c r="BA13">
        <v>46027</v>
      </c>
      <c r="BB13" t="s">
        <v>1640</v>
      </c>
      <c r="BD13" t="s">
        <v>1617</v>
      </c>
      <c r="BE13" t="s">
        <v>1640</v>
      </c>
      <c r="BF13" t="s">
        <v>1640</v>
      </c>
      <c r="BG13" t="s">
        <v>1640</v>
      </c>
      <c r="BH13" t="s">
        <v>1640</v>
      </c>
      <c r="BJ13" t="s">
        <v>1640</v>
      </c>
      <c r="BK13" t="s">
        <v>1656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1545</v>
      </c>
      <c r="B14" t="s">
        <v>1640</v>
      </c>
      <c r="C14" t="s">
        <v>1640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1641</v>
      </c>
      <c r="H14" t="s">
        <v>1641</v>
      </c>
      <c r="N14" t="s">
        <v>1642</v>
      </c>
      <c r="O14" t="s">
        <v>1642</v>
      </c>
      <c r="P14" t="s">
        <v>1642</v>
      </c>
      <c r="V14" t="s">
        <v>1724</v>
      </c>
      <c r="W14" t="s">
        <v>1725</v>
      </c>
      <c r="X14" t="s">
        <v>1726</v>
      </c>
      <c r="Y14" t="s">
        <v>1640</v>
      </c>
      <c r="Z14" t="s">
        <v>1727</v>
      </c>
      <c r="AA14" t="s">
        <v>1647</v>
      </c>
      <c r="AB14" t="s">
        <v>1648</v>
      </c>
      <c r="AD14" t="s">
        <v>1649</v>
      </c>
      <c r="AF14" t="s">
        <v>1728</v>
      </c>
      <c r="AG14" t="s">
        <v>1648</v>
      </c>
      <c r="AI14" t="s">
        <v>1729</v>
      </c>
      <c r="AJ14" t="s">
        <v>1652</v>
      </c>
      <c r="AK14" t="s">
        <v>1653</v>
      </c>
      <c r="AL14" t="s">
        <v>1728</v>
      </c>
      <c r="AM14" t="s">
        <v>1549</v>
      </c>
      <c r="AR14" t="s">
        <v>1648</v>
      </c>
      <c r="AS14" t="s">
        <v>1654</v>
      </c>
      <c r="AT14" t="s">
        <v>1648</v>
      </c>
      <c r="AU14" t="s">
        <v>1648</v>
      </c>
      <c r="AV14" t="s">
        <v>1648</v>
      </c>
      <c r="AW14" t="s">
        <v>1640</v>
      </c>
      <c r="AX14" t="s">
        <v>1640</v>
      </c>
      <c r="BA14">
        <v>46027</v>
      </c>
      <c r="BB14" t="s">
        <v>1640</v>
      </c>
      <c r="BD14" t="s">
        <v>1617</v>
      </c>
      <c r="BE14" t="s">
        <v>1640</v>
      </c>
      <c r="BF14" t="s">
        <v>1640</v>
      </c>
      <c r="BG14" t="s">
        <v>1640</v>
      </c>
      <c r="BH14" t="s">
        <v>1640</v>
      </c>
      <c r="BJ14" t="s">
        <v>1640</v>
      </c>
      <c r="BK14" t="s">
        <v>1656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1545</v>
      </c>
      <c r="B15" t="s">
        <v>1640</v>
      </c>
      <c r="C15" t="s">
        <v>1640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1641</v>
      </c>
      <c r="H15" t="s">
        <v>1641</v>
      </c>
      <c r="N15" t="s">
        <v>1642</v>
      </c>
      <c r="O15" t="s">
        <v>1642</v>
      </c>
      <c r="P15" t="s">
        <v>1642</v>
      </c>
      <c r="V15" t="s">
        <v>1730</v>
      </c>
      <c r="W15" t="s">
        <v>1731</v>
      </c>
      <c r="X15" t="s">
        <v>1732</v>
      </c>
      <c r="Y15" t="s">
        <v>1640</v>
      </c>
      <c r="Z15" t="s">
        <v>1733</v>
      </c>
      <c r="AA15" t="s">
        <v>1647</v>
      </c>
      <c r="AB15" t="s">
        <v>1648</v>
      </c>
      <c r="AD15" t="s">
        <v>1649</v>
      </c>
      <c r="AF15" t="s">
        <v>1734</v>
      </c>
      <c r="AG15" t="s">
        <v>1648</v>
      </c>
      <c r="AI15" t="s">
        <v>1735</v>
      </c>
      <c r="AJ15" t="s">
        <v>1652</v>
      </c>
      <c r="AK15" t="s">
        <v>1653</v>
      </c>
      <c r="AL15" t="s">
        <v>1734</v>
      </c>
      <c r="AM15" t="s">
        <v>1549</v>
      </c>
      <c r="AR15" t="s">
        <v>1648</v>
      </c>
      <c r="AS15" t="s">
        <v>1654</v>
      </c>
      <c r="AT15" t="s">
        <v>1648</v>
      </c>
      <c r="AU15" t="s">
        <v>1648</v>
      </c>
      <c r="AV15" t="s">
        <v>1648</v>
      </c>
      <c r="AW15" t="s">
        <v>1640</v>
      </c>
      <c r="AX15" t="s">
        <v>1640</v>
      </c>
      <c r="BA15">
        <v>46027</v>
      </c>
      <c r="BB15" t="s">
        <v>1640</v>
      </c>
      <c r="BD15" t="s">
        <v>1617</v>
      </c>
      <c r="BE15" t="s">
        <v>1640</v>
      </c>
      <c r="BF15" t="s">
        <v>1640</v>
      </c>
      <c r="BG15" t="s">
        <v>1640</v>
      </c>
      <c r="BH15" t="s">
        <v>1640</v>
      </c>
      <c r="BJ15" t="s">
        <v>1640</v>
      </c>
      <c r="BK15" t="s">
        <v>1656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1545</v>
      </c>
      <c r="B16" t="s">
        <v>1640</v>
      </c>
      <c r="C16" t="s">
        <v>1640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1641</v>
      </c>
      <c r="H16" t="s">
        <v>1641</v>
      </c>
      <c r="N16" t="s">
        <v>1642</v>
      </c>
      <c r="O16" t="s">
        <v>1642</v>
      </c>
      <c r="P16" t="s">
        <v>1642</v>
      </c>
      <c r="V16" t="s">
        <v>1736</v>
      </c>
      <c r="W16" t="s">
        <v>1737</v>
      </c>
      <c r="X16" t="s">
        <v>1738</v>
      </c>
      <c r="Y16" t="s">
        <v>1640</v>
      </c>
      <c r="Z16" t="s">
        <v>1739</v>
      </c>
      <c r="AA16" t="s">
        <v>1647</v>
      </c>
      <c r="AB16" t="s">
        <v>1648</v>
      </c>
      <c r="AD16" t="s">
        <v>1649</v>
      </c>
      <c r="AF16" t="s">
        <v>1740</v>
      </c>
      <c r="AG16" t="s">
        <v>1648</v>
      </c>
      <c r="AI16" t="s">
        <v>1741</v>
      </c>
      <c r="AJ16" t="s">
        <v>1652</v>
      </c>
      <c r="AK16" t="s">
        <v>1653</v>
      </c>
      <c r="AL16" t="s">
        <v>1740</v>
      </c>
      <c r="AM16" t="s">
        <v>1549</v>
      </c>
      <c r="AR16" t="s">
        <v>1648</v>
      </c>
      <c r="AS16" t="s">
        <v>1654</v>
      </c>
      <c r="AT16" t="s">
        <v>1648</v>
      </c>
      <c r="AU16" t="s">
        <v>1648</v>
      </c>
      <c r="AV16" t="s">
        <v>1648</v>
      </c>
      <c r="AW16" t="s">
        <v>1640</v>
      </c>
      <c r="AX16" t="s">
        <v>1640</v>
      </c>
      <c r="BA16">
        <v>46027</v>
      </c>
      <c r="BB16" t="s">
        <v>1640</v>
      </c>
      <c r="BD16" t="s">
        <v>1617</v>
      </c>
      <c r="BE16" t="s">
        <v>1640</v>
      </c>
      <c r="BF16" t="s">
        <v>1640</v>
      </c>
      <c r="BG16" t="s">
        <v>1640</v>
      </c>
      <c r="BH16" t="s">
        <v>1640</v>
      </c>
      <c r="BJ16" t="s">
        <v>1640</v>
      </c>
      <c r="BK16" t="s">
        <v>1656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1545</v>
      </c>
      <c r="B17" t="s">
        <v>1640</v>
      </c>
      <c r="C17" t="s">
        <v>1640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1641</v>
      </c>
      <c r="H17" t="s">
        <v>1641</v>
      </c>
      <c r="N17" t="s">
        <v>1642</v>
      </c>
      <c r="O17" t="s">
        <v>1642</v>
      </c>
      <c r="P17" t="s">
        <v>1642</v>
      </c>
      <c r="V17" t="s">
        <v>1742</v>
      </c>
      <c r="W17" t="s">
        <v>1743</v>
      </c>
      <c r="X17" t="s">
        <v>1744</v>
      </c>
      <c r="Y17" t="s">
        <v>1640</v>
      </c>
      <c r="Z17" t="s">
        <v>1745</v>
      </c>
      <c r="AA17" t="s">
        <v>1647</v>
      </c>
      <c r="AB17" t="s">
        <v>1648</v>
      </c>
      <c r="AD17" t="s">
        <v>1649</v>
      </c>
      <c r="AF17" t="s">
        <v>1746</v>
      </c>
      <c r="AG17" t="s">
        <v>1648</v>
      </c>
      <c r="AI17" t="s">
        <v>1747</v>
      </c>
      <c r="AJ17" t="s">
        <v>1652</v>
      </c>
      <c r="AK17" t="s">
        <v>1653</v>
      </c>
      <c r="AL17" t="s">
        <v>1746</v>
      </c>
      <c r="AM17" t="s">
        <v>1549</v>
      </c>
      <c r="AR17" t="s">
        <v>1648</v>
      </c>
      <c r="AS17" t="s">
        <v>1654</v>
      </c>
      <c r="AT17" t="s">
        <v>1648</v>
      </c>
      <c r="AU17" t="s">
        <v>1648</v>
      </c>
      <c r="AV17" t="s">
        <v>1648</v>
      </c>
      <c r="AW17" t="s">
        <v>1640</v>
      </c>
      <c r="AX17" t="s">
        <v>1640</v>
      </c>
      <c r="BA17">
        <v>46027</v>
      </c>
      <c r="BB17" t="s">
        <v>1640</v>
      </c>
      <c r="BD17" t="s">
        <v>1617</v>
      </c>
      <c r="BE17" t="s">
        <v>1640</v>
      </c>
      <c r="BF17" t="s">
        <v>1640</v>
      </c>
      <c r="BG17" t="s">
        <v>1640</v>
      </c>
      <c r="BH17" t="s">
        <v>1640</v>
      </c>
      <c r="BJ17" t="s">
        <v>1640</v>
      </c>
      <c r="BK17" t="s">
        <v>1656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1545</v>
      </c>
      <c r="B18" t="s">
        <v>1640</v>
      </c>
      <c r="C18" t="s">
        <v>1640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1641</v>
      </c>
      <c r="H18" t="s">
        <v>1641</v>
      </c>
      <c r="N18" t="s">
        <v>1642</v>
      </c>
      <c r="O18" t="s">
        <v>1642</v>
      </c>
      <c r="P18" t="s">
        <v>1642</v>
      </c>
      <c r="V18" t="s">
        <v>1748</v>
      </c>
      <c r="W18" t="s">
        <v>1749</v>
      </c>
      <c r="X18" t="s">
        <v>1750</v>
      </c>
      <c r="Y18" t="s">
        <v>1640</v>
      </c>
      <c r="Z18" t="s">
        <v>1751</v>
      </c>
      <c r="AA18" t="s">
        <v>1647</v>
      </c>
      <c r="AB18" t="s">
        <v>1648</v>
      </c>
      <c r="AD18" t="s">
        <v>1649</v>
      </c>
      <c r="AF18" t="s">
        <v>1752</v>
      </c>
      <c r="AG18" t="s">
        <v>1648</v>
      </c>
      <c r="AI18" t="s">
        <v>1753</v>
      </c>
      <c r="AJ18" t="s">
        <v>1652</v>
      </c>
      <c r="AK18" t="s">
        <v>1653</v>
      </c>
      <c r="AL18" t="s">
        <v>1752</v>
      </c>
      <c r="AM18" t="s">
        <v>1549</v>
      </c>
      <c r="AR18" t="s">
        <v>1648</v>
      </c>
      <c r="AS18" t="s">
        <v>1654</v>
      </c>
      <c r="AT18" t="s">
        <v>1648</v>
      </c>
      <c r="AU18" t="s">
        <v>1648</v>
      </c>
      <c r="AV18" t="s">
        <v>1648</v>
      </c>
      <c r="AW18" t="s">
        <v>1640</v>
      </c>
      <c r="AX18" t="s">
        <v>1640</v>
      </c>
      <c r="BA18">
        <v>46027</v>
      </c>
      <c r="BB18" t="s">
        <v>1640</v>
      </c>
      <c r="BD18" t="s">
        <v>1617</v>
      </c>
      <c r="BE18" t="s">
        <v>1640</v>
      </c>
      <c r="BF18" t="s">
        <v>1640</v>
      </c>
      <c r="BG18" t="s">
        <v>1640</v>
      </c>
      <c r="BH18" t="s">
        <v>1640</v>
      </c>
      <c r="BJ18" t="s">
        <v>1640</v>
      </c>
      <c r="BK18" t="s">
        <v>1656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1545</v>
      </c>
      <c r="B19" t="s">
        <v>1640</v>
      </c>
      <c r="C19" t="s">
        <v>1640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1641</v>
      </c>
      <c r="H19" t="s">
        <v>1641</v>
      </c>
      <c r="N19" t="s">
        <v>1642</v>
      </c>
      <c r="O19" t="s">
        <v>1642</v>
      </c>
      <c r="P19" t="s">
        <v>1642</v>
      </c>
      <c r="V19" t="s">
        <v>1754</v>
      </c>
      <c r="W19" t="s">
        <v>1755</v>
      </c>
      <c r="X19" t="s">
        <v>1756</v>
      </c>
      <c r="Y19" t="s">
        <v>1640</v>
      </c>
      <c r="Z19" t="s">
        <v>1757</v>
      </c>
      <c r="AA19" t="s">
        <v>1647</v>
      </c>
      <c r="AB19" t="s">
        <v>1648</v>
      </c>
      <c r="AD19" t="s">
        <v>1649</v>
      </c>
      <c r="AF19" t="s">
        <v>1758</v>
      </c>
      <c r="AG19" t="s">
        <v>1648</v>
      </c>
      <c r="AI19" t="s">
        <v>1759</v>
      </c>
      <c r="AJ19" t="s">
        <v>1652</v>
      </c>
      <c r="AK19" t="s">
        <v>1653</v>
      </c>
      <c r="AL19" t="s">
        <v>1758</v>
      </c>
      <c r="AM19" t="s">
        <v>1549</v>
      </c>
      <c r="AR19" t="s">
        <v>1648</v>
      </c>
      <c r="AS19" t="s">
        <v>1654</v>
      </c>
      <c r="AT19" t="s">
        <v>1648</v>
      </c>
      <c r="AU19" t="s">
        <v>1648</v>
      </c>
      <c r="AV19" t="s">
        <v>1648</v>
      </c>
      <c r="AW19" t="s">
        <v>1640</v>
      </c>
      <c r="AX19" t="s">
        <v>1640</v>
      </c>
      <c r="BA19">
        <v>46027</v>
      </c>
      <c r="BB19" t="s">
        <v>1640</v>
      </c>
      <c r="BD19" t="s">
        <v>1617</v>
      </c>
      <c r="BE19" t="s">
        <v>1640</v>
      </c>
      <c r="BF19" t="s">
        <v>1640</v>
      </c>
      <c r="BG19" t="s">
        <v>1640</v>
      </c>
      <c r="BH19" t="s">
        <v>1640</v>
      </c>
      <c r="BJ19" t="s">
        <v>1640</v>
      </c>
      <c r="BK19" t="s">
        <v>1656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1545</v>
      </c>
      <c r="B20" t="s">
        <v>1640</v>
      </c>
      <c r="C20" t="s">
        <v>1640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1641</v>
      </c>
      <c r="H20" t="s">
        <v>1641</v>
      </c>
      <c r="N20" t="s">
        <v>1642</v>
      </c>
      <c r="O20" t="s">
        <v>1642</v>
      </c>
      <c r="P20" t="s">
        <v>1642</v>
      </c>
      <c r="V20" t="s">
        <v>1760</v>
      </c>
      <c r="W20" t="s">
        <v>1761</v>
      </c>
      <c r="X20" t="s">
        <v>1762</v>
      </c>
      <c r="Y20" t="s">
        <v>1640</v>
      </c>
      <c r="Z20" t="s">
        <v>1763</v>
      </c>
      <c r="AA20" t="s">
        <v>1647</v>
      </c>
      <c r="AB20" t="s">
        <v>1648</v>
      </c>
      <c r="AD20" t="s">
        <v>1649</v>
      </c>
      <c r="AF20" t="s">
        <v>1764</v>
      </c>
      <c r="AG20" t="s">
        <v>1648</v>
      </c>
      <c r="AI20" t="s">
        <v>1765</v>
      </c>
      <c r="AJ20" t="s">
        <v>1652</v>
      </c>
      <c r="AK20" t="s">
        <v>1653</v>
      </c>
      <c r="AL20" t="s">
        <v>1764</v>
      </c>
      <c r="AM20" t="s">
        <v>1549</v>
      </c>
      <c r="AR20" t="s">
        <v>1648</v>
      </c>
      <c r="AS20" t="s">
        <v>1654</v>
      </c>
      <c r="AT20" t="s">
        <v>1648</v>
      </c>
      <c r="AU20" t="s">
        <v>1648</v>
      </c>
      <c r="AV20" t="s">
        <v>1648</v>
      </c>
      <c r="AW20" t="s">
        <v>1640</v>
      </c>
      <c r="AX20" t="s">
        <v>1640</v>
      </c>
      <c r="BA20">
        <v>46027</v>
      </c>
      <c r="BB20" t="s">
        <v>1640</v>
      </c>
      <c r="BD20" t="s">
        <v>1617</v>
      </c>
      <c r="BE20" t="s">
        <v>1640</v>
      </c>
      <c r="BF20" t="s">
        <v>1640</v>
      </c>
      <c r="BG20" t="s">
        <v>1640</v>
      </c>
      <c r="BH20" t="s">
        <v>1640</v>
      </c>
      <c r="BJ20" t="s">
        <v>1640</v>
      </c>
      <c r="BK20" t="s">
        <v>1656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1545</v>
      </c>
      <c r="B21" t="s">
        <v>1640</v>
      </c>
      <c r="C21" t="s">
        <v>1640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1641</v>
      </c>
      <c r="H21" t="s">
        <v>1641</v>
      </c>
      <c r="N21" t="s">
        <v>1642</v>
      </c>
      <c r="O21" t="s">
        <v>1642</v>
      </c>
      <c r="P21" t="s">
        <v>1642</v>
      </c>
      <c r="V21" t="s">
        <v>1766</v>
      </c>
      <c r="W21" t="s">
        <v>1767</v>
      </c>
      <c r="X21" t="s">
        <v>1768</v>
      </c>
      <c r="Y21" t="s">
        <v>1640</v>
      </c>
      <c r="Z21" t="s">
        <v>1769</v>
      </c>
      <c r="AA21" t="s">
        <v>1647</v>
      </c>
      <c r="AB21" t="s">
        <v>1648</v>
      </c>
      <c r="AD21" t="s">
        <v>1649</v>
      </c>
      <c r="AF21" t="s">
        <v>1770</v>
      </c>
      <c r="AG21" t="s">
        <v>1648</v>
      </c>
      <c r="AI21" t="s">
        <v>1771</v>
      </c>
      <c r="AJ21" t="s">
        <v>1652</v>
      </c>
      <c r="AK21" t="s">
        <v>1653</v>
      </c>
      <c r="AL21" t="s">
        <v>1770</v>
      </c>
      <c r="AM21" t="s">
        <v>1549</v>
      </c>
      <c r="AR21" t="s">
        <v>1648</v>
      </c>
      <c r="AS21" t="s">
        <v>1654</v>
      </c>
      <c r="AT21" t="s">
        <v>1648</v>
      </c>
      <c r="AU21" t="s">
        <v>1648</v>
      </c>
      <c r="AV21" t="s">
        <v>1648</v>
      </c>
      <c r="AW21" t="s">
        <v>1640</v>
      </c>
      <c r="AX21" t="s">
        <v>1640</v>
      </c>
      <c r="BA21">
        <v>46027</v>
      </c>
      <c r="BB21" t="s">
        <v>1640</v>
      </c>
      <c r="BD21" t="s">
        <v>1617</v>
      </c>
      <c r="BE21" t="s">
        <v>1640</v>
      </c>
      <c r="BF21" t="s">
        <v>1640</v>
      </c>
      <c r="BG21" t="s">
        <v>1640</v>
      </c>
      <c r="BH21" t="s">
        <v>1640</v>
      </c>
      <c r="BJ21" t="s">
        <v>1640</v>
      </c>
      <c r="BK21" t="s">
        <v>1656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1545</v>
      </c>
      <c r="B22" t="s">
        <v>1640</v>
      </c>
      <c r="C22" t="s">
        <v>1640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1641</v>
      </c>
      <c r="H22" t="s">
        <v>1641</v>
      </c>
      <c r="N22" t="s">
        <v>1642</v>
      </c>
      <c r="O22" t="s">
        <v>1642</v>
      </c>
      <c r="P22" t="s">
        <v>1642</v>
      </c>
      <c r="V22" t="s">
        <v>1772</v>
      </c>
      <c r="W22" t="s">
        <v>1773</v>
      </c>
      <c r="X22" t="s">
        <v>1774</v>
      </c>
      <c r="Y22" t="s">
        <v>1640</v>
      </c>
      <c r="Z22" t="s">
        <v>1775</v>
      </c>
      <c r="AA22" t="s">
        <v>1647</v>
      </c>
      <c r="AB22" t="s">
        <v>1648</v>
      </c>
      <c r="AD22" t="s">
        <v>1649</v>
      </c>
      <c r="AF22" t="s">
        <v>1776</v>
      </c>
      <c r="AG22" t="s">
        <v>1648</v>
      </c>
      <c r="AI22" t="s">
        <v>1777</v>
      </c>
      <c r="AJ22" t="s">
        <v>1652</v>
      </c>
      <c r="AK22" t="s">
        <v>1653</v>
      </c>
      <c r="AL22" t="s">
        <v>1776</v>
      </c>
      <c r="AM22" t="s">
        <v>1549</v>
      </c>
      <c r="AR22" t="s">
        <v>1648</v>
      </c>
      <c r="AS22" t="s">
        <v>1654</v>
      </c>
      <c r="AT22" t="s">
        <v>1648</v>
      </c>
      <c r="AU22" t="s">
        <v>1648</v>
      </c>
      <c r="AV22" t="s">
        <v>1648</v>
      </c>
      <c r="AW22" t="s">
        <v>1640</v>
      </c>
      <c r="AX22" t="s">
        <v>1640</v>
      </c>
      <c r="BA22">
        <v>46027</v>
      </c>
      <c r="BB22" t="s">
        <v>1640</v>
      </c>
      <c r="BD22" t="s">
        <v>1617</v>
      </c>
      <c r="BE22" t="s">
        <v>1640</v>
      </c>
      <c r="BF22" t="s">
        <v>1640</v>
      </c>
      <c r="BG22" t="s">
        <v>1640</v>
      </c>
      <c r="BH22" t="s">
        <v>1640</v>
      </c>
      <c r="BJ22" t="s">
        <v>1640</v>
      </c>
      <c r="BK22" t="s">
        <v>1656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1545</v>
      </c>
      <c r="B23" t="s">
        <v>1640</v>
      </c>
      <c r="C23" t="s">
        <v>1640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1641</v>
      </c>
      <c r="H23" t="s">
        <v>1641</v>
      </c>
      <c r="N23" t="s">
        <v>1642</v>
      </c>
      <c r="O23" t="s">
        <v>1642</v>
      </c>
      <c r="P23" t="s">
        <v>1642</v>
      </c>
      <c r="V23" t="s">
        <v>1778</v>
      </c>
      <c r="W23" t="s">
        <v>1779</v>
      </c>
      <c r="X23" t="s">
        <v>1780</v>
      </c>
      <c r="Y23" t="s">
        <v>1640</v>
      </c>
      <c r="Z23" t="s">
        <v>1781</v>
      </c>
      <c r="AA23" t="s">
        <v>1647</v>
      </c>
      <c r="AB23" t="s">
        <v>1648</v>
      </c>
      <c r="AD23" t="s">
        <v>1649</v>
      </c>
      <c r="AF23" t="s">
        <v>1782</v>
      </c>
      <c r="AG23" t="s">
        <v>1648</v>
      </c>
      <c r="AI23" t="s">
        <v>1783</v>
      </c>
      <c r="AJ23" t="s">
        <v>1652</v>
      </c>
      <c r="AK23" t="s">
        <v>1653</v>
      </c>
      <c r="AL23" t="s">
        <v>1782</v>
      </c>
      <c r="AM23" t="s">
        <v>1549</v>
      </c>
      <c r="AR23" t="s">
        <v>1648</v>
      </c>
      <c r="AS23" t="s">
        <v>1654</v>
      </c>
      <c r="AT23" t="s">
        <v>1648</v>
      </c>
      <c r="AU23" t="s">
        <v>1648</v>
      </c>
      <c r="AV23" t="s">
        <v>1648</v>
      </c>
      <c r="AW23" t="s">
        <v>1640</v>
      </c>
      <c r="AX23" t="s">
        <v>1640</v>
      </c>
      <c r="BA23">
        <v>46027</v>
      </c>
      <c r="BB23" t="s">
        <v>1640</v>
      </c>
      <c r="BD23" t="s">
        <v>1617</v>
      </c>
      <c r="BE23" t="s">
        <v>1640</v>
      </c>
      <c r="BF23" t="s">
        <v>1640</v>
      </c>
      <c r="BG23" t="s">
        <v>1640</v>
      </c>
      <c r="BH23" t="s">
        <v>1640</v>
      </c>
      <c r="BJ23" t="s">
        <v>1640</v>
      </c>
      <c r="BK23" t="s">
        <v>1656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1545</v>
      </c>
      <c r="B24" t="s">
        <v>1640</v>
      </c>
      <c r="C24" t="s">
        <v>1640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1641</v>
      </c>
      <c r="H24" t="s">
        <v>1641</v>
      </c>
      <c r="N24" t="s">
        <v>1642</v>
      </c>
      <c r="O24" t="s">
        <v>1642</v>
      </c>
      <c r="P24" t="s">
        <v>1642</v>
      </c>
      <c r="V24" t="s">
        <v>1784</v>
      </c>
      <c r="W24" t="s">
        <v>1785</v>
      </c>
      <c r="X24" t="s">
        <v>1786</v>
      </c>
      <c r="Y24" t="s">
        <v>1640</v>
      </c>
      <c r="Z24" t="s">
        <v>1787</v>
      </c>
      <c r="AA24" t="s">
        <v>1647</v>
      </c>
      <c r="AB24" t="s">
        <v>1648</v>
      </c>
      <c r="AD24" t="s">
        <v>1649</v>
      </c>
      <c r="AF24" t="s">
        <v>1788</v>
      </c>
      <c r="AG24" t="s">
        <v>1648</v>
      </c>
      <c r="AI24" t="s">
        <v>1789</v>
      </c>
      <c r="AJ24" t="s">
        <v>1652</v>
      </c>
      <c r="AK24" t="s">
        <v>1653</v>
      </c>
      <c r="AL24" t="s">
        <v>1788</v>
      </c>
      <c r="AM24" t="s">
        <v>1549</v>
      </c>
      <c r="AR24" t="s">
        <v>1648</v>
      </c>
      <c r="AS24" t="s">
        <v>1654</v>
      </c>
      <c r="AT24" t="s">
        <v>1648</v>
      </c>
      <c r="AU24" t="s">
        <v>1648</v>
      </c>
      <c r="AV24" t="s">
        <v>1648</v>
      </c>
      <c r="AW24" t="s">
        <v>1640</v>
      </c>
      <c r="AX24" t="s">
        <v>1640</v>
      </c>
      <c r="BA24">
        <v>46027</v>
      </c>
      <c r="BB24" t="s">
        <v>1640</v>
      </c>
      <c r="BD24" t="s">
        <v>1617</v>
      </c>
      <c r="BE24" t="s">
        <v>1640</v>
      </c>
      <c r="BF24" t="s">
        <v>1640</v>
      </c>
      <c r="BG24" t="s">
        <v>1640</v>
      </c>
      <c r="BH24" t="s">
        <v>1640</v>
      </c>
      <c r="BJ24" t="s">
        <v>1640</v>
      </c>
      <c r="BK24" t="s">
        <v>1656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1545</v>
      </c>
      <c r="B25" t="s">
        <v>1640</v>
      </c>
      <c r="C25" t="s">
        <v>1640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1641</v>
      </c>
      <c r="H25" t="s">
        <v>1641</v>
      </c>
      <c r="N25" t="s">
        <v>1642</v>
      </c>
      <c r="O25" t="s">
        <v>1642</v>
      </c>
      <c r="P25" t="s">
        <v>1642</v>
      </c>
      <c r="V25" t="s">
        <v>1790</v>
      </c>
      <c r="W25" t="s">
        <v>1791</v>
      </c>
      <c r="X25" t="s">
        <v>1792</v>
      </c>
      <c r="Y25" t="s">
        <v>1640</v>
      </c>
      <c r="Z25" t="s">
        <v>1793</v>
      </c>
      <c r="AA25" t="s">
        <v>1647</v>
      </c>
      <c r="AB25" t="s">
        <v>1648</v>
      </c>
      <c r="AD25" t="s">
        <v>1649</v>
      </c>
      <c r="AF25" t="s">
        <v>1794</v>
      </c>
      <c r="AG25" t="s">
        <v>1648</v>
      </c>
      <c r="AI25" t="s">
        <v>1795</v>
      </c>
      <c r="AJ25" t="s">
        <v>1652</v>
      </c>
      <c r="AK25" t="s">
        <v>1653</v>
      </c>
      <c r="AL25" t="s">
        <v>1794</v>
      </c>
      <c r="AM25" t="s">
        <v>1549</v>
      </c>
      <c r="AR25" t="s">
        <v>1648</v>
      </c>
      <c r="AS25" t="s">
        <v>1654</v>
      </c>
      <c r="AT25" t="s">
        <v>1648</v>
      </c>
      <c r="AU25" t="s">
        <v>1648</v>
      </c>
      <c r="AV25" t="s">
        <v>1648</v>
      </c>
      <c r="AW25" t="s">
        <v>1640</v>
      </c>
      <c r="AX25" t="s">
        <v>1640</v>
      </c>
      <c r="BA25">
        <v>46027</v>
      </c>
      <c r="BB25" t="s">
        <v>1640</v>
      </c>
      <c r="BD25" t="s">
        <v>1617</v>
      </c>
      <c r="BE25" t="s">
        <v>1640</v>
      </c>
      <c r="BF25" t="s">
        <v>1640</v>
      </c>
      <c r="BG25" t="s">
        <v>1640</v>
      </c>
      <c r="BH25" t="s">
        <v>1640</v>
      </c>
      <c r="BJ25" t="s">
        <v>1640</v>
      </c>
      <c r="BK25" t="s">
        <v>1656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1545</v>
      </c>
      <c r="B26" t="s">
        <v>1640</v>
      </c>
      <c r="C26" t="s">
        <v>1640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1641</v>
      </c>
      <c r="H26" t="s">
        <v>1641</v>
      </c>
      <c r="N26" t="s">
        <v>1642</v>
      </c>
      <c r="O26" t="s">
        <v>1642</v>
      </c>
      <c r="P26" t="s">
        <v>1642</v>
      </c>
      <c r="V26" t="s">
        <v>1796</v>
      </c>
      <c r="W26" t="s">
        <v>1797</v>
      </c>
      <c r="X26" t="s">
        <v>1798</v>
      </c>
      <c r="Y26" t="s">
        <v>1640</v>
      </c>
      <c r="Z26" t="s">
        <v>1799</v>
      </c>
      <c r="AA26" t="s">
        <v>1647</v>
      </c>
      <c r="AB26" t="s">
        <v>1648</v>
      </c>
      <c r="AD26" t="s">
        <v>1649</v>
      </c>
      <c r="AF26" t="s">
        <v>1800</v>
      </c>
      <c r="AG26" t="s">
        <v>1648</v>
      </c>
      <c r="AI26" t="s">
        <v>1801</v>
      </c>
      <c r="AJ26" t="s">
        <v>1652</v>
      </c>
      <c r="AK26" t="s">
        <v>1653</v>
      </c>
      <c r="AL26" t="s">
        <v>1800</v>
      </c>
      <c r="AM26" t="s">
        <v>1549</v>
      </c>
      <c r="AR26" t="s">
        <v>1648</v>
      </c>
      <c r="AS26" t="s">
        <v>1654</v>
      </c>
      <c r="AT26" t="s">
        <v>1648</v>
      </c>
      <c r="AU26" t="s">
        <v>1648</v>
      </c>
      <c r="AV26" t="s">
        <v>1648</v>
      </c>
      <c r="AW26" t="s">
        <v>1640</v>
      </c>
      <c r="AX26" t="s">
        <v>1640</v>
      </c>
      <c r="BA26">
        <v>46027</v>
      </c>
      <c r="BB26" t="s">
        <v>1640</v>
      </c>
      <c r="BD26" t="s">
        <v>1617</v>
      </c>
      <c r="BE26" t="s">
        <v>1640</v>
      </c>
      <c r="BF26" t="s">
        <v>1640</v>
      </c>
      <c r="BG26" t="s">
        <v>1640</v>
      </c>
      <c r="BH26" t="s">
        <v>1640</v>
      </c>
      <c r="BJ26" t="s">
        <v>1640</v>
      </c>
      <c r="BK26" t="s">
        <v>1656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1545</v>
      </c>
      <c r="B27" t="s">
        <v>1640</v>
      </c>
      <c r="C27" t="s">
        <v>1656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1641</v>
      </c>
      <c r="H27" t="s">
        <v>1641</v>
      </c>
      <c r="N27" t="s">
        <v>1642</v>
      </c>
      <c r="O27" t="s">
        <v>1642</v>
      </c>
      <c r="P27" t="s">
        <v>1642</v>
      </c>
      <c r="V27" t="s">
        <v>1802</v>
      </c>
      <c r="W27" t="s">
        <v>1803</v>
      </c>
      <c r="X27" t="s">
        <v>1804</v>
      </c>
      <c r="Y27" t="s">
        <v>1640</v>
      </c>
      <c r="Z27" t="s">
        <v>1805</v>
      </c>
      <c r="AA27" t="s">
        <v>1647</v>
      </c>
      <c r="AB27" t="s">
        <v>1648</v>
      </c>
      <c r="AD27" t="s">
        <v>1649</v>
      </c>
      <c r="AG27" t="s">
        <v>1648</v>
      </c>
      <c r="AW27" t="s">
        <v>1640</v>
      </c>
      <c r="AX27" t="s">
        <v>1640</v>
      </c>
      <c r="BA27">
        <v>46027</v>
      </c>
      <c r="BB27" t="s">
        <v>1640</v>
      </c>
      <c r="BD27" t="s">
        <v>1617</v>
      </c>
      <c r="BE27" t="s">
        <v>1640</v>
      </c>
      <c r="BF27" t="s">
        <v>1640</v>
      </c>
      <c r="BG27" t="s">
        <v>1640</v>
      </c>
      <c r="BH27" t="s">
        <v>1640</v>
      </c>
      <c r="BJ27" t="s">
        <v>1640</v>
      </c>
      <c r="BK27" t="s">
        <v>1656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1545</v>
      </c>
      <c r="B28" t="s">
        <v>1640</v>
      </c>
      <c r="C28" t="s">
        <v>1656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1641</v>
      </c>
      <c r="H28" t="s">
        <v>1641</v>
      </c>
      <c r="N28" t="s">
        <v>1642</v>
      </c>
      <c r="O28" t="s">
        <v>1642</v>
      </c>
      <c r="P28" t="s">
        <v>1642</v>
      </c>
      <c r="V28" t="s">
        <v>1806</v>
      </c>
      <c r="W28" t="s">
        <v>1807</v>
      </c>
      <c r="X28" t="s">
        <v>1808</v>
      </c>
      <c r="Y28" t="s">
        <v>1640</v>
      </c>
      <c r="Z28" t="s">
        <v>1809</v>
      </c>
      <c r="AA28" t="s">
        <v>1647</v>
      </c>
      <c r="AB28" t="s">
        <v>1648</v>
      </c>
      <c r="AD28" t="s">
        <v>1649</v>
      </c>
      <c r="AG28" t="s">
        <v>1648</v>
      </c>
      <c r="AW28" t="s">
        <v>1640</v>
      </c>
      <c r="AX28" t="s">
        <v>1640</v>
      </c>
      <c r="BA28">
        <v>46027</v>
      </c>
      <c r="BB28" t="s">
        <v>1640</v>
      </c>
      <c r="BD28" t="s">
        <v>1617</v>
      </c>
      <c r="BE28" t="s">
        <v>1640</v>
      </c>
      <c r="BF28" t="s">
        <v>1640</v>
      </c>
      <c r="BG28" t="s">
        <v>1640</v>
      </c>
      <c r="BH28" t="s">
        <v>1640</v>
      </c>
      <c r="BJ28" t="s">
        <v>1640</v>
      </c>
      <c r="BK28" t="s">
        <v>1656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1545</v>
      </c>
      <c r="B29" t="s">
        <v>1640</v>
      </c>
      <c r="C29" t="s">
        <v>1656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1641</v>
      </c>
      <c r="H29" t="s">
        <v>1641</v>
      </c>
      <c r="N29" t="s">
        <v>1642</v>
      </c>
      <c r="O29" t="s">
        <v>1642</v>
      </c>
      <c r="P29" t="s">
        <v>1642</v>
      </c>
      <c r="V29" t="s">
        <v>1810</v>
      </c>
      <c r="W29" t="s">
        <v>1811</v>
      </c>
      <c r="X29" t="s">
        <v>1812</v>
      </c>
      <c r="Y29" t="s">
        <v>1640</v>
      </c>
      <c r="Z29" t="s">
        <v>1813</v>
      </c>
      <c r="AA29" t="s">
        <v>1647</v>
      </c>
      <c r="AB29" t="s">
        <v>1648</v>
      </c>
      <c r="AD29" t="s">
        <v>1649</v>
      </c>
      <c r="AG29" t="s">
        <v>1648</v>
      </c>
      <c r="AW29" t="s">
        <v>1640</v>
      </c>
      <c r="AX29" t="s">
        <v>1640</v>
      </c>
      <c r="BA29">
        <v>46027</v>
      </c>
      <c r="BB29" t="s">
        <v>1640</v>
      </c>
      <c r="BD29" t="s">
        <v>1617</v>
      </c>
      <c r="BE29" t="s">
        <v>1640</v>
      </c>
      <c r="BF29" t="s">
        <v>1640</v>
      </c>
      <c r="BG29" t="s">
        <v>1640</v>
      </c>
      <c r="BH29" t="s">
        <v>1640</v>
      </c>
      <c r="BJ29" t="s">
        <v>1640</v>
      </c>
      <c r="BK29" t="s">
        <v>1656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1545</v>
      </c>
      <c r="B30" t="s">
        <v>1656</v>
      </c>
      <c r="C30" t="s">
        <v>1656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1531</v>
      </c>
      <c r="H30" t="s">
        <v>1641</v>
      </c>
      <c r="V30" t="s">
        <v>1814</v>
      </c>
      <c r="W30" t="s">
        <v>1815</v>
      </c>
      <c r="X30" t="s">
        <v>1816</v>
      </c>
      <c r="Y30" t="s">
        <v>1640</v>
      </c>
      <c r="Z30" t="s">
        <v>1817</v>
      </c>
      <c r="AA30" t="s">
        <v>1647</v>
      </c>
      <c r="AB30" t="s">
        <v>1648</v>
      </c>
      <c r="AG30" t="s">
        <v>1648</v>
      </c>
      <c r="AW30" t="s">
        <v>1640</v>
      </c>
      <c r="AX30" t="s">
        <v>1640</v>
      </c>
      <c r="BA30">
        <v>46027</v>
      </c>
      <c r="BB30" t="s">
        <v>1640</v>
      </c>
      <c r="BC30" t="s">
        <v>1818</v>
      </c>
      <c r="BD30" t="s">
        <v>1617</v>
      </c>
      <c r="BE30" t="s">
        <v>1640</v>
      </c>
      <c r="BF30" t="s">
        <v>1640</v>
      </c>
      <c r="BG30" t="s">
        <v>1640</v>
      </c>
      <c r="BH30" t="s">
        <v>1640</v>
      </c>
      <c r="BJ30" t="s">
        <v>1640</v>
      </c>
      <c r="BK30" t="s">
        <v>1656</v>
      </c>
      <c r="BL30" t="str">
        <f t="shared" si="3"/>
        <v>Epic Beans Relay</v>
      </c>
      <c r="BM30" t="str">
        <f t="shared" si="4"/>
        <v>Blocked</v>
      </c>
      <c r="BN30" t="s">
        <v>1819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1545</v>
      </c>
      <c r="B31" t="s">
        <v>1656</v>
      </c>
      <c r="C31" t="s">
        <v>1656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1531</v>
      </c>
      <c r="H31" t="s">
        <v>1641</v>
      </c>
      <c r="V31" t="s">
        <v>1820</v>
      </c>
      <c r="W31" t="s">
        <v>1821</v>
      </c>
      <c r="X31" t="s">
        <v>1822</v>
      </c>
      <c r="Y31" t="s">
        <v>1640</v>
      </c>
      <c r="Z31" t="s">
        <v>1823</v>
      </c>
      <c r="AA31" t="s">
        <v>1647</v>
      </c>
      <c r="AB31" t="s">
        <v>1648</v>
      </c>
      <c r="AG31" t="s">
        <v>1648</v>
      </c>
      <c r="AW31" t="s">
        <v>1640</v>
      </c>
      <c r="AX31" t="s">
        <v>1640</v>
      </c>
      <c r="BA31">
        <v>46027</v>
      </c>
      <c r="BB31" t="s">
        <v>1640</v>
      </c>
      <c r="BC31" t="s">
        <v>1818</v>
      </c>
      <c r="BD31" t="s">
        <v>1617</v>
      </c>
      <c r="BE31" t="s">
        <v>1640</v>
      </c>
      <c r="BF31" t="s">
        <v>1640</v>
      </c>
      <c r="BG31" t="s">
        <v>1640</v>
      </c>
      <c r="BH31" t="s">
        <v>1640</v>
      </c>
      <c r="BJ31" t="s">
        <v>1640</v>
      </c>
      <c r="BK31" t="s">
        <v>1656</v>
      </c>
      <c r="BL31" t="str">
        <f t="shared" si="3"/>
        <v>Epic Beans Relay</v>
      </c>
      <c r="BM31" t="str">
        <f t="shared" si="4"/>
        <v>Blocked</v>
      </c>
      <c r="BN31" t="s">
        <v>1824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1545</v>
      </c>
      <c r="B32" t="s">
        <v>1656</v>
      </c>
      <c r="C32" t="s">
        <v>1656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1531</v>
      </c>
      <c r="H32" t="s">
        <v>1641</v>
      </c>
      <c r="V32" t="s">
        <v>1825</v>
      </c>
      <c r="W32" t="s">
        <v>1826</v>
      </c>
      <c r="X32" t="s">
        <v>1827</v>
      </c>
      <c r="Y32" t="s">
        <v>1640</v>
      </c>
      <c r="Z32" t="s">
        <v>1828</v>
      </c>
      <c r="AA32" t="s">
        <v>1647</v>
      </c>
      <c r="AB32" t="s">
        <v>1648</v>
      </c>
      <c r="AG32" t="s">
        <v>1648</v>
      </c>
      <c r="AW32" t="s">
        <v>1640</v>
      </c>
      <c r="AX32" t="s">
        <v>1640</v>
      </c>
      <c r="BA32">
        <v>46027</v>
      </c>
      <c r="BB32" t="s">
        <v>1640</v>
      </c>
      <c r="BC32" t="s">
        <v>1818</v>
      </c>
      <c r="BD32" t="s">
        <v>1617</v>
      </c>
      <c r="BE32" t="s">
        <v>1640</v>
      </c>
      <c r="BF32" t="s">
        <v>1640</v>
      </c>
      <c r="BG32" t="s">
        <v>1640</v>
      </c>
      <c r="BH32" t="s">
        <v>1640</v>
      </c>
      <c r="BJ32" t="s">
        <v>1640</v>
      </c>
      <c r="BK32" t="s">
        <v>1656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1545</v>
      </c>
      <c r="B33" t="s">
        <v>1656</v>
      </c>
      <c r="C33" t="s">
        <v>1656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1531</v>
      </c>
      <c r="H33" t="s">
        <v>1641</v>
      </c>
      <c r="V33" t="s">
        <v>1829</v>
      </c>
      <c r="W33" t="s">
        <v>1830</v>
      </c>
      <c r="X33" t="s">
        <v>1831</v>
      </c>
      <c r="Y33" t="s">
        <v>1640</v>
      </c>
      <c r="Z33" t="s">
        <v>1832</v>
      </c>
      <c r="AA33" t="s">
        <v>1647</v>
      </c>
      <c r="AB33" t="s">
        <v>1648</v>
      </c>
      <c r="AG33" t="s">
        <v>1648</v>
      </c>
      <c r="AW33" t="s">
        <v>1640</v>
      </c>
      <c r="AX33" t="s">
        <v>1640</v>
      </c>
      <c r="BA33">
        <v>46027</v>
      </c>
      <c r="BB33" t="s">
        <v>1640</v>
      </c>
      <c r="BC33" t="s">
        <v>1818</v>
      </c>
      <c r="BD33" t="s">
        <v>1617</v>
      </c>
      <c r="BE33" t="s">
        <v>1640</v>
      </c>
      <c r="BF33" t="s">
        <v>1640</v>
      </c>
      <c r="BG33" t="s">
        <v>1640</v>
      </c>
      <c r="BH33" t="s">
        <v>1640</v>
      </c>
      <c r="BJ33" t="s">
        <v>1640</v>
      </c>
      <c r="BK33" t="s">
        <v>1656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1545</v>
      </c>
      <c r="B34" t="s">
        <v>1640</v>
      </c>
      <c r="C34" t="s">
        <v>1656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1833</v>
      </c>
      <c r="H34" t="s">
        <v>1833</v>
      </c>
      <c r="N34" t="s">
        <v>1642</v>
      </c>
      <c r="O34" t="s">
        <v>1642</v>
      </c>
      <c r="P34" t="s">
        <v>1642</v>
      </c>
      <c r="V34" t="s">
        <v>1834</v>
      </c>
      <c r="W34" t="s">
        <v>1835</v>
      </c>
      <c r="X34" t="s">
        <v>1836</v>
      </c>
      <c r="Y34" t="s">
        <v>1640</v>
      </c>
      <c r="Z34" t="s">
        <v>1837</v>
      </c>
      <c r="AA34" t="s">
        <v>1647</v>
      </c>
      <c r="AB34" t="s">
        <v>1648</v>
      </c>
      <c r="AC34" t="s">
        <v>1648</v>
      </c>
      <c r="AD34" t="s">
        <v>1838</v>
      </c>
      <c r="AF34" t="s">
        <v>1648</v>
      </c>
      <c r="AG34" t="s">
        <v>1839</v>
      </c>
      <c r="AJ34" t="s">
        <v>1840</v>
      </c>
      <c r="AK34" t="s">
        <v>1841</v>
      </c>
      <c r="AL34" t="s">
        <v>1839</v>
      </c>
      <c r="AM34" t="s">
        <v>1549</v>
      </c>
      <c r="AN34" t="s">
        <v>1521</v>
      </c>
      <c r="AR34" t="s">
        <v>1842</v>
      </c>
      <c r="AS34" t="s">
        <v>1843</v>
      </c>
      <c r="AW34" t="s">
        <v>1640</v>
      </c>
      <c r="AX34" t="s">
        <v>1640</v>
      </c>
      <c r="BA34">
        <v>46030</v>
      </c>
      <c r="BB34" t="s">
        <v>1640</v>
      </c>
      <c r="BC34" t="s">
        <v>1833</v>
      </c>
      <c r="BD34" t="s">
        <v>1617</v>
      </c>
      <c r="BE34" t="s">
        <v>1640</v>
      </c>
      <c r="BF34" t="s">
        <v>1640</v>
      </c>
      <c r="BG34" t="s">
        <v>1640</v>
      </c>
      <c r="BH34" t="s">
        <v>1640</v>
      </c>
      <c r="BJ34" t="s">
        <v>1640</v>
      </c>
      <c r="BK34" t="s">
        <v>1656</v>
      </c>
      <c r="BL34" t="str">
        <f t="shared" ref="BL34:BL65" si="6">IF($W34="","",IF((IF(AND($AW34&lt;&gt;"Yes",$AW34&lt;&gt;"N/A"),"Power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IF($W34="","",IF($BL34="","Yes","Blocked"))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1844</v>
      </c>
      <c r="B35" t="s">
        <v>1640</v>
      </c>
      <c r="C35" t="s">
        <v>1656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1833</v>
      </c>
      <c r="H35" t="s">
        <v>1833</v>
      </c>
      <c r="M35" t="s">
        <v>1845</v>
      </c>
      <c r="U35" t="s">
        <v>1846</v>
      </c>
      <c r="V35" t="s">
        <v>1648</v>
      </c>
      <c r="W35" t="s">
        <v>1648</v>
      </c>
      <c r="X35" t="s">
        <v>1648</v>
      </c>
      <c r="Y35" t="s">
        <v>1648</v>
      </c>
      <c r="Z35" t="s">
        <v>1648</v>
      </c>
      <c r="AA35" t="s">
        <v>1648</v>
      </c>
      <c r="AB35" t="s">
        <v>1847</v>
      </c>
      <c r="AC35" t="s">
        <v>1848</v>
      </c>
      <c r="AD35" t="s">
        <v>1838</v>
      </c>
      <c r="AF35" t="s">
        <v>1648</v>
      </c>
      <c r="AG35" t="s">
        <v>1849</v>
      </c>
      <c r="AJ35" t="s">
        <v>1840</v>
      </c>
      <c r="AK35" t="s">
        <v>1841</v>
      </c>
      <c r="AL35" t="s">
        <v>1849</v>
      </c>
      <c r="AW35" t="s">
        <v>1640</v>
      </c>
      <c r="AX35" t="s">
        <v>1640</v>
      </c>
      <c r="AY35" t="s">
        <v>1640</v>
      </c>
      <c r="BA35">
        <v>46030</v>
      </c>
      <c r="BB35" t="s">
        <v>1640</v>
      </c>
      <c r="BC35" t="s">
        <v>1833</v>
      </c>
      <c r="BD35" t="s">
        <v>1617</v>
      </c>
      <c r="BE35" t="s">
        <v>1640</v>
      </c>
      <c r="BF35" t="s">
        <v>1640</v>
      </c>
      <c r="BG35" t="s">
        <v>1640</v>
      </c>
      <c r="BH35" t="s">
        <v>1640</v>
      </c>
      <c r="BJ35" t="s">
        <v>1640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1545</v>
      </c>
      <c r="B36" t="s">
        <v>1656</v>
      </c>
      <c r="C36" t="s">
        <v>1656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1531</v>
      </c>
      <c r="H36" t="s">
        <v>1850</v>
      </c>
      <c r="N36" t="s">
        <v>1642</v>
      </c>
      <c r="O36" t="s">
        <v>1642</v>
      </c>
      <c r="P36" t="s">
        <v>1642</v>
      </c>
      <c r="V36" t="s">
        <v>1851</v>
      </c>
      <c r="W36" t="s">
        <v>1821</v>
      </c>
      <c r="Z36" t="s">
        <v>1823</v>
      </c>
      <c r="BD36" t="s">
        <v>1852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1545</v>
      </c>
      <c r="B37" t="s">
        <v>1656</v>
      </c>
      <c r="C37" t="s">
        <v>1656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1531</v>
      </c>
      <c r="H37" t="s">
        <v>1850</v>
      </c>
      <c r="N37" t="s">
        <v>1642</v>
      </c>
      <c r="O37" t="s">
        <v>1642</v>
      </c>
      <c r="P37" t="s">
        <v>1642</v>
      </c>
      <c r="V37" t="s">
        <v>1853</v>
      </c>
      <c r="W37" t="s">
        <v>1854</v>
      </c>
      <c r="Z37" t="s">
        <v>1855</v>
      </c>
      <c r="BD37" t="s">
        <v>1852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1545</v>
      </c>
      <c r="B38" t="s">
        <v>1656</v>
      </c>
      <c r="C38" t="s">
        <v>1656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1531</v>
      </c>
      <c r="H38" t="s">
        <v>1850</v>
      </c>
      <c r="N38" t="s">
        <v>1642</v>
      </c>
      <c r="O38" t="s">
        <v>1642</v>
      </c>
      <c r="P38" t="s">
        <v>1642</v>
      </c>
      <c r="V38" t="s">
        <v>1856</v>
      </c>
      <c r="W38" t="s">
        <v>1857</v>
      </c>
      <c r="Z38" t="s">
        <v>1858</v>
      </c>
      <c r="BD38" t="s">
        <v>1852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1545</v>
      </c>
      <c r="B39" t="s">
        <v>1656</v>
      </c>
      <c r="C39" t="s">
        <v>1656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1531</v>
      </c>
      <c r="H39" t="s">
        <v>1859</v>
      </c>
      <c r="N39" t="s">
        <v>1642</v>
      </c>
      <c r="O39" t="s">
        <v>1642</v>
      </c>
      <c r="P39" t="s">
        <v>1642</v>
      </c>
      <c r="V39" t="s">
        <v>1860</v>
      </c>
      <c r="W39" t="s">
        <v>1861</v>
      </c>
      <c r="Z39" t="s">
        <v>1862</v>
      </c>
      <c r="BD39" t="s">
        <v>1852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1545</v>
      </c>
      <c r="B40" t="s">
        <v>1656</v>
      </c>
      <c r="C40" t="s">
        <v>1656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1531</v>
      </c>
      <c r="H40" t="s">
        <v>1859</v>
      </c>
      <c r="N40" t="s">
        <v>1642</v>
      </c>
      <c r="O40" t="s">
        <v>1642</v>
      </c>
      <c r="P40" t="s">
        <v>1642</v>
      </c>
      <c r="V40" t="s">
        <v>1863</v>
      </c>
      <c r="W40" t="s">
        <v>1864</v>
      </c>
      <c r="Z40" t="s">
        <v>1865</v>
      </c>
      <c r="BD40" t="s">
        <v>1852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1545</v>
      </c>
      <c r="B41" t="s">
        <v>1656</v>
      </c>
      <c r="C41" t="s">
        <v>1656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1531</v>
      </c>
      <c r="H41" t="s">
        <v>1859</v>
      </c>
      <c r="N41" t="s">
        <v>1642</v>
      </c>
      <c r="O41" t="s">
        <v>1642</v>
      </c>
      <c r="P41" t="s">
        <v>1642</v>
      </c>
      <c r="V41" t="s">
        <v>1866</v>
      </c>
      <c r="W41" t="s">
        <v>1867</v>
      </c>
      <c r="Z41" t="s">
        <v>1868</v>
      </c>
      <c r="BD41" t="s">
        <v>1852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1545</v>
      </c>
      <c r="B42" t="s">
        <v>1656</v>
      </c>
      <c r="C42" t="s">
        <v>1656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1531</v>
      </c>
      <c r="H42" t="s">
        <v>1869</v>
      </c>
      <c r="N42" t="s">
        <v>1642</v>
      </c>
      <c r="O42" t="s">
        <v>1642</v>
      </c>
      <c r="P42" t="s">
        <v>1642</v>
      </c>
      <c r="V42" t="s">
        <v>1870</v>
      </c>
      <c r="W42" t="s">
        <v>1871</v>
      </c>
      <c r="Z42" t="s">
        <v>1872</v>
      </c>
      <c r="BD42" t="s">
        <v>1852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1545</v>
      </c>
      <c r="B43" t="s">
        <v>1656</v>
      </c>
      <c r="C43" t="s">
        <v>1656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1531</v>
      </c>
      <c r="H43" t="s">
        <v>1873</v>
      </c>
      <c r="N43" t="s">
        <v>1642</v>
      </c>
      <c r="O43" t="s">
        <v>1642</v>
      </c>
      <c r="P43" t="s">
        <v>1642</v>
      </c>
      <c r="V43" t="s">
        <v>1874</v>
      </c>
      <c r="W43" t="s">
        <v>1875</v>
      </c>
      <c r="Z43" t="s">
        <v>1876</v>
      </c>
      <c r="BD43" t="s">
        <v>1852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1545</v>
      </c>
      <c r="B44" t="s">
        <v>1656</v>
      </c>
      <c r="C44" t="s">
        <v>1656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1531</v>
      </c>
      <c r="H44" t="s">
        <v>1873</v>
      </c>
      <c r="N44" t="s">
        <v>1642</v>
      </c>
      <c r="O44" t="s">
        <v>1642</v>
      </c>
      <c r="P44" t="s">
        <v>1642</v>
      </c>
      <c r="V44" t="s">
        <v>1877</v>
      </c>
      <c r="W44" t="s">
        <v>1878</v>
      </c>
      <c r="Z44" t="s">
        <v>1879</v>
      </c>
      <c r="BD44" t="s">
        <v>1852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1545</v>
      </c>
      <c r="B45" t="s">
        <v>1656</v>
      </c>
      <c r="C45" t="s">
        <v>1656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1531</v>
      </c>
      <c r="H45" t="s">
        <v>1873</v>
      </c>
      <c r="N45" t="s">
        <v>1642</v>
      </c>
      <c r="O45" t="s">
        <v>1642</v>
      </c>
      <c r="P45" t="s">
        <v>1642</v>
      </c>
      <c r="V45" t="s">
        <v>1880</v>
      </c>
      <c r="W45" t="s">
        <v>1881</v>
      </c>
      <c r="Z45" t="s">
        <v>1882</v>
      </c>
      <c r="BD45" t="s">
        <v>1852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1545</v>
      </c>
      <c r="B46" t="s">
        <v>1656</v>
      </c>
      <c r="C46" t="s">
        <v>1656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1531</v>
      </c>
      <c r="H46" t="s">
        <v>1873</v>
      </c>
      <c r="V46" t="s">
        <v>1883</v>
      </c>
      <c r="W46" t="s">
        <v>1884</v>
      </c>
      <c r="Z46" t="s">
        <v>1885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1545</v>
      </c>
      <c r="B47" t="s">
        <v>1656</v>
      </c>
      <c r="C47" t="s">
        <v>1656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1531</v>
      </c>
      <c r="H47" t="s">
        <v>1873</v>
      </c>
      <c r="N47" t="s">
        <v>1642</v>
      </c>
      <c r="O47" t="s">
        <v>1642</v>
      </c>
      <c r="P47" t="s">
        <v>1642</v>
      </c>
      <c r="V47" t="s">
        <v>1886</v>
      </c>
      <c r="W47" t="s">
        <v>1887</v>
      </c>
      <c r="Z47" t="s">
        <v>1888</v>
      </c>
      <c r="BD47" t="s">
        <v>1852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1545</v>
      </c>
      <c r="B48" t="s">
        <v>1656</v>
      </c>
      <c r="C48" t="s">
        <v>1656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1531</v>
      </c>
      <c r="H48" t="s">
        <v>1873</v>
      </c>
      <c r="N48" t="s">
        <v>1642</v>
      </c>
      <c r="O48" t="s">
        <v>1642</v>
      </c>
      <c r="P48" t="s">
        <v>1642</v>
      </c>
      <c r="V48" t="s">
        <v>1889</v>
      </c>
      <c r="W48" t="s">
        <v>1890</v>
      </c>
      <c r="Z48" t="s">
        <v>1891</v>
      </c>
      <c r="BD48" t="s">
        <v>1852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1545</v>
      </c>
      <c r="B49" t="s">
        <v>1656</v>
      </c>
      <c r="C49" t="s">
        <v>1656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1531</v>
      </c>
      <c r="H49" t="s">
        <v>1873</v>
      </c>
      <c r="N49" t="s">
        <v>1642</v>
      </c>
      <c r="O49" t="s">
        <v>1642</v>
      </c>
      <c r="P49" t="s">
        <v>1642</v>
      </c>
      <c r="V49" t="s">
        <v>1892</v>
      </c>
      <c r="W49" t="s">
        <v>1815</v>
      </c>
      <c r="Z49" t="s">
        <v>1817</v>
      </c>
      <c r="BD49" t="s">
        <v>1852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1844</v>
      </c>
      <c r="B50" t="s">
        <v>1656</v>
      </c>
      <c r="C50" t="s">
        <v>1656</v>
      </c>
      <c r="D50" t="str">
        <f t="shared" si="5"/>
        <v/>
      </c>
      <c r="E50" t="str">
        <f t="shared" ref="E50:E81" si="8">IF($A50="","",IF($A50="Neuron",IF(OR(AND($U50&lt;&gt;"",LOWER(TRIM($U50))&lt;&gt;"n/a",COUNTIF($V$2:$V$532,$U50)&gt;1),AND($W50&lt;&gt;"",LOWER(TRIM($W50))&lt;&gt;"n/a",COUNTIF($W$2:$W$532,$W50)&gt;1),AND($Z50&lt;&gt;"",LOWER(TRIM($Z50))&lt;&gt;"n/a",COUNTIF($Z$2:$Z$532,$Z50)&gt;1)),"Yes","No"),IF($A50="Cybernet",IF(OR(AND($AB50&lt;&gt;"",LOWER(TRIM($AB50))&lt;&gt;"n/a",COUNTIF($AB$2:$AB$532,$AB50)&gt;1),AND($AC50&lt;&gt;"",LOWER(TRIM($AC50))&lt;&gt;"n/a",COUNTIF($AC$2:$AC$532,$AC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AND($U50&lt;&gt;"",LOWER(TRIM($U50))&lt;&gt;"n/a",COUNTIFS($B$2:$B$532,"Yes",$A$2:$A$532,"Neuron",$V$2:$V$532,$U50)&gt;1),
AND($W50&lt;&gt;"",LOWER(TRIM($W50))&lt;&gt;"n/a",COUNTIFS($B$2:$B$532,"Yes",$A$2:$A$532,"Neuron",$W$2:$W$532,$W50)&gt;1),
AND($Z50&lt;&gt;"",LOWER(TRIM($Z50))&lt;&gt;"n/a",COUNTIFS($B$2:$B$532,"Yes",$A$2:$A$532,"Neuron",$Z$2:$Z$532,$Z50)&gt;1)
),"Yes","No"),
IF($A50="Cybernet",
IF(OR(
AND($AB50&lt;&gt;"",LOWER(TRIM($AB50))&lt;&gt;"n/a",COUNTIFS($B$2:$B$532,"Yes",$A$2:$A$532,"Cybernet",$AB$2:$AB$532,$AB50)&gt;1),
AND($AC50&lt;&gt;"",LOWER(TRIM($AC50))&lt;&gt;"n/a",COUNTIFS($B$2:$B$532,"Yes",$A$2:$A$532,"Cybernet",$AC$2:$AC$532,$AC50)&gt;1)
),"Yes","No"),
IF(AND($AL50&lt;&gt;"",LOWER(TRIM($AL50))&lt;&gt;"n/a"),
IF(COUNTIFS($B$2:$B$532,"Yes",$A$2:$A$532,$A50,$AL$2:$AL$532,$AL50)&gt;1,"Yes","No"),
"No")
)
)
)</f>
        <v/>
      </c>
      <c r="G50" t="s">
        <v>1893</v>
      </c>
      <c r="H50" t="s">
        <v>1894</v>
      </c>
      <c r="M50" t="s">
        <v>1895</v>
      </c>
      <c r="N50" t="s">
        <v>1640</v>
      </c>
      <c r="O50" t="s">
        <v>1656</v>
      </c>
      <c r="P50" t="s">
        <v>1656</v>
      </c>
      <c r="U50" t="s">
        <v>1896</v>
      </c>
      <c r="AB50" t="s">
        <v>1897</v>
      </c>
      <c r="AC50" t="s">
        <v>1898</v>
      </c>
      <c r="AJ50" t="s">
        <v>1899</v>
      </c>
      <c r="AK50" t="s">
        <v>1900</v>
      </c>
      <c r="BC50" t="s">
        <v>1901</v>
      </c>
      <c r="BD50" t="s">
        <v>1852</v>
      </c>
      <c r="BI50" t="s">
        <v>1655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1844</v>
      </c>
      <c r="B51" t="s">
        <v>1656</v>
      </c>
      <c r="C51" t="s">
        <v>1656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1893</v>
      </c>
      <c r="H51" t="s">
        <v>1894</v>
      </c>
      <c r="M51" t="s">
        <v>1895</v>
      </c>
      <c r="N51" t="s">
        <v>1640</v>
      </c>
      <c r="O51" t="s">
        <v>1656</v>
      </c>
      <c r="P51" t="s">
        <v>1656</v>
      </c>
      <c r="U51" t="s">
        <v>1902</v>
      </c>
      <c r="AB51" t="s">
        <v>1903</v>
      </c>
      <c r="AC51" t="s">
        <v>1904</v>
      </c>
      <c r="AJ51" t="s">
        <v>1899</v>
      </c>
      <c r="AK51" t="s">
        <v>1900</v>
      </c>
      <c r="BC51" t="s">
        <v>1901</v>
      </c>
      <c r="BD51" t="s">
        <v>1852</v>
      </c>
      <c r="BI51" t="s">
        <v>1655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1844</v>
      </c>
      <c r="B52" t="s">
        <v>1656</v>
      </c>
      <c r="C52" t="s">
        <v>1656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1893</v>
      </c>
      <c r="H52" t="s">
        <v>1850</v>
      </c>
      <c r="M52" t="s">
        <v>1895</v>
      </c>
      <c r="N52" t="s">
        <v>1640</v>
      </c>
      <c r="O52" t="s">
        <v>1656</v>
      </c>
      <c r="P52" t="s">
        <v>1656</v>
      </c>
      <c r="U52" t="s">
        <v>1905</v>
      </c>
      <c r="AB52" t="s">
        <v>1906</v>
      </c>
      <c r="AC52" t="s">
        <v>1907</v>
      </c>
      <c r="BC52" t="s">
        <v>1908</v>
      </c>
      <c r="BI52" t="s">
        <v>1655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1844</v>
      </c>
      <c r="B53" t="s">
        <v>1656</v>
      </c>
      <c r="C53" t="s">
        <v>1656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1893</v>
      </c>
      <c r="H53" t="s">
        <v>1850</v>
      </c>
      <c r="M53" t="s">
        <v>1895</v>
      </c>
      <c r="N53" t="s">
        <v>1640</v>
      </c>
      <c r="O53" t="s">
        <v>1656</v>
      </c>
      <c r="P53" t="s">
        <v>1656</v>
      </c>
      <c r="U53" t="s">
        <v>1909</v>
      </c>
      <c r="AB53" t="s">
        <v>1910</v>
      </c>
      <c r="AC53" t="s">
        <v>1911</v>
      </c>
      <c r="BC53" t="s">
        <v>1912</v>
      </c>
      <c r="BI53" t="s">
        <v>1655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1844</v>
      </c>
      <c r="B54" t="s">
        <v>1656</v>
      </c>
      <c r="C54" t="s">
        <v>1656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1893</v>
      </c>
      <c r="H54" t="s">
        <v>1913</v>
      </c>
      <c r="M54" t="s">
        <v>1895</v>
      </c>
      <c r="N54" t="s">
        <v>1640</v>
      </c>
      <c r="O54" t="s">
        <v>1656</v>
      </c>
      <c r="P54" t="s">
        <v>1656</v>
      </c>
      <c r="U54" t="s">
        <v>1914</v>
      </c>
      <c r="AB54" t="s">
        <v>1915</v>
      </c>
      <c r="AC54" t="s">
        <v>1916</v>
      </c>
      <c r="AJ54" t="s">
        <v>1899</v>
      </c>
      <c r="AK54" t="s">
        <v>1900</v>
      </c>
      <c r="BC54" t="s">
        <v>1917</v>
      </c>
      <c r="BD54" t="s">
        <v>1852</v>
      </c>
      <c r="BI54" t="s">
        <v>1655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1844</v>
      </c>
      <c r="B55" t="s">
        <v>1656</v>
      </c>
      <c r="C55" t="s">
        <v>1656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1893</v>
      </c>
      <c r="H55" t="s">
        <v>1913</v>
      </c>
      <c r="M55" t="s">
        <v>1895</v>
      </c>
      <c r="N55" t="s">
        <v>1640</v>
      </c>
      <c r="O55" t="s">
        <v>1656</v>
      </c>
      <c r="P55" t="s">
        <v>1656</v>
      </c>
      <c r="U55" t="s">
        <v>1918</v>
      </c>
      <c r="AB55" t="s">
        <v>1919</v>
      </c>
      <c r="AC55" t="s">
        <v>1920</v>
      </c>
      <c r="AJ55" t="s">
        <v>1899</v>
      </c>
      <c r="AK55" t="s">
        <v>1900</v>
      </c>
      <c r="BC55" t="s">
        <v>1917</v>
      </c>
      <c r="BD55" t="s">
        <v>1852</v>
      </c>
      <c r="BI55" t="s">
        <v>1655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1844</v>
      </c>
      <c r="B56" t="s">
        <v>1656</v>
      </c>
      <c r="C56" t="s">
        <v>1656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1893</v>
      </c>
      <c r="H56" t="s">
        <v>1913</v>
      </c>
      <c r="M56" t="s">
        <v>1895</v>
      </c>
      <c r="N56" t="s">
        <v>1640</v>
      </c>
      <c r="O56" t="s">
        <v>1656</v>
      </c>
      <c r="P56" t="s">
        <v>1656</v>
      </c>
      <c r="U56" t="s">
        <v>1921</v>
      </c>
      <c r="AA56" t="s">
        <v>1922</v>
      </c>
      <c r="AB56" t="s">
        <v>1923</v>
      </c>
      <c r="AC56" t="s">
        <v>1924</v>
      </c>
      <c r="BD56" t="s">
        <v>1852</v>
      </c>
      <c r="BI56" t="s">
        <v>1655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1844</v>
      </c>
      <c r="B57" t="s">
        <v>1656</v>
      </c>
      <c r="C57" t="s">
        <v>1656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1893</v>
      </c>
      <c r="H57" t="s">
        <v>1913</v>
      </c>
      <c r="M57" t="s">
        <v>1895</v>
      </c>
      <c r="N57" t="s">
        <v>1640</v>
      </c>
      <c r="O57" t="s">
        <v>1656</v>
      </c>
      <c r="P57" t="s">
        <v>1656</v>
      </c>
      <c r="U57" t="s">
        <v>1925</v>
      </c>
      <c r="AB57" t="s">
        <v>1926</v>
      </c>
      <c r="AC57" t="s">
        <v>1927</v>
      </c>
      <c r="BD57" t="s">
        <v>1852</v>
      </c>
      <c r="BI57" t="s">
        <v>1655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1844</v>
      </c>
      <c r="B58" t="s">
        <v>1656</v>
      </c>
      <c r="C58" t="s">
        <v>1656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1893</v>
      </c>
      <c r="H58" t="s">
        <v>1913</v>
      </c>
      <c r="M58" t="s">
        <v>1895</v>
      </c>
      <c r="N58" t="s">
        <v>1640</v>
      </c>
      <c r="O58" t="s">
        <v>1656</v>
      </c>
      <c r="P58" t="s">
        <v>1656</v>
      </c>
      <c r="U58" t="s">
        <v>1928</v>
      </c>
      <c r="AB58" t="s">
        <v>1929</v>
      </c>
      <c r="AC58" t="s">
        <v>1930</v>
      </c>
      <c r="BD58" t="s">
        <v>1852</v>
      </c>
      <c r="BI58" t="s">
        <v>1655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1844</v>
      </c>
      <c r="B59" t="s">
        <v>1656</v>
      </c>
      <c r="C59" t="s">
        <v>1656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1893</v>
      </c>
      <c r="H59" t="s">
        <v>1913</v>
      </c>
      <c r="M59" t="s">
        <v>1895</v>
      </c>
      <c r="N59" t="s">
        <v>1640</v>
      </c>
      <c r="O59" t="s">
        <v>1656</v>
      </c>
      <c r="P59" t="s">
        <v>1656</v>
      </c>
      <c r="U59" t="s">
        <v>1931</v>
      </c>
      <c r="AB59" t="s">
        <v>1932</v>
      </c>
      <c r="AC59" t="s">
        <v>1933</v>
      </c>
      <c r="BD59" t="s">
        <v>1852</v>
      </c>
      <c r="BI59" t="s">
        <v>1655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1844</v>
      </c>
      <c r="B60" t="s">
        <v>1656</v>
      </c>
      <c r="C60" t="s">
        <v>1656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1893</v>
      </c>
      <c r="H60" t="s">
        <v>1913</v>
      </c>
      <c r="M60" t="s">
        <v>1895</v>
      </c>
      <c r="N60" t="s">
        <v>1640</v>
      </c>
      <c r="O60" t="s">
        <v>1656</v>
      </c>
      <c r="P60" t="s">
        <v>1656</v>
      </c>
      <c r="U60" t="s">
        <v>1934</v>
      </c>
      <c r="AB60" t="s">
        <v>1935</v>
      </c>
      <c r="AC60" t="s">
        <v>1936</v>
      </c>
      <c r="BD60" t="s">
        <v>1852</v>
      </c>
      <c r="BI60" t="s">
        <v>1655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1844</v>
      </c>
      <c r="B61" t="s">
        <v>1656</v>
      </c>
      <c r="C61" t="s">
        <v>1656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1893</v>
      </c>
      <c r="H61" t="s">
        <v>1913</v>
      </c>
      <c r="M61" t="s">
        <v>1895</v>
      </c>
      <c r="N61" t="s">
        <v>1640</v>
      </c>
      <c r="O61" t="s">
        <v>1656</v>
      </c>
      <c r="P61" t="s">
        <v>1656</v>
      </c>
      <c r="U61" t="s">
        <v>1937</v>
      </c>
      <c r="AB61" t="s">
        <v>1938</v>
      </c>
      <c r="AC61" t="s">
        <v>1939</v>
      </c>
      <c r="BD61" t="s">
        <v>1852</v>
      </c>
      <c r="BI61" t="s">
        <v>1655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1844</v>
      </c>
      <c r="B62" t="s">
        <v>1656</v>
      </c>
      <c r="C62" t="s">
        <v>1656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1893</v>
      </c>
      <c r="H62" t="s">
        <v>1913</v>
      </c>
      <c r="M62" t="s">
        <v>1895</v>
      </c>
      <c r="N62" t="s">
        <v>1640</v>
      </c>
      <c r="O62" t="s">
        <v>1656</v>
      </c>
      <c r="P62" t="s">
        <v>1656</v>
      </c>
      <c r="U62" t="s">
        <v>1940</v>
      </c>
      <c r="AB62" t="s">
        <v>1941</v>
      </c>
      <c r="AC62" t="s">
        <v>1942</v>
      </c>
      <c r="BD62" t="s">
        <v>1852</v>
      </c>
      <c r="BI62" t="s">
        <v>1655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1844</v>
      </c>
      <c r="B63" t="s">
        <v>1656</v>
      </c>
      <c r="C63" t="s">
        <v>1656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1893</v>
      </c>
      <c r="H63" t="s">
        <v>1913</v>
      </c>
      <c r="M63" t="s">
        <v>1895</v>
      </c>
      <c r="N63" t="s">
        <v>1640</v>
      </c>
      <c r="O63" t="s">
        <v>1656</v>
      </c>
      <c r="P63" t="s">
        <v>1656</v>
      </c>
      <c r="U63" t="s">
        <v>1943</v>
      </c>
      <c r="AB63" t="s">
        <v>1944</v>
      </c>
      <c r="AC63" t="s">
        <v>1945</v>
      </c>
      <c r="BD63" t="s">
        <v>1852</v>
      </c>
      <c r="BI63" t="s">
        <v>1655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1844</v>
      </c>
      <c r="B64" t="s">
        <v>1656</v>
      </c>
      <c r="C64" t="s">
        <v>1656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1893</v>
      </c>
      <c r="H64" t="s">
        <v>1913</v>
      </c>
      <c r="M64" t="s">
        <v>1895</v>
      </c>
      <c r="N64" t="s">
        <v>1640</v>
      </c>
      <c r="O64" t="s">
        <v>1656</v>
      </c>
      <c r="P64" t="s">
        <v>1656</v>
      </c>
      <c r="U64" t="s">
        <v>1946</v>
      </c>
      <c r="AB64" t="s">
        <v>1947</v>
      </c>
      <c r="AC64" t="s">
        <v>1948</v>
      </c>
      <c r="BD64" t="s">
        <v>1852</v>
      </c>
      <c r="BI64" t="s">
        <v>1655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1844</v>
      </c>
      <c r="B65" t="s">
        <v>1656</v>
      </c>
      <c r="C65" t="s">
        <v>1656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1893</v>
      </c>
      <c r="H65" t="s">
        <v>1913</v>
      </c>
      <c r="M65" t="s">
        <v>1895</v>
      </c>
      <c r="N65" t="s">
        <v>1640</v>
      </c>
      <c r="O65" t="s">
        <v>1656</v>
      </c>
      <c r="P65" t="s">
        <v>1656</v>
      </c>
      <c r="U65" t="s">
        <v>1949</v>
      </c>
      <c r="AB65" t="s">
        <v>1950</v>
      </c>
      <c r="AC65" t="s">
        <v>1951</v>
      </c>
      <c r="BD65" t="s">
        <v>1852</v>
      </c>
      <c r="BI65" t="s">
        <v>1655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1844</v>
      </c>
      <c r="B66" t="s">
        <v>1656</v>
      </c>
      <c r="C66" t="s">
        <v>1656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1893</v>
      </c>
      <c r="H66" t="s">
        <v>1913</v>
      </c>
      <c r="M66" t="s">
        <v>1895</v>
      </c>
      <c r="N66" t="s">
        <v>1640</v>
      </c>
      <c r="O66" t="s">
        <v>1656</v>
      </c>
      <c r="P66" t="s">
        <v>1656</v>
      </c>
      <c r="U66" t="s">
        <v>1952</v>
      </c>
      <c r="AB66" t="s">
        <v>1953</v>
      </c>
      <c r="AC66" t="s">
        <v>1954</v>
      </c>
      <c r="BI66" t="s">
        <v>1655</v>
      </c>
      <c r="BL66" t="str">
        <f t="shared" ref="BL66:BL97" si="11">IF($W66="","",IF((IF(AND($AW66&lt;&gt;"Yes",$AW66&lt;&gt;"N/A"),"Power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IF($W66="","",IF($BL66="","Yes","Blocked"))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1844</v>
      </c>
      <c r="B67" t="s">
        <v>1656</v>
      </c>
      <c r="C67" t="s">
        <v>1656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1893</v>
      </c>
      <c r="H67" t="s">
        <v>1913</v>
      </c>
      <c r="M67" t="s">
        <v>1895</v>
      </c>
      <c r="N67" t="s">
        <v>1640</v>
      </c>
      <c r="O67" t="s">
        <v>1656</v>
      </c>
      <c r="P67" t="s">
        <v>1656</v>
      </c>
      <c r="U67" t="s">
        <v>1955</v>
      </c>
      <c r="AB67" t="s">
        <v>1956</v>
      </c>
      <c r="AC67" t="s">
        <v>1957</v>
      </c>
      <c r="BI67" t="s">
        <v>1655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1844</v>
      </c>
      <c r="B68" t="s">
        <v>1656</v>
      </c>
      <c r="C68" t="s">
        <v>1656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1893</v>
      </c>
      <c r="H68" t="s">
        <v>1913</v>
      </c>
      <c r="M68" t="s">
        <v>1895</v>
      </c>
      <c r="N68" t="s">
        <v>1640</v>
      </c>
      <c r="O68" t="s">
        <v>1656</v>
      </c>
      <c r="P68" t="s">
        <v>1656</v>
      </c>
      <c r="U68" t="s">
        <v>1958</v>
      </c>
      <c r="AB68" t="s">
        <v>1959</v>
      </c>
      <c r="AC68" t="s">
        <v>1960</v>
      </c>
      <c r="BI68" t="s">
        <v>1655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1844</v>
      </c>
      <c r="B69" t="s">
        <v>1656</v>
      </c>
      <c r="C69" t="s">
        <v>1656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1893</v>
      </c>
      <c r="H69" t="s">
        <v>1961</v>
      </c>
      <c r="M69" t="s">
        <v>1895</v>
      </c>
      <c r="N69" t="s">
        <v>1640</v>
      </c>
      <c r="O69" t="s">
        <v>1656</v>
      </c>
      <c r="P69" t="s">
        <v>1656</v>
      </c>
      <c r="U69" t="s">
        <v>1962</v>
      </c>
      <c r="AB69" t="s">
        <v>1963</v>
      </c>
      <c r="AC69" t="s">
        <v>1964</v>
      </c>
      <c r="BI69" t="s">
        <v>1655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1844</v>
      </c>
      <c r="B70" t="s">
        <v>1640</v>
      </c>
      <c r="C70" t="s">
        <v>1640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1893</v>
      </c>
      <c r="H70" t="s">
        <v>1961</v>
      </c>
      <c r="M70" t="s">
        <v>1895</v>
      </c>
      <c r="N70" t="s">
        <v>1640</v>
      </c>
      <c r="O70" t="s">
        <v>1656</v>
      </c>
      <c r="P70" t="s">
        <v>1656</v>
      </c>
      <c r="U70" t="s">
        <v>1965</v>
      </c>
      <c r="AB70" t="s">
        <v>1966</v>
      </c>
      <c r="AC70" t="s">
        <v>1967</v>
      </c>
      <c r="BI70" t="s">
        <v>1655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1844</v>
      </c>
      <c r="B71" t="s">
        <v>1640</v>
      </c>
      <c r="C71" t="s">
        <v>1640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1893</v>
      </c>
      <c r="H71" t="s">
        <v>1961</v>
      </c>
      <c r="M71" t="s">
        <v>1895</v>
      </c>
      <c r="N71" t="s">
        <v>1640</v>
      </c>
      <c r="O71" t="s">
        <v>1656</v>
      </c>
      <c r="P71" t="s">
        <v>1656</v>
      </c>
      <c r="U71" t="s">
        <v>1968</v>
      </c>
      <c r="AB71" t="s">
        <v>1969</v>
      </c>
      <c r="AC71" t="s">
        <v>1970</v>
      </c>
      <c r="BI71" t="s">
        <v>1655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1844</v>
      </c>
      <c r="B72" t="s">
        <v>1640</v>
      </c>
      <c r="C72" t="s">
        <v>1640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1893</v>
      </c>
      <c r="H72" t="s">
        <v>1961</v>
      </c>
      <c r="M72" t="s">
        <v>1895</v>
      </c>
      <c r="N72" t="s">
        <v>1640</v>
      </c>
      <c r="O72" t="s">
        <v>1656</v>
      </c>
      <c r="P72" t="s">
        <v>1656</v>
      </c>
      <c r="U72" t="s">
        <v>1971</v>
      </c>
      <c r="AB72" t="s">
        <v>1972</v>
      </c>
      <c r="AC72" t="s">
        <v>1973</v>
      </c>
      <c r="BI72" t="s">
        <v>1655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1844</v>
      </c>
      <c r="B73" t="s">
        <v>1640</v>
      </c>
      <c r="C73" t="s">
        <v>1640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1893</v>
      </c>
      <c r="H73" t="s">
        <v>1961</v>
      </c>
      <c r="M73" t="s">
        <v>1895</v>
      </c>
      <c r="N73" t="s">
        <v>1640</v>
      </c>
      <c r="O73" t="s">
        <v>1656</v>
      </c>
      <c r="P73" t="s">
        <v>1656</v>
      </c>
      <c r="U73" t="s">
        <v>1974</v>
      </c>
      <c r="AB73" t="s">
        <v>1975</v>
      </c>
      <c r="AC73" t="s">
        <v>1976</v>
      </c>
      <c r="BI73" t="s">
        <v>1655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1844</v>
      </c>
      <c r="B74" t="s">
        <v>1640</v>
      </c>
      <c r="C74" t="s">
        <v>1640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1893</v>
      </c>
      <c r="H74" t="s">
        <v>1961</v>
      </c>
      <c r="M74" t="s">
        <v>1895</v>
      </c>
      <c r="N74" t="s">
        <v>1640</v>
      </c>
      <c r="O74" t="s">
        <v>1656</v>
      </c>
      <c r="P74" t="s">
        <v>1656</v>
      </c>
      <c r="U74" t="s">
        <v>1977</v>
      </c>
      <c r="AB74" t="s">
        <v>1978</v>
      </c>
      <c r="AC74" t="s">
        <v>1979</v>
      </c>
      <c r="BI74" t="s">
        <v>1655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1844</v>
      </c>
      <c r="B75" t="s">
        <v>1640</v>
      </c>
      <c r="C75" t="s">
        <v>1640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1893</v>
      </c>
      <c r="H75" t="s">
        <v>1961</v>
      </c>
      <c r="M75" t="s">
        <v>1895</v>
      </c>
      <c r="N75" t="s">
        <v>1640</v>
      </c>
      <c r="O75" t="s">
        <v>1656</v>
      </c>
      <c r="P75" t="s">
        <v>1656</v>
      </c>
      <c r="U75" t="s">
        <v>1980</v>
      </c>
      <c r="AB75" t="s">
        <v>1981</v>
      </c>
      <c r="AC75" t="s">
        <v>1982</v>
      </c>
      <c r="BI75" t="s">
        <v>1655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1844</v>
      </c>
      <c r="B76" t="s">
        <v>1640</v>
      </c>
      <c r="C76" t="s">
        <v>1640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1893</v>
      </c>
      <c r="H76" t="s">
        <v>1961</v>
      </c>
      <c r="M76" t="s">
        <v>1895</v>
      </c>
      <c r="N76" t="s">
        <v>1640</v>
      </c>
      <c r="O76" t="s">
        <v>1656</v>
      </c>
      <c r="P76" t="s">
        <v>1656</v>
      </c>
      <c r="U76" t="s">
        <v>1983</v>
      </c>
      <c r="AB76" t="s">
        <v>1984</v>
      </c>
      <c r="AC76" t="s">
        <v>1985</v>
      </c>
      <c r="BI76" t="s">
        <v>1655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1844</v>
      </c>
      <c r="B77" t="s">
        <v>1640</v>
      </c>
      <c r="C77" t="s">
        <v>1640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1893</v>
      </c>
      <c r="H77" t="s">
        <v>1961</v>
      </c>
      <c r="M77" t="s">
        <v>1895</v>
      </c>
      <c r="N77" t="s">
        <v>1640</v>
      </c>
      <c r="O77" t="s">
        <v>1656</v>
      </c>
      <c r="P77" t="s">
        <v>1656</v>
      </c>
      <c r="U77" t="s">
        <v>1986</v>
      </c>
      <c r="AB77" t="s">
        <v>1987</v>
      </c>
      <c r="AC77" t="s">
        <v>1988</v>
      </c>
      <c r="BI77" t="s">
        <v>1655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1844</v>
      </c>
      <c r="B78" t="s">
        <v>1656</v>
      </c>
      <c r="C78" t="s">
        <v>1656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1893</v>
      </c>
      <c r="H78" t="s">
        <v>1989</v>
      </c>
      <c r="M78" t="s">
        <v>1895</v>
      </c>
      <c r="N78" t="s">
        <v>1640</v>
      </c>
      <c r="O78" t="s">
        <v>1656</v>
      </c>
      <c r="P78" t="s">
        <v>1656</v>
      </c>
      <c r="U78" t="s">
        <v>1990</v>
      </c>
      <c r="AB78" t="s">
        <v>1991</v>
      </c>
      <c r="AC78" t="s">
        <v>1992</v>
      </c>
      <c r="BI78" t="s">
        <v>1655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1844</v>
      </c>
      <c r="B79" t="s">
        <v>1656</v>
      </c>
      <c r="C79" t="s">
        <v>1656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1893</v>
      </c>
      <c r="H79" t="s">
        <v>1989</v>
      </c>
      <c r="M79" t="s">
        <v>1895</v>
      </c>
      <c r="N79" t="s">
        <v>1640</v>
      </c>
      <c r="O79" t="s">
        <v>1656</v>
      </c>
      <c r="P79" t="s">
        <v>1656</v>
      </c>
      <c r="U79" t="s">
        <v>1993</v>
      </c>
      <c r="AB79" t="s">
        <v>1994</v>
      </c>
      <c r="AC79" t="s">
        <v>1995</v>
      </c>
      <c r="BI79" t="s">
        <v>1655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1844</v>
      </c>
      <c r="B80" t="s">
        <v>1656</v>
      </c>
      <c r="C80" t="s">
        <v>1656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1893</v>
      </c>
      <c r="H80" t="s">
        <v>1989</v>
      </c>
      <c r="M80" t="s">
        <v>1895</v>
      </c>
      <c r="N80" t="s">
        <v>1640</v>
      </c>
      <c r="O80" t="s">
        <v>1656</v>
      </c>
      <c r="P80" t="s">
        <v>1656</v>
      </c>
      <c r="U80" t="s">
        <v>1996</v>
      </c>
      <c r="AB80" t="s">
        <v>1997</v>
      </c>
      <c r="AC80" t="s">
        <v>1998</v>
      </c>
      <c r="BI80" t="s">
        <v>1655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1844</v>
      </c>
      <c r="B81" t="s">
        <v>1656</v>
      </c>
      <c r="C81" t="s">
        <v>1656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1893</v>
      </c>
      <c r="H81" t="s">
        <v>1989</v>
      </c>
      <c r="M81" t="s">
        <v>1895</v>
      </c>
      <c r="N81" t="s">
        <v>1640</v>
      </c>
      <c r="O81" t="s">
        <v>1656</v>
      </c>
      <c r="P81" t="s">
        <v>1656</v>
      </c>
      <c r="U81" t="s">
        <v>1999</v>
      </c>
      <c r="AB81" t="s">
        <v>2000</v>
      </c>
      <c r="AC81" t="s">
        <v>2001</v>
      </c>
      <c r="BI81" t="s">
        <v>1655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1844</v>
      </c>
      <c r="B82" t="s">
        <v>1656</v>
      </c>
      <c r="C82" t="s">
        <v>1656</v>
      </c>
      <c r="D82" t="str">
        <f t="shared" si="10"/>
        <v/>
      </c>
      <c r="E82" t="str">
        <f t="shared" ref="E82:E113" si="13">IF($A82="","",IF($A82="Neuron",IF(OR(AND($U82&lt;&gt;"",LOWER(TRIM($U82))&lt;&gt;"n/a",COUNTIF($V$2:$V$532,$U82)&gt;1),AND($W82&lt;&gt;"",LOWER(TRIM($W82))&lt;&gt;"n/a",COUNTIF($W$2:$W$532,$W82)&gt;1),AND($Z82&lt;&gt;"",LOWER(TRIM($Z82))&lt;&gt;"n/a",COUNTIF($Z$2:$Z$532,$Z82)&gt;1)),"Yes","No"),IF($A82="Cybernet",IF(OR(AND($AB82&lt;&gt;"",LOWER(TRIM($AB82))&lt;&gt;"n/a",COUNTIF($AB$2:$AB$532,$AB82)&gt;1),AND($AC82&lt;&gt;"",LOWER(TRIM($AC82))&lt;&gt;"n/a",COUNTIF($AC$2:$AC$532,$AC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AND($U82&lt;&gt;"",LOWER(TRIM($U82))&lt;&gt;"n/a",COUNTIFS($B$2:$B$532,"Yes",$A$2:$A$532,"Neuron",$V$2:$V$532,$U82)&gt;1),
AND($W82&lt;&gt;"",LOWER(TRIM($W82))&lt;&gt;"n/a",COUNTIFS($B$2:$B$532,"Yes",$A$2:$A$532,"Neuron",$W$2:$W$532,$W82)&gt;1),
AND($Z82&lt;&gt;"",LOWER(TRIM($Z82))&lt;&gt;"n/a",COUNTIFS($B$2:$B$532,"Yes",$A$2:$A$532,"Neuron",$Z$2:$Z$532,$Z82)&gt;1)
),"Yes","No"),
IF($A82="Cybernet",
IF(OR(
AND($AB82&lt;&gt;"",LOWER(TRIM($AB82))&lt;&gt;"n/a",COUNTIFS($B$2:$B$532,"Yes",$A$2:$A$532,"Cybernet",$AB$2:$AB$532,$AB82)&gt;1),
AND($AC82&lt;&gt;"",LOWER(TRIM($AC82))&lt;&gt;"n/a",COUNTIFS($B$2:$B$532,"Yes",$A$2:$A$532,"Cybernet",$AC$2:$AC$532,$AC82)&gt;1)
),"Yes","No"),
IF(AND($AL82&lt;&gt;"",LOWER(TRIM($AL82))&lt;&gt;"n/a"),
IF(COUNTIFS($B$2:$B$532,"Yes",$A$2:$A$532,$A82,$AL$2:$AL$532,$AL82)&gt;1,"Yes","No"),
"No")
)
)
)</f>
        <v/>
      </c>
      <c r="G82" t="s">
        <v>1893</v>
      </c>
      <c r="H82" t="s">
        <v>1989</v>
      </c>
      <c r="M82" t="s">
        <v>1895</v>
      </c>
      <c r="N82" t="s">
        <v>1640</v>
      </c>
      <c r="O82" t="s">
        <v>1656</v>
      </c>
      <c r="P82" t="s">
        <v>1656</v>
      </c>
      <c r="U82" t="s">
        <v>2002</v>
      </c>
      <c r="AB82" t="s">
        <v>2003</v>
      </c>
      <c r="AC82" t="s">
        <v>2004</v>
      </c>
      <c r="BI82" t="s">
        <v>1655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1844</v>
      </c>
      <c r="B83" t="s">
        <v>1656</v>
      </c>
      <c r="C83" t="s">
        <v>1656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1893</v>
      </c>
      <c r="H83" t="s">
        <v>1989</v>
      </c>
      <c r="M83" t="s">
        <v>1895</v>
      </c>
      <c r="N83" t="s">
        <v>1640</v>
      </c>
      <c r="O83" t="s">
        <v>1656</v>
      </c>
      <c r="P83" t="s">
        <v>1656</v>
      </c>
      <c r="U83" t="s">
        <v>2005</v>
      </c>
      <c r="AB83" t="s">
        <v>2006</v>
      </c>
      <c r="AC83" t="s">
        <v>2007</v>
      </c>
      <c r="BI83" t="s">
        <v>1655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1844</v>
      </c>
      <c r="B84" t="s">
        <v>1656</v>
      </c>
      <c r="C84" t="s">
        <v>1656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1893</v>
      </c>
      <c r="H84" t="s">
        <v>1989</v>
      </c>
      <c r="M84" t="s">
        <v>1895</v>
      </c>
      <c r="N84" t="s">
        <v>1640</v>
      </c>
      <c r="O84" t="s">
        <v>1656</v>
      </c>
      <c r="P84" t="s">
        <v>1656</v>
      </c>
      <c r="U84" t="s">
        <v>2008</v>
      </c>
      <c r="AB84" t="s">
        <v>2009</v>
      </c>
      <c r="AC84" t="s">
        <v>2010</v>
      </c>
      <c r="BI84" t="s">
        <v>1655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1844</v>
      </c>
      <c r="B85" t="s">
        <v>1656</v>
      </c>
      <c r="C85" t="s">
        <v>1656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1893</v>
      </c>
      <c r="H85" t="s">
        <v>1961</v>
      </c>
      <c r="M85" t="s">
        <v>1895</v>
      </c>
      <c r="N85" t="s">
        <v>1640</v>
      </c>
      <c r="O85" t="s">
        <v>1656</v>
      </c>
      <c r="P85" t="s">
        <v>1656</v>
      </c>
      <c r="U85" t="s">
        <v>2011</v>
      </c>
      <c r="AB85" t="s">
        <v>2012</v>
      </c>
      <c r="AC85" t="s">
        <v>2013</v>
      </c>
      <c r="BI85" t="s">
        <v>1655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1844</v>
      </c>
      <c r="B86" t="s">
        <v>1656</v>
      </c>
      <c r="C86" t="s">
        <v>1656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1893</v>
      </c>
      <c r="H86" t="s">
        <v>1961</v>
      </c>
      <c r="M86" t="s">
        <v>1895</v>
      </c>
      <c r="N86" t="s">
        <v>1640</v>
      </c>
      <c r="O86" t="s">
        <v>1656</v>
      </c>
      <c r="P86" t="s">
        <v>1656</v>
      </c>
      <c r="U86" t="s">
        <v>2014</v>
      </c>
      <c r="AB86" t="s">
        <v>2015</v>
      </c>
      <c r="AC86" t="s">
        <v>2016</v>
      </c>
      <c r="BI86" t="s">
        <v>1655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1844</v>
      </c>
      <c r="B87" t="s">
        <v>1656</v>
      </c>
      <c r="C87" t="s">
        <v>1656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1893</v>
      </c>
      <c r="H87" t="s">
        <v>1961</v>
      </c>
      <c r="M87" t="s">
        <v>1895</v>
      </c>
      <c r="N87" t="s">
        <v>1640</v>
      </c>
      <c r="O87" t="s">
        <v>1656</v>
      </c>
      <c r="P87" t="s">
        <v>1656</v>
      </c>
      <c r="U87" t="s">
        <v>2017</v>
      </c>
      <c r="AB87" t="s">
        <v>2018</v>
      </c>
      <c r="AC87" t="s">
        <v>2019</v>
      </c>
      <c r="BI87" t="s">
        <v>1655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1844</v>
      </c>
      <c r="B88" t="s">
        <v>1656</v>
      </c>
      <c r="C88" t="s">
        <v>1656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1893</v>
      </c>
      <c r="H88" t="s">
        <v>1961</v>
      </c>
      <c r="M88" t="s">
        <v>1895</v>
      </c>
      <c r="N88" t="s">
        <v>1640</v>
      </c>
      <c r="O88" t="s">
        <v>1656</v>
      </c>
      <c r="P88" t="s">
        <v>1656</v>
      </c>
      <c r="U88" t="s">
        <v>2020</v>
      </c>
      <c r="AB88" t="s">
        <v>2021</v>
      </c>
      <c r="AC88" t="s">
        <v>2022</v>
      </c>
      <c r="BI88" t="s">
        <v>1655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1844</v>
      </c>
      <c r="B89" t="s">
        <v>1656</v>
      </c>
      <c r="C89" t="s">
        <v>1656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1893</v>
      </c>
      <c r="H89" t="s">
        <v>1961</v>
      </c>
      <c r="M89" t="s">
        <v>1895</v>
      </c>
      <c r="N89" t="s">
        <v>1640</v>
      </c>
      <c r="O89" t="s">
        <v>1656</v>
      </c>
      <c r="P89" t="s">
        <v>1656</v>
      </c>
      <c r="U89" t="s">
        <v>2023</v>
      </c>
      <c r="AB89" t="s">
        <v>2024</v>
      </c>
      <c r="AC89" t="s">
        <v>2025</v>
      </c>
      <c r="BI89" t="s">
        <v>1655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1844</v>
      </c>
      <c r="B90" t="s">
        <v>1640</v>
      </c>
      <c r="C90" t="s">
        <v>1656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1893</v>
      </c>
      <c r="H90" t="s">
        <v>2026</v>
      </c>
      <c r="M90" t="s">
        <v>1895</v>
      </c>
      <c r="N90" t="s">
        <v>1640</v>
      </c>
      <c r="O90" t="s">
        <v>1656</v>
      </c>
      <c r="P90" t="s">
        <v>1656</v>
      </c>
      <c r="U90" t="s">
        <v>2027</v>
      </c>
      <c r="AB90" t="s">
        <v>2028</v>
      </c>
      <c r="AC90" t="s">
        <v>2029</v>
      </c>
      <c r="BI90" t="s">
        <v>1655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1844</v>
      </c>
      <c r="B91" t="s">
        <v>1640</v>
      </c>
      <c r="C91" t="s">
        <v>1640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1893</v>
      </c>
      <c r="H91" t="s">
        <v>2026</v>
      </c>
      <c r="M91" t="s">
        <v>1895</v>
      </c>
      <c r="N91" t="s">
        <v>1640</v>
      </c>
      <c r="O91" t="s">
        <v>1656</v>
      </c>
      <c r="P91" t="s">
        <v>1656</v>
      </c>
      <c r="U91" t="s">
        <v>2030</v>
      </c>
      <c r="AB91" t="s">
        <v>2031</v>
      </c>
      <c r="AC91" t="s">
        <v>2032</v>
      </c>
      <c r="BI91" t="s">
        <v>1655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1844</v>
      </c>
      <c r="B92" t="s">
        <v>1656</v>
      </c>
      <c r="C92" t="s">
        <v>1656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1893</v>
      </c>
      <c r="H92" t="s">
        <v>2026</v>
      </c>
      <c r="M92" t="s">
        <v>1895</v>
      </c>
      <c r="N92" t="s">
        <v>1640</v>
      </c>
      <c r="O92" t="s">
        <v>1656</v>
      </c>
      <c r="P92" t="s">
        <v>1656</v>
      </c>
      <c r="U92" t="s">
        <v>2033</v>
      </c>
      <c r="AB92" t="s">
        <v>2034</v>
      </c>
      <c r="AC92" t="s">
        <v>2035</v>
      </c>
      <c r="BI92" t="s">
        <v>1655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1844</v>
      </c>
      <c r="B93" t="s">
        <v>1656</v>
      </c>
      <c r="C93" t="s">
        <v>1656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1893</v>
      </c>
      <c r="H93" t="s">
        <v>2026</v>
      </c>
      <c r="M93" t="s">
        <v>1895</v>
      </c>
      <c r="N93" t="s">
        <v>1640</v>
      </c>
      <c r="O93" t="s">
        <v>1656</v>
      </c>
      <c r="P93" t="s">
        <v>1656</v>
      </c>
      <c r="U93" t="s">
        <v>2036</v>
      </c>
      <c r="AB93" t="s">
        <v>2037</v>
      </c>
      <c r="AC93" t="s">
        <v>2038</v>
      </c>
      <c r="BI93" t="s">
        <v>1655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1844</v>
      </c>
      <c r="B94" t="s">
        <v>1640</v>
      </c>
      <c r="C94" t="s">
        <v>1640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1893</v>
      </c>
      <c r="H94" t="s">
        <v>2026</v>
      </c>
      <c r="M94" t="s">
        <v>1895</v>
      </c>
      <c r="N94" t="s">
        <v>1640</v>
      </c>
      <c r="O94" t="s">
        <v>1656</v>
      </c>
      <c r="P94" t="s">
        <v>1656</v>
      </c>
      <c r="U94" t="s">
        <v>2039</v>
      </c>
      <c r="AB94" t="s">
        <v>2040</v>
      </c>
      <c r="AC94" t="s">
        <v>2041</v>
      </c>
      <c r="BI94" t="s">
        <v>1655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1844</v>
      </c>
      <c r="B95" t="s">
        <v>1656</v>
      </c>
      <c r="C95" t="s">
        <v>1656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1893</v>
      </c>
      <c r="H95" t="s">
        <v>2026</v>
      </c>
      <c r="M95" t="s">
        <v>1895</v>
      </c>
      <c r="N95" t="s">
        <v>1640</v>
      </c>
      <c r="O95" t="s">
        <v>1656</v>
      </c>
      <c r="P95" t="s">
        <v>1656</v>
      </c>
      <c r="U95" t="s">
        <v>2042</v>
      </c>
      <c r="AB95" t="s">
        <v>2043</v>
      </c>
      <c r="AC95" t="s">
        <v>2044</v>
      </c>
      <c r="BI95" t="s">
        <v>1655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1844</v>
      </c>
      <c r="B96" t="s">
        <v>1656</v>
      </c>
      <c r="C96" t="s">
        <v>1656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1893</v>
      </c>
      <c r="H96" t="s">
        <v>2026</v>
      </c>
      <c r="M96" t="s">
        <v>1895</v>
      </c>
      <c r="N96" t="s">
        <v>1640</v>
      </c>
      <c r="O96" t="s">
        <v>1656</v>
      </c>
      <c r="P96" t="s">
        <v>1656</v>
      </c>
      <c r="U96" t="s">
        <v>2045</v>
      </c>
      <c r="AB96" t="s">
        <v>2046</v>
      </c>
      <c r="AC96" t="s">
        <v>2047</v>
      </c>
      <c r="BI96" t="s">
        <v>1655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1844</v>
      </c>
      <c r="B97" t="s">
        <v>1656</v>
      </c>
      <c r="C97" t="s">
        <v>1656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1893</v>
      </c>
      <c r="H97" t="s">
        <v>2026</v>
      </c>
      <c r="M97" t="s">
        <v>1895</v>
      </c>
      <c r="N97" t="s">
        <v>1640</v>
      </c>
      <c r="O97" t="s">
        <v>1656</v>
      </c>
      <c r="P97" t="s">
        <v>1656</v>
      </c>
      <c r="U97" t="s">
        <v>2048</v>
      </c>
      <c r="AB97" t="s">
        <v>2049</v>
      </c>
      <c r="AC97" t="s">
        <v>2050</v>
      </c>
      <c r="BI97" t="s">
        <v>1655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1844</v>
      </c>
      <c r="B98" t="s">
        <v>1640</v>
      </c>
      <c r="C98" t="s">
        <v>1640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1893</v>
      </c>
      <c r="H98" t="s">
        <v>2026</v>
      </c>
      <c r="M98" t="s">
        <v>1895</v>
      </c>
      <c r="N98" t="s">
        <v>1640</v>
      </c>
      <c r="O98" t="s">
        <v>1656</v>
      </c>
      <c r="P98" t="s">
        <v>1656</v>
      </c>
      <c r="U98" t="s">
        <v>2051</v>
      </c>
      <c r="AB98" t="s">
        <v>2052</v>
      </c>
      <c r="AC98" t="s">
        <v>2053</v>
      </c>
      <c r="BI98" t="s">
        <v>1655</v>
      </c>
      <c r="BL98" t="str">
        <f t="shared" ref="BL98:BL103" si="16">IF($W98="","",IF((IF(AND($AW98&lt;&gt;"Yes",$AW98&lt;&gt;"N/A"),"Power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IF($W98="","",IF($BL98="","Yes","Blocked"))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1844</v>
      </c>
      <c r="B99" t="s">
        <v>1656</v>
      </c>
      <c r="C99" t="s">
        <v>1656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1893</v>
      </c>
      <c r="H99" t="s">
        <v>2026</v>
      </c>
      <c r="M99" t="s">
        <v>1895</v>
      </c>
      <c r="N99" t="s">
        <v>1640</v>
      </c>
      <c r="O99" t="s">
        <v>1656</v>
      </c>
      <c r="P99" t="s">
        <v>1656</v>
      </c>
      <c r="U99" t="s">
        <v>2054</v>
      </c>
      <c r="AB99" t="s">
        <v>2055</v>
      </c>
      <c r="AC99" t="s">
        <v>2056</v>
      </c>
      <c r="BI99" t="s">
        <v>1655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1844</v>
      </c>
      <c r="B100" t="s">
        <v>1656</v>
      </c>
      <c r="C100" t="s">
        <v>1656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1893</v>
      </c>
      <c r="H100" t="s">
        <v>2026</v>
      </c>
      <c r="M100" t="s">
        <v>1895</v>
      </c>
      <c r="N100" t="s">
        <v>1640</v>
      </c>
      <c r="O100" t="s">
        <v>1656</v>
      </c>
      <c r="P100" t="s">
        <v>1656</v>
      </c>
      <c r="U100" t="s">
        <v>2057</v>
      </c>
      <c r="AB100" t="s">
        <v>2058</v>
      </c>
      <c r="AC100" t="s">
        <v>2059</v>
      </c>
      <c r="BI100" t="s">
        <v>1655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1844</v>
      </c>
      <c r="B101" t="s">
        <v>1640</v>
      </c>
      <c r="C101" t="s">
        <v>1640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2060</v>
      </c>
      <c r="H101" t="s">
        <v>2060</v>
      </c>
      <c r="M101" t="s">
        <v>1895</v>
      </c>
      <c r="N101" t="s">
        <v>1640</v>
      </c>
      <c r="O101" t="s">
        <v>1640</v>
      </c>
      <c r="P101" t="s">
        <v>1640</v>
      </c>
      <c r="Q101" t="s">
        <v>2061</v>
      </c>
      <c r="R101" t="s">
        <v>2062</v>
      </c>
      <c r="S101" t="s">
        <v>1648</v>
      </c>
      <c r="T101" t="s">
        <v>2063</v>
      </c>
      <c r="U101" t="s">
        <v>2064</v>
      </c>
      <c r="V101" t="s">
        <v>2065</v>
      </c>
      <c r="W101" t="s">
        <v>2066</v>
      </c>
      <c r="X101" t="s">
        <v>1648</v>
      </c>
      <c r="AB101" t="s">
        <v>2067</v>
      </c>
      <c r="AC101" t="s">
        <v>2068</v>
      </c>
      <c r="AD101" t="s">
        <v>1838</v>
      </c>
      <c r="AG101" t="s">
        <v>2069</v>
      </c>
      <c r="AH101">
        <v>2</v>
      </c>
      <c r="AI101" t="s">
        <v>2070</v>
      </c>
      <c r="AJ101" t="s">
        <v>1840</v>
      </c>
      <c r="AK101" t="s">
        <v>2071</v>
      </c>
      <c r="AL101" t="s">
        <v>2069</v>
      </c>
      <c r="AM101" t="s">
        <v>1521</v>
      </c>
      <c r="AR101" t="s">
        <v>2072</v>
      </c>
      <c r="AW101" t="s">
        <v>1640</v>
      </c>
      <c r="AX101" t="s">
        <v>1640</v>
      </c>
      <c r="AY101" t="s">
        <v>1640</v>
      </c>
      <c r="AZ101" t="s">
        <v>1640</v>
      </c>
      <c r="BI101" t="s">
        <v>1655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1640</v>
      </c>
      <c r="BT101" t="s">
        <v>1640</v>
      </c>
      <c r="BU101" t="s">
        <v>1640</v>
      </c>
      <c r="BV101" t="s">
        <v>1640</v>
      </c>
      <c r="BW101" t="s">
        <v>1640</v>
      </c>
      <c r="BX101">
        <v>19200</v>
      </c>
    </row>
    <row r="102" spans="1:76">
      <c r="A102" t="s">
        <v>1844</v>
      </c>
      <c r="B102" t="s">
        <v>1640</v>
      </c>
      <c r="C102" t="s">
        <v>1640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2060</v>
      </c>
      <c r="H102" t="s">
        <v>2060</v>
      </c>
      <c r="M102" t="s">
        <v>1895</v>
      </c>
      <c r="N102" t="s">
        <v>1640</v>
      </c>
      <c r="O102" t="s">
        <v>1640</v>
      </c>
      <c r="P102" t="s">
        <v>1640</v>
      </c>
      <c r="Q102" t="s">
        <v>2061</v>
      </c>
      <c r="R102" t="s">
        <v>2062</v>
      </c>
      <c r="S102" t="s">
        <v>1648</v>
      </c>
      <c r="T102" t="s">
        <v>2063</v>
      </c>
      <c r="U102" t="s">
        <v>2073</v>
      </c>
      <c r="V102" t="s">
        <v>2074</v>
      </c>
      <c r="W102" t="s">
        <v>2075</v>
      </c>
      <c r="X102" t="s">
        <v>1648</v>
      </c>
      <c r="AB102" t="s">
        <v>2076</v>
      </c>
      <c r="AC102" t="s">
        <v>2077</v>
      </c>
      <c r="AD102" t="s">
        <v>1838</v>
      </c>
      <c r="AG102" t="s">
        <v>2078</v>
      </c>
      <c r="AH102">
        <v>2</v>
      </c>
      <c r="AJ102" t="s">
        <v>1840</v>
      </c>
      <c r="AK102" t="s">
        <v>2071</v>
      </c>
      <c r="AL102" t="s">
        <v>2078</v>
      </c>
      <c r="AM102" t="s">
        <v>1521</v>
      </c>
      <c r="AR102" t="s">
        <v>2079</v>
      </c>
      <c r="AW102" t="s">
        <v>1640</v>
      </c>
      <c r="AX102" t="s">
        <v>1640</v>
      </c>
      <c r="AY102" t="s">
        <v>1640</v>
      </c>
      <c r="AZ102" t="s">
        <v>1640</v>
      </c>
      <c r="BI102" t="s">
        <v>1655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1640</v>
      </c>
      <c r="BT102" t="s">
        <v>1640</v>
      </c>
      <c r="BU102" t="s">
        <v>1640</v>
      </c>
      <c r="BV102" t="s">
        <v>1640</v>
      </c>
      <c r="BW102" t="s">
        <v>1640</v>
      </c>
      <c r="BX102">
        <v>19200</v>
      </c>
    </row>
    <row r="103" spans="1:76">
      <c r="A103" t="s">
        <v>1844</v>
      </c>
      <c r="B103" t="s">
        <v>1640</v>
      </c>
      <c r="C103" t="s">
        <v>1640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2060</v>
      </c>
      <c r="H103" t="s">
        <v>2060</v>
      </c>
      <c r="M103" t="s">
        <v>1895</v>
      </c>
      <c r="N103" t="s">
        <v>1640</v>
      </c>
      <c r="O103" t="s">
        <v>1640</v>
      </c>
      <c r="P103" t="s">
        <v>1640</v>
      </c>
      <c r="Q103" t="s">
        <v>2061</v>
      </c>
      <c r="R103" t="s">
        <v>2062</v>
      </c>
      <c r="S103" t="s">
        <v>1648</v>
      </c>
      <c r="T103" t="s">
        <v>2063</v>
      </c>
      <c r="U103" t="s">
        <v>2080</v>
      </c>
      <c r="V103" t="s">
        <v>2081</v>
      </c>
      <c r="W103" t="s">
        <v>2082</v>
      </c>
      <c r="X103" t="s">
        <v>1648</v>
      </c>
      <c r="AB103" t="s">
        <v>2083</v>
      </c>
      <c r="AC103" t="s">
        <v>2084</v>
      </c>
      <c r="AD103" t="s">
        <v>1838</v>
      </c>
      <c r="AG103" t="s">
        <v>2085</v>
      </c>
      <c r="AH103">
        <v>2</v>
      </c>
      <c r="AJ103" t="s">
        <v>1840</v>
      </c>
      <c r="AK103" t="s">
        <v>2071</v>
      </c>
      <c r="AL103" t="s">
        <v>2085</v>
      </c>
      <c r="AM103" t="s">
        <v>1521</v>
      </c>
      <c r="AR103" t="s">
        <v>2086</v>
      </c>
      <c r="AW103" t="s">
        <v>1640</v>
      </c>
      <c r="AX103" t="s">
        <v>1640</v>
      </c>
      <c r="AY103" t="s">
        <v>1640</v>
      </c>
      <c r="AZ103" t="s">
        <v>1640</v>
      </c>
      <c r="BI103" t="s">
        <v>1655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1640</v>
      </c>
      <c r="BT103" t="s">
        <v>1640</v>
      </c>
      <c r="BU103" t="s">
        <v>1640</v>
      </c>
      <c r="BV103" t="s">
        <v>1640</v>
      </c>
      <c r="BW103" t="s">
        <v>1640</v>
      </c>
      <c r="BX103">
        <v>19200</v>
      </c>
    </row>
    <row r="104" spans="1:76">
      <c r="A104" t="s">
        <v>1844</v>
      </c>
      <c r="B104" t="s">
        <v>1640</v>
      </c>
      <c r="C104" t="s">
        <v>1640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2060</v>
      </c>
      <c r="H104" t="s">
        <v>2060</v>
      </c>
      <c r="M104" t="s">
        <v>1895</v>
      </c>
      <c r="N104" t="s">
        <v>1640</v>
      </c>
      <c r="O104" t="s">
        <v>1640</v>
      </c>
      <c r="P104" t="s">
        <v>1640</v>
      </c>
      <c r="Q104" t="s">
        <v>2061</v>
      </c>
      <c r="R104" t="s">
        <v>2062</v>
      </c>
      <c r="S104" t="s">
        <v>1648</v>
      </c>
      <c r="T104" t="s">
        <v>2063</v>
      </c>
      <c r="U104" t="s">
        <v>2087</v>
      </c>
      <c r="V104" t="s">
        <v>2088</v>
      </c>
      <c r="W104" t="s">
        <v>2089</v>
      </c>
      <c r="X104" t="s">
        <v>1648</v>
      </c>
      <c r="AB104" t="s">
        <v>2090</v>
      </c>
      <c r="AC104" t="s">
        <v>2091</v>
      </c>
      <c r="AD104" t="s">
        <v>1838</v>
      </c>
      <c r="AG104" t="s">
        <v>2092</v>
      </c>
      <c r="AH104">
        <v>2</v>
      </c>
      <c r="AI104" t="s">
        <v>2093</v>
      </c>
      <c r="AJ104" t="s">
        <v>1840</v>
      </c>
      <c r="AK104" t="s">
        <v>2071</v>
      </c>
      <c r="AL104" t="s">
        <v>2092</v>
      </c>
      <c r="AM104" t="s">
        <v>1521</v>
      </c>
      <c r="AR104" t="s">
        <v>2094</v>
      </c>
      <c r="AW104" t="s">
        <v>1640</v>
      </c>
      <c r="AX104" t="s">
        <v>1640</v>
      </c>
      <c r="AY104" t="s">
        <v>1640</v>
      </c>
      <c r="AZ104" t="s">
        <v>1640</v>
      </c>
      <c r="BI104" t="s">
        <v>1655</v>
      </c>
      <c r="BL104" t="e">
        <f>IF($W104="","",IF((IF(AND(#REF!&lt;&gt;"Yes",#REF!&lt;&gt;"N/A"),"Power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1640</v>
      </c>
      <c r="BT104" t="s">
        <v>1640</v>
      </c>
      <c r="BU104" t="s">
        <v>1640</v>
      </c>
      <c r="BV104" t="s">
        <v>1640</v>
      </c>
      <c r="BW104" t="s">
        <v>1640</v>
      </c>
      <c r="BX104">
        <v>19200</v>
      </c>
    </row>
    <row r="105" spans="1:76">
      <c r="A105" t="s">
        <v>1844</v>
      </c>
      <c r="B105" t="s">
        <v>1640</v>
      </c>
      <c r="C105" t="s">
        <v>1640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2060</v>
      </c>
      <c r="H105" t="s">
        <v>2060</v>
      </c>
      <c r="M105" t="s">
        <v>1895</v>
      </c>
      <c r="N105" t="s">
        <v>1640</v>
      </c>
      <c r="O105" t="s">
        <v>1640</v>
      </c>
      <c r="P105" t="s">
        <v>1640</v>
      </c>
      <c r="Q105" t="s">
        <v>2061</v>
      </c>
      <c r="R105" t="s">
        <v>2062</v>
      </c>
      <c r="S105" t="s">
        <v>1648</v>
      </c>
      <c r="T105" t="s">
        <v>2063</v>
      </c>
      <c r="U105" t="s">
        <v>2095</v>
      </c>
      <c r="V105" t="s">
        <v>2096</v>
      </c>
      <c r="W105" t="s">
        <v>2097</v>
      </c>
      <c r="X105" t="s">
        <v>1648</v>
      </c>
      <c r="AB105" t="s">
        <v>2098</v>
      </c>
      <c r="AC105" t="s">
        <v>2099</v>
      </c>
      <c r="AD105" t="s">
        <v>1838</v>
      </c>
      <c r="AG105" t="s">
        <v>2100</v>
      </c>
      <c r="AH105">
        <v>2</v>
      </c>
      <c r="AI105" t="s">
        <v>2101</v>
      </c>
      <c r="AJ105" t="s">
        <v>1840</v>
      </c>
      <c r="AK105" t="s">
        <v>2071</v>
      </c>
      <c r="AL105" t="s">
        <v>2100</v>
      </c>
      <c r="AM105" t="s">
        <v>1521</v>
      </c>
      <c r="AR105" t="s">
        <v>2102</v>
      </c>
      <c r="AW105" t="s">
        <v>1640</v>
      </c>
      <c r="AX105" t="s">
        <v>1640</v>
      </c>
      <c r="AY105" t="s">
        <v>1640</v>
      </c>
      <c r="AZ105" t="s">
        <v>1640</v>
      </c>
      <c r="BI105" t="s">
        <v>1655</v>
      </c>
      <c r="BL105" t="str">
        <f t="shared" ref="BL105:BL126" si="18">IF($W105="","",IF((IF(AND($AW105&lt;&gt;"Yes",$AW105&lt;&gt;"N/A"),"Power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1640</v>
      </c>
      <c r="BT105" t="s">
        <v>1640</v>
      </c>
      <c r="BU105" t="s">
        <v>1640</v>
      </c>
      <c r="BV105" t="s">
        <v>1640</v>
      </c>
      <c r="BW105" t="s">
        <v>1640</v>
      </c>
      <c r="BX105">
        <v>19200</v>
      </c>
    </row>
    <row r="106" spans="1:76">
      <c r="A106" t="s">
        <v>1844</v>
      </c>
      <c r="B106" t="s">
        <v>1640</v>
      </c>
      <c r="C106" t="s">
        <v>1640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2060</v>
      </c>
      <c r="H106" t="s">
        <v>2060</v>
      </c>
      <c r="M106" t="s">
        <v>1895</v>
      </c>
      <c r="N106" t="s">
        <v>1640</v>
      </c>
      <c r="O106" t="s">
        <v>1640</v>
      </c>
      <c r="P106" t="s">
        <v>1640</v>
      </c>
      <c r="Q106" t="s">
        <v>2061</v>
      </c>
      <c r="R106" t="s">
        <v>2062</v>
      </c>
      <c r="S106" t="s">
        <v>1648</v>
      </c>
      <c r="T106" t="s">
        <v>2063</v>
      </c>
      <c r="U106" t="s">
        <v>2103</v>
      </c>
      <c r="V106" t="s">
        <v>2104</v>
      </c>
      <c r="X106" t="s">
        <v>1648</v>
      </c>
      <c r="AB106" t="s">
        <v>2105</v>
      </c>
      <c r="AC106" t="s">
        <v>2106</v>
      </c>
      <c r="AD106" t="s">
        <v>1838</v>
      </c>
      <c r="AG106" t="s">
        <v>2107</v>
      </c>
      <c r="AH106">
        <v>2</v>
      </c>
      <c r="AJ106" t="s">
        <v>1840</v>
      </c>
      <c r="AK106" t="s">
        <v>2071</v>
      </c>
      <c r="AL106" t="s">
        <v>2107</v>
      </c>
      <c r="AM106" t="s">
        <v>1521</v>
      </c>
      <c r="AR106" t="s">
        <v>2108</v>
      </c>
      <c r="AW106" t="s">
        <v>1640</v>
      </c>
      <c r="AX106" t="s">
        <v>1640</v>
      </c>
      <c r="AY106" t="s">
        <v>1640</v>
      </c>
      <c r="AZ106" t="s">
        <v>1640</v>
      </c>
      <c r="BI106" t="s">
        <v>1655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1640</v>
      </c>
      <c r="BT106" t="s">
        <v>1640</v>
      </c>
      <c r="BU106" t="s">
        <v>1640</v>
      </c>
      <c r="BV106" t="s">
        <v>1640</v>
      </c>
      <c r="BW106" t="s">
        <v>1640</v>
      </c>
      <c r="BX106">
        <v>19200</v>
      </c>
    </row>
    <row r="107" spans="1:76">
      <c r="A107" t="s">
        <v>1844</v>
      </c>
      <c r="B107" t="s">
        <v>1640</v>
      </c>
      <c r="C107" t="s">
        <v>1640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2060</v>
      </c>
      <c r="H107" t="s">
        <v>2060</v>
      </c>
      <c r="M107" t="s">
        <v>1895</v>
      </c>
      <c r="N107" t="s">
        <v>1640</v>
      </c>
      <c r="O107" t="s">
        <v>1640</v>
      </c>
      <c r="P107" t="s">
        <v>1640</v>
      </c>
      <c r="Q107" t="s">
        <v>2061</v>
      </c>
      <c r="R107" t="s">
        <v>2062</v>
      </c>
      <c r="S107" t="s">
        <v>1648</v>
      </c>
      <c r="T107" t="s">
        <v>2063</v>
      </c>
      <c r="U107" t="s">
        <v>2109</v>
      </c>
      <c r="V107" t="s">
        <v>2110</v>
      </c>
      <c r="W107" t="s">
        <v>2111</v>
      </c>
      <c r="X107" t="s">
        <v>1648</v>
      </c>
      <c r="AB107" t="s">
        <v>2112</v>
      </c>
      <c r="AC107" t="s">
        <v>2113</v>
      </c>
      <c r="AD107" t="s">
        <v>1838</v>
      </c>
      <c r="AG107" t="s">
        <v>2114</v>
      </c>
      <c r="AH107">
        <v>2</v>
      </c>
      <c r="AI107" t="s">
        <v>2115</v>
      </c>
      <c r="AJ107" t="s">
        <v>1840</v>
      </c>
      <c r="AK107" t="s">
        <v>2071</v>
      </c>
      <c r="AL107" t="s">
        <v>2114</v>
      </c>
      <c r="AM107" t="s">
        <v>1521</v>
      </c>
      <c r="AR107" t="s">
        <v>2116</v>
      </c>
      <c r="AW107" t="s">
        <v>1640</v>
      </c>
      <c r="AX107" t="s">
        <v>1640</v>
      </c>
      <c r="AY107" t="s">
        <v>1640</v>
      </c>
      <c r="AZ107" t="s">
        <v>1640</v>
      </c>
      <c r="BI107" t="s">
        <v>1655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1640</v>
      </c>
      <c r="BT107" t="s">
        <v>1640</v>
      </c>
      <c r="BU107" t="s">
        <v>1640</v>
      </c>
      <c r="BV107" t="s">
        <v>1640</v>
      </c>
      <c r="BW107" t="s">
        <v>1640</v>
      </c>
      <c r="BX107">
        <v>19200</v>
      </c>
    </row>
    <row r="108" spans="1:76">
      <c r="A108" t="s">
        <v>1844</v>
      </c>
      <c r="B108" t="s">
        <v>1640</v>
      </c>
      <c r="C108" t="s">
        <v>1640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2060</v>
      </c>
      <c r="H108" t="s">
        <v>2060</v>
      </c>
      <c r="M108" t="s">
        <v>1895</v>
      </c>
      <c r="N108" t="s">
        <v>1640</v>
      </c>
      <c r="O108" t="s">
        <v>1640</v>
      </c>
      <c r="P108" t="s">
        <v>1640</v>
      </c>
      <c r="Q108" t="s">
        <v>2061</v>
      </c>
      <c r="R108" t="s">
        <v>2062</v>
      </c>
      <c r="S108" t="s">
        <v>1648</v>
      </c>
      <c r="T108" t="s">
        <v>2063</v>
      </c>
      <c r="U108" t="s">
        <v>2117</v>
      </c>
      <c r="V108" t="s">
        <v>2118</v>
      </c>
      <c r="W108" t="s">
        <v>2119</v>
      </c>
      <c r="X108" t="s">
        <v>1648</v>
      </c>
      <c r="AB108" t="s">
        <v>2120</v>
      </c>
      <c r="AC108" t="s">
        <v>2121</v>
      </c>
      <c r="AD108" t="s">
        <v>1838</v>
      </c>
      <c r="AG108" t="s">
        <v>2122</v>
      </c>
      <c r="AH108">
        <v>2</v>
      </c>
      <c r="AJ108" t="s">
        <v>1840</v>
      </c>
      <c r="AK108" t="s">
        <v>2071</v>
      </c>
      <c r="AL108" t="s">
        <v>2122</v>
      </c>
      <c r="AM108" t="s">
        <v>1521</v>
      </c>
      <c r="AR108" t="s">
        <v>2123</v>
      </c>
      <c r="AW108" t="s">
        <v>1640</v>
      </c>
      <c r="AX108" t="s">
        <v>1640</v>
      </c>
      <c r="AY108" t="s">
        <v>1640</v>
      </c>
      <c r="AZ108" t="s">
        <v>1640</v>
      </c>
      <c r="BI108" t="s">
        <v>1655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1640</v>
      </c>
      <c r="BT108" t="s">
        <v>1640</v>
      </c>
      <c r="BU108" t="s">
        <v>1640</v>
      </c>
      <c r="BV108" t="s">
        <v>1640</v>
      </c>
      <c r="BW108" t="s">
        <v>1640</v>
      </c>
      <c r="BX108">
        <v>19200</v>
      </c>
    </row>
    <row r="109" spans="1:76">
      <c r="A109" t="s">
        <v>1844</v>
      </c>
      <c r="B109" t="s">
        <v>1640</v>
      </c>
      <c r="C109" t="s">
        <v>1640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2060</v>
      </c>
      <c r="H109" t="s">
        <v>2060</v>
      </c>
      <c r="M109" t="s">
        <v>1895</v>
      </c>
      <c r="N109" t="s">
        <v>1640</v>
      </c>
      <c r="O109" t="s">
        <v>1640</v>
      </c>
      <c r="P109" t="s">
        <v>1640</v>
      </c>
      <c r="Q109" t="s">
        <v>2061</v>
      </c>
      <c r="R109" t="s">
        <v>2062</v>
      </c>
      <c r="S109" t="s">
        <v>1648</v>
      </c>
      <c r="T109" t="s">
        <v>2063</v>
      </c>
      <c r="U109" t="s">
        <v>2124</v>
      </c>
      <c r="V109" t="s">
        <v>2125</v>
      </c>
      <c r="W109" t="s">
        <v>2126</v>
      </c>
      <c r="X109" t="s">
        <v>1648</v>
      </c>
      <c r="AB109" t="s">
        <v>2127</v>
      </c>
      <c r="AC109" t="s">
        <v>2128</v>
      </c>
      <c r="AD109" t="s">
        <v>1838</v>
      </c>
      <c r="AG109" t="s">
        <v>2129</v>
      </c>
      <c r="AH109">
        <v>2</v>
      </c>
      <c r="AJ109" t="s">
        <v>1840</v>
      </c>
      <c r="AK109" t="s">
        <v>2071</v>
      </c>
      <c r="AL109" t="s">
        <v>2129</v>
      </c>
      <c r="AM109" t="s">
        <v>1521</v>
      </c>
      <c r="AR109" t="s">
        <v>2130</v>
      </c>
      <c r="AW109" t="s">
        <v>1640</v>
      </c>
      <c r="AX109" t="s">
        <v>1640</v>
      </c>
      <c r="AY109" t="s">
        <v>1640</v>
      </c>
      <c r="AZ109" t="s">
        <v>1640</v>
      </c>
      <c r="BI109" t="s">
        <v>1655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1640</v>
      </c>
      <c r="BT109" t="s">
        <v>1640</v>
      </c>
      <c r="BU109" t="s">
        <v>1640</v>
      </c>
      <c r="BV109" t="s">
        <v>1640</v>
      </c>
      <c r="BW109" t="s">
        <v>1640</v>
      </c>
      <c r="BX109">
        <v>19200</v>
      </c>
    </row>
    <row r="110" spans="1:76">
      <c r="A110" t="s">
        <v>1844</v>
      </c>
      <c r="B110" t="s">
        <v>1640</v>
      </c>
      <c r="C110" t="s">
        <v>1640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2060</v>
      </c>
      <c r="H110" t="s">
        <v>2060</v>
      </c>
      <c r="M110" t="s">
        <v>1895</v>
      </c>
      <c r="N110" t="s">
        <v>1640</v>
      </c>
      <c r="O110" t="s">
        <v>1640</v>
      </c>
      <c r="P110" t="s">
        <v>1640</v>
      </c>
      <c r="Q110" t="s">
        <v>2061</v>
      </c>
      <c r="R110" t="s">
        <v>2062</v>
      </c>
      <c r="S110" t="s">
        <v>1648</v>
      </c>
      <c r="T110" t="s">
        <v>2063</v>
      </c>
      <c r="U110" t="s">
        <v>2131</v>
      </c>
      <c r="V110" t="s">
        <v>2132</v>
      </c>
      <c r="W110" t="s">
        <v>2133</v>
      </c>
      <c r="X110" t="s">
        <v>1648</v>
      </c>
      <c r="AB110" t="s">
        <v>2134</v>
      </c>
      <c r="AC110" t="s">
        <v>2135</v>
      </c>
      <c r="AD110" t="s">
        <v>1838</v>
      </c>
      <c r="AG110" t="s">
        <v>2136</v>
      </c>
      <c r="AH110">
        <v>2</v>
      </c>
      <c r="AI110" t="s">
        <v>2137</v>
      </c>
      <c r="AJ110" t="s">
        <v>1840</v>
      </c>
      <c r="AK110" t="s">
        <v>2071</v>
      </c>
      <c r="AL110" t="s">
        <v>2136</v>
      </c>
      <c r="AM110" t="s">
        <v>1521</v>
      </c>
      <c r="AR110" t="s">
        <v>2138</v>
      </c>
      <c r="AW110" t="s">
        <v>1640</v>
      </c>
      <c r="AX110" t="s">
        <v>1640</v>
      </c>
      <c r="AY110" t="s">
        <v>1640</v>
      </c>
      <c r="AZ110" t="s">
        <v>1640</v>
      </c>
      <c r="BI110" t="s">
        <v>1655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1640</v>
      </c>
      <c r="BT110" t="s">
        <v>1640</v>
      </c>
      <c r="BU110" t="s">
        <v>1640</v>
      </c>
      <c r="BV110" t="s">
        <v>1640</v>
      </c>
      <c r="BW110" t="s">
        <v>1640</v>
      </c>
      <c r="BX110">
        <v>19200</v>
      </c>
    </row>
    <row r="111" spans="1:76">
      <c r="A111" t="s">
        <v>1844</v>
      </c>
      <c r="B111" t="s">
        <v>1640</v>
      </c>
      <c r="C111" t="s">
        <v>1640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2060</v>
      </c>
      <c r="H111" t="s">
        <v>2060</v>
      </c>
      <c r="M111" t="s">
        <v>1895</v>
      </c>
      <c r="N111" t="s">
        <v>1640</v>
      </c>
      <c r="O111" t="s">
        <v>1640</v>
      </c>
      <c r="P111" t="s">
        <v>1640</v>
      </c>
      <c r="Q111" t="s">
        <v>2061</v>
      </c>
      <c r="R111" t="s">
        <v>2062</v>
      </c>
      <c r="S111" t="s">
        <v>1648</v>
      </c>
      <c r="T111" t="s">
        <v>2063</v>
      </c>
      <c r="U111" t="s">
        <v>2139</v>
      </c>
      <c r="V111" t="s">
        <v>2140</v>
      </c>
      <c r="W111" t="s">
        <v>2141</v>
      </c>
      <c r="X111" t="s">
        <v>1648</v>
      </c>
      <c r="AB111" t="s">
        <v>2142</v>
      </c>
      <c r="AC111" t="s">
        <v>2143</v>
      </c>
      <c r="AD111" t="s">
        <v>1838</v>
      </c>
      <c r="AG111" t="s">
        <v>2144</v>
      </c>
      <c r="AH111">
        <v>2</v>
      </c>
      <c r="AJ111" t="s">
        <v>1840</v>
      </c>
      <c r="AK111" t="s">
        <v>2071</v>
      </c>
      <c r="AL111" t="s">
        <v>2144</v>
      </c>
      <c r="AM111" t="s">
        <v>1521</v>
      </c>
      <c r="AR111" t="s">
        <v>2145</v>
      </c>
      <c r="AW111" t="s">
        <v>1640</v>
      </c>
      <c r="AX111" t="s">
        <v>1640</v>
      </c>
      <c r="AY111" t="s">
        <v>1640</v>
      </c>
      <c r="AZ111" t="s">
        <v>1640</v>
      </c>
      <c r="BI111" t="s">
        <v>1655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1640</v>
      </c>
      <c r="BT111" t="s">
        <v>1640</v>
      </c>
      <c r="BU111" t="s">
        <v>1640</v>
      </c>
      <c r="BV111" t="s">
        <v>1640</v>
      </c>
      <c r="BW111" t="s">
        <v>1640</v>
      </c>
      <c r="BX111">
        <v>19200</v>
      </c>
    </row>
    <row r="112" spans="1:76">
      <c r="A112" t="s">
        <v>1844</v>
      </c>
      <c r="B112" t="s">
        <v>1640</v>
      </c>
      <c r="C112" t="s">
        <v>1640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2060</v>
      </c>
      <c r="H112" t="s">
        <v>2060</v>
      </c>
      <c r="M112" t="s">
        <v>1895</v>
      </c>
      <c r="N112" t="s">
        <v>1640</v>
      </c>
      <c r="O112" t="s">
        <v>1640</v>
      </c>
      <c r="P112" t="s">
        <v>1640</v>
      </c>
      <c r="Q112" t="s">
        <v>2061</v>
      </c>
      <c r="R112" t="s">
        <v>2062</v>
      </c>
      <c r="S112" t="s">
        <v>1648</v>
      </c>
      <c r="T112" t="s">
        <v>2063</v>
      </c>
      <c r="U112" t="s">
        <v>2146</v>
      </c>
      <c r="V112" t="s">
        <v>2147</v>
      </c>
      <c r="W112" t="s">
        <v>2148</v>
      </c>
      <c r="X112" t="s">
        <v>1648</v>
      </c>
      <c r="AB112" t="s">
        <v>2149</v>
      </c>
      <c r="AC112" t="s">
        <v>2150</v>
      </c>
      <c r="AD112" t="s">
        <v>1838</v>
      </c>
      <c r="AG112" t="s">
        <v>2151</v>
      </c>
      <c r="AH112">
        <v>2</v>
      </c>
      <c r="AJ112" t="s">
        <v>1840</v>
      </c>
      <c r="AK112" t="s">
        <v>2071</v>
      </c>
      <c r="AL112" t="s">
        <v>2151</v>
      </c>
      <c r="AM112" t="s">
        <v>1521</v>
      </c>
      <c r="AR112" t="s">
        <v>2152</v>
      </c>
      <c r="AW112" t="s">
        <v>1640</v>
      </c>
      <c r="AX112" t="s">
        <v>1640</v>
      </c>
      <c r="AY112" t="s">
        <v>1640</v>
      </c>
      <c r="AZ112" t="s">
        <v>1640</v>
      </c>
      <c r="BI112" t="s">
        <v>1655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1640</v>
      </c>
      <c r="BT112" t="s">
        <v>1640</v>
      </c>
      <c r="BU112" t="s">
        <v>1640</v>
      </c>
      <c r="BV112" t="s">
        <v>1640</v>
      </c>
      <c r="BW112" t="s">
        <v>1640</v>
      </c>
      <c r="BX112">
        <v>19200</v>
      </c>
    </row>
    <row r="113" spans="1:76">
      <c r="A113" t="s">
        <v>1844</v>
      </c>
      <c r="B113" t="s">
        <v>1656</v>
      </c>
      <c r="C113" t="s">
        <v>1656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1893</v>
      </c>
      <c r="H113" t="s">
        <v>2060</v>
      </c>
      <c r="M113" t="s">
        <v>1895</v>
      </c>
      <c r="N113" t="s">
        <v>1640</v>
      </c>
      <c r="O113" t="s">
        <v>1656</v>
      </c>
      <c r="P113" t="s">
        <v>1656</v>
      </c>
      <c r="U113" t="s">
        <v>2153</v>
      </c>
      <c r="AB113" t="s">
        <v>2154</v>
      </c>
      <c r="AC113" t="s">
        <v>2155</v>
      </c>
      <c r="BI113" t="s">
        <v>1655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1844</v>
      </c>
      <c r="B114" t="s">
        <v>1656</v>
      </c>
      <c r="C114" t="s">
        <v>1656</v>
      </c>
      <c r="D114" t="str">
        <f t="shared" si="15"/>
        <v/>
      </c>
      <c r="E114" t="str">
        <f t="shared" ref="E114:E138" si="19">IF($A114="","",IF($A114="Neuron",IF(OR(AND($U114&lt;&gt;"",LOWER(TRIM($U114))&lt;&gt;"n/a",COUNTIF($V$2:$V$532,$U114)&gt;1),AND($W114&lt;&gt;"",LOWER(TRIM($W114))&lt;&gt;"n/a",COUNTIF($W$2:$W$532,$W114)&gt;1),AND($Z114&lt;&gt;"",LOWER(TRIM($Z114))&lt;&gt;"n/a",COUNTIF($Z$2:$Z$532,$Z114)&gt;1)),"Yes","No"),IF($A114="Cybernet",IF(OR(AND($AB114&lt;&gt;"",LOWER(TRIM($AB114))&lt;&gt;"n/a",COUNTIF($AB$2:$AB$532,$AB114)&gt;1),AND($AC114&lt;&gt;"",LOWER(TRIM($AC114))&lt;&gt;"n/a",COUNTIF($AC$2:$AC$532,$AC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AND($U114&lt;&gt;"",LOWER(TRIM($U114))&lt;&gt;"n/a",COUNTIFS($B$2:$B$532,"Yes",$A$2:$A$532,"Neuron",$V$2:$V$532,$U114)&gt;1),
AND($W114&lt;&gt;"",LOWER(TRIM($W114))&lt;&gt;"n/a",COUNTIFS($B$2:$B$532,"Yes",$A$2:$A$532,"Neuron",$W$2:$W$532,$W114)&gt;1),
AND($Z114&lt;&gt;"",LOWER(TRIM($Z114))&lt;&gt;"n/a",COUNTIFS($B$2:$B$532,"Yes",$A$2:$A$532,"Neuron",$Z$2:$Z$532,$Z114)&gt;1)
),"Yes","No"),
IF($A114="Cybernet",
IF(OR(
AND($AB114&lt;&gt;"",LOWER(TRIM($AB114))&lt;&gt;"n/a",COUNTIFS($B$2:$B$532,"Yes",$A$2:$A$532,"Cybernet",$AB$2:$AB$532,$AB114)&gt;1),
AND($AC114&lt;&gt;"",LOWER(TRIM($AC114))&lt;&gt;"n/a",COUNTIFS($B$2:$B$532,"Yes",$A$2:$A$532,"Cybernet",$AC$2:$AC$532,$AC114)&gt;1)
),"Yes","No"),
IF(AND($AL114&lt;&gt;"",LOWER(TRIM($AL114))&lt;&gt;"n/a"),
IF(COUNTIFS($B$2:$B$532,"Yes",$A$2:$A$532,$A114,$AL$2:$AL$532,$AL114)&gt;1,"Yes","No"),
"No")
)
)
)</f>
        <v/>
      </c>
      <c r="G114" t="s">
        <v>1893</v>
      </c>
      <c r="H114" t="s">
        <v>2060</v>
      </c>
      <c r="M114" t="s">
        <v>1895</v>
      </c>
      <c r="N114" t="s">
        <v>1640</v>
      </c>
      <c r="O114" t="s">
        <v>1656</v>
      </c>
      <c r="P114" t="s">
        <v>1656</v>
      </c>
      <c r="U114" t="s">
        <v>2156</v>
      </c>
      <c r="AB114" t="s">
        <v>2157</v>
      </c>
      <c r="AC114" t="s">
        <v>2158</v>
      </c>
      <c r="BI114" t="s">
        <v>1655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1844</v>
      </c>
      <c r="B115" t="s">
        <v>1656</v>
      </c>
      <c r="C115" t="s">
        <v>1656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1893</v>
      </c>
      <c r="H115" t="s">
        <v>2060</v>
      </c>
      <c r="M115" t="s">
        <v>1895</v>
      </c>
      <c r="N115" t="s">
        <v>1640</v>
      </c>
      <c r="O115" t="s">
        <v>1656</v>
      </c>
      <c r="P115" t="s">
        <v>1656</v>
      </c>
      <c r="U115" t="s">
        <v>2159</v>
      </c>
      <c r="AB115" t="s">
        <v>2160</v>
      </c>
      <c r="AC115" t="s">
        <v>2161</v>
      </c>
      <c r="BI115" t="s">
        <v>1655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1844</v>
      </c>
      <c r="B116" t="s">
        <v>1656</v>
      </c>
      <c r="C116" t="s">
        <v>1656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1893</v>
      </c>
      <c r="H116" t="s">
        <v>2060</v>
      </c>
      <c r="M116" t="s">
        <v>1895</v>
      </c>
      <c r="N116" t="s">
        <v>1640</v>
      </c>
      <c r="O116" t="s">
        <v>1656</v>
      </c>
      <c r="P116" t="s">
        <v>1656</v>
      </c>
      <c r="U116" t="s">
        <v>2162</v>
      </c>
      <c r="AB116" t="s">
        <v>2163</v>
      </c>
      <c r="AC116" t="s">
        <v>2164</v>
      </c>
      <c r="BI116" t="s">
        <v>1655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1844</v>
      </c>
      <c r="B117" t="s">
        <v>1640</v>
      </c>
      <c r="C117" t="s">
        <v>1640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2060</v>
      </c>
      <c r="H117" t="s">
        <v>2060</v>
      </c>
      <c r="M117" t="s">
        <v>1895</v>
      </c>
      <c r="N117" t="s">
        <v>1640</v>
      </c>
      <c r="O117" t="s">
        <v>1640</v>
      </c>
      <c r="P117" t="s">
        <v>1640</v>
      </c>
      <c r="Q117" t="s">
        <v>2061</v>
      </c>
      <c r="R117" t="s">
        <v>2062</v>
      </c>
      <c r="S117" t="s">
        <v>1648</v>
      </c>
      <c r="T117" t="s">
        <v>2063</v>
      </c>
      <c r="U117" t="s">
        <v>2165</v>
      </c>
      <c r="V117" t="s">
        <v>2166</v>
      </c>
      <c r="W117" t="s">
        <v>2167</v>
      </c>
      <c r="X117" t="s">
        <v>1648</v>
      </c>
      <c r="AB117" t="s">
        <v>2168</v>
      </c>
      <c r="AC117" t="s">
        <v>2169</v>
      </c>
      <c r="AD117" t="s">
        <v>1838</v>
      </c>
      <c r="AG117" t="s">
        <v>2170</v>
      </c>
      <c r="AH117">
        <v>2</v>
      </c>
      <c r="AJ117" t="s">
        <v>1840</v>
      </c>
      <c r="AK117" t="s">
        <v>2071</v>
      </c>
      <c r="AL117" t="s">
        <v>2170</v>
      </c>
      <c r="AM117" t="s">
        <v>1521</v>
      </c>
      <c r="AR117" t="s">
        <v>2171</v>
      </c>
      <c r="AW117" t="s">
        <v>1640</v>
      </c>
      <c r="AX117" t="s">
        <v>1640</v>
      </c>
      <c r="AY117" t="s">
        <v>1640</v>
      </c>
      <c r="AZ117" t="s">
        <v>1640</v>
      </c>
      <c r="BI117" t="s">
        <v>1655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1640</v>
      </c>
      <c r="BT117" t="s">
        <v>1640</v>
      </c>
      <c r="BU117" t="s">
        <v>1640</v>
      </c>
      <c r="BV117" t="s">
        <v>1640</v>
      </c>
      <c r="BW117" t="s">
        <v>1640</v>
      </c>
      <c r="BX117">
        <v>19200</v>
      </c>
    </row>
    <row r="118" spans="1:76">
      <c r="A118" t="s">
        <v>1844</v>
      </c>
      <c r="B118" t="s">
        <v>1640</v>
      </c>
      <c r="C118" t="s">
        <v>1640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2060</v>
      </c>
      <c r="H118" t="s">
        <v>2060</v>
      </c>
      <c r="M118" t="s">
        <v>1895</v>
      </c>
      <c r="N118" t="s">
        <v>1640</v>
      </c>
      <c r="O118" t="s">
        <v>1640</v>
      </c>
      <c r="P118" t="s">
        <v>1640</v>
      </c>
      <c r="Q118" t="s">
        <v>2061</v>
      </c>
      <c r="R118" t="s">
        <v>2062</v>
      </c>
      <c r="S118" t="s">
        <v>1648</v>
      </c>
      <c r="T118" t="s">
        <v>2063</v>
      </c>
      <c r="U118" t="s">
        <v>2172</v>
      </c>
      <c r="V118" t="s">
        <v>2173</v>
      </c>
      <c r="W118" t="s">
        <v>2174</v>
      </c>
      <c r="X118" t="s">
        <v>1648</v>
      </c>
      <c r="AB118" t="s">
        <v>2175</v>
      </c>
      <c r="AC118" t="s">
        <v>2176</v>
      </c>
      <c r="AD118" t="s">
        <v>1838</v>
      </c>
      <c r="AG118" t="s">
        <v>2177</v>
      </c>
      <c r="AH118">
        <v>2</v>
      </c>
      <c r="AJ118" t="s">
        <v>1840</v>
      </c>
      <c r="AK118" t="s">
        <v>2071</v>
      </c>
      <c r="AL118" t="s">
        <v>2177</v>
      </c>
      <c r="AM118" t="s">
        <v>1521</v>
      </c>
      <c r="AR118" t="s">
        <v>2178</v>
      </c>
      <c r="AW118" t="s">
        <v>1640</v>
      </c>
      <c r="AX118" t="s">
        <v>1640</v>
      </c>
      <c r="AY118" t="s">
        <v>1640</v>
      </c>
      <c r="AZ118" t="s">
        <v>1640</v>
      </c>
      <c r="BI118" t="s">
        <v>1655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1640</v>
      </c>
      <c r="BT118" t="s">
        <v>1640</v>
      </c>
      <c r="BU118" t="s">
        <v>1640</v>
      </c>
      <c r="BV118" t="s">
        <v>1640</v>
      </c>
      <c r="BW118" t="s">
        <v>1640</v>
      </c>
      <c r="BX118">
        <v>19200</v>
      </c>
    </row>
    <row r="119" spans="1:76">
      <c r="A119" t="s">
        <v>1844</v>
      </c>
      <c r="B119" t="s">
        <v>1656</v>
      </c>
      <c r="C119" t="s">
        <v>1656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1893</v>
      </c>
      <c r="H119" t="s">
        <v>1961</v>
      </c>
      <c r="M119" t="s">
        <v>1895</v>
      </c>
      <c r="N119" t="s">
        <v>1640</v>
      </c>
      <c r="O119" t="s">
        <v>1656</v>
      </c>
      <c r="P119" t="s">
        <v>1656</v>
      </c>
      <c r="U119" t="s">
        <v>2179</v>
      </c>
      <c r="AB119" t="s">
        <v>2180</v>
      </c>
      <c r="AC119" t="s">
        <v>2181</v>
      </c>
      <c r="BI119" t="s">
        <v>1655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1844</v>
      </c>
      <c r="B120" t="s">
        <v>1640</v>
      </c>
      <c r="C120" t="s">
        <v>1640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2060</v>
      </c>
      <c r="H120" t="s">
        <v>2060</v>
      </c>
      <c r="M120" t="s">
        <v>1895</v>
      </c>
      <c r="N120" t="s">
        <v>1640</v>
      </c>
      <c r="O120" t="s">
        <v>1640</v>
      </c>
      <c r="P120" t="s">
        <v>1640</v>
      </c>
      <c r="Q120" t="s">
        <v>2061</v>
      </c>
      <c r="R120" t="s">
        <v>2062</v>
      </c>
      <c r="S120" t="s">
        <v>1648</v>
      </c>
      <c r="T120" t="s">
        <v>2063</v>
      </c>
      <c r="U120" t="s">
        <v>2182</v>
      </c>
      <c r="V120" t="s">
        <v>2183</v>
      </c>
      <c r="W120" t="s">
        <v>2184</v>
      </c>
      <c r="X120" t="s">
        <v>1648</v>
      </c>
      <c r="AB120" t="s">
        <v>2185</v>
      </c>
      <c r="AC120" t="s">
        <v>2186</v>
      </c>
      <c r="AD120" t="s">
        <v>1838</v>
      </c>
      <c r="AG120" t="s">
        <v>2187</v>
      </c>
      <c r="AH120">
        <v>2</v>
      </c>
      <c r="AJ120" t="s">
        <v>1840</v>
      </c>
      <c r="AK120" t="s">
        <v>2071</v>
      </c>
      <c r="AL120" t="s">
        <v>2187</v>
      </c>
      <c r="AM120" t="s">
        <v>1521</v>
      </c>
      <c r="AR120" t="s">
        <v>2086</v>
      </c>
      <c r="AW120" t="s">
        <v>1640</v>
      </c>
      <c r="AX120" t="s">
        <v>1640</v>
      </c>
      <c r="AY120" t="s">
        <v>1640</v>
      </c>
      <c r="AZ120" t="s">
        <v>1640</v>
      </c>
      <c r="BI120" t="s">
        <v>1655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1640</v>
      </c>
      <c r="BT120" t="s">
        <v>1640</v>
      </c>
      <c r="BU120" t="s">
        <v>1640</v>
      </c>
      <c r="BV120" t="s">
        <v>1640</v>
      </c>
      <c r="BW120" t="s">
        <v>1640</v>
      </c>
      <c r="BX120">
        <v>19200</v>
      </c>
    </row>
    <row r="121" spans="1:76">
      <c r="A121" t="s">
        <v>1844</v>
      </c>
      <c r="B121" t="s">
        <v>1640</v>
      </c>
      <c r="C121" t="s">
        <v>1656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1893</v>
      </c>
      <c r="H121" t="s">
        <v>2060</v>
      </c>
      <c r="M121" t="s">
        <v>1895</v>
      </c>
      <c r="N121" t="s">
        <v>1640</v>
      </c>
      <c r="O121" t="s">
        <v>1656</v>
      </c>
      <c r="P121" t="s">
        <v>1656</v>
      </c>
      <c r="U121" t="s">
        <v>2188</v>
      </c>
      <c r="AB121" t="s">
        <v>2189</v>
      </c>
      <c r="AC121" t="s">
        <v>2190</v>
      </c>
      <c r="BI121" t="s">
        <v>1655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1844</v>
      </c>
      <c r="B122" t="s">
        <v>1656</v>
      </c>
      <c r="C122" t="s">
        <v>1656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1893</v>
      </c>
      <c r="H122" t="s">
        <v>2060</v>
      </c>
      <c r="M122" t="s">
        <v>1895</v>
      </c>
      <c r="N122" t="s">
        <v>1640</v>
      </c>
      <c r="O122" t="s">
        <v>1656</v>
      </c>
      <c r="P122" t="s">
        <v>1656</v>
      </c>
      <c r="U122" t="s">
        <v>2191</v>
      </c>
      <c r="AB122" t="s">
        <v>2192</v>
      </c>
      <c r="AC122" t="s">
        <v>2193</v>
      </c>
      <c r="BI122" t="s">
        <v>1655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1844</v>
      </c>
      <c r="B123" t="s">
        <v>1640</v>
      </c>
      <c r="C123" t="s">
        <v>1640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2060</v>
      </c>
      <c r="H123" t="s">
        <v>2060</v>
      </c>
      <c r="M123" t="s">
        <v>1895</v>
      </c>
      <c r="N123" t="s">
        <v>1640</v>
      </c>
      <c r="O123" t="s">
        <v>1640</v>
      </c>
      <c r="P123" t="s">
        <v>1640</v>
      </c>
      <c r="Q123" t="s">
        <v>2061</v>
      </c>
      <c r="R123" t="s">
        <v>2062</v>
      </c>
      <c r="S123" t="s">
        <v>1648</v>
      </c>
      <c r="T123" t="s">
        <v>2063</v>
      </c>
      <c r="U123" t="s">
        <v>2194</v>
      </c>
      <c r="V123" t="s">
        <v>2195</v>
      </c>
      <c r="W123" t="s">
        <v>2196</v>
      </c>
      <c r="X123" t="s">
        <v>1648</v>
      </c>
      <c r="AB123" t="s">
        <v>2197</v>
      </c>
      <c r="AC123" t="s">
        <v>2198</v>
      </c>
      <c r="AD123" t="s">
        <v>1838</v>
      </c>
      <c r="AG123" t="s">
        <v>2199</v>
      </c>
      <c r="AH123">
        <v>2</v>
      </c>
      <c r="AJ123" t="s">
        <v>1840</v>
      </c>
      <c r="AK123" t="s">
        <v>2071</v>
      </c>
      <c r="AL123" t="s">
        <v>2199</v>
      </c>
      <c r="AM123" t="s">
        <v>1521</v>
      </c>
      <c r="AR123" t="s">
        <v>2200</v>
      </c>
      <c r="AW123" t="s">
        <v>1640</v>
      </c>
      <c r="AX123" t="s">
        <v>1640</v>
      </c>
      <c r="AY123" t="s">
        <v>1640</v>
      </c>
      <c r="AZ123" t="s">
        <v>1640</v>
      </c>
      <c r="BI123" t="s">
        <v>1655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1640</v>
      </c>
      <c r="BT123" t="s">
        <v>1640</v>
      </c>
      <c r="BU123" t="s">
        <v>1640</v>
      </c>
      <c r="BV123" t="s">
        <v>1640</v>
      </c>
      <c r="BW123" t="s">
        <v>1640</v>
      </c>
      <c r="BX123">
        <v>19200</v>
      </c>
    </row>
    <row r="124" spans="1:76">
      <c r="A124" t="s">
        <v>1844</v>
      </c>
      <c r="B124" t="s">
        <v>1640</v>
      </c>
      <c r="C124" t="s">
        <v>1640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2060</v>
      </c>
      <c r="H124" t="s">
        <v>2060</v>
      </c>
      <c r="M124" t="s">
        <v>1895</v>
      </c>
      <c r="N124" t="s">
        <v>1640</v>
      </c>
      <c r="O124" t="s">
        <v>1640</v>
      </c>
      <c r="P124" t="s">
        <v>1640</v>
      </c>
      <c r="Q124" t="s">
        <v>2061</v>
      </c>
      <c r="R124" t="s">
        <v>2062</v>
      </c>
      <c r="S124" t="s">
        <v>1648</v>
      </c>
      <c r="T124" t="s">
        <v>2063</v>
      </c>
      <c r="U124" t="s">
        <v>2201</v>
      </c>
      <c r="V124" t="s">
        <v>2202</v>
      </c>
      <c r="W124" t="s">
        <v>2203</v>
      </c>
      <c r="X124" t="s">
        <v>1648</v>
      </c>
      <c r="AB124" t="s">
        <v>2204</v>
      </c>
      <c r="AC124" t="s">
        <v>2205</v>
      </c>
      <c r="AD124" t="s">
        <v>1838</v>
      </c>
      <c r="AG124" t="s">
        <v>2206</v>
      </c>
      <c r="AH124">
        <v>2</v>
      </c>
      <c r="AJ124" t="s">
        <v>1840</v>
      </c>
      <c r="AK124" t="s">
        <v>2071</v>
      </c>
      <c r="AL124" t="s">
        <v>2206</v>
      </c>
      <c r="AM124" t="s">
        <v>1521</v>
      </c>
      <c r="AR124" t="s">
        <v>2207</v>
      </c>
      <c r="AW124" t="s">
        <v>1640</v>
      </c>
      <c r="AX124" t="s">
        <v>1640</v>
      </c>
      <c r="AY124" t="s">
        <v>1640</v>
      </c>
      <c r="AZ124" t="s">
        <v>1640</v>
      </c>
      <c r="BI124" t="s">
        <v>1655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1640</v>
      </c>
      <c r="BT124" t="s">
        <v>1640</v>
      </c>
      <c r="BU124" t="s">
        <v>1640</v>
      </c>
      <c r="BV124" t="s">
        <v>1640</v>
      </c>
      <c r="BW124" t="s">
        <v>1640</v>
      </c>
      <c r="BX124">
        <v>19200</v>
      </c>
    </row>
    <row r="125" spans="1:76">
      <c r="A125" t="s">
        <v>1844</v>
      </c>
      <c r="B125" t="s">
        <v>1640</v>
      </c>
      <c r="C125" t="s">
        <v>1640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2060</v>
      </c>
      <c r="H125" t="s">
        <v>2060</v>
      </c>
      <c r="M125" t="s">
        <v>1895</v>
      </c>
      <c r="N125" t="s">
        <v>1640</v>
      </c>
      <c r="O125" t="s">
        <v>1640</v>
      </c>
      <c r="P125" t="s">
        <v>1640</v>
      </c>
      <c r="Q125" t="s">
        <v>2061</v>
      </c>
      <c r="R125" t="s">
        <v>2062</v>
      </c>
      <c r="S125" t="s">
        <v>1648</v>
      </c>
      <c r="T125" t="s">
        <v>2063</v>
      </c>
      <c r="U125" t="s">
        <v>2208</v>
      </c>
      <c r="V125" t="s">
        <v>2209</v>
      </c>
      <c r="W125" t="s">
        <v>2210</v>
      </c>
      <c r="X125" t="s">
        <v>1648</v>
      </c>
      <c r="AB125" t="s">
        <v>2211</v>
      </c>
      <c r="AC125" t="s">
        <v>2212</v>
      </c>
      <c r="AD125" t="s">
        <v>1838</v>
      </c>
      <c r="AG125" t="s">
        <v>2213</v>
      </c>
      <c r="AH125">
        <v>2</v>
      </c>
      <c r="AJ125" t="s">
        <v>1840</v>
      </c>
      <c r="AK125" t="s">
        <v>2071</v>
      </c>
      <c r="AL125" t="s">
        <v>2213</v>
      </c>
      <c r="AM125" t="s">
        <v>1521</v>
      </c>
      <c r="AR125" t="s">
        <v>2214</v>
      </c>
      <c r="AW125" t="s">
        <v>1640</v>
      </c>
      <c r="AX125" t="s">
        <v>1640</v>
      </c>
      <c r="AY125" t="s">
        <v>1640</v>
      </c>
      <c r="AZ125" t="s">
        <v>1640</v>
      </c>
      <c r="BI125" t="s">
        <v>1655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1640</v>
      </c>
      <c r="BT125" t="s">
        <v>1640</v>
      </c>
      <c r="BU125" t="s">
        <v>1640</v>
      </c>
      <c r="BV125" t="s">
        <v>1640</v>
      </c>
      <c r="BW125" t="s">
        <v>1640</v>
      </c>
      <c r="BX125">
        <v>19200</v>
      </c>
    </row>
    <row r="126" spans="1:76">
      <c r="A126" t="s">
        <v>1844</v>
      </c>
      <c r="B126" t="s">
        <v>1640</v>
      </c>
      <c r="C126" t="s">
        <v>1640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2060</v>
      </c>
      <c r="H126" t="s">
        <v>2060</v>
      </c>
      <c r="M126" t="s">
        <v>1895</v>
      </c>
      <c r="N126" t="s">
        <v>1640</v>
      </c>
      <c r="O126" t="s">
        <v>1640</v>
      </c>
      <c r="P126" t="s">
        <v>1640</v>
      </c>
      <c r="Q126" t="s">
        <v>2061</v>
      </c>
      <c r="R126" t="s">
        <v>2062</v>
      </c>
      <c r="S126" t="s">
        <v>1648</v>
      </c>
      <c r="T126" t="s">
        <v>2063</v>
      </c>
      <c r="U126" t="s">
        <v>2215</v>
      </c>
      <c r="V126" t="s">
        <v>2216</v>
      </c>
      <c r="W126" t="s">
        <v>2217</v>
      </c>
      <c r="X126" t="s">
        <v>1648</v>
      </c>
      <c r="AB126" t="s">
        <v>2218</v>
      </c>
      <c r="AC126" t="s">
        <v>2219</v>
      </c>
      <c r="AD126" t="s">
        <v>1838</v>
      </c>
      <c r="AG126" t="s">
        <v>2220</v>
      </c>
      <c r="AH126">
        <v>2</v>
      </c>
      <c r="AJ126" t="s">
        <v>1840</v>
      </c>
      <c r="AK126" t="s">
        <v>2071</v>
      </c>
      <c r="AL126" t="s">
        <v>2220</v>
      </c>
      <c r="AM126" t="s">
        <v>1521</v>
      </c>
      <c r="AR126" t="s">
        <v>2221</v>
      </c>
      <c r="AW126" t="s">
        <v>1640</v>
      </c>
      <c r="AX126" t="s">
        <v>1640</v>
      </c>
      <c r="AY126" t="s">
        <v>1640</v>
      </c>
      <c r="AZ126" t="s">
        <v>1640</v>
      </c>
      <c r="BI126" t="s">
        <v>1655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1640</v>
      </c>
      <c r="BT126" t="s">
        <v>1640</v>
      </c>
      <c r="BU126" t="s">
        <v>1640</v>
      </c>
      <c r="BV126" t="s">
        <v>1640</v>
      </c>
      <c r="BW126" t="s">
        <v>1640</v>
      </c>
      <c r="BX126">
        <v>19200</v>
      </c>
    </row>
    <row r="127" spans="1:76">
      <c r="A127" t="s">
        <v>1844</v>
      </c>
      <c r="B127" t="s">
        <v>1640</v>
      </c>
      <c r="C127" t="s">
        <v>1640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2060</v>
      </c>
      <c r="H127" t="s">
        <v>2060</v>
      </c>
      <c r="M127" t="s">
        <v>1895</v>
      </c>
      <c r="N127" t="s">
        <v>1640</v>
      </c>
      <c r="O127" t="s">
        <v>1640</v>
      </c>
      <c r="P127" t="s">
        <v>1640</v>
      </c>
      <c r="Q127" t="s">
        <v>2061</v>
      </c>
      <c r="R127" t="s">
        <v>2062</v>
      </c>
      <c r="S127" t="s">
        <v>1648</v>
      </c>
      <c r="T127" t="s">
        <v>2063</v>
      </c>
      <c r="U127" t="s">
        <v>2222</v>
      </c>
      <c r="V127" t="s">
        <v>2223</v>
      </c>
      <c r="W127" t="s">
        <v>2224</v>
      </c>
      <c r="X127" t="s">
        <v>1648</v>
      </c>
      <c r="AD127" t="s">
        <v>1838</v>
      </c>
      <c r="AG127" t="s">
        <v>2225</v>
      </c>
      <c r="AH127">
        <v>2</v>
      </c>
      <c r="AJ127" t="s">
        <v>1840</v>
      </c>
      <c r="AK127" t="s">
        <v>2071</v>
      </c>
      <c r="AL127" t="s">
        <v>2225</v>
      </c>
      <c r="AM127" t="s">
        <v>1521</v>
      </c>
      <c r="AR127" t="s">
        <v>2226</v>
      </c>
      <c r="AW127" t="s">
        <v>1640</v>
      </c>
      <c r="AX127" t="s">
        <v>1640</v>
      </c>
      <c r="AY127" t="s">
        <v>1640</v>
      </c>
      <c r="AZ127" t="s">
        <v>1640</v>
      </c>
      <c r="BS127" t="s">
        <v>1640</v>
      </c>
      <c r="BT127" t="s">
        <v>1640</v>
      </c>
      <c r="BU127" t="s">
        <v>1640</v>
      </c>
      <c r="BV127" t="s">
        <v>1640</v>
      </c>
      <c r="BW127" t="s">
        <v>1640</v>
      </c>
      <c r="BX127">
        <v>19200</v>
      </c>
    </row>
    <row r="128" spans="1:76">
      <c r="A128" t="s">
        <v>1844</v>
      </c>
      <c r="B128" t="s">
        <v>1640</v>
      </c>
      <c r="C128" t="s">
        <v>1640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2060</v>
      </c>
      <c r="H128" t="s">
        <v>2060</v>
      </c>
      <c r="M128" t="s">
        <v>1895</v>
      </c>
      <c r="N128" t="s">
        <v>1640</v>
      </c>
      <c r="O128" t="s">
        <v>1640</v>
      </c>
      <c r="P128" t="s">
        <v>1640</v>
      </c>
      <c r="Q128" t="s">
        <v>2061</v>
      </c>
      <c r="R128" t="s">
        <v>2062</v>
      </c>
      <c r="S128" t="s">
        <v>1648</v>
      </c>
      <c r="T128" t="s">
        <v>2063</v>
      </c>
      <c r="U128" t="s">
        <v>2227</v>
      </c>
      <c r="V128" t="s">
        <v>2228</v>
      </c>
      <c r="W128" t="s">
        <v>2229</v>
      </c>
      <c r="X128" t="s">
        <v>1648</v>
      </c>
      <c r="AB128" t="s">
        <v>2230</v>
      </c>
      <c r="AC128" t="s">
        <v>2231</v>
      </c>
      <c r="AD128" t="s">
        <v>1838</v>
      </c>
      <c r="AG128" t="s">
        <v>2232</v>
      </c>
      <c r="AH128">
        <v>2</v>
      </c>
      <c r="AJ128" t="s">
        <v>1840</v>
      </c>
      <c r="AK128" t="s">
        <v>2071</v>
      </c>
      <c r="AL128" t="s">
        <v>2232</v>
      </c>
      <c r="AM128" t="s">
        <v>1521</v>
      </c>
      <c r="AR128" t="s">
        <v>2233</v>
      </c>
      <c r="AW128" t="s">
        <v>1640</v>
      </c>
      <c r="AX128" t="s">
        <v>1640</v>
      </c>
      <c r="AY128" t="s">
        <v>1640</v>
      </c>
      <c r="AZ128" t="s">
        <v>1640</v>
      </c>
      <c r="BI128" t="s">
        <v>1655</v>
      </c>
      <c r="BL128" t="str">
        <f t="shared" ref="BL128:BL153" si="21">IF($W128="","",IF((IF(AND($AW128&lt;&gt;"Yes",$AW128&lt;&gt;"N/A"),"Power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IF($W128="","",IF($BL128="","Yes","Blocked"))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1640</v>
      </c>
      <c r="BT128" t="s">
        <v>1640</v>
      </c>
      <c r="BU128" t="s">
        <v>1640</v>
      </c>
      <c r="BV128" t="s">
        <v>1640</v>
      </c>
      <c r="BW128" t="s">
        <v>1640</v>
      </c>
      <c r="BX128">
        <v>19200</v>
      </c>
    </row>
    <row r="129" spans="1:76">
      <c r="A129" t="s">
        <v>1844</v>
      </c>
      <c r="B129" t="s">
        <v>1640</v>
      </c>
      <c r="C129" t="s">
        <v>1640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2060</v>
      </c>
      <c r="H129" t="s">
        <v>2060</v>
      </c>
      <c r="M129" t="s">
        <v>1895</v>
      </c>
      <c r="N129" t="s">
        <v>1640</v>
      </c>
      <c r="O129" t="s">
        <v>1640</v>
      </c>
      <c r="P129" t="s">
        <v>1640</v>
      </c>
      <c r="Q129" t="s">
        <v>2061</v>
      </c>
      <c r="R129" t="s">
        <v>2062</v>
      </c>
      <c r="S129" t="s">
        <v>1648</v>
      </c>
      <c r="T129" t="s">
        <v>2063</v>
      </c>
      <c r="U129" t="s">
        <v>2234</v>
      </c>
      <c r="V129" t="s">
        <v>2235</v>
      </c>
      <c r="W129" t="s">
        <v>2236</v>
      </c>
      <c r="X129" t="s">
        <v>1648</v>
      </c>
      <c r="AB129" t="s">
        <v>2237</v>
      </c>
      <c r="AC129" t="s">
        <v>2238</v>
      </c>
      <c r="AD129" t="s">
        <v>1838</v>
      </c>
      <c r="AG129" t="s">
        <v>2239</v>
      </c>
      <c r="AH129">
        <v>2</v>
      </c>
      <c r="AJ129" t="s">
        <v>1840</v>
      </c>
      <c r="AK129" t="s">
        <v>2071</v>
      </c>
      <c r="AL129" t="s">
        <v>2239</v>
      </c>
      <c r="AM129" t="s">
        <v>1521</v>
      </c>
      <c r="AR129" t="s">
        <v>2240</v>
      </c>
      <c r="AW129" t="s">
        <v>1640</v>
      </c>
      <c r="AX129" t="s">
        <v>1640</v>
      </c>
      <c r="AY129" t="s">
        <v>1640</v>
      </c>
      <c r="AZ129" t="s">
        <v>1640</v>
      </c>
      <c r="BI129" t="s">
        <v>1655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1640</v>
      </c>
      <c r="BT129" t="s">
        <v>1640</v>
      </c>
      <c r="BU129" t="s">
        <v>1640</v>
      </c>
      <c r="BV129" t="s">
        <v>1640</v>
      </c>
      <c r="BW129" t="s">
        <v>1640</v>
      </c>
      <c r="BX129">
        <v>19200</v>
      </c>
    </row>
    <row r="130" spans="1:76">
      <c r="A130" t="s">
        <v>1844</v>
      </c>
      <c r="B130" t="s">
        <v>1640</v>
      </c>
      <c r="C130" t="s">
        <v>1640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2060</v>
      </c>
      <c r="H130" t="s">
        <v>2060</v>
      </c>
      <c r="M130" t="s">
        <v>1895</v>
      </c>
      <c r="N130" t="s">
        <v>1640</v>
      </c>
      <c r="O130" t="s">
        <v>1640</v>
      </c>
      <c r="P130" t="s">
        <v>1640</v>
      </c>
      <c r="Q130" t="s">
        <v>2061</v>
      </c>
      <c r="R130" t="s">
        <v>2062</v>
      </c>
      <c r="S130" t="s">
        <v>1648</v>
      </c>
      <c r="T130" t="s">
        <v>2063</v>
      </c>
      <c r="U130" t="s">
        <v>2241</v>
      </c>
      <c r="V130" t="s">
        <v>2242</v>
      </c>
      <c r="W130" t="s">
        <v>2243</v>
      </c>
      <c r="X130" t="s">
        <v>1648</v>
      </c>
      <c r="AB130" t="s">
        <v>2244</v>
      </c>
      <c r="AC130" t="s">
        <v>2245</v>
      </c>
      <c r="AD130" t="s">
        <v>1838</v>
      </c>
      <c r="AG130" t="s">
        <v>2246</v>
      </c>
      <c r="AH130">
        <v>2</v>
      </c>
      <c r="AJ130" t="s">
        <v>1840</v>
      </c>
      <c r="AK130" t="s">
        <v>2071</v>
      </c>
      <c r="AL130" t="s">
        <v>2246</v>
      </c>
      <c r="AM130" t="s">
        <v>1521</v>
      </c>
      <c r="AR130" t="s">
        <v>2247</v>
      </c>
      <c r="AW130" t="s">
        <v>1640</v>
      </c>
      <c r="AX130" t="s">
        <v>1640</v>
      </c>
      <c r="AY130" t="s">
        <v>1640</v>
      </c>
      <c r="AZ130" t="s">
        <v>1640</v>
      </c>
      <c r="BI130" t="s">
        <v>1655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1640</v>
      </c>
      <c r="BT130" t="s">
        <v>1640</v>
      </c>
      <c r="BU130" t="s">
        <v>1640</v>
      </c>
      <c r="BV130" t="s">
        <v>1640</v>
      </c>
      <c r="BW130" t="s">
        <v>1640</v>
      </c>
      <c r="BX130">
        <v>19200</v>
      </c>
    </row>
    <row r="131" spans="1:76">
      <c r="A131" t="s">
        <v>1844</v>
      </c>
      <c r="B131" t="s">
        <v>1656</v>
      </c>
      <c r="C131" t="s">
        <v>1656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1893</v>
      </c>
      <c r="H131" t="s">
        <v>2060</v>
      </c>
      <c r="M131" t="s">
        <v>1895</v>
      </c>
      <c r="N131" t="s">
        <v>1640</v>
      </c>
      <c r="O131" t="s">
        <v>1656</v>
      </c>
      <c r="P131" t="s">
        <v>1656</v>
      </c>
      <c r="U131" t="s">
        <v>2248</v>
      </c>
      <c r="BI131" t="s">
        <v>1655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1844</v>
      </c>
      <c r="B132" t="s">
        <v>1656</v>
      </c>
      <c r="C132" t="s">
        <v>1656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1893</v>
      </c>
      <c r="H132" t="s">
        <v>2060</v>
      </c>
      <c r="M132" t="s">
        <v>1895</v>
      </c>
      <c r="N132" t="s">
        <v>1640</v>
      </c>
      <c r="O132" t="s">
        <v>1656</v>
      </c>
      <c r="P132" t="s">
        <v>1656</v>
      </c>
      <c r="U132" t="s">
        <v>2249</v>
      </c>
      <c r="BI132" t="s">
        <v>1655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1844</v>
      </c>
      <c r="B133" t="s">
        <v>1656</v>
      </c>
      <c r="C133" t="s">
        <v>1656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1893</v>
      </c>
      <c r="H133" t="s">
        <v>2060</v>
      </c>
      <c r="M133" t="s">
        <v>1895</v>
      </c>
      <c r="N133" t="s">
        <v>1640</v>
      </c>
      <c r="O133" t="s">
        <v>1656</v>
      </c>
      <c r="P133" t="s">
        <v>1656</v>
      </c>
      <c r="U133" t="s">
        <v>2250</v>
      </c>
      <c r="BI133" t="s">
        <v>1655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1844</v>
      </c>
      <c r="B134" t="s">
        <v>1656</v>
      </c>
      <c r="C134" t="s">
        <v>1656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1893</v>
      </c>
      <c r="H134" t="s">
        <v>2060</v>
      </c>
      <c r="M134" t="s">
        <v>1895</v>
      </c>
      <c r="N134" t="s">
        <v>1640</v>
      </c>
      <c r="O134" t="s">
        <v>1656</v>
      </c>
      <c r="P134" t="s">
        <v>1656</v>
      </c>
      <c r="U134" t="s">
        <v>2251</v>
      </c>
      <c r="BI134" t="s">
        <v>1655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1844</v>
      </c>
      <c r="B135" t="s">
        <v>1656</v>
      </c>
      <c r="C135" t="s">
        <v>1656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1893</v>
      </c>
      <c r="H135" t="s">
        <v>2060</v>
      </c>
      <c r="M135" t="s">
        <v>1895</v>
      </c>
      <c r="N135" t="s">
        <v>1640</v>
      </c>
      <c r="O135" t="s">
        <v>1656</v>
      </c>
      <c r="P135" t="s">
        <v>1656</v>
      </c>
      <c r="U135" t="s">
        <v>2252</v>
      </c>
      <c r="BI135" t="s">
        <v>1655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1844</v>
      </c>
      <c r="B136" t="s">
        <v>1656</v>
      </c>
      <c r="C136" t="s">
        <v>1656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1893</v>
      </c>
      <c r="H136" t="s">
        <v>2060</v>
      </c>
      <c r="M136" t="s">
        <v>1895</v>
      </c>
      <c r="N136" t="s">
        <v>1640</v>
      </c>
      <c r="O136" t="s">
        <v>1656</v>
      </c>
      <c r="P136" t="s">
        <v>1656</v>
      </c>
      <c r="U136" t="s">
        <v>2253</v>
      </c>
      <c r="BI136" t="s">
        <v>1655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1844</v>
      </c>
      <c r="B137" t="s">
        <v>1656</v>
      </c>
      <c r="C137" t="s">
        <v>1656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1893</v>
      </c>
      <c r="H137" t="s">
        <v>2060</v>
      </c>
      <c r="M137" t="s">
        <v>1895</v>
      </c>
      <c r="N137" t="s">
        <v>1640</v>
      </c>
      <c r="O137" t="s">
        <v>1656</v>
      </c>
      <c r="P137" t="s">
        <v>1656</v>
      </c>
      <c r="U137" t="s">
        <v>2254</v>
      </c>
      <c r="BI137" t="s">
        <v>1655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1844</v>
      </c>
      <c r="B138" t="s">
        <v>1656</v>
      </c>
      <c r="C138" t="s">
        <v>1656</v>
      </c>
      <c r="E138" t="str">
        <f t="shared" si="19"/>
        <v>No</v>
      </c>
      <c r="F138" t="str">
        <f>IF($B138&lt;&gt;"Yes","",IF($A138="Neuron",IF(OR(AND($U138&lt;&gt;"",LOWER(TRIM($U138))&lt;&gt;"n/a",COUNTIFS($B$2:$B$532,"Yes",$A$2:$A$532,"Neuron",$V$2:$V$532,$U138)&gt;1),AND($W138&lt;&gt;"",LOWER(TRIM($W138))&lt;&gt;"n/a",COUNTIFS($B$2:$B$532,"Yes",$A$2:$A$532,"Neuron",$W$2:$W$532,$W138)&gt;1),AND($Z138&lt;&gt;"",LOWER(TRIM($Z138))&lt;&gt;"n/a",COUNTIFS($B$2:$B$532,"Yes",$A$2:$A$532,"Neuron",$Z$2:$Z$532,$Z138)&gt;1)),"Yes","No"),IF($A138="Cybernet",IF(OR(AND($AB138&lt;&gt;"",LOWER(TRIM($AB138))&lt;&gt;"n/a",COUNTIFS($B$2:$B$532,"Yes",$A$2:$A$532,"Cybernet",$AB$2:$AB$532,$AB138)&gt;1),AND($AC138&lt;&gt;"",LOWER(TRIM($AC138))&lt;&gt;"n/a",COUNTIFS($B$2:$B$532,"Yes",$A$2:$A$532,"Cybernet",$AC$2:$AC$532,$AC138)&gt;1)),"Yes","No"),IF(AND($AL138&lt;&gt;"",LOWER(TRIM($AL138))&lt;&gt;"n/a"),IF(COUNTIFS($B$2:$B$532,"Yes",$A$2:$A$532,$A138,$AL$2:$AL$532,$AL138)&gt;1,"Yes","No"),"No"))))</f>
        <v/>
      </c>
      <c r="G138" t="s">
        <v>2255</v>
      </c>
      <c r="H138" t="s">
        <v>2060</v>
      </c>
      <c r="M138" t="s">
        <v>1895</v>
      </c>
      <c r="U138" t="s">
        <v>2256</v>
      </c>
      <c r="BI138" t="s">
        <v>1655</v>
      </c>
      <c r="BL138" t="str">
        <f t="shared" si="21"/>
        <v/>
      </c>
      <c r="BM138" t="str">
        <f t="shared" si="22"/>
        <v/>
      </c>
    </row>
    <row r="139" spans="1:76">
      <c r="A139" t="s">
        <v>1844</v>
      </c>
      <c r="B139" t="s">
        <v>1656</v>
      </c>
      <c r="C139" t="s">
        <v>1656</v>
      </c>
      <c r="E139" t="str">
        <f>IF($A139="","",IF($A139="Neuron",IF(OR(AND($V139&lt;&gt;"",LOWER(TRIM($V139))&lt;&gt;"n/a",COUNTIF($V$2:$V$532,$V139)&gt;1),AND($W139&lt;&gt;"",LOWER(TRIM($W139))&lt;&gt;"n/a",COUNTIF($W$2:$W$532,$W139)&gt;1),AND($Z139&lt;&gt;"",LOWER(TRIM($Z139))&lt;&gt;"n/a",COUNTIF($Z$2:$Z$532,$Z139)&gt;1)),"Yes","No"),IF($A139="Cybernet",IF(OR(AND($AB139&lt;&gt;"",LOWER(TRIM($AB139))&lt;&gt;"n/a",COUNTIF($AB$2:$AB$532,$AB139)&gt;1),AND($AC139&lt;&gt;"",LOWER(TRIM($AC139))&lt;&gt;"n/a",COUNTIF($AC$2:$AC$532,$AC139)&gt;1)),"Yes","No"),IF(AND($AL139&lt;&gt;"",LOWER(TRIM($AL139))&lt;&gt;"n/a",COUNTIF($AL$2:$AL$532,$AL139)&gt;1),"Yes","No"))))</f>
        <v>No</v>
      </c>
      <c r="F139" t="str">
        <f>IF($B139&lt;&gt;"Yes","",IF($A139="Neuron",IF(OR(AND($V139&lt;&gt;"",LOWER(TRIM($V139))&lt;&gt;"n/a",COUNTIFS($B$2:$B$532,"Yes",$A$2:$A$532,"Neuron",$V$2:$V$532,$V139)&gt;1),AND($W139&lt;&gt;"",LOWER(TRIM($W139))&lt;&gt;"n/a",COUNTIFS($B$2:$B$532,"Yes",$A$2:$A$532,"Neuron",$W$2:$W$532,$W139)&gt;1),AND($Z139&lt;&gt;"",LOWER(TRIM($Z139))&lt;&gt;"n/a",COUNTIFS($B$2:$B$532,"Yes",$A$2:$A$532,"Neuron",$Z$2:$Z$532,$Z139)&gt;1)),"Yes","No"),IF($A139="Cybernet",IF(OR(AND($AB139&lt;&gt;"",LOWER(TRIM($AB139))&lt;&gt;"n/a",COUNTIFS($B$2:$B$532,"Yes",$A$2:$A$532,"Cybernet",$AB$2:$AB$532,$AB139)&gt;1),AND($AC139&lt;&gt;"",LOWER(TRIM($AC139))&lt;&gt;"n/a",COUNTIFS($B$2:$B$532,"Yes",$A$2:$A$532,"Cybernet",$AC$2:$AC$532,$AC139)&gt;1)),"Yes","No"),IF(AND($AL139&lt;&gt;"",LOWER(TRIM($AL139))&lt;&gt;"n/a"),IF(COUNTIFS($B$2:$B$532,"Yes",$A$2:$A$532,$A139,$AL$2:$AL$532,$AL139)&gt;1,"Yes","No"),"No"))))</f>
        <v/>
      </c>
      <c r="G139" t="s">
        <v>2255</v>
      </c>
      <c r="H139" t="s">
        <v>2060</v>
      </c>
      <c r="M139" t="s">
        <v>1895</v>
      </c>
      <c r="U139" t="s">
        <v>2257</v>
      </c>
      <c r="BI139" t="s">
        <v>1655</v>
      </c>
      <c r="BL139" t="str">
        <f t="shared" si="21"/>
        <v/>
      </c>
      <c r="BM139" t="str">
        <f t="shared" si="22"/>
        <v/>
      </c>
    </row>
    <row r="140" spans="1:76">
      <c r="A140" t="s">
        <v>1844</v>
      </c>
      <c r="B140" t="s">
        <v>1656</v>
      </c>
      <c r="C140" t="s">
        <v>1656</v>
      </c>
      <c r="E140" t="str">
        <f>IF($A140="","",IF($A140="Neuron",IF(OR(AND($V140&lt;&gt;"",LOWER(TRIM($V140))&lt;&gt;"n/a",COUNTIF($V$2:$V$532,$V140)&gt;1),AND($W140&lt;&gt;"",LOWER(TRIM($W140))&lt;&gt;"n/a",COUNTIF($W$2:$W$532,$W140)&gt;1),AND($Z140&lt;&gt;"",LOWER(TRIM($Z140))&lt;&gt;"n/a",COUNTIF($Z$2:$Z$532,$Z140)&gt;1)),"Yes","No"),IF($A140="Cybernet",IF(OR(AND($AB140&lt;&gt;"",LOWER(TRIM($AB140))&lt;&gt;"n/a",COUNTIF($AB$2:$AB$532,$AB140)&gt;1),AND($AC140&lt;&gt;"",LOWER(TRIM($AC140))&lt;&gt;"n/a",COUNTIF($AC$2:$AC$532,$AC140)&gt;1)),"Yes","No"),IF(AND($AL140&lt;&gt;"",LOWER(TRIM($AL140))&lt;&gt;"n/a",COUNTIF($AL$2:$AL$532,$AL140)&gt;1),"Yes","No"))))</f>
        <v>No</v>
      </c>
      <c r="F140" t="str">
        <f>IF($B140&lt;&gt;"Yes","",IF($A140="Neuron",IF(OR(AND($V140&lt;&gt;"",LOWER(TRIM($V140))&lt;&gt;"n/a",COUNTIFS($B$2:$B$532,"Yes",$A$2:$A$532,"Neuron",$V$2:$V$532,$V140)&gt;1),AND($W140&lt;&gt;"",LOWER(TRIM($W140))&lt;&gt;"n/a",COUNTIFS($B$2:$B$532,"Yes",$A$2:$A$532,"Neuron",$W$2:$W$532,$W140)&gt;1),AND($Z140&lt;&gt;"",LOWER(TRIM($Z140))&lt;&gt;"n/a",COUNTIFS($B$2:$B$532,"Yes",$A$2:$A$532,"Neuron",$Z$2:$Z$532,$Z140)&gt;1)),"Yes","No"),IF($A140="Cybernet",IF(OR(AND($AB140&lt;&gt;"",LOWER(TRIM($AB140))&lt;&gt;"n/a",COUNTIFS($B$2:$B$532,"Yes",$A$2:$A$532,"Cybernet",$AB$2:$AB$532,$AB140)&gt;1),AND($AC140&lt;&gt;"",LOWER(TRIM($AC140))&lt;&gt;"n/a",COUNTIFS($B$2:$B$532,"Yes",$A$2:$A$532,"Cybernet",$AC$2:$AC$532,$AC140)&gt;1)),"Yes","No"),IF(AND($AL140&lt;&gt;"",LOWER(TRIM($AL140))&lt;&gt;"n/a"),IF(COUNTIFS($B$2:$B$532,"Yes",$A$2:$A$532,$A140,$AL$2:$AL$532,$AL140)&gt;1,"Yes","No"),"No"))))</f>
        <v/>
      </c>
      <c r="G140" t="s">
        <v>2255</v>
      </c>
      <c r="H140" t="s">
        <v>2258</v>
      </c>
      <c r="M140" t="s">
        <v>1895</v>
      </c>
      <c r="U140" t="s">
        <v>2259</v>
      </c>
      <c r="AB140" t="s">
        <v>2260</v>
      </c>
      <c r="AC140" t="s">
        <v>2261</v>
      </c>
      <c r="BI140" t="s">
        <v>1655</v>
      </c>
      <c r="BL140" t="str">
        <f t="shared" si="21"/>
        <v/>
      </c>
      <c r="BM140" t="str">
        <f t="shared" si="22"/>
        <v/>
      </c>
    </row>
    <row r="141" spans="1:76">
      <c r="A141" t="s">
        <v>1844</v>
      </c>
      <c r="B141" t="s">
        <v>1640</v>
      </c>
      <c r="C141" t="s">
        <v>1656</v>
      </c>
      <c r="E141" t="str">
        <f>IF($A141="","",IF($A141="Neuron",IF(OR(AND($V141&lt;&gt;"",LOWER(TRIM($V141))&lt;&gt;"n/a",COUNTIF($V$2:$V$532,$V141)&gt;1),AND($W141&lt;&gt;"",LOWER(TRIM($W141))&lt;&gt;"n/a",COUNTIF($W$2:$W$532,$W141)&gt;1),AND($Z141&lt;&gt;"",LOWER(TRIM($Z141))&lt;&gt;"n/a",COUNTIF($Z$2:$Z$532,$Z141)&gt;1)),"Yes","No"),IF($A141="Cybernet",IF(OR(AND($AB141&lt;&gt;"",LOWER(TRIM($AB141))&lt;&gt;"n/a",COUNTIF($AB$2:$AB$532,$AB141)&gt;1),AND($AC141&lt;&gt;"",LOWER(TRIM($AC141))&lt;&gt;"n/a",COUNTIF($AC$2:$AC$532,$AC141)&gt;1)),"Yes","No"),IF(AND($AL141&lt;&gt;"",LOWER(TRIM($AL141))&lt;&gt;"n/a",COUNTIF($AL$2:$AL$532,$AL141)&gt;1),"Yes","No"))))</f>
        <v>No</v>
      </c>
      <c r="F141" t="str">
        <f>IF($B141&lt;&gt;"Yes","",IF($A141="Neuron",IF(OR(AND($V141&lt;&gt;"",LOWER(TRIM($V141))&lt;&gt;"n/a",COUNTIFS($B$2:$B$532,"Yes",$A$2:$A$532,"Neuron",$V$2:$V$532,$V141)&gt;1),AND($W141&lt;&gt;"",LOWER(TRIM($W141))&lt;&gt;"n/a",COUNTIFS($B$2:$B$532,"Yes",$A$2:$A$532,"Neuron",$W$2:$W$532,$W141)&gt;1),AND($Z141&lt;&gt;"",LOWER(TRIM($Z141))&lt;&gt;"n/a",COUNTIFS($B$2:$B$532,"Yes",$A$2:$A$532,"Neuron",$Z$2:$Z$532,$Z141)&gt;1)),"Yes","No"),IF($A141="Cybernet",IF(OR(AND($AB141&lt;&gt;"",LOWER(TRIM($AB141))&lt;&gt;"n/a",COUNTIFS($B$2:$B$532,"Yes",$A$2:$A$532,"Cybernet",$AB$2:$AB$532,$AB141)&gt;1),AND($AC141&lt;&gt;"",LOWER(TRIM($AC141))&lt;&gt;"n/a",COUNTIFS($B$2:$B$532,"Yes",$A$2:$A$532,"Cybernet",$AC$2:$AC$532,$AC141)&gt;1)),"Yes","No"),IF(AND($AL141&lt;&gt;"",LOWER(TRIM($AL141))&lt;&gt;"n/a"),IF(COUNTIFS($B$2:$B$532,"Yes",$A$2:$A$532,$A141,$AL$2:$AL$532,$AL141)&gt;1,"Yes","No"),"No"))))</f>
        <v>No</v>
      </c>
      <c r="G141" t="s">
        <v>2255</v>
      </c>
      <c r="H141" t="s">
        <v>2258</v>
      </c>
      <c r="M141" t="s">
        <v>1895</v>
      </c>
      <c r="U141" t="s">
        <v>2262</v>
      </c>
      <c r="AB141" t="s">
        <v>2263</v>
      </c>
      <c r="AC141" t="s">
        <v>2264</v>
      </c>
      <c r="BI141" t="s">
        <v>1655</v>
      </c>
      <c r="BL141" t="str">
        <f t="shared" si="21"/>
        <v/>
      </c>
      <c r="BM141" t="str">
        <f t="shared" si="22"/>
        <v/>
      </c>
    </row>
    <row r="142" spans="1:76">
      <c r="A142" t="s">
        <v>1844</v>
      </c>
      <c r="B142" t="s">
        <v>1656</v>
      </c>
      <c r="C142" t="s">
        <v>1656</v>
      </c>
      <c r="E142" t="str">
        <f>IF($A142="","",IF($A142="Neuron",IF(OR(AND($V142&lt;&gt;"",LOWER(TRIM($V142))&lt;&gt;"n/a",COUNTIF($V$2:$V$532,$V142)&gt;1),AND($W142&lt;&gt;"",LOWER(TRIM($W142))&lt;&gt;"n/a",COUNTIF($W$2:$W$532,$W142)&gt;1),AND($Z142&lt;&gt;"",LOWER(TRIM($Z142))&lt;&gt;"n/a",COUNTIF($Z$2:$Z$532,$Z142)&gt;1)),"Yes","No"),IF($A142="Cybernet",IF(OR(AND($AB142&lt;&gt;"",LOWER(TRIM($AB142))&lt;&gt;"n/a",COUNTIF($AB$2:$AB$532,$AB142)&gt;1),AND($AC142&lt;&gt;"",LOWER(TRIM($AC142))&lt;&gt;"n/a",COUNTIF($AC$2:$AC$532,$AC142)&gt;1)),"Yes","No"),IF(AND($AL142&lt;&gt;"",LOWER(TRIM($AL142))&lt;&gt;"n/a",COUNTIF($AL$2:$AL$532,$AL142)&gt;1),"Yes","No"))))</f>
        <v>No</v>
      </c>
      <c r="F142" t="str">
        <f>IF($B142&lt;&gt;"Yes","",IF($A142="Neuron",IF(OR(AND($V142&lt;&gt;"",LOWER(TRIM($V142))&lt;&gt;"n/a",COUNTIFS($B$2:$B$532,"Yes",$A$2:$A$532,"Neuron",$V$2:$V$532,$V142)&gt;1),AND($W142&lt;&gt;"",LOWER(TRIM($W142))&lt;&gt;"n/a",COUNTIFS($B$2:$B$532,"Yes",$A$2:$A$532,"Neuron",$W$2:$W$532,$W142)&gt;1),AND($Z142&lt;&gt;"",LOWER(TRIM($Z142))&lt;&gt;"n/a",COUNTIFS($B$2:$B$532,"Yes",$A$2:$A$532,"Neuron",$Z$2:$Z$532,$Z142)&gt;1)),"Yes","No"),IF($A142="Cybernet",IF(OR(AND($AB142&lt;&gt;"",LOWER(TRIM($AB142))&lt;&gt;"n/a",COUNTIFS($B$2:$B$532,"Yes",$A$2:$A$532,"Cybernet",$AB$2:$AB$532,$AB142)&gt;1),AND($AC142&lt;&gt;"",LOWER(TRIM($AC142))&lt;&gt;"n/a",COUNTIFS($B$2:$B$532,"Yes",$A$2:$A$532,"Cybernet",$AC$2:$AC$532,$AC142)&gt;1)),"Yes","No"),IF(AND($AL142&lt;&gt;"",LOWER(TRIM($AL142))&lt;&gt;"n/a"),IF(COUNTIFS($B$2:$B$532,"Yes",$A$2:$A$532,$A142,$AL$2:$AL$532,$AL142)&gt;1,"Yes","No"),"No"))))</f>
        <v/>
      </c>
      <c r="G142" t="s">
        <v>2255</v>
      </c>
      <c r="H142" t="s">
        <v>2258</v>
      </c>
      <c r="M142" t="s">
        <v>1895</v>
      </c>
      <c r="U142" t="s">
        <v>2265</v>
      </c>
      <c r="AB142" t="s">
        <v>2266</v>
      </c>
      <c r="AC142" t="s">
        <v>2267</v>
      </c>
      <c r="BI142" t="s">
        <v>1655</v>
      </c>
      <c r="BL142" t="str">
        <f t="shared" si="21"/>
        <v/>
      </c>
      <c r="BM142" t="str">
        <f t="shared" si="22"/>
        <v/>
      </c>
    </row>
    <row r="143" spans="1:76">
      <c r="A143" t="s">
        <v>2268</v>
      </c>
      <c r="B143" t="s">
        <v>1640</v>
      </c>
      <c r="C143" t="s">
        <v>1640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U143&lt;&gt;"",LOWER(TRIM($U143))&lt;&gt;"n/a",COUNTIF($V$2:$V$532,$U143)&gt;1),AND($W143&lt;&gt;"",LOWER(TRIM($W143))&lt;&gt;"n/a",COUNTIF($W$2:$W$532,$W143)&gt;1),AND($Z143&lt;&gt;"",LOWER(TRIM($Z143))&lt;&gt;"n/a",COUNTIF($Z$2:$Z$532,$Z143)&gt;1)),"Yes","No"),IF($A143="Cybernet",IF(OR(AND($AB143&lt;&gt;"",LOWER(TRIM($AB143))&lt;&gt;"n/a",COUNTIF($AB$2:$AB$532,$AB143)&gt;1),AND($AC143&lt;&gt;"",LOWER(TRIM($AC143))&lt;&gt;"n/a",COUNTIF($AC$2:$AC$532,$AC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AND($U143&lt;&gt;"",LOWER(TRIM($U143))&lt;&gt;"n/a",COUNTIFS($B$2:$B$532,"Yes",$A$2:$A$532,"Neuron",$V$2:$V$532,$U143)&gt;1),
AND($W143&lt;&gt;"",LOWER(TRIM($W143))&lt;&gt;"n/a",COUNTIFS($B$2:$B$532,"Yes",$A$2:$A$532,"Neuron",$W$2:$W$532,$W143)&gt;1),
AND($Z143&lt;&gt;"",LOWER(TRIM($Z143))&lt;&gt;"n/a",COUNTIFS($B$2:$B$532,"Yes",$A$2:$A$532,"Neuron",$Z$2:$Z$532,$Z143)&gt;1)
),"Yes","No"),
IF($A143="Cybernet",
IF(OR(
AND($AB143&lt;&gt;"",LOWER(TRIM($AB143))&lt;&gt;"n/a",COUNTIFS($B$2:$B$532,"Yes",$A$2:$A$532,"Cybernet",$AB$2:$AB$532,$AB143)&gt;1),
AND($AC143&lt;&gt;"",LOWER(TRIM($AC143))&lt;&gt;"n/a",COUNTIFS($B$2:$B$532,"Yes",$A$2:$A$532,"Cybernet",$AC$2:$AC$532,$AC143)&gt;1)
),"Yes","No"),
IF(AND($AL143&lt;&gt;"",LOWER(TRIM($AL143))&lt;&gt;"n/a"),
IF(COUNTIFS($B$2:$B$532,"Yes",$A$2:$A$532,$A143,$AL$2:$AL$532,$AL143)&gt;1,"Yes","No"),
"No")
)
)
)</f>
        <v>No</v>
      </c>
      <c r="G143" t="s">
        <v>2269</v>
      </c>
      <c r="H143" t="s">
        <v>2269</v>
      </c>
      <c r="U143" t="s">
        <v>2270</v>
      </c>
      <c r="W143" t="s">
        <v>2271</v>
      </c>
      <c r="Z143" t="s">
        <v>2272</v>
      </c>
      <c r="AA143" t="s">
        <v>2269</v>
      </c>
      <c r="AB143" t="s">
        <v>2273</v>
      </c>
      <c r="AC143" t="s">
        <v>2274</v>
      </c>
      <c r="AD143" t="s">
        <v>1838</v>
      </c>
      <c r="AG143" t="s">
        <v>2275</v>
      </c>
      <c r="AH143">
        <v>1</v>
      </c>
      <c r="AJ143" t="s">
        <v>2276</v>
      </c>
      <c r="AM143" t="s">
        <v>1511</v>
      </c>
      <c r="AR143" t="s">
        <v>2277</v>
      </c>
      <c r="AS143" t="s">
        <v>2278</v>
      </c>
      <c r="AY143" t="s">
        <v>1640</v>
      </c>
      <c r="AZ143" t="s">
        <v>1640</v>
      </c>
      <c r="BB143" t="s">
        <v>1640</v>
      </c>
      <c r="BC143" t="s">
        <v>2279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1640</v>
      </c>
      <c r="BT143" t="s">
        <v>1640</v>
      </c>
      <c r="BU143" t="s">
        <v>1640</v>
      </c>
      <c r="BV143" t="s">
        <v>1640</v>
      </c>
    </row>
    <row r="144" spans="1:76">
      <c r="A144" t="s">
        <v>2268</v>
      </c>
      <c r="B144" t="s">
        <v>1640</v>
      </c>
      <c r="C144" t="s">
        <v>1640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2269</v>
      </c>
      <c r="H144" t="s">
        <v>2269</v>
      </c>
      <c r="U144" t="s">
        <v>2280</v>
      </c>
      <c r="W144" t="s">
        <v>2281</v>
      </c>
      <c r="Z144" t="s">
        <v>2282</v>
      </c>
      <c r="AB144" t="s">
        <v>2283</v>
      </c>
      <c r="AC144" t="s">
        <v>1648</v>
      </c>
      <c r="AD144" t="s">
        <v>1838</v>
      </c>
      <c r="AG144" t="s">
        <v>2275</v>
      </c>
      <c r="AH144">
        <v>1</v>
      </c>
      <c r="AJ144" t="s">
        <v>2284</v>
      </c>
      <c r="AR144" t="s">
        <v>1545</v>
      </c>
      <c r="AS144" t="s">
        <v>2285</v>
      </c>
      <c r="AY144" t="s">
        <v>1640</v>
      </c>
      <c r="AZ144" t="s">
        <v>1640</v>
      </c>
      <c r="BB144" t="s">
        <v>1640</v>
      </c>
      <c r="BC144" t="s">
        <v>2279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1640</v>
      </c>
      <c r="BT144" t="s">
        <v>1640</v>
      </c>
      <c r="BU144" t="s">
        <v>1640</v>
      </c>
      <c r="BV144" t="s">
        <v>1640</v>
      </c>
    </row>
    <row r="145" spans="1:75">
      <c r="A145" t="s">
        <v>2268</v>
      </c>
      <c r="B145" t="s">
        <v>1640</v>
      </c>
      <c r="C145" t="s">
        <v>1640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2269</v>
      </c>
      <c r="H145" t="s">
        <v>2269</v>
      </c>
      <c r="U145" t="s">
        <v>2286</v>
      </c>
      <c r="W145" t="s">
        <v>2287</v>
      </c>
      <c r="Z145" t="s">
        <v>2288</v>
      </c>
      <c r="AB145" t="s">
        <v>2289</v>
      </c>
      <c r="AC145" t="s">
        <v>2290</v>
      </c>
      <c r="AD145" t="s">
        <v>1838</v>
      </c>
      <c r="AG145" t="s">
        <v>2275</v>
      </c>
      <c r="AH145">
        <v>1</v>
      </c>
      <c r="AJ145" t="s">
        <v>2284</v>
      </c>
      <c r="AR145" t="s">
        <v>1545</v>
      </c>
      <c r="AS145" t="s">
        <v>2291</v>
      </c>
      <c r="AY145" t="s">
        <v>1640</v>
      </c>
      <c r="AZ145" t="s">
        <v>1656</v>
      </c>
      <c r="BB145" t="s">
        <v>1640</v>
      </c>
      <c r="BC145" t="s">
        <v>2292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1640</v>
      </c>
      <c r="BT145" t="s">
        <v>1640</v>
      </c>
      <c r="BU145" t="s">
        <v>1640</v>
      </c>
      <c r="BV145" t="s">
        <v>1640</v>
      </c>
    </row>
    <row r="146" spans="1:75">
      <c r="A146" t="s">
        <v>2268</v>
      </c>
      <c r="B146" t="s">
        <v>1640</v>
      </c>
      <c r="C146" t="s">
        <v>1640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2269</v>
      </c>
      <c r="H146" t="s">
        <v>2269</v>
      </c>
      <c r="U146" t="s">
        <v>2293</v>
      </c>
      <c r="W146" t="s">
        <v>2294</v>
      </c>
      <c r="Z146" t="s">
        <v>2295</v>
      </c>
      <c r="AB146" t="s">
        <v>2296</v>
      </c>
      <c r="AC146" t="s">
        <v>2290</v>
      </c>
      <c r="AD146" t="s">
        <v>1838</v>
      </c>
      <c r="AG146" t="s">
        <v>2275</v>
      </c>
      <c r="AH146">
        <v>1</v>
      </c>
      <c r="AJ146" t="s">
        <v>2297</v>
      </c>
      <c r="AR146" t="s">
        <v>1545</v>
      </c>
      <c r="AS146" t="s">
        <v>2298</v>
      </c>
      <c r="AY146" t="s">
        <v>1640</v>
      </c>
      <c r="AZ146" t="s">
        <v>1656</v>
      </c>
      <c r="BB146" t="s">
        <v>1640</v>
      </c>
      <c r="BC146" t="s">
        <v>2299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1640</v>
      </c>
      <c r="BT146" t="s">
        <v>1640</v>
      </c>
      <c r="BU146" t="s">
        <v>1640</v>
      </c>
      <c r="BV146" t="s">
        <v>1640</v>
      </c>
    </row>
    <row r="147" spans="1:75">
      <c r="A147" t="s">
        <v>2268</v>
      </c>
      <c r="B147" t="s">
        <v>1640</v>
      </c>
      <c r="C147" t="s">
        <v>1640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2269</v>
      </c>
      <c r="H147" t="s">
        <v>2269</v>
      </c>
      <c r="U147" t="s">
        <v>2300</v>
      </c>
      <c r="W147" t="s">
        <v>2301</v>
      </c>
      <c r="Z147" t="s">
        <v>2302</v>
      </c>
      <c r="AB147" t="s">
        <v>2303</v>
      </c>
      <c r="AD147" t="s">
        <v>1838</v>
      </c>
      <c r="AG147" t="s">
        <v>2275</v>
      </c>
      <c r="AH147">
        <v>1</v>
      </c>
      <c r="AJ147" t="s">
        <v>2297</v>
      </c>
      <c r="AR147" t="s">
        <v>1545</v>
      </c>
      <c r="AS147" t="s">
        <v>2285</v>
      </c>
      <c r="AY147" t="s">
        <v>1640</v>
      </c>
      <c r="AZ147" t="s">
        <v>1640</v>
      </c>
      <c r="BB147" t="s">
        <v>1640</v>
      </c>
      <c r="BC147" t="s">
        <v>2304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1640</v>
      </c>
      <c r="BT147" t="s">
        <v>1640</v>
      </c>
      <c r="BU147" t="s">
        <v>1640</v>
      </c>
      <c r="BV147" t="s">
        <v>1640</v>
      </c>
    </row>
    <row r="148" spans="1:75">
      <c r="A148" t="s">
        <v>2268</v>
      </c>
      <c r="B148" t="s">
        <v>1640</v>
      </c>
      <c r="C148" t="s">
        <v>1640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2269</v>
      </c>
      <c r="H148" t="s">
        <v>2269</v>
      </c>
      <c r="U148" t="s">
        <v>2305</v>
      </c>
      <c r="W148" t="s">
        <v>2306</v>
      </c>
      <c r="Z148" t="s">
        <v>2307</v>
      </c>
      <c r="AB148" t="s">
        <v>2308</v>
      </c>
      <c r="AD148" t="s">
        <v>1838</v>
      </c>
      <c r="AG148" t="s">
        <v>2275</v>
      </c>
      <c r="AH148">
        <v>1</v>
      </c>
      <c r="AJ148" t="s">
        <v>2309</v>
      </c>
      <c r="AR148" t="s">
        <v>2310</v>
      </c>
      <c r="AS148" t="s">
        <v>2285</v>
      </c>
      <c r="AY148" t="s">
        <v>1640</v>
      </c>
      <c r="AZ148" t="s">
        <v>1640</v>
      </c>
      <c r="BB148" t="s">
        <v>1640</v>
      </c>
      <c r="BC148" t="s">
        <v>2311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1640</v>
      </c>
      <c r="BT148" t="s">
        <v>1640</v>
      </c>
      <c r="BU148" t="s">
        <v>1640</v>
      </c>
      <c r="BV148" t="s">
        <v>1640</v>
      </c>
    </row>
    <row r="149" spans="1:75">
      <c r="A149" t="s">
        <v>2268</v>
      </c>
      <c r="B149" t="s">
        <v>1640</v>
      </c>
      <c r="C149" t="s">
        <v>1640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2269</v>
      </c>
      <c r="H149" t="s">
        <v>2269</v>
      </c>
      <c r="U149" t="s">
        <v>2312</v>
      </c>
      <c r="W149" t="s">
        <v>2313</v>
      </c>
      <c r="Z149" t="s">
        <v>2314</v>
      </c>
      <c r="AB149" t="s">
        <v>2315</v>
      </c>
      <c r="AD149" t="s">
        <v>1838</v>
      </c>
      <c r="AG149" t="s">
        <v>2275</v>
      </c>
      <c r="AH149">
        <v>1</v>
      </c>
      <c r="AJ149" t="s">
        <v>2284</v>
      </c>
      <c r="AR149" t="s">
        <v>2310</v>
      </c>
      <c r="AS149" t="s">
        <v>2316</v>
      </c>
      <c r="AY149" t="s">
        <v>1640</v>
      </c>
      <c r="AZ149" t="s">
        <v>1640</v>
      </c>
      <c r="BB149" t="s">
        <v>1640</v>
      </c>
      <c r="BC149" t="s">
        <v>2304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1640</v>
      </c>
      <c r="BT149" t="s">
        <v>1640</v>
      </c>
      <c r="BU149" t="s">
        <v>1640</v>
      </c>
      <c r="BV149" t="s">
        <v>1640</v>
      </c>
    </row>
    <row r="150" spans="1:75">
      <c r="A150" t="s">
        <v>2268</v>
      </c>
      <c r="B150" t="s">
        <v>1656</v>
      </c>
      <c r="C150" t="s">
        <v>1656</v>
      </c>
      <c r="D150" t="str">
        <f t="shared" si="24"/>
        <v/>
      </c>
      <c r="E150" t="str">
        <f>IF($A150="","",IF($A150="Neuron",IF(OR(AND($V150&lt;&gt;"",LOWER(TRIM($V150))&lt;&gt;"n/a",COUNTIF($V$2:$V$532,$V150)&gt;1),AND($W150&lt;&gt;"",LOWER(TRIM($W150))&lt;&gt;"n/a",COUNTIF($W$2:$W$532,$W150)&gt;1),AND($Z150&lt;&gt;"",LOWER(TRIM($Z150))&lt;&gt;"n/a",COUNTIF($Z$2:$Z$532,$Z150)&gt;1)),"Yes","No"),IF($A150="Cybernet",IF(OR(AND($AB150&lt;&gt;"",LOWER(TRIM($AB150))&lt;&gt;"n/a",COUNTIF($AB$2:$AB$532,$AB150)&gt;1),AND($AC150&lt;&gt;"",LOWER(TRIM($AC150))&lt;&gt;"n/a",COUNTIF($AC$2:$AC$532,$AC150)&gt;1)),"Yes","No"),IF(AND($AL150&lt;&gt;"",LOWER(TRIM($AL150))&lt;&gt;"n/a",COUNTIF($AL$2:$AL$532,$AL150)&gt;1),"Yes","No"))))</f>
        <v>No</v>
      </c>
      <c r="F150" t="str">
        <f>IF($B150&lt;&gt;"Yes","",
IF($A150="Neuron",
IF(OR(
AND($V150&lt;&gt;"",LOWER(TRIM($V150))&lt;&gt;"n/a",COUNTIFS($B$2:$B$532,"Yes",$A$2:$A$532,"Neuron",$V$2:$V$532,$V150)&gt;1),
AND($W150&lt;&gt;"",LOWER(TRIM($W150))&lt;&gt;"n/a",COUNTIFS($B$2:$B$532,"Yes",$A$2:$A$532,"Neuron",$W$2:$W$532,$W150)&gt;1),
AND($Z150&lt;&gt;"",LOWER(TRIM($Z150))&lt;&gt;"n/a",COUNTIFS($B$2:$B$532,"Yes",$A$2:$A$532,"Neuron",$Z$2:$Z$532,$Z150)&gt;1)
),"Yes","No"),
IF($A150="Cybernet",
IF(OR(
AND($AB150&lt;&gt;"",LOWER(TRIM($AB150))&lt;&gt;"n/a",COUNTIFS($B$2:$B$532,"Yes",$A$2:$A$532,"Cybernet",$AB$2:$AB$532,$AB150)&gt;1),
AND($AC150&lt;&gt;"",LOWER(TRIM($AC150))&lt;&gt;"n/a",COUNTIFS($B$2:$B$532,"Yes",$A$2:$A$532,"Cybernet",$AC$2:$AC$532,$AC150)&gt;1)
),"Yes","No"),
IF(AND($AL150&lt;&gt;"",LOWER(TRIM($AL150))&lt;&gt;"n/a"),
IF(COUNTIFS($B$2:$B$532,"Yes",$A$2:$A$532,$A150,$AL$2:$AL$532,$AL150)&gt;1,"Yes","No"),
"No")
)
)
)</f>
        <v/>
      </c>
      <c r="G150" t="s">
        <v>2269</v>
      </c>
      <c r="H150" t="s">
        <v>2269</v>
      </c>
      <c r="AD150" t="s">
        <v>1838</v>
      </c>
      <c r="AG150" t="s">
        <v>2275</v>
      </c>
      <c r="AH150">
        <v>1</v>
      </c>
      <c r="AY150" t="s">
        <v>1656</v>
      </c>
      <c r="AZ150" t="s">
        <v>1640</v>
      </c>
      <c r="BB150" t="s">
        <v>1640</v>
      </c>
      <c r="BC150" t="s">
        <v>2317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1640</v>
      </c>
      <c r="BT150" t="s">
        <v>1640</v>
      </c>
      <c r="BU150" t="s">
        <v>1640</v>
      </c>
      <c r="BV150" t="s">
        <v>1640</v>
      </c>
    </row>
    <row r="151" spans="1:75">
      <c r="A151" t="s">
        <v>2268</v>
      </c>
      <c r="B151" t="s">
        <v>1656</v>
      </c>
      <c r="C151" t="s">
        <v>1656</v>
      </c>
      <c r="D151" t="str">
        <f t="shared" si="24"/>
        <v/>
      </c>
      <c r="E151" t="str">
        <f>IF($A151="","",IF($A151="Neuron",IF(OR(AND($V151&lt;&gt;"",LOWER(TRIM($V151))&lt;&gt;"n/a",COUNTIF($V$2:$V$532,$V151)&gt;1),AND($W151&lt;&gt;"",LOWER(TRIM($W151))&lt;&gt;"n/a",COUNTIF($W$2:$W$532,$W151)&gt;1),AND($Z151&lt;&gt;"",LOWER(TRIM($Z151))&lt;&gt;"n/a",COUNTIF($Z$2:$Z$532,$Z151)&gt;1)),"Yes","No"),IF($A151="Cybernet",IF(OR(AND($AB151&lt;&gt;"",LOWER(TRIM($AB151))&lt;&gt;"n/a",COUNTIF($AB$2:$AB$532,$AB151)&gt;1),AND($AC151&lt;&gt;"",LOWER(TRIM($AC151))&lt;&gt;"n/a",COUNTIF($AC$2:$AC$532,$AC151)&gt;1)),"Yes","No"),IF(AND($AL151&lt;&gt;"",LOWER(TRIM($AL151))&lt;&gt;"n/a",COUNTIF($AL$2:$AL$532,$AL151)&gt;1),"Yes","No"))))</f>
        <v>No</v>
      </c>
      <c r="F151" t="str">
        <f>IF($B151&lt;&gt;"Yes","",
IF($A151="Neuron",
IF(OR(
AND($V151&lt;&gt;"",LOWER(TRIM($V151))&lt;&gt;"n/a",COUNTIFS($B$2:$B$532,"Yes",$A$2:$A$532,"Neuron",$V$2:$V$532,$V151)&gt;1),
AND($W151&lt;&gt;"",LOWER(TRIM($W151))&lt;&gt;"n/a",COUNTIFS($B$2:$B$532,"Yes",$A$2:$A$532,"Neuron",$W$2:$W$532,$W151)&gt;1),
AND($Z151&lt;&gt;"",LOWER(TRIM($Z151))&lt;&gt;"n/a",COUNTIFS($B$2:$B$532,"Yes",$A$2:$A$532,"Neuron",$Z$2:$Z$532,$Z151)&gt;1)
),"Yes","No"),
IF($A151="Cybernet",
IF(OR(
AND($AB151&lt;&gt;"",LOWER(TRIM($AB151))&lt;&gt;"n/a",COUNTIFS($B$2:$B$532,"Yes",$A$2:$A$532,"Cybernet",$AB$2:$AB$532,$AB151)&gt;1),
AND($AC151&lt;&gt;"",LOWER(TRIM($AC151))&lt;&gt;"n/a",COUNTIFS($B$2:$B$532,"Yes",$A$2:$A$532,"Cybernet",$AC$2:$AC$532,$AC151)&gt;1)
),"Yes","No"),
IF(AND($AL151&lt;&gt;"",LOWER(TRIM($AL151))&lt;&gt;"n/a"),
IF(COUNTIFS($B$2:$B$532,"Yes",$A$2:$A$532,$A151,$AL$2:$AL$532,$AL151)&gt;1,"Yes","No"),
"No")
)
)
)</f>
        <v/>
      </c>
      <c r="G151" t="s">
        <v>2269</v>
      </c>
      <c r="H151" t="s">
        <v>2269</v>
      </c>
      <c r="AD151" t="s">
        <v>1838</v>
      </c>
      <c r="AG151" t="s">
        <v>2275</v>
      </c>
      <c r="AH151">
        <v>1</v>
      </c>
      <c r="AY151" t="s">
        <v>1656</v>
      </c>
      <c r="AZ151" t="s">
        <v>1640</v>
      </c>
      <c r="BB151" t="s">
        <v>1640</v>
      </c>
      <c r="BC151" t="s">
        <v>2317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1640</v>
      </c>
      <c r="BT151" t="s">
        <v>1640</v>
      </c>
      <c r="BU151" t="s">
        <v>1640</v>
      </c>
      <c r="BV151" t="s">
        <v>1640</v>
      </c>
    </row>
    <row r="152" spans="1:75">
      <c r="A152" t="s">
        <v>2268</v>
      </c>
      <c r="B152" t="s">
        <v>1656</v>
      </c>
      <c r="C152" t="s">
        <v>1656</v>
      </c>
      <c r="D152" t="str">
        <f t="shared" si="24"/>
        <v/>
      </c>
      <c r="E152" t="str">
        <f>IF($A152="","",IF($A152="Neuron",IF(OR(AND($V152&lt;&gt;"",LOWER(TRIM($V152))&lt;&gt;"n/a",COUNTIF($V$2:$V$532,$V152)&gt;1),AND($W152&lt;&gt;"",LOWER(TRIM($W152))&lt;&gt;"n/a",COUNTIF($W$2:$W$532,$W152)&gt;1),AND($Z152&lt;&gt;"",LOWER(TRIM($Z152))&lt;&gt;"n/a",COUNTIF($Z$2:$Z$532,$Z152)&gt;1)),"Yes","No"),IF($A152="Cybernet",IF(OR(AND($AB152&lt;&gt;"",LOWER(TRIM($AB152))&lt;&gt;"n/a",COUNTIF($AB$2:$AB$532,$AB152)&gt;1),AND($AC152&lt;&gt;"",LOWER(TRIM($AC152))&lt;&gt;"n/a",COUNTIF($AC$2:$AC$532,$AC152)&gt;1)),"Yes","No"),IF(AND($AL152&lt;&gt;"",LOWER(TRIM($AL152))&lt;&gt;"n/a",COUNTIF($AL$2:$AL$532,$AL152)&gt;1),"Yes","No"))))</f>
        <v>No</v>
      </c>
      <c r="F152" t="str">
        <f>IF($B152&lt;&gt;"Yes","",
IF($A152="Neuron",
IF(OR(
AND($V152&lt;&gt;"",LOWER(TRIM($V152))&lt;&gt;"n/a",COUNTIFS($B$2:$B$532,"Yes",$A$2:$A$532,"Neuron",$V$2:$V$532,$V152)&gt;1),
AND($W152&lt;&gt;"",LOWER(TRIM($W152))&lt;&gt;"n/a",COUNTIFS($B$2:$B$532,"Yes",$A$2:$A$532,"Neuron",$W$2:$W$532,$W152)&gt;1),
AND($Z152&lt;&gt;"",LOWER(TRIM($Z152))&lt;&gt;"n/a",COUNTIFS($B$2:$B$532,"Yes",$A$2:$A$532,"Neuron",$Z$2:$Z$532,$Z152)&gt;1)
),"Yes","No"),
IF($A152="Cybernet",
IF(OR(
AND($AB152&lt;&gt;"",LOWER(TRIM($AB152))&lt;&gt;"n/a",COUNTIFS($B$2:$B$532,"Yes",$A$2:$A$532,"Cybernet",$AB$2:$AB$532,$AB152)&gt;1),
AND($AC152&lt;&gt;"",LOWER(TRIM($AC152))&lt;&gt;"n/a",COUNTIFS($B$2:$B$532,"Yes",$A$2:$A$532,"Cybernet",$AC$2:$AC$532,$AC152)&gt;1)
),"Yes","No"),
IF(AND($AL152&lt;&gt;"",LOWER(TRIM($AL152))&lt;&gt;"n/a"),
IF(COUNTIFS($B$2:$B$532,"Yes",$A$2:$A$532,$A152,$AL$2:$AL$532,$AL152)&gt;1,"Yes","No"),
"No")
)
)
)</f>
        <v/>
      </c>
      <c r="G152" t="s">
        <v>2269</v>
      </c>
      <c r="H152" t="s">
        <v>2269</v>
      </c>
      <c r="AD152" t="s">
        <v>1838</v>
      </c>
      <c r="AG152" t="s">
        <v>2275</v>
      </c>
      <c r="AH152">
        <v>1</v>
      </c>
      <c r="AY152" t="s">
        <v>1656</v>
      </c>
      <c r="AZ152" t="s">
        <v>1640</v>
      </c>
      <c r="BB152" t="s">
        <v>1640</v>
      </c>
      <c r="BC152" t="s">
        <v>2317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1640</v>
      </c>
      <c r="BT152" t="s">
        <v>1640</v>
      </c>
      <c r="BU152" t="s">
        <v>1640</v>
      </c>
      <c r="BV152" t="s">
        <v>1640</v>
      </c>
    </row>
    <row r="153" spans="1:75">
      <c r="A153" t="s">
        <v>1844</v>
      </c>
      <c r="B153" t="s">
        <v>1640</v>
      </c>
      <c r="C153" t="s">
        <v>1640</v>
      </c>
      <c r="D153" t="str">
        <f t="shared" si="24"/>
        <v>No</v>
      </c>
      <c r="E153" t="str">
        <f>IF($A153="","",IF($A153="Neuron",IF(OR(AND($V153&lt;&gt;"",LOWER(TRIM($V153))&lt;&gt;"n/a",COUNTIF($V$2:$V$532,$V153)&gt;1),AND($W153&lt;&gt;"",LOWER(TRIM($W153))&lt;&gt;"n/a",COUNTIF($W$2:$W$532,$W153)&gt;1),AND($Z153&lt;&gt;"",LOWER(TRIM($Z153))&lt;&gt;"n/a",COUNTIF($Z$2:$Z$532,$Z153)&gt;1)),"Yes","No"),IF($A153="Cybernet",IF(OR(AND($AB153&lt;&gt;"",LOWER(TRIM($AB153))&lt;&gt;"n/a",COUNTIF($AB$2:$AB$532,$AB153)&gt;1),AND($AC153&lt;&gt;"",LOWER(TRIM($AC153))&lt;&gt;"n/a",COUNTIF($AC$2:$AC$532,$AC153)&gt;1)),"Yes","No"),IF(AND($AL153&lt;&gt;"",LOWER(TRIM($AL153))&lt;&gt;"n/a",COUNTIF($AL$2:$AL$532,$AL153)&gt;1),"Yes","No"))))</f>
        <v>No</v>
      </c>
      <c r="F153" t="str">
        <f>IF($B153&lt;&gt;"Yes","",
IF($A153="Neuron",
IF(OR(
AND($V153&lt;&gt;"",LOWER(TRIM($V153))&lt;&gt;"n/a",COUNTIFS($B$2:$B$532,"Yes",$A$2:$A$532,"Neuron",$V$2:$V$532,$V153)&gt;1),
AND($W153&lt;&gt;"",LOWER(TRIM($W153))&lt;&gt;"n/a",COUNTIFS($B$2:$B$532,"Yes",$A$2:$A$532,"Neuron",$W$2:$W$532,$W153)&gt;1),
AND($Z153&lt;&gt;"",LOWER(TRIM($Z153))&lt;&gt;"n/a",COUNTIFS($B$2:$B$532,"Yes",$A$2:$A$532,"Neuron",$Z$2:$Z$532,$Z153)&gt;1)
),"Yes","No"),
IF($A153="Cybernet",
IF(OR(
AND($AB153&lt;&gt;"",LOWER(TRIM($AB153))&lt;&gt;"n/a",COUNTIFS($B$2:$B$532,"Yes",$A$2:$A$532,"Cybernet",$AB$2:$AB$532,$AB153)&gt;1),
AND($AC153&lt;&gt;"",LOWER(TRIM($AC153))&lt;&gt;"n/a",COUNTIFS($B$2:$B$532,"Yes",$A$2:$A$532,"Cybernet",$AC$2:$AC$532,$AC153)&gt;1)
),"Yes","No"),
IF(AND($AL153&lt;&gt;"",LOWER(TRIM($AL153))&lt;&gt;"n/a"),
IF(COUNTIFS($B$2:$B$532,"Yes",$A$2:$A$532,$A153,$AL$2:$AL$532,$AL153)&gt;1,"Yes","No"),
"No")
)
)
)</f>
        <v>No</v>
      </c>
      <c r="G153" t="s">
        <v>1869</v>
      </c>
      <c r="H153" t="s">
        <v>1869</v>
      </c>
      <c r="M153" t="s">
        <v>2318</v>
      </c>
      <c r="N153" t="s">
        <v>2319</v>
      </c>
      <c r="O153" t="s">
        <v>2320</v>
      </c>
      <c r="P153" t="s">
        <v>2320</v>
      </c>
      <c r="Q153" t="s">
        <v>2321</v>
      </c>
      <c r="R153" t="s">
        <v>2322</v>
      </c>
      <c r="S153" t="s">
        <v>1648</v>
      </c>
      <c r="T153" t="s">
        <v>2323</v>
      </c>
      <c r="U153" t="s">
        <v>1983</v>
      </c>
      <c r="X153" t="s">
        <v>2324</v>
      </c>
      <c r="AB153" t="s">
        <v>2325</v>
      </c>
      <c r="AD153" t="s">
        <v>1838</v>
      </c>
      <c r="AG153" t="s">
        <v>2326</v>
      </c>
      <c r="AH153">
        <v>2</v>
      </c>
      <c r="AI153">
        <v>5601483</v>
      </c>
      <c r="AJ153" t="s">
        <v>2284</v>
      </c>
      <c r="AK153" t="s">
        <v>2327</v>
      </c>
      <c r="AL153" t="s">
        <v>2328</v>
      </c>
      <c r="AM153" t="s">
        <v>1648</v>
      </c>
      <c r="AN153" t="s">
        <v>1648</v>
      </c>
      <c r="AO153" t="s">
        <v>1648</v>
      </c>
      <c r="AP153" t="s">
        <v>1648</v>
      </c>
      <c r="AQ153" t="s">
        <v>1648</v>
      </c>
      <c r="AR153" t="s">
        <v>1545</v>
      </c>
      <c r="AS153" t="s">
        <v>2329</v>
      </c>
      <c r="AY153" t="s">
        <v>1656</v>
      </c>
      <c r="AZ153" t="s">
        <v>1640</v>
      </c>
      <c r="BB153" t="s">
        <v>1640</v>
      </c>
      <c r="BI153" t="s">
        <v>1655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1656</v>
      </c>
      <c r="BT153" t="s">
        <v>1640</v>
      </c>
      <c r="BU153" t="s">
        <v>1640</v>
      </c>
      <c r="BV153" t="s">
        <v>1656</v>
      </c>
      <c r="BW153" t="s">
        <v>1640</v>
      </c>
    </row>
    <row r="154" spans="1:75">
      <c r="A154" t="s">
        <v>1844</v>
      </c>
      <c r="B154" t="s">
        <v>1640</v>
      </c>
      <c r="C154" t="s">
        <v>1640</v>
      </c>
      <c r="D154" t="str">
        <f t="shared" si="24"/>
        <v>No</v>
      </c>
      <c r="E154" t="s">
        <v>1842</v>
      </c>
      <c r="F154" t="s">
        <v>1842</v>
      </c>
      <c r="G154" t="s">
        <v>1869</v>
      </c>
      <c r="H154" t="s">
        <v>1869</v>
      </c>
      <c r="M154" t="s">
        <v>2318</v>
      </c>
      <c r="N154" t="s">
        <v>2319</v>
      </c>
      <c r="O154" t="s">
        <v>2320</v>
      </c>
      <c r="P154" t="s">
        <v>2320</v>
      </c>
      <c r="Q154" t="s">
        <v>2321</v>
      </c>
      <c r="R154" t="s">
        <v>2322</v>
      </c>
      <c r="S154" t="s">
        <v>1648</v>
      </c>
      <c r="T154" t="s">
        <v>2323</v>
      </c>
      <c r="U154" t="s">
        <v>1986</v>
      </c>
      <c r="AB154" t="s">
        <v>2330</v>
      </c>
      <c r="AD154" t="s">
        <v>1838</v>
      </c>
      <c r="AG154" t="s">
        <v>2331</v>
      </c>
      <c r="AH154">
        <v>2</v>
      </c>
      <c r="AI154">
        <v>5601483</v>
      </c>
      <c r="AJ154" t="s">
        <v>2284</v>
      </c>
      <c r="AK154" t="s">
        <v>2327</v>
      </c>
      <c r="AL154" t="s">
        <v>2328</v>
      </c>
      <c r="AM154" t="s">
        <v>1648</v>
      </c>
      <c r="AN154" t="s">
        <v>1648</v>
      </c>
      <c r="AO154" t="s">
        <v>1648</v>
      </c>
      <c r="AP154" t="s">
        <v>1648</v>
      </c>
      <c r="AQ154" t="s">
        <v>1648</v>
      </c>
      <c r="AR154" t="s">
        <v>1545</v>
      </c>
      <c r="AS154" t="s">
        <v>2329</v>
      </c>
      <c r="AY154" t="s">
        <v>1656</v>
      </c>
      <c r="AZ154" t="s">
        <v>1640</v>
      </c>
      <c r="BB154" t="s">
        <v>1640</v>
      </c>
      <c r="BI154" t="s">
        <v>1655</v>
      </c>
      <c r="BS154" t="s">
        <v>1656</v>
      </c>
      <c r="BT154" t="s">
        <v>1640</v>
      </c>
      <c r="BU154" t="s">
        <v>1640</v>
      </c>
      <c r="BV154" t="s">
        <v>1656</v>
      </c>
      <c r="BW154" t="s">
        <v>1640</v>
      </c>
    </row>
    <row r="155" spans="1:75">
      <c r="A155" t="s">
        <v>1844</v>
      </c>
      <c r="B155" t="s">
        <v>1640</v>
      </c>
      <c r="C155" t="s">
        <v>1640</v>
      </c>
      <c r="D155" t="str">
        <f t="shared" si="24"/>
        <v>No</v>
      </c>
      <c r="E155" t="s">
        <v>1842</v>
      </c>
      <c r="F155" t="s">
        <v>1842</v>
      </c>
      <c r="G155" t="s">
        <v>1869</v>
      </c>
      <c r="H155" t="s">
        <v>1869</v>
      </c>
      <c r="M155" t="s">
        <v>2318</v>
      </c>
      <c r="N155" t="s">
        <v>2319</v>
      </c>
      <c r="O155" t="s">
        <v>2320</v>
      </c>
      <c r="P155" t="s">
        <v>2320</v>
      </c>
      <c r="Q155" t="s">
        <v>2321</v>
      </c>
      <c r="R155" t="s">
        <v>2322</v>
      </c>
      <c r="S155" t="s">
        <v>1648</v>
      </c>
      <c r="T155" t="s">
        <v>2323</v>
      </c>
      <c r="U155" t="s">
        <v>1974</v>
      </c>
      <c r="AB155" t="s">
        <v>2332</v>
      </c>
      <c r="AD155" t="s">
        <v>1838</v>
      </c>
      <c r="AG155" t="s">
        <v>2333</v>
      </c>
      <c r="AH155">
        <v>2</v>
      </c>
      <c r="AI155">
        <v>5601483</v>
      </c>
      <c r="AJ155" t="s">
        <v>2284</v>
      </c>
      <c r="AK155" t="s">
        <v>2327</v>
      </c>
      <c r="AL155" t="s">
        <v>2328</v>
      </c>
      <c r="AM155" t="s">
        <v>1648</v>
      </c>
      <c r="AN155" t="s">
        <v>1648</v>
      </c>
      <c r="AO155" t="s">
        <v>1648</v>
      </c>
      <c r="AP155" t="s">
        <v>1648</v>
      </c>
      <c r="AQ155" t="s">
        <v>1648</v>
      </c>
      <c r="AR155" t="s">
        <v>1545</v>
      </c>
      <c r="AS155" t="s">
        <v>2329</v>
      </c>
      <c r="AY155" t="s">
        <v>1656</v>
      </c>
      <c r="AZ155" t="s">
        <v>1640</v>
      </c>
      <c r="BB155" t="s">
        <v>1640</v>
      </c>
      <c r="BI155" t="s">
        <v>1655</v>
      </c>
      <c r="BS155" t="s">
        <v>1656</v>
      </c>
      <c r="BT155" t="s">
        <v>1640</v>
      </c>
      <c r="BU155" t="s">
        <v>1640</v>
      </c>
      <c r="BV155" t="s">
        <v>1656</v>
      </c>
      <c r="BW155" t="s">
        <v>1640</v>
      </c>
    </row>
    <row r="156" spans="1:75">
      <c r="A156" t="s">
        <v>1844</v>
      </c>
      <c r="B156" t="s">
        <v>1640</v>
      </c>
      <c r="C156" t="s">
        <v>1640</v>
      </c>
      <c r="D156" t="str">
        <f t="shared" si="24"/>
        <v>No</v>
      </c>
      <c r="E156" t="s">
        <v>1842</v>
      </c>
      <c r="F156" t="s">
        <v>1842</v>
      </c>
      <c r="G156" t="s">
        <v>1869</v>
      </c>
      <c r="H156" t="s">
        <v>1869</v>
      </c>
      <c r="M156" t="s">
        <v>2318</v>
      </c>
      <c r="N156" t="s">
        <v>2319</v>
      </c>
      <c r="O156" t="s">
        <v>2320</v>
      </c>
      <c r="P156" t="s">
        <v>2320</v>
      </c>
      <c r="Q156" t="s">
        <v>2321</v>
      </c>
      <c r="R156" t="s">
        <v>2322</v>
      </c>
      <c r="S156" t="s">
        <v>1648</v>
      </c>
      <c r="T156" t="s">
        <v>2323</v>
      </c>
      <c r="U156" t="s">
        <v>1977</v>
      </c>
      <c r="AB156" t="s">
        <v>2334</v>
      </c>
      <c r="AD156" t="s">
        <v>1838</v>
      </c>
      <c r="AG156" t="s">
        <v>2335</v>
      </c>
      <c r="AH156">
        <v>2</v>
      </c>
      <c r="AI156">
        <v>5601483</v>
      </c>
      <c r="AJ156" t="s">
        <v>2284</v>
      </c>
      <c r="AK156" t="s">
        <v>2327</v>
      </c>
      <c r="AL156" t="s">
        <v>2328</v>
      </c>
      <c r="AM156" t="s">
        <v>1648</v>
      </c>
      <c r="AN156" t="s">
        <v>1648</v>
      </c>
      <c r="AO156" t="s">
        <v>1648</v>
      </c>
      <c r="AP156" t="s">
        <v>1648</v>
      </c>
      <c r="AQ156" t="s">
        <v>1648</v>
      </c>
      <c r="AR156" t="s">
        <v>1545</v>
      </c>
      <c r="AS156" t="s">
        <v>2329</v>
      </c>
      <c r="AY156" t="s">
        <v>1656</v>
      </c>
      <c r="AZ156" t="s">
        <v>1640</v>
      </c>
      <c r="BB156" t="s">
        <v>1640</v>
      </c>
      <c r="BI156" t="s">
        <v>1655</v>
      </c>
      <c r="BS156" t="s">
        <v>1656</v>
      </c>
      <c r="BT156" t="s">
        <v>1640</v>
      </c>
      <c r="BU156" t="s">
        <v>1640</v>
      </c>
      <c r="BV156" t="s">
        <v>1656</v>
      </c>
      <c r="BW156" t="s">
        <v>1640</v>
      </c>
    </row>
    <row r="157" spans="1:75">
      <c r="A157" t="s">
        <v>1844</v>
      </c>
      <c r="B157" t="s">
        <v>1640</v>
      </c>
      <c r="C157" t="s">
        <v>1640</v>
      </c>
      <c r="D157" t="str">
        <f t="shared" si="24"/>
        <v>No</v>
      </c>
      <c r="E157" t="s">
        <v>1842</v>
      </c>
      <c r="F157" t="s">
        <v>1842</v>
      </c>
      <c r="G157" t="s">
        <v>1869</v>
      </c>
      <c r="H157" t="s">
        <v>1869</v>
      </c>
      <c r="M157" t="s">
        <v>2318</v>
      </c>
      <c r="N157" t="s">
        <v>2319</v>
      </c>
      <c r="O157" t="s">
        <v>2320</v>
      </c>
      <c r="P157" t="s">
        <v>2320</v>
      </c>
      <c r="Q157" t="s">
        <v>2321</v>
      </c>
      <c r="R157" t="s">
        <v>2322</v>
      </c>
      <c r="S157" t="s">
        <v>1648</v>
      </c>
      <c r="T157" t="s">
        <v>2323</v>
      </c>
      <c r="U157" t="s">
        <v>1980</v>
      </c>
      <c r="AB157" t="s">
        <v>2336</v>
      </c>
      <c r="AD157" t="s">
        <v>1838</v>
      </c>
      <c r="AG157" t="s">
        <v>2337</v>
      </c>
      <c r="AH157">
        <v>2</v>
      </c>
      <c r="AI157">
        <v>5601483</v>
      </c>
      <c r="AJ157" t="s">
        <v>2284</v>
      </c>
      <c r="AK157" t="s">
        <v>2327</v>
      </c>
      <c r="AL157" t="s">
        <v>2328</v>
      </c>
      <c r="AM157" t="s">
        <v>1648</v>
      </c>
      <c r="AN157" t="s">
        <v>1648</v>
      </c>
      <c r="AO157" t="s">
        <v>1648</v>
      </c>
      <c r="AP157" t="s">
        <v>1648</v>
      </c>
      <c r="AQ157" t="s">
        <v>1648</v>
      </c>
      <c r="AR157" t="s">
        <v>1545</v>
      </c>
      <c r="AS157" t="s">
        <v>2329</v>
      </c>
      <c r="AY157" t="s">
        <v>1656</v>
      </c>
      <c r="AZ157" t="s">
        <v>1640</v>
      </c>
      <c r="BB157" t="s">
        <v>1640</v>
      </c>
      <c r="BI157" t="s">
        <v>1655</v>
      </c>
      <c r="BS157" t="s">
        <v>1656</v>
      </c>
      <c r="BT157" t="s">
        <v>1640</v>
      </c>
      <c r="BU157" t="s">
        <v>1640</v>
      </c>
      <c r="BV157" t="s">
        <v>1656</v>
      </c>
      <c r="BW157" t="s">
        <v>1640</v>
      </c>
    </row>
    <row r="158" spans="1:75">
      <c r="A158" t="s">
        <v>1844</v>
      </c>
      <c r="B158" t="s">
        <v>1640</v>
      </c>
      <c r="C158" t="s">
        <v>1640</v>
      </c>
      <c r="D158" t="str">
        <f t="shared" si="24"/>
        <v>No</v>
      </c>
      <c r="E158" t="s">
        <v>1842</v>
      </c>
      <c r="F158" t="s">
        <v>1842</v>
      </c>
      <c r="G158" t="s">
        <v>1869</v>
      </c>
      <c r="H158" t="s">
        <v>1869</v>
      </c>
      <c r="M158" t="s">
        <v>2318</v>
      </c>
      <c r="N158" t="s">
        <v>2319</v>
      </c>
      <c r="O158" t="s">
        <v>2320</v>
      </c>
      <c r="P158" t="s">
        <v>2320</v>
      </c>
      <c r="Q158" t="s">
        <v>2321</v>
      </c>
      <c r="R158" t="s">
        <v>2322</v>
      </c>
      <c r="S158" t="s">
        <v>1648</v>
      </c>
      <c r="T158" t="s">
        <v>2323</v>
      </c>
      <c r="U158" t="s">
        <v>1968</v>
      </c>
      <c r="AB158" t="s">
        <v>2338</v>
      </c>
      <c r="AD158" t="s">
        <v>1838</v>
      </c>
      <c r="AG158" t="s">
        <v>2339</v>
      </c>
      <c r="AH158">
        <v>2</v>
      </c>
      <c r="AI158">
        <v>5601483</v>
      </c>
      <c r="AJ158" t="s">
        <v>2284</v>
      </c>
      <c r="AK158" t="s">
        <v>2327</v>
      </c>
      <c r="AL158" t="s">
        <v>2328</v>
      </c>
      <c r="AM158" t="s">
        <v>1648</v>
      </c>
      <c r="AN158" t="s">
        <v>1648</v>
      </c>
      <c r="AO158" t="s">
        <v>1648</v>
      </c>
      <c r="AP158" t="s">
        <v>1648</v>
      </c>
      <c r="AQ158" t="s">
        <v>1648</v>
      </c>
      <c r="AR158" t="s">
        <v>1545</v>
      </c>
      <c r="AS158" t="s">
        <v>2329</v>
      </c>
      <c r="AY158" t="s">
        <v>1656</v>
      </c>
      <c r="AZ158" t="s">
        <v>1640</v>
      </c>
      <c r="BB158" t="s">
        <v>1640</v>
      </c>
      <c r="BI158" t="s">
        <v>1655</v>
      </c>
      <c r="BS158" t="s">
        <v>1656</v>
      </c>
      <c r="BT158" t="s">
        <v>1640</v>
      </c>
      <c r="BU158" t="s">
        <v>1640</v>
      </c>
      <c r="BV158" t="s">
        <v>1656</v>
      </c>
      <c r="BW158" t="s">
        <v>1640</v>
      </c>
    </row>
    <row r="159" spans="1:75">
      <c r="A159" t="s">
        <v>1844</v>
      </c>
      <c r="B159" t="s">
        <v>1640</v>
      </c>
      <c r="C159" t="s">
        <v>1640</v>
      </c>
      <c r="D159" t="str">
        <f t="shared" si="24"/>
        <v>No</v>
      </c>
      <c r="E159" t="s">
        <v>1842</v>
      </c>
      <c r="F159" t="s">
        <v>1842</v>
      </c>
      <c r="G159" t="s">
        <v>1869</v>
      </c>
      <c r="H159" t="s">
        <v>1869</v>
      </c>
      <c r="M159" t="s">
        <v>2318</v>
      </c>
      <c r="N159" t="s">
        <v>2319</v>
      </c>
      <c r="O159" t="s">
        <v>2320</v>
      </c>
      <c r="P159" t="s">
        <v>2320</v>
      </c>
      <c r="Q159" t="s">
        <v>2321</v>
      </c>
      <c r="R159" t="s">
        <v>2322</v>
      </c>
      <c r="S159" t="s">
        <v>1648</v>
      </c>
      <c r="T159" t="s">
        <v>2323</v>
      </c>
      <c r="U159" t="s">
        <v>1971</v>
      </c>
      <c r="AB159" t="s">
        <v>2340</v>
      </c>
      <c r="AD159" t="s">
        <v>1838</v>
      </c>
      <c r="AG159" t="s">
        <v>2341</v>
      </c>
      <c r="AH159">
        <v>2</v>
      </c>
      <c r="AI159">
        <v>5601483</v>
      </c>
      <c r="AJ159" t="s">
        <v>2284</v>
      </c>
      <c r="AK159" t="s">
        <v>2327</v>
      </c>
      <c r="AL159" t="s">
        <v>2328</v>
      </c>
      <c r="AM159" t="s">
        <v>1648</v>
      </c>
      <c r="AN159" t="s">
        <v>1648</v>
      </c>
      <c r="AO159" t="s">
        <v>1648</v>
      </c>
      <c r="AP159" t="s">
        <v>1648</v>
      </c>
      <c r="AQ159" t="s">
        <v>1648</v>
      </c>
      <c r="AR159" t="s">
        <v>1545</v>
      </c>
      <c r="AS159" t="s">
        <v>2329</v>
      </c>
      <c r="AY159" t="s">
        <v>1656</v>
      </c>
      <c r="AZ159" t="s">
        <v>1640</v>
      </c>
      <c r="BB159" t="s">
        <v>1640</v>
      </c>
      <c r="BI159" t="s">
        <v>1655</v>
      </c>
      <c r="BS159" t="s">
        <v>1656</v>
      </c>
      <c r="BT159" t="s">
        <v>1640</v>
      </c>
      <c r="BU159" t="s">
        <v>1640</v>
      </c>
      <c r="BV159" t="s">
        <v>1656</v>
      </c>
      <c r="BW159" t="s">
        <v>1640</v>
      </c>
    </row>
    <row r="160" spans="1:75">
      <c r="A160" t="s">
        <v>1844</v>
      </c>
      <c r="B160" t="s">
        <v>1640</v>
      </c>
      <c r="C160" t="s">
        <v>1640</v>
      </c>
      <c r="D160" t="str">
        <f t="shared" si="24"/>
        <v>No</v>
      </c>
      <c r="E160" t="s">
        <v>1842</v>
      </c>
      <c r="F160" t="s">
        <v>1842</v>
      </c>
      <c r="G160" t="s">
        <v>1869</v>
      </c>
      <c r="H160" t="s">
        <v>1869</v>
      </c>
      <c r="M160" t="s">
        <v>2318</v>
      </c>
      <c r="N160" t="s">
        <v>2319</v>
      </c>
      <c r="O160" t="s">
        <v>2320</v>
      </c>
      <c r="P160" t="s">
        <v>2320</v>
      </c>
      <c r="Q160" t="s">
        <v>2321</v>
      </c>
      <c r="R160" t="s">
        <v>2322</v>
      </c>
      <c r="S160" t="s">
        <v>1648</v>
      </c>
      <c r="T160" t="s">
        <v>2323</v>
      </c>
      <c r="U160" t="s">
        <v>1965</v>
      </c>
      <c r="AB160" t="s">
        <v>2342</v>
      </c>
      <c r="AD160" t="s">
        <v>1838</v>
      </c>
      <c r="AG160" t="s">
        <v>2343</v>
      </c>
      <c r="AH160">
        <v>2</v>
      </c>
      <c r="AI160">
        <v>5601483</v>
      </c>
      <c r="AJ160" t="s">
        <v>2284</v>
      </c>
      <c r="AK160" t="s">
        <v>2327</v>
      </c>
      <c r="AL160" t="s">
        <v>2328</v>
      </c>
      <c r="AM160" t="s">
        <v>1648</v>
      </c>
      <c r="AN160" t="s">
        <v>1648</v>
      </c>
      <c r="AO160" t="s">
        <v>1648</v>
      </c>
      <c r="AP160" t="s">
        <v>1648</v>
      </c>
      <c r="AQ160" t="s">
        <v>1648</v>
      </c>
      <c r="AR160" t="s">
        <v>1545</v>
      </c>
      <c r="AS160" t="s">
        <v>2329</v>
      </c>
      <c r="AY160" t="s">
        <v>1656</v>
      </c>
      <c r="AZ160" t="s">
        <v>1640</v>
      </c>
      <c r="BB160" t="s">
        <v>1640</v>
      </c>
      <c r="BI160" t="s">
        <v>1655</v>
      </c>
      <c r="BS160" t="s">
        <v>1656</v>
      </c>
      <c r="BT160" t="s">
        <v>1640</v>
      </c>
      <c r="BU160" t="s">
        <v>1640</v>
      </c>
      <c r="BV160" t="s">
        <v>1656</v>
      </c>
      <c r="BW160" t="s">
        <v>1640</v>
      </c>
    </row>
    <row r="161" spans="1:75">
      <c r="A161" t="s">
        <v>1844</v>
      </c>
      <c r="B161" t="s">
        <v>1640</v>
      </c>
      <c r="C161" t="s">
        <v>1640</v>
      </c>
      <c r="D161" t="str">
        <f t="shared" si="24"/>
        <v>No</v>
      </c>
      <c r="E161" t="s">
        <v>1842</v>
      </c>
      <c r="F161" t="s">
        <v>1842</v>
      </c>
      <c r="G161" t="s">
        <v>1869</v>
      </c>
      <c r="H161" t="s">
        <v>1869</v>
      </c>
      <c r="M161" t="s">
        <v>2318</v>
      </c>
      <c r="N161" t="s">
        <v>2319</v>
      </c>
      <c r="O161" t="s">
        <v>2320</v>
      </c>
      <c r="P161" t="s">
        <v>2320</v>
      </c>
      <c r="Q161" t="s">
        <v>2321</v>
      </c>
      <c r="R161" t="s">
        <v>2322</v>
      </c>
      <c r="S161" t="s">
        <v>1648</v>
      </c>
      <c r="T161" t="s">
        <v>2323</v>
      </c>
      <c r="U161" t="s">
        <v>2011</v>
      </c>
      <c r="AB161" t="s">
        <v>2344</v>
      </c>
      <c r="AD161" t="s">
        <v>1838</v>
      </c>
      <c r="AG161" t="s">
        <v>2345</v>
      </c>
      <c r="AH161">
        <v>2</v>
      </c>
      <c r="AI161">
        <v>5601483</v>
      </c>
      <c r="AJ161" t="s">
        <v>2284</v>
      </c>
      <c r="AK161" t="s">
        <v>2327</v>
      </c>
      <c r="AL161" t="s">
        <v>2328</v>
      </c>
      <c r="AM161" t="s">
        <v>1648</v>
      </c>
      <c r="AN161" t="s">
        <v>1648</v>
      </c>
      <c r="AO161" t="s">
        <v>1648</v>
      </c>
      <c r="AP161" t="s">
        <v>1648</v>
      </c>
      <c r="AQ161" t="s">
        <v>1648</v>
      </c>
      <c r="AR161" t="s">
        <v>1545</v>
      </c>
      <c r="AS161" t="s">
        <v>2329</v>
      </c>
      <c r="AY161" t="s">
        <v>1656</v>
      </c>
      <c r="AZ161" t="s">
        <v>1640</v>
      </c>
      <c r="BB161" t="s">
        <v>1640</v>
      </c>
      <c r="BI161" t="s">
        <v>1655</v>
      </c>
      <c r="BS161" t="s">
        <v>1656</v>
      </c>
      <c r="BT161" t="s">
        <v>1640</v>
      </c>
      <c r="BU161" t="s">
        <v>1640</v>
      </c>
      <c r="BV161" t="s">
        <v>1656</v>
      </c>
      <c r="BW161" t="s">
        <v>1640</v>
      </c>
    </row>
    <row r="162" spans="1:75">
      <c r="A162" t="s">
        <v>1844</v>
      </c>
      <c r="B162" t="s">
        <v>1656</v>
      </c>
      <c r="C162" t="s">
        <v>2346</v>
      </c>
      <c r="D162" t="str">
        <f t="shared" si="24"/>
        <v/>
      </c>
      <c r="G162" t="s">
        <v>1893</v>
      </c>
      <c r="H162" t="s">
        <v>2026</v>
      </c>
      <c r="M162" t="s">
        <v>1895</v>
      </c>
      <c r="Q162" t="s">
        <v>2321</v>
      </c>
      <c r="U162" t="s">
        <v>2347</v>
      </c>
      <c r="AB162" t="s">
        <v>2348</v>
      </c>
      <c r="AC162" t="s">
        <v>2349</v>
      </c>
      <c r="BI162" t="s">
        <v>1655</v>
      </c>
    </row>
    <row r="163" spans="1:75">
      <c r="A163" t="s">
        <v>1844</v>
      </c>
      <c r="B163" t="s">
        <v>1656</v>
      </c>
      <c r="D163" t="str">
        <f t="shared" si="24"/>
        <v/>
      </c>
      <c r="G163" t="s">
        <v>1893</v>
      </c>
      <c r="H163" t="s">
        <v>2026</v>
      </c>
      <c r="M163" t="s">
        <v>1895</v>
      </c>
      <c r="U163" t="s">
        <v>2350</v>
      </c>
      <c r="AB163" t="s">
        <v>2351</v>
      </c>
      <c r="AC163" t="s">
        <v>2352</v>
      </c>
    </row>
    <row r="164" spans="1:75">
      <c r="A164" t="s">
        <v>1844</v>
      </c>
      <c r="B164" t="s">
        <v>1640</v>
      </c>
      <c r="C164" t="s">
        <v>1640</v>
      </c>
      <c r="D164" t="str">
        <f t="shared" si="24"/>
        <v>No</v>
      </c>
      <c r="G164" t="s">
        <v>1893</v>
      </c>
      <c r="H164" t="s">
        <v>2026</v>
      </c>
      <c r="M164" t="s">
        <v>1895</v>
      </c>
      <c r="U164" t="s">
        <v>2353</v>
      </c>
      <c r="AB164" t="s">
        <v>2354</v>
      </c>
      <c r="AC164" t="s">
        <v>2355</v>
      </c>
    </row>
    <row r="165" spans="1:75">
      <c r="A165" t="s">
        <v>1844</v>
      </c>
      <c r="B165" t="s">
        <v>1656</v>
      </c>
      <c r="D165" t="str">
        <f t="shared" si="24"/>
        <v/>
      </c>
      <c r="G165" t="s">
        <v>1893</v>
      </c>
      <c r="M165" t="s">
        <v>1895</v>
      </c>
      <c r="U165" t="s">
        <v>2356</v>
      </c>
      <c r="AB165" t="s">
        <v>2357</v>
      </c>
      <c r="AC165" t="s">
        <v>2358</v>
      </c>
    </row>
    <row r="166" spans="1:75">
      <c r="A166" t="s">
        <v>1844</v>
      </c>
      <c r="B166" t="s">
        <v>1656</v>
      </c>
      <c r="D166" t="str">
        <f t="shared" si="24"/>
        <v/>
      </c>
      <c r="G166" t="s">
        <v>1893</v>
      </c>
      <c r="M166" t="s">
        <v>1895</v>
      </c>
      <c r="U166" t="s">
        <v>2359</v>
      </c>
      <c r="AB166" t="s">
        <v>2360</v>
      </c>
      <c r="AC166" t="s">
        <v>2361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V167&lt;&gt;"",LOWER(TRIM($V167))&lt;&gt;"n/a",COUNTIF($V$2:$V$532,$V167)&gt;1),AND($W167&lt;&gt;"",LOWER(TRIM($W167))&lt;&gt;"n/a",COUNTIF($W$2:$W$532,$W167)&gt;1),AND($Z167&lt;&gt;"",LOWER(TRIM($Z167))&lt;&gt;"n/a",COUNTIF($Z$2:$Z$532,$Z167)&gt;1)),"Yes","No"),IF($A167="Cybernet",IF(OR(AND($AB167&lt;&gt;"",LOWER(TRIM($AB167))&lt;&gt;"n/a",COUNTIF($AB$2:$AB$532,$AB167)&gt;1),AND($AC167&lt;&gt;"",LOWER(TRIM($AC167))&lt;&gt;"n/a",COUNTIF($AC$2:$AC$532,$AC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AND($V167&lt;&gt;"",LOWER(TRIM($V167))&lt;&gt;"n/a",COUNTIFS($B$2:$B$532,"Yes",$A$2:$A$532,"Neuron",$V$2:$V$532,$V167)&gt;1),
AND($W167&lt;&gt;"",LOWER(TRIM($W167))&lt;&gt;"n/a",COUNTIFS($B$2:$B$532,"Yes",$A$2:$A$532,"Neuron",$W$2:$W$532,$W167)&gt;1),
AND($Z167&lt;&gt;"",LOWER(TRIM($Z167))&lt;&gt;"n/a",COUNTIFS($B$2:$B$532,"Yes",$A$2:$A$532,"Neuron",$Z$2:$Z$532,$Z167)&gt;1)
),"Yes","No"),
IF($A167="Cybernet",
IF(OR(
AND($AB167&lt;&gt;"",LOWER(TRIM($AB167))&lt;&gt;"n/a",COUNTIFS($B$2:$B$532,"Yes",$A$2:$A$532,"Cybernet",$AB$2:$AB$532,$AB167)&gt;1),
AND($AC167&lt;&gt;"",LOWER(TRIM($AC167))&lt;&gt;"n/a",COUNTIFS($B$2:$B$532,"Yes",$A$2:$A$532,"Cybernet",$AC$2:$AC$532,$AC167)&gt;1)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IF($W167="","",IF((IF(AND($AW167&lt;&gt;"Yes",$AW167&lt;&gt;"N/A"),"Power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IF($W167="","",IF($BL167="","Yes","Blocked"))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V231&lt;&gt;"",LOWER(TRIM($V231))&lt;&gt;"n/a",COUNTIF($V$2:$V$532,$V231)&gt;1),AND($W231&lt;&gt;"",LOWER(TRIM($W231))&lt;&gt;"n/a",COUNTIF($W$2:$W$532,$W231)&gt;1),AND($Z231&lt;&gt;"",LOWER(TRIM($Z231))&lt;&gt;"n/a",COUNTIF($Z$2:$Z$532,$Z231)&gt;1)),"Yes","No"),IF($A231="Cybernet",IF(OR(AND($AB231&lt;&gt;"",LOWER(TRIM($AB231))&lt;&gt;"n/a",COUNTIF($AB$2:$AB$532,$AB231)&gt;1),AND($AC231&lt;&gt;"",LOWER(TRIM($AC231))&lt;&gt;"n/a",COUNTIF($AC$2:$AC$532,$AC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AND($V231&lt;&gt;"",LOWER(TRIM($V231))&lt;&gt;"n/a",COUNTIFS($B$2:$B$532,"Yes",$A$2:$A$532,"Neuron",$V$2:$V$532,$V231)&gt;1),
AND($W231&lt;&gt;"",LOWER(TRIM($W231))&lt;&gt;"n/a",COUNTIFS($B$2:$B$532,"Yes",$A$2:$A$532,"Neuron",$W$2:$W$532,$W231)&gt;1),
AND($Z231&lt;&gt;"",LOWER(TRIM($Z231))&lt;&gt;"n/a",COUNTIFS($B$2:$B$532,"Yes",$A$2:$A$532,"Neuron",$Z$2:$Z$532,$Z231)&gt;1)
),"Yes","No"),
IF($A231="Cybernet",
IF(OR(
AND($AB231&lt;&gt;"",LOWER(TRIM($AB231))&lt;&gt;"n/a",COUNTIFS($B$2:$B$532,"Yes",$A$2:$A$532,"Cybernet",$AB$2:$AB$532,$AB231)&gt;1),
AND($AC231&lt;&gt;"",LOWER(TRIM($AC231))&lt;&gt;"n/a",COUNTIFS($B$2:$B$532,"Yes",$A$2:$A$532,"Cybernet",$AC$2:$AC$532,$AC231)&gt;1)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IF($W231="","",IF((IF(AND($AW231&lt;&gt;"Yes",$AW231&lt;&gt;"N/A"),"Power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IF($W231="","",IF($BL231="","Yes","Blocked"))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V295&lt;&gt;"",LOWER(TRIM($V295))&lt;&gt;"n/a",COUNTIF($V$2:$V$532,$V295)&gt;1),AND($W295&lt;&gt;"",LOWER(TRIM($W295))&lt;&gt;"n/a",COUNTIF($W$2:$W$532,$W295)&gt;1),AND($Z295&lt;&gt;"",LOWER(TRIM($Z295))&lt;&gt;"n/a",COUNTIF($Z$2:$Z$532,$Z295)&gt;1)),"Yes","No"),IF($A295="Cybernet",IF(OR(AND($AB295&lt;&gt;"",LOWER(TRIM($AB295))&lt;&gt;"n/a",COUNTIF($AB$2:$AB$532,$AB295)&gt;1),AND($AC295&lt;&gt;"",LOWER(TRIM($AC295))&lt;&gt;"n/a",COUNTIF($AC$2:$AC$532,$AC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AND($V295&lt;&gt;"",LOWER(TRIM($V295))&lt;&gt;"n/a",COUNTIFS($B$2:$B$532,"Yes",$A$2:$A$532,"Neuron",$V$2:$V$532,$V295)&gt;1),
AND($W295&lt;&gt;"",LOWER(TRIM($W295))&lt;&gt;"n/a",COUNTIFS($B$2:$B$532,"Yes",$A$2:$A$532,"Neuron",$W$2:$W$532,$W295)&gt;1),
AND($Z295&lt;&gt;"",LOWER(TRIM($Z295))&lt;&gt;"n/a",COUNTIFS($B$2:$B$532,"Yes",$A$2:$A$532,"Neuron",$Z$2:$Z$532,$Z295)&gt;1)
),"Yes","No"),
IF($A295="Cybernet",
IF(OR(
AND($AB295&lt;&gt;"",LOWER(TRIM($AB295))&lt;&gt;"n/a",COUNTIFS($B$2:$B$532,"Yes",$A$2:$A$532,"Cybernet",$AB$2:$AB$532,$AB295)&gt;1),
AND($AC295&lt;&gt;"",LOWER(TRIM($AC295))&lt;&gt;"n/a",COUNTIFS($B$2:$B$532,"Yes",$A$2:$A$532,"Cybernet",$AC$2:$AC$532,$AC295)&gt;1)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IF($W295="","",IF((IF(AND($AW295&lt;&gt;"Yes",$AW295&lt;&gt;"N/A"),"Power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IF($W295="","",IF($BL295="","Yes","Blocked"))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V359&lt;&gt;"",LOWER(TRIM($V359))&lt;&gt;"n/a",COUNTIF($V$2:$V$532,$V359)&gt;1),AND($W359&lt;&gt;"",LOWER(TRIM($W359))&lt;&gt;"n/a",COUNTIF($W$2:$W$532,$W359)&gt;1),AND($Z359&lt;&gt;"",LOWER(TRIM($Z359))&lt;&gt;"n/a",COUNTIF($Z$2:$Z$532,$Z359)&gt;1)),"Yes","No"),IF($A359="Cybernet",IF(OR(AND($AB359&lt;&gt;"",LOWER(TRIM($AB359))&lt;&gt;"n/a",COUNTIF($AB$2:$AB$532,$AB359)&gt;1),AND($AC359&lt;&gt;"",LOWER(TRIM($AC359))&lt;&gt;"n/a",COUNTIF($AC$2:$AC$532,$AC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AND($V359&lt;&gt;"",LOWER(TRIM($V359))&lt;&gt;"n/a",COUNTIFS($B$2:$B$532,"Yes",$A$2:$A$532,"Neuron",$V$2:$V$532,$V359)&gt;1),
AND($W359&lt;&gt;"",LOWER(TRIM($W359))&lt;&gt;"n/a",COUNTIFS($B$2:$B$532,"Yes",$A$2:$A$532,"Neuron",$W$2:$W$532,$W359)&gt;1),
AND($Z359&lt;&gt;"",LOWER(TRIM($Z359))&lt;&gt;"n/a",COUNTIFS($B$2:$B$532,"Yes",$A$2:$A$532,"Neuron",$Z$2:$Z$532,$Z359)&gt;1)
),"Yes","No"),
IF($A359="Cybernet",
IF(OR(
AND($AB359&lt;&gt;"",LOWER(TRIM($AB359))&lt;&gt;"n/a",COUNTIFS($B$2:$B$532,"Yes",$A$2:$A$532,"Cybernet",$AB$2:$AB$532,$AB359)&gt;1),
AND($AC359&lt;&gt;"",LOWER(TRIM($AC359))&lt;&gt;"n/a",COUNTIFS($B$2:$B$532,"Yes",$A$2:$A$532,"Cybernet",$AC$2:$AC$532,$AC359)&gt;1)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IF($W359="","",IF((IF(AND($AW359&lt;&gt;"Yes",$AW359&lt;&gt;"N/A"),"Power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IF($W359="","",IF($BL359="","Yes","Blocked"))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V423&lt;&gt;"",LOWER(TRIM($V423))&lt;&gt;"n/a",COUNTIF($V$2:$V$532,$V423)&gt;1),AND($W423&lt;&gt;"",LOWER(TRIM($W423))&lt;&gt;"n/a",COUNTIF($W$2:$W$532,$W423)&gt;1),AND($Z423&lt;&gt;"",LOWER(TRIM($Z423))&lt;&gt;"n/a",COUNTIF($Z$2:$Z$532,$Z423)&gt;1)),"Yes","No"),IF($A423="Cybernet",IF(OR(AND($AB423&lt;&gt;"",LOWER(TRIM($AB423))&lt;&gt;"n/a",COUNTIF($AB$2:$AB$532,$AB423)&gt;1),AND($AC423&lt;&gt;"",LOWER(TRIM($AC423))&lt;&gt;"n/a",COUNTIF($AC$2:$AC$532,$AC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AND($V423&lt;&gt;"",LOWER(TRIM($V423))&lt;&gt;"n/a",COUNTIFS($B$2:$B$532,"Yes",$A$2:$A$532,"Neuron",$V$2:$V$532,$V423)&gt;1),
AND($W423&lt;&gt;"",LOWER(TRIM($W423))&lt;&gt;"n/a",COUNTIFS($B$2:$B$532,"Yes",$A$2:$A$532,"Neuron",$W$2:$W$532,$W423)&gt;1),
AND($Z423&lt;&gt;"",LOWER(TRIM($Z423))&lt;&gt;"n/a",COUNTIFS($B$2:$B$532,"Yes",$A$2:$A$532,"Neuron",$Z$2:$Z$532,$Z423)&gt;1)
),"Yes","No"),
IF($A423="Cybernet",
IF(OR(
AND($AB423&lt;&gt;"",LOWER(TRIM($AB423))&lt;&gt;"n/a",COUNTIFS($B$2:$B$532,"Yes",$A$2:$A$532,"Cybernet",$AB$2:$AB$532,$AB423)&gt;1),
AND($AC423&lt;&gt;"",LOWER(TRIM($AC423))&lt;&gt;"n/a",COUNTIFS($B$2:$B$532,"Yes",$A$2:$A$532,"Cybernet",$AC$2:$AC$532,$AC423)&gt;1)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IF($W423="","",IF((IF(AND($AW423&lt;&gt;"Yes",$AW423&lt;&gt;"N/A"),"Power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IF($W423="","",IF($BL423="","Yes","Blocked"))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V487&lt;&gt;"",LOWER(TRIM($V487))&lt;&gt;"n/a",COUNTIF($V$2:$V$532,$V487)&gt;1),AND($W487&lt;&gt;"",LOWER(TRIM($W487))&lt;&gt;"n/a",COUNTIF($W$2:$W$532,$W487)&gt;1),AND($Z487&lt;&gt;"",LOWER(TRIM($Z487))&lt;&gt;"n/a",COUNTIF($Z$2:$Z$532,$Z487)&gt;1)),"Yes","No"),IF($A487="Cybernet",IF(OR(AND($AB487&lt;&gt;"",LOWER(TRIM($AB487))&lt;&gt;"n/a",COUNTIF($AB$2:$AB$532,$AB487)&gt;1),AND($AC487&lt;&gt;"",LOWER(TRIM($AC487))&lt;&gt;"n/a",COUNTIF($AC$2:$AC$532,$AC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AND($V487&lt;&gt;"",LOWER(TRIM($V487))&lt;&gt;"n/a",COUNTIFS($B$2:$B$532,"Yes",$A$2:$A$532,"Neuron",$V$2:$V$532,$V487)&gt;1),
AND($W487&lt;&gt;"",LOWER(TRIM($W487))&lt;&gt;"n/a",COUNTIFS($B$2:$B$532,"Yes",$A$2:$A$532,"Neuron",$W$2:$W$532,$W487)&gt;1),
AND($Z487&lt;&gt;"",LOWER(TRIM($Z487))&lt;&gt;"n/a",COUNTIFS($B$2:$B$532,"Yes",$A$2:$A$532,"Neuron",$Z$2:$Z$532,$Z487)&gt;1)
),"Yes","No"),
IF($A487="Cybernet",
IF(OR(
AND($AB487&lt;&gt;"",LOWER(TRIM($AB487))&lt;&gt;"n/a",COUNTIFS($B$2:$B$532,"Yes",$A$2:$A$532,"Cybernet",$AB$2:$AB$532,$AB487)&gt;1),
AND($AC487&lt;&gt;"",LOWER(TRIM($AC487))&lt;&gt;"n/a",COUNTIFS($B$2:$B$532,"Yes",$A$2:$A$532,"Cybernet",$AC$2:$AC$532,$AC487)&gt;1)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IF($W487="","",IF((IF(AND($AW487&lt;&gt;"Yes",$AW487&lt;&gt;"N/A"),"Power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IF($W487="","",IF($BL487="","Yes","Blocked"))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V509&lt;&gt;"",LOWER(TRIM($V509))&lt;&gt;"n/a",COUNTIFS($B$2:$B$532,"Yes",$A$2:$A$532,"Neuron",$V$2:$V$532,$V509)&gt;1),AND($W509&lt;&gt;"",LOWER(TRIM($W509))&lt;&gt;"n/a",COUNTIFS($B$2:$B$532,"Yes",$A$2:$A$532,"Neuron",$W$2:$W$532,$W509)&gt;1),AND($Z509&lt;&gt;"",LOWER(TRIM($Z509))&lt;&gt;"n/a",COUNTIFS($B$2:$B$532,"Yes",$A$2:$A$532,"Neuron",$Z$2:$Z$532,$Z509)&gt;1)),"Yes","No"),IF($A509="Cybernet",IF(OR(AND($AB509&lt;&gt;"",LOWER(TRIM($AB509))&lt;&gt;"n/a",COUNTIFS($B$2:$B$532,"Yes",$A$2:$A$532,"Cybernet",$AB$2:$AB$532,$AB509)&gt;1),AND($AC509&lt;&gt;"",LOWER(TRIM($AC509))&lt;&gt;"n/a",COUNTIFS($B$2:$B$532,"Yes",$A$2:$A$532,"Cybernet",$AC$2:$AC$532,$AC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1545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V531" t="s">
        <v>1814</v>
      </c>
      <c r="BM531" t="str">
        <f t="shared" si="55"/>
        <v/>
      </c>
    </row>
    <row r="532" spans="1:65">
      <c r="A532" t="s">
        <v>1545</v>
      </c>
      <c r="E532" t="str">
        <f t="shared" si="52"/>
        <v>Yes</v>
      </c>
      <c r="F532" t="str">
        <f t="shared" si="56"/>
        <v/>
      </c>
      <c r="V532" t="s">
        <v>1814</v>
      </c>
      <c r="BL532" t="str">
        <f>IF($W532="","",IF((IF(AND($AW532&lt;&gt;"Yes",$AW532&lt;&gt;"N/A"),"Power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W50:BZ100 AJ101:BZ103 AJ104:AQ104 W106:BZ149 W105:AQ105 AS104:BZ105 A50:U149 K101:W101 K103:W104 K102:X102 A150:BZ531">
    <cfRule type="expression" dxfId="68" priority="1" stopIfTrue="1">
      <formula>$F2="Yes"</formula>
    </cfRule>
  </conditionalFormatting>
  <conditionalFormatting sqref="B2:B532">
    <cfRule type="expression" dxfId="67" priority="4" stopIfTrue="1">
      <formula>LOWER(TRIM($B2))="no"</formula>
    </cfRule>
    <cfRule type="expression" dxfId="66" priority="220">
      <formula>AND(LEN(TRIM($A2))&gt;0,LEN(TRIM($B2))=0)</formula>
    </cfRule>
  </conditionalFormatting>
  <conditionalFormatting sqref="G2:H163 G167:H532 H165:H166 G164:G166">
    <cfRule type="expression" dxfId="65" priority="107" stopIfTrue="1">
      <formula>AND($B2="Yes",$G2&lt;&gt;"",$H2&lt;&gt;"",LOWER(TRIM($G2))&lt;&gt;LOWER(TRIM($H2)))</formula>
    </cfRule>
  </conditionalFormatting>
  <conditionalFormatting sqref="M2:M532">
    <cfRule type="expression" dxfId="64" priority="7">
      <formula>AND($A2&lt;&gt;"",LEN(TRIM($M2))=0)</formula>
    </cfRule>
    <cfRule type="expression" dxfId="63" priority="206">
      <formula>AND(UPPER(TRIM($B2))="YES",LEN(TRIM($M2))=0)</formula>
    </cfRule>
  </conditionalFormatting>
  <conditionalFormatting sqref="U2:V49 U50:U149 U150:V531">
    <cfRule type="expression" dxfId="62" priority="103">
      <formula>AND($B2="Yes",$R2&lt;&gt;"")</formula>
    </cfRule>
  </conditionalFormatting>
  <conditionalFormatting sqref="U99:U144">
    <cfRule type="expression" dxfId="61" priority="5" stopIfTrue="1">
      <formula>AND(INDEX($A:$BI,ROW(),MATCH("Deployed",$A$1:$BI$1,0))="Yes",LEN(TRIM(R99))=0)</formula>
    </cfRule>
  </conditionalFormatting>
  <conditionalFormatting sqref="W2:W101 W103:W532">
    <cfRule type="expression" dxfId="60" priority="105">
      <formula>AND($B2="Yes",$S2&lt;&gt;"",LOWER(TRIM($S2))&lt;&gt;"n/a",COUNTIFS($S$2:$S$532,$S2,$B$2:$B$532,"Yes")&gt;1)</formula>
    </cfRule>
  </conditionalFormatting>
  <conditionalFormatting sqref="V2:X101 V103:X532 V102 X102">
    <cfRule type="expression" dxfId="59" priority="32" stopIfTrue="1">
      <formula>AND(   $B2="Yes",   $X2&lt;&gt;"",   LOWER(TRIM($X2))&lt;&gt;"n/a",   COUNTIFS($X$2:$X$532,$X2,$B$2:$B$532,"Yes")&gt;1 )</formula>
    </cfRule>
  </conditionalFormatting>
  <conditionalFormatting sqref="Z2:Z49 Z150:Z531">
    <cfRule type="expression" dxfId="58" priority="33" stopIfTrue="1">
      <formula>AND($B2="Yes",$V2&lt;&gt;"",LOWER(TRIM($V2))&lt;&gt;"n/a",COUNTIFS($V$2:$V$532,$V2,$B$2:$B$532,"Yes")&gt;1)</formula>
    </cfRule>
  </conditionalFormatting>
  <conditionalFormatting sqref="BI2:BI532">
    <cfRule type="expression" dxfId="57" priority="17">
      <formula>AND(UPPER(TRIM($A2))="CYBERNET",UPPER(TRIM($B2))="YES",LEN(TRIM($BI2))=0)</formula>
    </cfRule>
    <cfRule type="expression" dxfId="56" priority="18">
      <formula>AND(UPPER(TRIM($A2))="CYBERNET",UPPER(TRIM($B2))="YES",LEN(TRIM($BI2))&gt;0)</formula>
    </cfRule>
    <cfRule type="expression" dxfId="55" priority="229">
      <formula>AND(UPPER(TRIM($A2))="CYBERNET",UPPER(TRIM($B2))&lt;&gt;"YES",LEN(TRIM($BI2))=0)</formula>
    </cfRule>
  </conditionalFormatting>
  <conditionalFormatting sqref="BM2:BM532">
    <cfRule type="expression" dxfId="54" priority="25">
      <formula>BI2="Yes"</formula>
    </cfRule>
    <cfRule type="expression" dxfId="53" priority="26">
      <formula>BI2="Blocked"</formula>
    </cfRule>
  </conditionalFormatting>
  <conditionalFormatting sqref="U2:V49 U50:U149 U150:V531 B2:C532">
    <cfRule type="expression" dxfId="52" priority="144">
      <formula>AND($B2="Yes",$BO2="Yes")</formula>
    </cfRule>
    <cfRule type="expression" dxfId="51" priority="150">
      <formula>AND($B2="Yes",$BO2&lt;&gt;"Yes")</formula>
    </cfRule>
  </conditionalFormatting>
  <conditionalFormatting sqref="D2:E532">
    <cfRule type="expression" dxfId="50" priority="146">
      <formula>AND($B2="Yes",$BO2="No")</formula>
    </cfRule>
  </conditionalFormatting>
  <conditionalFormatting sqref="L2:M532">
    <cfRule type="expression" dxfId="49" priority="147">
      <formula>AND($BO2="Yes",$A2&lt;&gt;"Neuron",COUNTBLANK($E2:$P2)&gt;0)</formula>
    </cfRule>
  </conditionalFormatting>
  <conditionalFormatting sqref="T2:T532">
    <cfRule type="expression" dxfId="48" priority="148">
      <formula>AND($BE2&lt;&gt;"",OR($BD2="Yes",$P2&lt;&gt;""))</formula>
    </cfRule>
    <cfRule type="expression" dxfId="47" priority="149">
      <formula>AND($BE2&lt;&gt;"",$BD2&lt;&gt;"Yes",$P2="")</formula>
    </cfRule>
  </conditionalFormatting>
  <conditionalFormatting sqref="U94:U98">
    <cfRule type="expression" dxfId="46" priority="152" stopIfTrue="1">
      <formula>AND(INDEX($A:$BH,ROW(),MATCH("Deployed",$A$1:$BH$1,0))="Yes",LEN(TRIM(R94))=0)</formula>
    </cfRule>
  </conditionalFormatting>
  <conditionalFormatting sqref="AB2:AB532">
    <cfRule type="expression" dxfId="45" priority="154" stopIfTrue="1">
      <formula>AND($B2="Yes",$AB2&lt;&gt;"",LOWER(TRIM($AB2))&lt;&gt;"n/a",LOWER(TRIM($AB2))&lt;&gt;"na",COUNTIFS($AB$2:$AB$532,$AB2,$B$2:$B$532,"Yes")&gt;1)</formula>
    </cfRule>
  </conditionalFormatting>
  <conditionalFormatting sqref="AC2:AC115 AC120:AC508">
    <cfRule type="expression" dxfId="44" priority="155">
      <formula>AND($B2="Yes",$AC2&lt;&gt;"",LOWER(TRIM($AC2))&lt;&gt;"n/a",LOWER(TRIM($AC2))&lt;&gt;"na",COUNTIFS($AC$2:$AC$532,$AC2,$B$2:$B$532,"Yes")&gt;1)</formula>
    </cfRule>
  </conditionalFormatting>
  <conditionalFormatting sqref="AF2:AF532">
    <cfRule type="expression" dxfId="43" priority="157" stopIfTrue="1">
      <formula>AND($B2="Yes",$AF2&lt;&gt;"",LOWER(TRIM($AF2))&lt;&gt;"n/a",LOWER(TRIM($AF2))&lt;&gt;"na",COUNTIFS($AF$2:$AF$532,$AF2,$B$2:$B$532,"Yes")&gt;1)</formula>
    </cfRule>
  </conditionalFormatting>
  <conditionalFormatting sqref="AG2:AG532">
    <cfRule type="expression" dxfId="42" priority="158" stopIfTrue="1">
      <formula>AND($B2="Yes",$AB2&lt;&gt;"",LOWER(TRIM($AB2))&lt;&gt;"n/a",COUNTIFS($AB$2:$AB$532,$AB2,$B$2:$B$532,"Yes")&gt;1)</formula>
    </cfRule>
    <cfRule type="expression" dxfId="41" priority="212">
      <formula>AND(UPPER(TRIM($B2))="YES",LEN(TRIM($AG2))=0)</formula>
    </cfRule>
  </conditionalFormatting>
  <conditionalFormatting sqref="AL2:AL532">
    <cfRule type="expression" dxfId="40" priority="159" stopIfTrue="1">
      <formula>AND($B2="Yes",$K2&lt;&gt;"",LOWER(TRIM($K2))&lt;&gt;"n/a",COUNTIFS($K$2:$K$532,$K2,$B$2:$B$532,"Yes")&gt;1)</formula>
    </cfRule>
    <cfRule type="expression" dxfId="39" priority="210">
      <formula>AND(UPPER(TRIM($B2))="YES",LEN(TRIM($AL2))=0)</formula>
    </cfRule>
  </conditionalFormatting>
  <conditionalFormatting sqref="M2:Q532">
    <cfRule type="expression" dxfId="38" priority="165">
      <formula>AND($A2="Cybernet",$X2&lt;&gt;"",E2="")</formula>
    </cfRule>
  </conditionalFormatting>
  <conditionalFormatting sqref="Z50:Z149">
    <cfRule type="expression" dxfId="37" priority="173" stopIfTrue="1">
      <formula>AND($B50="Yes",$U50&lt;&gt;"",LOWER(TRIM($U50))&lt;&gt;"n/a",COUNTIFS($V$2:$V$532,$U50,$B$2:$B$532,"Yes")&gt;1)</formula>
    </cfRule>
  </conditionalFormatting>
  <conditionalFormatting sqref="U2:V103 U106:V532 U104:U105">
    <cfRule type="expression" dxfId="36" priority="102" stopIfTrue="1">
      <formula>AND($B2="Yes",$U2&lt;&gt;"",LOWER(TRIM($U2))&lt;&gt;"n/a",COUNTIFS($U$2:$U$532,$U2,$B$2:$B$532,"Yes")&gt;1)</formula>
    </cfRule>
  </conditionalFormatting>
  <conditionalFormatting sqref="V104:V105">
    <cfRule type="expression" dxfId="35" priority="197" stopIfTrue="1">
      <formula>AND($B103="Yes",$U103&lt;&gt;"",LOWER(TRIM($U103))&lt;&gt;"n/a",COUNTIFS($U$2:$U$532,$U103,$B$2:$B$532,"Yes")&gt;1)</formula>
    </cfRule>
  </conditionalFormatting>
  <conditionalFormatting sqref="H164">
    <cfRule type="expression" dxfId="34" priority="202" stopIfTrue="1">
      <formula>AND($B164="Yes",$G166&lt;&gt;"",$H164&lt;&gt;"",LOWER(TRIM($G166))&lt;&gt;LOWER(TRIM($H164)))</formula>
    </cfRule>
  </conditionalFormatting>
  <conditionalFormatting sqref="H2:H532">
    <cfRule type="expression" dxfId="33" priority="203">
      <formula>AND(UPPER(TRIM($B2))="YES",LEN(TRIM($H2))=0)</formula>
    </cfRule>
    <cfRule type="expression" dxfId="32" priority="227">
      <formula>AND(LEN(TRIM($A2))&gt;0,UPPER(TRIM($B2))&lt;&gt;"YES",LEN(TRIM($H2))=0)</formula>
    </cfRule>
  </conditionalFormatting>
  <conditionalFormatting sqref="U2:U532">
    <cfRule type="expression" dxfId="31" priority="204">
      <formula>AND(UPPER(TRIM($B2))="YES",UPPER(TRIM($A2))="CYBERNET",LEN(TRIM($U2))=0)</formula>
    </cfRule>
    <cfRule type="expression" dxfId="30" priority="218">
      <formula>AND(UPPER(TRIM($B2))="YES",LEN(TRIM($U2))=0)</formula>
    </cfRule>
    <cfRule type="expression" dxfId="29" priority="228">
      <formula>AND(UPPER(TRIM($A2))="CYBERNET",UPPER(TRIM($B2))&lt;&gt;"YES",LEN(TRIM($U2))=0)</formula>
    </cfRule>
  </conditionalFormatting>
  <conditionalFormatting sqref="V2:V532">
    <cfRule type="expression" dxfId="28" priority="205">
      <formula>AND(UPPER(TRIM($B2))="YES",OR(UPPER(TRIM($A2))="NEURON",UPPER(TRIM($A2))="CYBERNET"),LEN(TRIM($V2))=0)</formula>
    </cfRule>
    <cfRule type="expression" dxfId="27" priority="221">
      <formula>AND(UPPER(TRIM($B2))="YES",LEN(TRIM($V2))=0)</formula>
    </cfRule>
  </conditionalFormatting>
  <conditionalFormatting sqref="L2:L532">
    <cfRule type="expression" dxfId="26" priority="207">
      <formula>AND(UPPER(TRIM($B2))="YES",LEN(TRIM($L2))=0)</formula>
    </cfRule>
  </conditionalFormatting>
  <conditionalFormatting sqref="I2:I532">
    <cfRule type="expression" dxfId="25" priority="208">
      <formula>AND(UPPER(TRIM($B2))="YES",LEN(TRIM($I2))=0)</formula>
    </cfRule>
  </conditionalFormatting>
  <conditionalFormatting sqref="J2:J532">
    <cfRule type="expression" dxfId="24" priority="209">
      <formula>AND(UPPER(TRIM($B2))="YES",LEN(TRIM($J2))=0)</formula>
    </cfRule>
  </conditionalFormatting>
  <conditionalFormatting sqref="AS2:AS532">
    <cfRule type="expression" dxfId="23" priority="211">
      <formula>AND(UPPER(TRIM($B2))="YES",LEN(TRIM($AS2))=0)</formula>
    </cfRule>
  </conditionalFormatting>
  <conditionalFormatting sqref="W2:W532">
    <cfRule type="expression" dxfId="22" priority="213">
      <formula>AND(UPPER(TRIM($B2))="YES",OR(UPPER(TRIM($A2))="NEURON",UPPER(TRIM($A2))="CYBERNET"),LEN(TRIM($W2))=0)</formula>
    </cfRule>
    <cfRule type="expression" dxfId="21" priority="222">
      <formula>AND(UPPER(TRIM($B2))="YES",LEN(TRIM($W2))=0)</formula>
    </cfRule>
  </conditionalFormatting>
  <conditionalFormatting sqref="AK2:AK532">
    <cfRule type="expression" dxfId="20" priority="214">
      <formula>AND(UPPER(TRIM($B2))="YES",LEN(TRIM($AK2))=0)</formula>
    </cfRule>
  </conditionalFormatting>
  <conditionalFormatting sqref="AR2:AR532">
    <cfRule type="expression" dxfId="19" priority="215">
      <formula>AND(UPPER(TRIM($B2))="YES",LEN(TRIM($AR2))=0)</formula>
    </cfRule>
  </conditionalFormatting>
  <conditionalFormatting sqref="C2:C532">
    <cfRule type="expression" dxfId="18" priority="216">
      <formula>AND(UPPER(TRIM($B2))="YES",LEN(TRIM($C2))=0)</formula>
    </cfRule>
    <cfRule type="expression" dxfId="17" priority="224">
      <formula>AND(LEN(TRIM($A2))&gt;0,UPPER(TRIM($B2))&lt;&gt;"YES",LEN(TRIM($C2))=0)</formula>
    </cfRule>
  </conditionalFormatting>
  <conditionalFormatting sqref="G2:G532">
    <cfRule type="expression" dxfId="16" priority="217">
      <formula>AND(UPPER(TRIM($B2))="YES",LEN(TRIM($G2))=0)</formula>
    </cfRule>
    <cfRule type="expression" dxfId="15" priority="226">
      <formula>AND(LEN(TRIM($A2))&gt;0,UPPER(TRIM($B2))&lt;&gt;"YES",LEN(TRIM($G2))=0)</formula>
    </cfRule>
  </conditionalFormatting>
  <conditionalFormatting sqref="AD2:AD532">
    <cfRule type="expression" dxfId="14" priority="223">
      <formula>AND(UPPER(TRIM($B2))="YES",LEN(TRIM($AD2))=0)</formula>
    </cfRule>
  </conditionalFormatting>
  <conditionalFormatting sqref="K2:K532">
    <cfRule type="expression" dxfId="13" priority="225">
      <formula>AND(UPPER(TRIM($B2))="YES",LEN(TRIM($K2))=0)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2362</v>
      </c>
      <c r="B1" s="19" t="s">
        <v>2363</v>
      </c>
      <c r="C1" s="19" t="s">
        <v>2364</v>
      </c>
      <c r="D1" s="19" t="s">
        <v>2365</v>
      </c>
      <c r="E1" s="19" t="s">
        <v>2366</v>
      </c>
      <c r="F1" s="19" t="s">
        <v>2367</v>
      </c>
      <c r="G1" s="19" t="s">
        <v>2368</v>
      </c>
      <c r="H1" s="19" t="s">
        <v>2369</v>
      </c>
      <c r="I1" s="19" t="s">
        <v>1624</v>
      </c>
    </row>
    <row r="2" spans="1:9">
      <c r="A2" t="s">
        <v>1989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2370</v>
      </c>
      <c r="H2" s="17" t="s">
        <v>2371</v>
      </c>
    </row>
    <row r="3" spans="1:9">
      <c r="A3" t="s">
        <v>1869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2372</v>
      </c>
      <c r="H3" t="s">
        <v>2373</v>
      </c>
    </row>
    <row r="4" spans="1:9">
      <c r="A4" t="s">
        <v>2374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2375</v>
      </c>
      <c r="H4" s="17" t="s">
        <v>2376</v>
      </c>
      <c r="I4" t="s">
        <v>2377</v>
      </c>
    </row>
    <row r="5" spans="1:9">
      <c r="A5" t="s">
        <v>2378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2379</v>
      </c>
      <c r="H5" s="17" t="s">
        <v>2376</v>
      </c>
      <c r="I5" t="s">
        <v>2380</v>
      </c>
    </row>
    <row r="6" spans="1:9">
      <c r="A6" t="s">
        <v>2381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2382</v>
      </c>
      <c r="H6" s="17" t="s">
        <v>2376</v>
      </c>
    </row>
    <row r="7" spans="1:9">
      <c r="A7" t="s">
        <v>2383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2384</v>
      </c>
    </row>
    <row r="8" spans="1:9">
      <c r="A8" t="s">
        <v>2385</v>
      </c>
      <c r="B8">
        <v>3</v>
      </c>
      <c r="C8">
        <v>0</v>
      </c>
      <c r="D8" s="54">
        <f t="shared" si="0"/>
        <v>0</v>
      </c>
      <c r="E8" t="s">
        <v>1648</v>
      </c>
      <c r="F8" t="e">
        <f t="shared" ca="1" si="1"/>
        <v>#VALUE!</v>
      </c>
      <c r="G8" t="s">
        <v>2386</v>
      </c>
    </row>
    <row r="9" spans="1:9">
      <c r="A9" t="s">
        <v>2387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2388</v>
      </c>
    </row>
    <row r="10" spans="1:9">
      <c r="A10" t="s">
        <v>2389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2388</v>
      </c>
    </row>
    <row r="11" spans="1:9">
      <c r="A11" t="s">
        <v>2390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2388</v>
      </c>
    </row>
    <row r="12" spans="1:9">
      <c r="A12" t="s">
        <v>2391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2388</v>
      </c>
    </row>
    <row r="13" spans="1:9">
      <c r="A13" t="s">
        <v>2392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2388</v>
      </c>
    </row>
    <row r="14" spans="1:9">
      <c r="A14" t="s">
        <v>2393</v>
      </c>
      <c r="B14">
        <v>6</v>
      </c>
      <c r="C14">
        <v>0</v>
      </c>
      <c r="D14" s="54">
        <f t="shared" si="0"/>
        <v>0</v>
      </c>
      <c r="E14" t="s">
        <v>1648</v>
      </c>
      <c r="F14" t="e">
        <f t="shared" ca="1" si="1"/>
        <v>#VALUE!</v>
      </c>
      <c r="G14" t="s">
        <v>2388</v>
      </c>
    </row>
    <row r="15" spans="1:9">
      <c r="A15" s="18" t="s">
        <v>2394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2395</v>
      </c>
      <c r="B1" s="41" t="s">
        <v>2396</v>
      </c>
      <c r="C1" s="41" t="s">
        <v>1570</v>
      </c>
      <c r="D1" s="41" t="s">
        <v>2397</v>
      </c>
      <c r="E1" s="41" t="s">
        <v>2398</v>
      </c>
      <c r="F1" s="41" t="s">
        <v>2399</v>
      </c>
      <c r="G1" s="41" t="s">
        <v>1595</v>
      </c>
      <c r="H1" s="41" t="s">
        <v>1</v>
      </c>
      <c r="I1" s="41" t="s">
        <v>1596</v>
      </c>
      <c r="J1" s="41" t="s">
        <v>1597</v>
      </c>
      <c r="K1" s="41" t="s">
        <v>1590</v>
      </c>
      <c r="L1" s="41" t="s">
        <v>1575</v>
      </c>
      <c r="M1" s="41" t="s">
        <v>2400</v>
      </c>
      <c r="N1" s="41" t="s">
        <v>1576</v>
      </c>
      <c r="O1" s="41" t="s">
        <v>1577</v>
      </c>
      <c r="P1" s="41" t="s">
        <v>1578</v>
      </c>
      <c r="Q1" s="41" t="s">
        <v>2401</v>
      </c>
      <c r="R1" s="41" t="s">
        <v>1612</v>
      </c>
      <c r="S1" s="41" t="s">
        <v>1611</v>
      </c>
      <c r="T1" s="41" t="s">
        <v>2402</v>
      </c>
      <c r="U1" s="41" t="s">
        <v>1610</v>
      </c>
      <c r="V1" s="41" t="s">
        <v>1614</v>
      </c>
      <c r="W1" s="41" t="s">
        <v>1615</v>
      </c>
      <c r="X1" s="41" t="s">
        <v>1622</v>
      </c>
      <c r="Y1" s="41" t="s">
        <v>403</v>
      </c>
      <c r="Z1" s="41" t="s">
        <v>1582</v>
      </c>
      <c r="AA1" s="41" t="s">
        <v>2403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IF(Deployments!AH2="","",Deployments!AH2)</f>
        <v>Ground Level/Dialysis</v>
      </c>
      <c r="E2" s="21" t="str">
        <f>IF(Deployments!I2="","",Deployments!I2)</f>
        <v>Open Patient Area</v>
      </c>
      <c r="F2" s="21">
        <f>IF(Deployments!J2="","",Deployments!J2)</f>
        <v>1</v>
      </c>
      <c r="G2" s="21" t="str">
        <f>IF(Deployments!K2="","",Deployments!K2)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IF(Deployments!AD2="","",Deployments!AD2)</f>
        <v>Dialysis Machine</v>
      </c>
      <c r="L2" s="21" t="str">
        <f>IF(Deployments!M2="","",Deployments!M2)</f>
        <v>Describe the environment in which we're deploying:
For ex, input:
"
OR iPro Cybernet Workstation
"</v>
      </c>
      <c r="M2" s="22"/>
      <c r="N2" s="21" t="str">
        <f>IF(Deployments!N2="","",Deployments!N2)</f>
        <v>NA</v>
      </c>
      <c r="O2" s="21" t="str">
        <f>IF(Deployments!O2="","",Deployments!O2)</f>
        <v>NA</v>
      </c>
      <c r="P2" s="21" t="str">
        <f>IF(Deployments!P2="","",Deployments!P2)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IF(Deployments!T2="","",Deployments!T2)</f>
        <v/>
      </c>
      <c r="AA2" s="21" t="str">
        <f>IF(Deployments!L2="","",Deployments!L2)</f>
        <v/>
      </c>
      <c r="AC2" t="s">
        <v>1844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IF(Deployments!AH3="","",Deployments!AH3)</f>
        <v>Ground Level/Dialysis</v>
      </c>
      <c r="E3" s="21" t="str">
        <f>IF(Deployments!I3="","",Deployments!I3)</f>
        <v>Open Patient Area</v>
      </c>
      <c r="F3" s="21">
        <f>IF(Deployments!J3="","",Deployments!J3)</f>
        <v>2</v>
      </c>
      <c r="G3" s="21" t="str">
        <f>IF(Deployments!K3="","",Deployments!K3)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IF(Deployments!AD3="","",Deployments!AD3)</f>
        <v>Dialysis Machine</v>
      </c>
      <c r="L3" s="21" t="str">
        <f>IF(Deployments!M3="","",Deployments!M3)</f>
        <v/>
      </c>
      <c r="M3" s="22"/>
      <c r="N3" s="21" t="str">
        <f>IF(Deployments!N3="","",Deployments!N3)</f>
        <v>NA</v>
      </c>
      <c r="O3" s="21" t="str">
        <f>IF(Deployments!O3="","",Deployments!O3)</f>
        <v>NA</v>
      </c>
      <c r="P3" s="21" t="str">
        <f>IF(Deployments!P3="","",Deployments!P3)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IF(Deployments!T3="","",Deployments!T3)</f>
        <v/>
      </c>
      <c r="AA3" s="21" t="str">
        <f>IF(Deployments!L3="","",Deployments!L3)</f>
        <v/>
      </c>
      <c r="AC3" t="s">
        <v>1545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IF(Deployments!AH4="","",Deployments!AH4)</f>
        <v>Ground Level/Dialysis</v>
      </c>
      <c r="E4" s="21" t="str">
        <f>IF(Deployments!I4="","",Deployments!I4)</f>
        <v>Open Patient Area</v>
      </c>
      <c r="F4" s="21">
        <f>IF(Deployments!J4="","",Deployments!J4)</f>
        <v>3</v>
      </c>
      <c r="G4" s="21" t="str">
        <f>IF(Deployments!K4="","",Deployments!K4)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IF(Deployments!AD4="","",Deployments!AD4)</f>
        <v>Dialysis Machine</v>
      </c>
      <c r="L4" s="21" t="str">
        <f>IF(Deployments!M4="","",Deployments!M4)</f>
        <v/>
      </c>
      <c r="M4" s="22"/>
      <c r="N4" s="21" t="str">
        <f>IF(Deployments!N4="","",Deployments!N4)</f>
        <v>NA</v>
      </c>
      <c r="O4" s="21" t="str">
        <f>IF(Deployments!O4="","",Deployments!O4)</f>
        <v>NA</v>
      </c>
      <c r="P4" s="21" t="str">
        <f>IF(Deployments!P4="","",Deployments!P4)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IF(Deployments!T4="","",Deployments!T4)</f>
        <v/>
      </c>
      <c r="AA4" s="21" t="str">
        <f>IF(Deployments!L4="","",Deployments!L4)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IF(Deployments!AH5="","",Deployments!AH5)</f>
        <v>Ground Level/Dialysis</v>
      </c>
      <c r="E5" s="21" t="str">
        <f>IF(Deployments!I5="","",Deployments!I5)</f>
        <v>Open Patient Area</v>
      </c>
      <c r="F5" s="21">
        <f>IF(Deployments!J5="","",Deployments!J5)</f>
        <v>4</v>
      </c>
      <c r="G5" s="21" t="str">
        <f>IF(Deployments!K5="","",Deployments!K5)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IF(Deployments!AD5="","",Deployments!AD5)</f>
        <v>Dialysis Machine</v>
      </c>
      <c r="L5" s="21" t="str">
        <f>IF(Deployments!M5="","",Deployments!M5)</f>
        <v/>
      </c>
      <c r="M5" s="22"/>
      <c r="N5" s="21" t="str">
        <f>IF(Deployments!N5="","",Deployments!N5)</f>
        <v>NA</v>
      </c>
      <c r="O5" s="21" t="str">
        <f>IF(Deployments!O5="","",Deployments!O5)</f>
        <v>NA</v>
      </c>
      <c r="P5" s="21" t="str">
        <f>IF(Deployments!P5="","",Deployments!P5)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IF(Deployments!T5="","",Deployments!T5)</f>
        <v/>
      </c>
      <c r="AA5" s="21" t="str">
        <f>IF(Deployments!L5="","",Deployments!L5)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IF(Deployments!AH6="","",Deployments!AH6)</f>
        <v>Ground Level/Dialysis</v>
      </c>
      <c r="E6" s="21" t="str">
        <f>IF(Deployments!I6="","",Deployments!I6)</f>
        <v>Open Patient Area</v>
      </c>
      <c r="F6" s="21">
        <f>IF(Deployments!J6="","",Deployments!J6)</f>
        <v>5</v>
      </c>
      <c r="G6" s="21" t="str">
        <f>IF(Deployments!K6="","",Deployments!K6)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IF(Deployments!AD6="","",Deployments!AD6)</f>
        <v>Dialysis Machine</v>
      </c>
      <c r="L6" s="21" t="str">
        <f>IF(Deployments!M6="","",Deployments!M6)</f>
        <v/>
      </c>
      <c r="M6" s="22"/>
      <c r="N6" s="21" t="str">
        <f>IF(Deployments!N6="","",Deployments!N6)</f>
        <v>NA</v>
      </c>
      <c r="O6" s="21" t="str">
        <f>IF(Deployments!O6="","",Deployments!O6)</f>
        <v>NA</v>
      </c>
      <c r="P6" s="21" t="str">
        <f>IF(Deployments!P6="","",Deployments!P6)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IF(Deployments!T6="","",Deployments!T6)</f>
        <v/>
      </c>
      <c r="AA6" s="21" t="str">
        <f>IF(Deployments!L6="","",Deployments!L6)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IF(Deployments!AH7="","",Deployments!AH7)</f>
        <v>Ground Level/Dialysis</v>
      </c>
      <c r="E7" s="21" t="str">
        <f>IF(Deployments!I7="","",Deployments!I7)</f>
        <v>Open Patient Area</v>
      </c>
      <c r="F7" s="21">
        <f>IF(Deployments!J7="","",Deployments!J7)</f>
        <v>6</v>
      </c>
      <c r="G7" s="21" t="str">
        <f>IF(Deployments!K7="","",Deployments!K7)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IF(Deployments!AD7="","",Deployments!AD7)</f>
        <v>Dialysis Machine</v>
      </c>
      <c r="L7" s="21" t="str">
        <f>IF(Deployments!M7="","",Deployments!M7)</f>
        <v/>
      </c>
      <c r="M7" s="22"/>
      <c r="N7" s="21" t="str">
        <f>IF(Deployments!N7="","",Deployments!N7)</f>
        <v>NA</v>
      </c>
      <c r="O7" s="21" t="str">
        <f>IF(Deployments!O7="","",Deployments!O7)</f>
        <v>NA</v>
      </c>
      <c r="P7" s="21" t="str">
        <f>IF(Deployments!P7="","",Deployments!P7)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IF(Deployments!T7="","",Deployments!T7)</f>
        <v/>
      </c>
      <c r="AA7" s="21" t="str">
        <f>IF(Deployments!L7="","",Deployments!L7)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IF(Deployments!AH8="","",Deployments!AH8)</f>
        <v>Ground Level/Dialysis</v>
      </c>
      <c r="E8" s="21" t="str">
        <f>IF(Deployments!I8="","",Deployments!I8)</f>
        <v>Open Patient Area</v>
      </c>
      <c r="F8" s="21">
        <f>IF(Deployments!J8="","",Deployments!J8)</f>
        <v>7</v>
      </c>
      <c r="G8" s="21" t="str">
        <f>IF(Deployments!K8="","",Deployments!K8)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IF(Deployments!AD8="","",Deployments!AD8)</f>
        <v>Dialysis Machine</v>
      </c>
      <c r="L8" s="21" t="str">
        <f>IF(Deployments!M8="","",Deployments!M8)</f>
        <v/>
      </c>
      <c r="M8" s="22"/>
      <c r="N8" s="21" t="str">
        <f>IF(Deployments!N8="","",Deployments!N8)</f>
        <v>NA</v>
      </c>
      <c r="O8" s="21" t="str">
        <f>IF(Deployments!O8="","",Deployments!O8)</f>
        <v>NA</v>
      </c>
      <c r="P8" s="21" t="str">
        <f>IF(Deployments!P8="","",Deployments!P8)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IF(Deployments!T8="","",Deployments!T8)</f>
        <v/>
      </c>
      <c r="AA8" s="21" t="str">
        <f>IF(Deployments!L8="","",Deployments!L8)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IF(Deployments!AH9="","",Deployments!AH9)</f>
        <v>Ground Level/Dialysis</v>
      </c>
      <c r="E9" s="21" t="str">
        <f>IF(Deployments!I9="","",Deployments!I9)</f>
        <v>Open Patient Area</v>
      </c>
      <c r="F9" s="21">
        <f>IF(Deployments!J9="","",Deployments!J9)</f>
        <v>8</v>
      </c>
      <c r="G9" s="21" t="str">
        <f>IF(Deployments!K9="","",Deployments!K9)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IF(Deployments!AD9="","",Deployments!AD9)</f>
        <v>Dialysis Machine</v>
      </c>
      <c r="L9" s="21" t="str">
        <f>IF(Deployments!M9="","",Deployments!M9)</f>
        <v/>
      </c>
      <c r="M9" s="22"/>
      <c r="N9" s="21" t="str">
        <f>IF(Deployments!N9="","",Deployments!N9)</f>
        <v>NA</v>
      </c>
      <c r="O9" s="21" t="str">
        <f>IF(Deployments!O9="","",Deployments!O9)</f>
        <v>NA</v>
      </c>
      <c r="P9" s="21" t="str">
        <f>IF(Deployments!P9="","",Deployments!P9)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IF(Deployments!T9="","",Deployments!T9)</f>
        <v/>
      </c>
      <c r="AA9" s="21" t="str">
        <f>IF(Deployments!L9="","",Deployments!L9)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IF(Deployments!AH10="","",Deployments!AH10)</f>
        <v>Ground Level/Dialysis</v>
      </c>
      <c r="E10" s="21" t="str">
        <f>IF(Deployments!I10="","",Deployments!I10)</f>
        <v>Open Patient Area</v>
      </c>
      <c r="F10" s="21">
        <f>IF(Deployments!J10="","",Deployments!J10)</f>
        <v>9</v>
      </c>
      <c r="G10" s="21" t="str">
        <f>IF(Deployments!K10="","",Deployments!K10)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IF(Deployments!AD10="","",Deployments!AD10)</f>
        <v>Dialysis Machine</v>
      </c>
      <c r="L10" s="21" t="str">
        <f>IF(Deployments!M10="","",Deployments!M10)</f>
        <v/>
      </c>
      <c r="M10" s="22"/>
      <c r="N10" s="21" t="str">
        <f>IF(Deployments!N10="","",Deployments!N10)</f>
        <v>NA</v>
      </c>
      <c r="O10" s="21" t="str">
        <f>IF(Deployments!O10="","",Deployments!O10)</f>
        <v>NA</v>
      </c>
      <c r="P10" s="21" t="str">
        <f>IF(Deployments!P10="","",Deployments!P10)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IF(Deployments!T10="","",Deployments!T10)</f>
        <v/>
      </c>
      <c r="AA10" s="21" t="str">
        <f>IF(Deployments!L10="","",Deployments!L10)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IF(Deployments!AH11="","",Deployments!AH11)</f>
        <v>Ground Level/Dialysis</v>
      </c>
      <c r="E11" s="21" t="str">
        <f>IF(Deployments!I11="","",Deployments!I11)</f>
        <v>Open Patient Area</v>
      </c>
      <c r="F11" s="21">
        <f>IF(Deployments!J11="","",Deployments!J11)</f>
        <v>10</v>
      </c>
      <c r="G11" s="21" t="str">
        <f>IF(Deployments!K11="","",Deployments!K11)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IF(Deployments!AD11="","",Deployments!AD11)</f>
        <v>Dialysis Machine</v>
      </c>
      <c r="L11" s="21" t="str">
        <f>IF(Deployments!M11="","",Deployments!M11)</f>
        <v/>
      </c>
      <c r="M11" s="22"/>
      <c r="N11" s="21" t="str">
        <f>IF(Deployments!N11="","",Deployments!N11)</f>
        <v>NA</v>
      </c>
      <c r="O11" s="21" t="str">
        <f>IF(Deployments!O11="","",Deployments!O11)</f>
        <v>NA</v>
      </c>
      <c r="P11" s="21" t="str">
        <f>IF(Deployments!P11="","",Deployments!P11)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IF(Deployments!T11="","",Deployments!T11)</f>
        <v/>
      </c>
      <c r="AA11" s="21" t="str">
        <f>IF(Deployments!L11="","",Deployments!L11)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IF(Deployments!AH12="","",Deployments!AH12)</f>
        <v>Ground Level/Dialysis</v>
      </c>
      <c r="E12" s="21" t="str">
        <f>IF(Deployments!I12="","",Deployments!I12)</f>
        <v>Open Patient Area</v>
      </c>
      <c r="F12" s="21">
        <f>IF(Deployments!J12="","",Deployments!J12)</f>
        <v>11</v>
      </c>
      <c r="G12" s="21" t="str">
        <f>IF(Deployments!K12="","",Deployments!K12)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IF(Deployments!AD12="","",Deployments!AD12)</f>
        <v>Dialysis Machine</v>
      </c>
      <c r="L12" s="21" t="str">
        <f>IF(Deployments!M12="","",Deployments!M12)</f>
        <v/>
      </c>
      <c r="M12" s="22"/>
      <c r="N12" s="21" t="str">
        <f>IF(Deployments!N12="","",Deployments!N12)</f>
        <v>NA</v>
      </c>
      <c r="O12" s="21" t="str">
        <f>IF(Deployments!O12="","",Deployments!O12)</f>
        <v>NA</v>
      </c>
      <c r="P12" s="21" t="str">
        <f>IF(Deployments!P12="","",Deployments!P12)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IF(Deployments!T12="","",Deployments!T12)</f>
        <v/>
      </c>
      <c r="AA12" s="21" t="str">
        <f>IF(Deployments!L12="","",Deployments!L12)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IF(Deployments!AH13="","",Deployments!AH13)</f>
        <v>Ground Level/Dialysis</v>
      </c>
      <c r="E13" s="21" t="str">
        <f>IF(Deployments!I13="","",Deployments!I13)</f>
        <v>Open Patient Area</v>
      </c>
      <c r="F13" s="21">
        <f>IF(Deployments!J13="","",Deployments!J13)</f>
        <v>12</v>
      </c>
      <c r="G13" s="21" t="str">
        <f>IF(Deployments!K13="","",Deployments!K13)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IF(Deployments!AD13="","",Deployments!AD13)</f>
        <v>Dialysis Machine</v>
      </c>
      <c r="L13" s="21" t="str">
        <f>IF(Deployments!M13="","",Deployments!M13)</f>
        <v/>
      </c>
      <c r="M13" s="22"/>
      <c r="N13" s="21" t="str">
        <f>IF(Deployments!N13="","",Deployments!N13)</f>
        <v>NA</v>
      </c>
      <c r="O13" s="21" t="str">
        <f>IF(Deployments!O13="","",Deployments!O13)</f>
        <v>NA</v>
      </c>
      <c r="P13" s="21" t="str">
        <f>IF(Deployments!P13="","",Deployments!P13)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IF(Deployments!T13="","",Deployments!T13)</f>
        <v/>
      </c>
      <c r="AA13" s="21" t="str">
        <f>IF(Deployments!L13="","",Deployments!L13)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IF(Deployments!AH14="","",Deployments!AH14)</f>
        <v>Ground Level/Dialysis</v>
      </c>
      <c r="E14" s="21" t="str">
        <f>IF(Deployments!I14="","",Deployments!I14)</f>
        <v>Open Patient Area</v>
      </c>
      <c r="F14" s="21">
        <f>IF(Deployments!J14="","",Deployments!J14)</f>
        <v>13</v>
      </c>
      <c r="G14" s="21" t="str">
        <f>IF(Deployments!K14="","",Deployments!K14)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IF(Deployments!AD14="","",Deployments!AD14)</f>
        <v>Dialysis Machine</v>
      </c>
      <c r="L14" s="21" t="str">
        <f>IF(Deployments!M14="","",Deployments!M14)</f>
        <v/>
      </c>
      <c r="M14" s="22"/>
      <c r="N14" s="21" t="str">
        <f>IF(Deployments!N14="","",Deployments!N14)</f>
        <v>NA</v>
      </c>
      <c r="O14" s="21" t="str">
        <f>IF(Deployments!O14="","",Deployments!O14)</f>
        <v>NA</v>
      </c>
      <c r="P14" s="21" t="str">
        <f>IF(Deployments!P14="","",Deployments!P14)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IF(Deployments!T14="","",Deployments!T14)</f>
        <v/>
      </c>
      <c r="AA14" s="21" t="str">
        <f>IF(Deployments!L14="","",Deployments!L14)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IF(Deployments!AH15="","",Deployments!AH15)</f>
        <v>Ground Level/Dialysis</v>
      </c>
      <c r="E15" s="21" t="str">
        <f>IF(Deployments!I15="","",Deployments!I15)</f>
        <v>Open Patient Area</v>
      </c>
      <c r="F15" s="21">
        <f>IF(Deployments!J15="","",Deployments!J15)</f>
        <v>14</v>
      </c>
      <c r="G15" s="21" t="str">
        <f>IF(Deployments!K15="","",Deployments!K15)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IF(Deployments!AD15="","",Deployments!AD15)</f>
        <v>Dialysis Machine</v>
      </c>
      <c r="L15" s="21" t="str">
        <f>IF(Deployments!M15="","",Deployments!M15)</f>
        <v/>
      </c>
      <c r="M15" s="22"/>
      <c r="N15" s="21" t="str">
        <f>IF(Deployments!N15="","",Deployments!N15)</f>
        <v>NA</v>
      </c>
      <c r="O15" s="21" t="str">
        <f>IF(Deployments!O15="","",Deployments!O15)</f>
        <v>NA</v>
      </c>
      <c r="P15" s="21" t="str">
        <f>IF(Deployments!P15="","",Deployments!P15)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IF(Deployments!T15="","",Deployments!T15)</f>
        <v/>
      </c>
      <c r="AA15" s="21" t="str">
        <f>IF(Deployments!L15="","",Deployments!L15)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IF(Deployments!AH16="","",Deployments!AH16)</f>
        <v>Ground Level/Dialysis</v>
      </c>
      <c r="E16" s="21" t="str">
        <f>IF(Deployments!I16="","",Deployments!I16)</f>
        <v>Open Patient Area</v>
      </c>
      <c r="F16" s="21">
        <f>IF(Deployments!J16="","",Deployments!J16)</f>
        <v>15</v>
      </c>
      <c r="G16" s="21" t="str">
        <f>IF(Deployments!K16="","",Deployments!K16)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IF(Deployments!AD16="","",Deployments!AD16)</f>
        <v>Dialysis Machine</v>
      </c>
      <c r="L16" s="21" t="str">
        <f>IF(Deployments!M16="","",Deployments!M16)</f>
        <v/>
      </c>
      <c r="M16" s="22"/>
      <c r="N16" s="21" t="str">
        <f>IF(Deployments!N16="","",Deployments!N16)</f>
        <v>NA</v>
      </c>
      <c r="O16" s="21" t="str">
        <f>IF(Deployments!O16="","",Deployments!O16)</f>
        <v>NA</v>
      </c>
      <c r="P16" s="21" t="str">
        <f>IF(Deployments!P16="","",Deployments!P16)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IF(Deployments!T16="","",Deployments!T16)</f>
        <v/>
      </c>
      <c r="AA16" s="21" t="str">
        <f>IF(Deployments!L16="","",Deployments!L16)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IF(Deployments!AH17="","",Deployments!AH17)</f>
        <v>Ground Level/Dialysis</v>
      </c>
      <c r="E17" s="21" t="str">
        <f>IF(Deployments!I17="","",Deployments!I17)</f>
        <v>Open Patient Area</v>
      </c>
      <c r="F17" s="21">
        <f>IF(Deployments!J17="","",Deployments!J17)</f>
        <v>16</v>
      </c>
      <c r="G17" s="21" t="str">
        <f>IF(Deployments!K17="","",Deployments!K17)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IF(Deployments!AD17="","",Deployments!AD17)</f>
        <v>Dialysis Machine</v>
      </c>
      <c r="L17" s="21" t="str">
        <f>IF(Deployments!M17="","",Deployments!M17)</f>
        <v/>
      </c>
      <c r="M17" s="22"/>
      <c r="N17" s="21" t="str">
        <f>IF(Deployments!N17="","",Deployments!N17)</f>
        <v>NA</v>
      </c>
      <c r="O17" s="21" t="str">
        <f>IF(Deployments!O17="","",Deployments!O17)</f>
        <v>NA</v>
      </c>
      <c r="P17" s="21" t="str">
        <f>IF(Deployments!P17="","",Deployments!P17)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IF(Deployments!T17="","",Deployments!T17)</f>
        <v/>
      </c>
      <c r="AA17" s="21" t="str">
        <f>IF(Deployments!L17="","",Deployments!L17)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IF(Deployments!AH18="","",Deployments!AH18)</f>
        <v>Ground Level/Dialysis</v>
      </c>
      <c r="E18" s="21" t="str">
        <f>IF(Deployments!I18="","",Deployments!I18)</f>
        <v>Open Patient Area</v>
      </c>
      <c r="F18" s="21">
        <f>IF(Deployments!J18="","",Deployments!J18)</f>
        <v>17</v>
      </c>
      <c r="G18" s="21" t="str">
        <f>IF(Deployments!K18="","",Deployments!K18)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IF(Deployments!AD18="","",Deployments!AD18)</f>
        <v>Dialysis Machine</v>
      </c>
      <c r="L18" s="21" t="str">
        <f>IF(Deployments!M18="","",Deployments!M18)</f>
        <v/>
      </c>
      <c r="M18" s="22"/>
      <c r="N18" s="21" t="str">
        <f>IF(Deployments!N18="","",Deployments!N18)</f>
        <v>NA</v>
      </c>
      <c r="O18" s="21" t="str">
        <f>IF(Deployments!O18="","",Deployments!O18)</f>
        <v>NA</v>
      </c>
      <c r="P18" s="21" t="str">
        <f>IF(Deployments!P18="","",Deployments!P18)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IF(Deployments!T18="","",Deployments!T18)</f>
        <v/>
      </c>
      <c r="AA18" s="21" t="str">
        <f>IF(Deployments!L18="","",Deployments!L18)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IF(Deployments!AH19="","",Deployments!AH19)</f>
        <v>Ground Level/Dialysis</v>
      </c>
      <c r="E19" s="21" t="str">
        <f>IF(Deployments!I19="","",Deployments!I19)</f>
        <v>Open Patient Area</v>
      </c>
      <c r="F19" s="21">
        <f>IF(Deployments!J19="","",Deployments!J19)</f>
        <v>18</v>
      </c>
      <c r="G19" s="21" t="str">
        <f>IF(Deployments!K19="","",Deployments!K19)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IF(Deployments!AD19="","",Deployments!AD19)</f>
        <v>Dialysis Machine</v>
      </c>
      <c r="L19" s="21" t="str">
        <f>IF(Deployments!M19="","",Deployments!M19)</f>
        <v/>
      </c>
      <c r="M19" s="22"/>
      <c r="N19" s="21" t="str">
        <f>IF(Deployments!N19="","",Deployments!N19)</f>
        <v>NA</v>
      </c>
      <c r="O19" s="21" t="str">
        <f>IF(Deployments!O19="","",Deployments!O19)</f>
        <v>NA</v>
      </c>
      <c r="P19" s="21" t="str">
        <f>IF(Deployments!P19="","",Deployments!P19)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IF(Deployments!T19="","",Deployments!T19)</f>
        <v/>
      </c>
      <c r="AA19" s="21" t="str">
        <f>IF(Deployments!L19="","",Deployments!L19)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IF(Deployments!AH20="","",Deployments!AH20)</f>
        <v>Ground Level/Dialysis</v>
      </c>
      <c r="E20" s="21" t="str">
        <f>IF(Deployments!I20="","",Deployments!I20)</f>
        <v>Open Patient Area</v>
      </c>
      <c r="F20" s="21">
        <f>IF(Deployments!J20="","",Deployments!J20)</f>
        <v>19</v>
      </c>
      <c r="G20" s="21" t="str">
        <f>IF(Deployments!K20="","",Deployments!K20)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IF(Deployments!AD20="","",Deployments!AD20)</f>
        <v>Dialysis Machine</v>
      </c>
      <c r="L20" s="21" t="str">
        <f>IF(Deployments!M20="","",Deployments!M20)</f>
        <v/>
      </c>
      <c r="M20" s="22"/>
      <c r="N20" s="21" t="str">
        <f>IF(Deployments!N20="","",Deployments!N20)</f>
        <v>NA</v>
      </c>
      <c r="O20" s="21" t="str">
        <f>IF(Deployments!O20="","",Deployments!O20)</f>
        <v>NA</v>
      </c>
      <c r="P20" s="21" t="str">
        <f>IF(Deployments!P20="","",Deployments!P20)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IF(Deployments!T20="","",Deployments!T20)</f>
        <v/>
      </c>
      <c r="AA20" s="21" t="str">
        <f>IF(Deployments!L20="","",Deployments!L20)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IF(Deployments!AH21="","",Deployments!AH21)</f>
        <v>Ground Level/Dialysis</v>
      </c>
      <c r="E21" s="21" t="str">
        <f>IF(Deployments!I21="","",Deployments!I21)</f>
        <v>Open Patient Area</v>
      </c>
      <c r="F21" s="21">
        <f>IF(Deployments!J21="","",Deployments!J21)</f>
        <v>20</v>
      </c>
      <c r="G21" s="21" t="str">
        <f>IF(Deployments!K21="","",Deployments!K21)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IF(Deployments!AD21="","",Deployments!AD21)</f>
        <v>Dialysis Machine</v>
      </c>
      <c r="L21" s="21" t="str">
        <f>IF(Deployments!M21="","",Deployments!M21)</f>
        <v/>
      </c>
      <c r="M21" s="22"/>
      <c r="N21" s="21" t="str">
        <f>IF(Deployments!N21="","",Deployments!N21)</f>
        <v>NA</v>
      </c>
      <c r="O21" s="21" t="str">
        <f>IF(Deployments!O21="","",Deployments!O21)</f>
        <v>NA</v>
      </c>
      <c r="P21" s="21" t="str">
        <f>IF(Deployments!P21="","",Deployments!P21)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IF(Deployments!T21="","",Deployments!T21)</f>
        <v/>
      </c>
      <c r="AA21" s="21" t="str">
        <f>IF(Deployments!L21="","",Deployments!L21)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IF(Deployments!AH22="","",Deployments!AH22)</f>
        <v>Ground Level/Dialysis</v>
      </c>
      <c r="E22" s="21" t="str">
        <f>IF(Deployments!I22="","",Deployments!I22)</f>
        <v>Open Patient Area</v>
      </c>
      <c r="F22" s="21">
        <f>IF(Deployments!J22="","",Deployments!J22)</f>
        <v>21</v>
      </c>
      <c r="G22" s="21" t="str">
        <f>IF(Deployments!K22="","",Deployments!K22)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IF(Deployments!AD22="","",Deployments!AD22)</f>
        <v>Dialysis Machine</v>
      </c>
      <c r="L22" s="21" t="str">
        <f>IF(Deployments!M22="","",Deployments!M22)</f>
        <v/>
      </c>
      <c r="M22" s="22"/>
      <c r="N22" s="21" t="str">
        <f>IF(Deployments!N22="","",Deployments!N22)</f>
        <v>NA</v>
      </c>
      <c r="O22" s="21" t="str">
        <f>IF(Deployments!O22="","",Deployments!O22)</f>
        <v>NA</v>
      </c>
      <c r="P22" s="21" t="str">
        <f>IF(Deployments!P22="","",Deployments!P22)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IF(Deployments!T22="","",Deployments!T22)</f>
        <v/>
      </c>
      <c r="AA22" s="21" t="str">
        <f>IF(Deployments!L22="","",Deployments!L22)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IF(Deployments!AH23="","",Deployments!AH23)</f>
        <v>Ground Level/Dialysis</v>
      </c>
      <c r="E23" s="21" t="str">
        <f>IF(Deployments!I23="","",Deployments!I23)</f>
        <v>Open Patient Area</v>
      </c>
      <c r="F23" s="21">
        <f>IF(Deployments!J23="","",Deployments!J23)</f>
        <v>22</v>
      </c>
      <c r="G23" s="21" t="str">
        <f>IF(Deployments!K23="","",Deployments!K23)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IF(Deployments!AD23="","",Deployments!AD23)</f>
        <v>Dialysis Machine</v>
      </c>
      <c r="L23" s="21" t="str">
        <f>IF(Deployments!M23="","",Deployments!M23)</f>
        <v/>
      </c>
      <c r="M23" s="22"/>
      <c r="N23" s="21" t="str">
        <f>IF(Deployments!N23="","",Deployments!N23)</f>
        <v>NA</v>
      </c>
      <c r="O23" s="21" t="str">
        <f>IF(Deployments!O23="","",Deployments!O23)</f>
        <v>NA</v>
      </c>
      <c r="P23" s="21" t="str">
        <f>IF(Deployments!P23="","",Deployments!P23)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IF(Deployments!T23="","",Deployments!T23)</f>
        <v/>
      </c>
      <c r="AA23" s="21" t="str">
        <f>IF(Deployments!L23="","",Deployments!L23)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IF(Deployments!AH24="","",Deployments!AH24)</f>
        <v>Ground Level/Dialysis</v>
      </c>
      <c r="E24" s="21" t="str">
        <f>IF(Deployments!I24="","",Deployments!I24)</f>
        <v>Open Patient Area</v>
      </c>
      <c r="F24" s="21">
        <f>IF(Deployments!J24="","",Deployments!J24)</f>
        <v>23</v>
      </c>
      <c r="G24" s="21" t="str">
        <f>IF(Deployments!K24="","",Deployments!K24)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IF(Deployments!AD24="","",Deployments!AD24)</f>
        <v>Dialysis Machine</v>
      </c>
      <c r="L24" s="21" t="str">
        <f>IF(Deployments!M24="","",Deployments!M24)</f>
        <v/>
      </c>
      <c r="M24" s="22"/>
      <c r="N24" s="21" t="str">
        <f>IF(Deployments!N24="","",Deployments!N24)</f>
        <v>NA</v>
      </c>
      <c r="O24" s="21" t="str">
        <f>IF(Deployments!O24="","",Deployments!O24)</f>
        <v>NA</v>
      </c>
      <c r="P24" s="21" t="str">
        <f>IF(Deployments!P24="","",Deployments!P24)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IF(Deployments!T24="","",Deployments!T24)</f>
        <v/>
      </c>
      <c r="AA24" s="21" t="str">
        <f>IF(Deployments!L24="","",Deployments!L24)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IF(Deployments!AH25="","",Deployments!AH25)</f>
        <v>Ground Level/Dialysis</v>
      </c>
      <c r="E25" s="21" t="str">
        <f>IF(Deployments!I25="","",Deployments!I25)</f>
        <v>Open Patient Area</v>
      </c>
      <c r="F25" s="21">
        <f>IF(Deployments!J25="","",Deployments!J25)</f>
        <v>24</v>
      </c>
      <c r="G25" s="21" t="str">
        <f>IF(Deployments!K25="","",Deployments!K25)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IF(Deployments!AD25="","",Deployments!AD25)</f>
        <v>Dialysis Machine</v>
      </c>
      <c r="L25" s="21" t="str">
        <f>IF(Deployments!M25="","",Deployments!M25)</f>
        <v/>
      </c>
      <c r="M25" s="22"/>
      <c r="N25" s="21" t="str">
        <f>IF(Deployments!N25="","",Deployments!N25)</f>
        <v>NA</v>
      </c>
      <c r="O25" s="21" t="str">
        <f>IF(Deployments!O25="","",Deployments!O25)</f>
        <v>NA</v>
      </c>
      <c r="P25" s="21" t="str">
        <f>IF(Deployments!P25="","",Deployments!P25)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IF(Deployments!T25="","",Deployments!T25)</f>
        <v/>
      </c>
      <c r="AA25" s="21" t="str">
        <f>IF(Deployments!L25="","",Deployments!L25)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IF(Deployments!AH26="","",Deployments!AH26)</f>
        <v>Ground Level/Dialysis</v>
      </c>
      <c r="E26" s="21" t="str">
        <f>IF(Deployments!I26="","",Deployments!I26)</f>
        <v>Open Patient Area</v>
      </c>
      <c r="F26" s="21">
        <f>IF(Deployments!J26="","",Deployments!J26)</f>
        <v>25</v>
      </c>
      <c r="G26" s="21" t="str">
        <f>IF(Deployments!K26="","",Deployments!K26)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IF(Deployments!AD26="","",Deployments!AD26)</f>
        <v>Dialysis Machine</v>
      </c>
      <c r="L26" s="21" t="str">
        <f>IF(Deployments!M26="","",Deployments!M26)</f>
        <v/>
      </c>
      <c r="M26" s="22"/>
      <c r="N26" s="21" t="str">
        <f>IF(Deployments!N26="","",Deployments!N26)</f>
        <v>NA</v>
      </c>
      <c r="O26" s="21" t="str">
        <f>IF(Deployments!O26="","",Deployments!O26)</f>
        <v>NA</v>
      </c>
      <c r="P26" s="21" t="str">
        <f>IF(Deployments!P26="","",Deployments!P26)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IF(Deployments!T26="","",Deployments!T26)</f>
        <v/>
      </c>
      <c r="AA26" s="21" t="str">
        <f>IF(Deployments!L26="","",Deployments!L26)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IF(Deployments!AH27="","",Deployments!AH27)</f>
        <v/>
      </c>
      <c r="E27" s="21" t="str">
        <f>IF(Deployments!I27="","",Deployments!I27)</f>
        <v/>
      </c>
      <c r="F27" s="21" t="str">
        <f>IF(Deployments!J27="","",Deployments!J27)</f>
        <v/>
      </c>
      <c r="G27" s="21" t="str">
        <f>IF(Deployments!K27="","",Deployments!K27)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IF(Deployments!AD27="","",Deployments!AD27)</f>
        <v>Dialysis Machine</v>
      </c>
      <c r="L27" s="21" t="str">
        <f>IF(Deployments!M27="","",Deployments!M27)</f>
        <v/>
      </c>
      <c r="M27" s="22"/>
      <c r="N27" s="21" t="str">
        <f>IF(Deployments!N27="","",Deployments!N27)</f>
        <v>NA</v>
      </c>
      <c r="O27" s="21" t="str">
        <f>IF(Deployments!O27="","",Deployments!O27)</f>
        <v>NA</v>
      </c>
      <c r="P27" s="21" t="str">
        <f>IF(Deployments!P27="","",Deployments!P27)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IF(Deployments!T27="","",Deployments!T27)</f>
        <v/>
      </c>
      <c r="AA27" s="21" t="str">
        <f>IF(Deployments!L27="","",Deployments!L27)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IF(Deployments!AH28="","",Deployments!AH28)</f>
        <v/>
      </c>
      <c r="E28" s="21" t="str">
        <f>IF(Deployments!I28="","",Deployments!I28)</f>
        <v/>
      </c>
      <c r="F28" s="21" t="str">
        <f>IF(Deployments!J28="","",Deployments!J28)</f>
        <v/>
      </c>
      <c r="G28" s="21" t="str">
        <f>IF(Deployments!K28="","",Deployments!K28)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IF(Deployments!AD28="","",Deployments!AD28)</f>
        <v>Dialysis Machine</v>
      </c>
      <c r="L28" s="21" t="str">
        <f>IF(Deployments!M28="","",Deployments!M28)</f>
        <v/>
      </c>
      <c r="M28" s="22"/>
      <c r="N28" s="21" t="str">
        <f>IF(Deployments!N28="","",Deployments!N28)</f>
        <v>NA</v>
      </c>
      <c r="O28" s="21" t="str">
        <f>IF(Deployments!O28="","",Deployments!O28)</f>
        <v>NA</v>
      </c>
      <c r="P28" s="21" t="str">
        <f>IF(Deployments!P28="","",Deployments!P28)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IF(Deployments!T28="","",Deployments!T28)</f>
        <v/>
      </c>
      <c r="AA28" s="21" t="str">
        <f>IF(Deployments!L28="","",Deployments!L28)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IF(Deployments!AH29="","",Deployments!AH29)</f>
        <v/>
      </c>
      <c r="E29" s="21" t="str">
        <f>IF(Deployments!I29="","",Deployments!I29)</f>
        <v/>
      </c>
      <c r="F29" s="21" t="str">
        <f>IF(Deployments!J29="","",Deployments!J29)</f>
        <v/>
      </c>
      <c r="G29" s="21" t="str">
        <f>IF(Deployments!K29="","",Deployments!K29)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IF(Deployments!AD29="","",Deployments!AD29)</f>
        <v>Dialysis Machine</v>
      </c>
      <c r="L29" s="21" t="str">
        <f>IF(Deployments!M29="","",Deployments!M29)</f>
        <v/>
      </c>
      <c r="M29" s="22"/>
      <c r="N29" s="21" t="str">
        <f>IF(Deployments!N29="","",Deployments!N29)</f>
        <v>NA</v>
      </c>
      <c r="O29" s="21" t="str">
        <f>IF(Deployments!O29="","",Deployments!O29)</f>
        <v>NA</v>
      </c>
      <c r="P29" s="21" t="str">
        <f>IF(Deployments!P29="","",Deployments!P29)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IF(Deployments!T29="","",Deployments!T29)</f>
        <v/>
      </c>
      <c r="AA29" s="21" t="str">
        <f>IF(Deployments!L29="","",Deployments!L29)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IF(Deployments!AH30="","",Deployments!AH30)</f>
        <v/>
      </c>
      <c r="E30" s="21" t="str">
        <f>IF(Deployments!I30="","",Deployments!I30)</f>
        <v/>
      </c>
      <c r="F30" s="21" t="str">
        <f>IF(Deployments!J30="","",Deployments!J30)</f>
        <v/>
      </c>
      <c r="G30" s="21" t="str">
        <f>IF(Deployments!K30="","",Deployments!K30)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IF(Deployments!AD30="","",Deployments!AD30)</f>
        <v/>
      </c>
      <c r="L30" s="21" t="str">
        <f>IF(Deployments!M30="","",Deployments!M30)</f>
        <v/>
      </c>
      <c r="M30" s="22"/>
      <c r="N30" s="21" t="str">
        <f>IF(Deployments!N30="","",Deployments!N30)</f>
        <v/>
      </c>
      <c r="O30" s="21" t="str">
        <f>IF(Deployments!O30="","",Deployments!O30)</f>
        <v/>
      </c>
      <c r="P30" s="21" t="str">
        <f>IF(Deployments!P30="","",Deployments!P30)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IF(Deployments!T30="","",Deployments!T30)</f>
        <v/>
      </c>
      <c r="AA30" s="21" t="str">
        <f>IF(Deployments!L30="","",Deployments!L30)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IF(Deployments!AH31="","",Deployments!AH31)</f>
        <v/>
      </c>
      <c r="E31" s="21" t="str">
        <f>IF(Deployments!I31="","",Deployments!I31)</f>
        <v/>
      </c>
      <c r="F31" s="21" t="str">
        <f>IF(Deployments!J31="","",Deployments!J31)</f>
        <v/>
      </c>
      <c r="G31" s="21" t="str">
        <f>IF(Deployments!K31="","",Deployments!K31)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IF(Deployments!AD31="","",Deployments!AD31)</f>
        <v/>
      </c>
      <c r="L31" s="21" t="str">
        <f>IF(Deployments!M31="","",Deployments!M31)</f>
        <v/>
      </c>
      <c r="M31" s="22"/>
      <c r="N31" s="21" t="str">
        <f>IF(Deployments!N31="","",Deployments!N31)</f>
        <v/>
      </c>
      <c r="O31" s="21" t="str">
        <f>IF(Deployments!O31="","",Deployments!O31)</f>
        <v/>
      </c>
      <c r="P31" s="21" t="str">
        <f>IF(Deployments!P31="","",Deployments!P31)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IF(Deployments!T31="","",Deployments!T31)</f>
        <v/>
      </c>
      <c r="AA31" s="21" t="str">
        <f>IF(Deployments!L31="","",Deployments!L31)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IF(Deployments!AH32="","",Deployments!AH32)</f>
        <v/>
      </c>
      <c r="E32" s="21" t="str">
        <f>IF(Deployments!I32="","",Deployments!I32)</f>
        <v/>
      </c>
      <c r="F32" s="21" t="str">
        <f>IF(Deployments!J32="","",Deployments!J32)</f>
        <v/>
      </c>
      <c r="G32" s="21" t="str">
        <f>IF(Deployments!K32="","",Deployments!K32)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IF(Deployments!AD32="","",Deployments!AD32)</f>
        <v/>
      </c>
      <c r="L32" s="21" t="str">
        <f>IF(Deployments!M32="","",Deployments!M32)</f>
        <v/>
      </c>
      <c r="M32" s="22"/>
      <c r="N32" s="21" t="str">
        <f>IF(Deployments!N32="","",Deployments!N32)</f>
        <v/>
      </c>
      <c r="O32" s="21" t="str">
        <f>IF(Deployments!O32="","",Deployments!O32)</f>
        <v/>
      </c>
      <c r="P32" s="21" t="str">
        <f>IF(Deployments!P32="","",Deployments!P32)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IF(Deployments!T32="","",Deployments!T32)</f>
        <v/>
      </c>
      <c r="AA32" s="21" t="str">
        <f>IF(Deployments!L32="","",Deployments!L32)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IF(Deployments!AH33="","",Deployments!AH33)</f>
        <v/>
      </c>
      <c r="E33" s="21" t="str">
        <f>IF(Deployments!I33="","",Deployments!I33)</f>
        <v/>
      </c>
      <c r="F33" s="21" t="str">
        <f>IF(Deployments!J33="","",Deployments!J33)</f>
        <v/>
      </c>
      <c r="G33" s="21" t="str">
        <f>IF(Deployments!K33="","",Deployments!K33)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IF(Deployments!AD33="","",Deployments!AD33)</f>
        <v/>
      </c>
      <c r="L33" s="21" t="str">
        <f>IF(Deployments!M33="","",Deployments!M33)</f>
        <v/>
      </c>
      <c r="M33" s="22"/>
      <c r="N33" s="21" t="str">
        <f>IF(Deployments!N33="","",Deployments!N33)</f>
        <v/>
      </c>
      <c r="O33" s="21" t="str">
        <f>IF(Deployments!O33="","",Deployments!O33)</f>
        <v/>
      </c>
      <c r="P33" s="21" t="str">
        <f>IF(Deployments!P33="","",Deployments!P33)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IF(Deployments!T33="","",Deployments!T33)</f>
        <v/>
      </c>
      <c r="AA33" s="21" t="str">
        <f>IF(Deployments!L33="","",Deployments!L33)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IF(Deployments!AH34="","",Deployments!AH34)</f>
        <v>Third Floor/Cath Lab</v>
      </c>
      <c r="E34" s="21" t="str">
        <f>IF(Deployments!I34="","",Deployments!I34)</f>
        <v>Lab 3/ Neuro BiPlane</v>
      </c>
      <c r="F34" s="21" t="str">
        <f>IF(Deployments!J34="","",Deployments!J34)</f>
        <v>N/A</v>
      </c>
      <c r="G34" s="21" t="str">
        <f>IF(Deployments!K34="","",Deployments!K34)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IF(Deployments!AD34="","",Deployments!AD34)</f>
        <v>Anesthesia Machine</v>
      </c>
      <c r="L34" s="21" t="str">
        <f>IF(Deployments!M34="","",Deployments!M34)</f>
        <v/>
      </c>
      <c r="M34" s="22"/>
      <c r="N34" s="21" t="str">
        <f>IF(Deployments!N34="","",Deployments!N34)</f>
        <v>NA</v>
      </c>
      <c r="O34" s="21" t="str">
        <f>IF(Deployments!O34="","",Deployments!O34)</f>
        <v>NA</v>
      </c>
      <c r="P34" s="21" t="str">
        <f>IF(Deployments!P34="","",Deployments!P34)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IF(Deployments!T34="","",Deployments!T34)</f>
        <v/>
      </c>
      <c r="AA34" s="21" t="str">
        <f>IF(Deployments!L34="","",Deployments!L34)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IF(Deployments!AH35="","",Deployments!AH35)</f>
        <v>Third Floor/Cath Lab</v>
      </c>
      <c r="E35" s="21" t="str">
        <f>IF(Deployments!I35="","",Deployments!I35)</f>
        <v>Lab 3/ Neuro BiPlane</v>
      </c>
      <c r="F35" s="21" t="str">
        <f>IF(Deployments!J35="","",Deployments!J35)</f>
        <v>N/A</v>
      </c>
      <c r="G35" s="21" t="str">
        <f>IF(Deployments!K35="","",Deployments!K35)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IF(Deployments!AD35="","",Deployments!AD35)</f>
        <v>Anesthesia Machine</v>
      </c>
      <c r="L35" s="21" t="str">
        <f>IF(Deployments!M35="","",Deployments!M35)</f>
        <v/>
      </c>
      <c r="M35" s="22"/>
      <c r="N35" s="21" t="str">
        <f>IF(Deployments!N35="","",Deployments!N35)</f>
        <v/>
      </c>
      <c r="O35" s="21" t="str">
        <f>IF(Deployments!O35="","",Deployments!O35)</f>
        <v/>
      </c>
      <c r="P35" s="21" t="str">
        <f>IF(Deployments!P35="","",Deployments!P35)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IF(Deployments!T35="","",Deployments!T35)</f>
        <v/>
      </c>
      <c r="AA35" s="21" t="str">
        <f>IF(Deployments!L35="","",Deployments!L35)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IF(Deployments!AH36="","",Deployments!AH36)</f>
        <v/>
      </c>
      <c r="E36" s="21" t="str">
        <f>IF(Deployments!I36="","",Deployments!I36)</f>
        <v/>
      </c>
      <c r="F36" s="21" t="str">
        <f>IF(Deployments!J36="","",Deployments!J36)</f>
        <v/>
      </c>
      <c r="G36" s="21" t="str">
        <f>IF(Deployments!K36="","",Deployments!K36)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IF(Deployments!AD36="","",Deployments!AD36)</f>
        <v/>
      </c>
      <c r="L36" s="21" t="str">
        <f>IF(Deployments!M36="","",Deployments!M36)</f>
        <v/>
      </c>
      <c r="M36" s="22"/>
      <c r="N36" s="21" t="str">
        <f>IF(Deployments!N36="","",Deployments!N36)</f>
        <v>NA</v>
      </c>
      <c r="O36" s="21" t="str">
        <f>IF(Deployments!O36="","",Deployments!O36)</f>
        <v>NA</v>
      </c>
      <c r="P36" s="21" t="str">
        <f>IF(Deployments!P36="","",Deployments!P36)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IF(Deployments!T36="","",Deployments!T36)</f>
        <v/>
      </c>
      <c r="AA36" s="21" t="str">
        <f>IF(Deployments!L36="","",Deployments!L36)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IF(Deployments!AH37="","",Deployments!AH37)</f>
        <v/>
      </c>
      <c r="E37" s="21" t="str">
        <f>IF(Deployments!I37="","",Deployments!I37)</f>
        <v/>
      </c>
      <c r="F37" s="21" t="str">
        <f>IF(Deployments!J37="","",Deployments!J37)</f>
        <v/>
      </c>
      <c r="G37" s="21" t="str">
        <f>IF(Deployments!K37="","",Deployments!K37)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IF(Deployments!AD37="","",Deployments!AD37)</f>
        <v/>
      </c>
      <c r="L37" s="21" t="str">
        <f>IF(Deployments!M37="","",Deployments!M37)</f>
        <v/>
      </c>
      <c r="M37" s="22"/>
      <c r="N37" s="21" t="str">
        <f>IF(Deployments!N37="","",Deployments!N37)</f>
        <v>NA</v>
      </c>
      <c r="O37" s="21" t="str">
        <f>IF(Deployments!O37="","",Deployments!O37)</f>
        <v>NA</v>
      </c>
      <c r="P37" s="21" t="str">
        <f>IF(Deployments!P37="","",Deployments!P37)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IF(Deployments!T37="","",Deployments!T37)</f>
        <v/>
      </c>
      <c r="AA37" s="21" t="str">
        <f>IF(Deployments!L37="","",Deployments!L37)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IF(Deployments!AH38="","",Deployments!AH38)</f>
        <v/>
      </c>
      <c r="E38" s="21" t="str">
        <f>IF(Deployments!I38="","",Deployments!I38)</f>
        <v/>
      </c>
      <c r="F38" s="21" t="str">
        <f>IF(Deployments!J38="","",Deployments!J38)</f>
        <v/>
      </c>
      <c r="G38" s="21" t="str">
        <f>IF(Deployments!K38="","",Deployments!K38)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IF(Deployments!AD38="","",Deployments!AD38)</f>
        <v/>
      </c>
      <c r="L38" s="21" t="str">
        <f>IF(Deployments!M38="","",Deployments!M38)</f>
        <v/>
      </c>
      <c r="M38" s="22"/>
      <c r="N38" s="21" t="str">
        <f>IF(Deployments!N38="","",Deployments!N38)</f>
        <v>NA</v>
      </c>
      <c r="O38" s="21" t="str">
        <f>IF(Deployments!O38="","",Deployments!O38)</f>
        <v>NA</v>
      </c>
      <c r="P38" s="21" t="str">
        <f>IF(Deployments!P38="","",Deployments!P38)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IF(Deployments!T38="","",Deployments!T38)</f>
        <v/>
      </c>
      <c r="AA38" s="21" t="str">
        <f>IF(Deployments!L38="","",Deployments!L38)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IF(Deployments!AH39="","",Deployments!AH39)</f>
        <v/>
      </c>
      <c r="E39" s="21" t="str">
        <f>IF(Deployments!I39="","",Deployments!I39)</f>
        <v/>
      </c>
      <c r="F39" s="21" t="str">
        <f>IF(Deployments!J39="","",Deployments!J39)</f>
        <v/>
      </c>
      <c r="G39" s="21" t="str">
        <f>IF(Deployments!K39="","",Deployments!K39)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IF(Deployments!AD39="","",Deployments!AD39)</f>
        <v/>
      </c>
      <c r="L39" s="21" t="str">
        <f>IF(Deployments!M39="","",Deployments!M39)</f>
        <v/>
      </c>
      <c r="M39" s="22"/>
      <c r="N39" s="21" t="str">
        <f>IF(Deployments!N39="","",Deployments!N39)</f>
        <v>NA</v>
      </c>
      <c r="O39" s="21" t="str">
        <f>IF(Deployments!O39="","",Deployments!O39)</f>
        <v>NA</v>
      </c>
      <c r="P39" s="21" t="str">
        <f>IF(Deployments!P39="","",Deployments!P39)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IF(Deployments!T39="","",Deployments!T39)</f>
        <v/>
      </c>
      <c r="AA39" s="21" t="str">
        <f>IF(Deployments!L39="","",Deployments!L39)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IF(Deployments!AH40="","",Deployments!AH40)</f>
        <v/>
      </c>
      <c r="E40" s="21" t="str">
        <f>IF(Deployments!I40="","",Deployments!I40)</f>
        <v/>
      </c>
      <c r="F40" s="21" t="str">
        <f>IF(Deployments!J40="","",Deployments!J40)</f>
        <v/>
      </c>
      <c r="G40" s="21" t="str">
        <f>IF(Deployments!K40="","",Deployments!K40)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IF(Deployments!AD40="","",Deployments!AD40)</f>
        <v/>
      </c>
      <c r="L40" s="21" t="str">
        <f>IF(Deployments!M40="","",Deployments!M40)</f>
        <v/>
      </c>
      <c r="M40" s="22"/>
      <c r="N40" s="21" t="str">
        <f>IF(Deployments!N40="","",Deployments!N40)</f>
        <v>NA</v>
      </c>
      <c r="O40" s="21" t="str">
        <f>IF(Deployments!O40="","",Deployments!O40)</f>
        <v>NA</v>
      </c>
      <c r="P40" s="21" t="str">
        <f>IF(Deployments!P40="","",Deployments!P40)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IF(Deployments!T40="","",Deployments!T40)</f>
        <v/>
      </c>
      <c r="AA40" s="21" t="str">
        <f>IF(Deployments!L40="","",Deployments!L40)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IF(Deployments!AH41="","",Deployments!AH41)</f>
        <v/>
      </c>
      <c r="E41" s="21" t="str">
        <f>IF(Deployments!I41="","",Deployments!I41)</f>
        <v/>
      </c>
      <c r="F41" s="21" t="str">
        <f>IF(Deployments!J41="","",Deployments!J41)</f>
        <v/>
      </c>
      <c r="G41" s="21" t="str">
        <f>IF(Deployments!K41="","",Deployments!K41)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IF(Deployments!AD41="","",Deployments!AD41)</f>
        <v/>
      </c>
      <c r="L41" s="21" t="str">
        <f>IF(Deployments!M41="","",Deployments!M41)</f>
        <v/>
      </c>
      <c r="M41" s="22"/>
      <c r="N41" s="21" t="str">
        <f>IF(Deployments!N41="","",Deployments!N41)</f>
        <v>NA</v>
      </c>
      <c r="O41" s="21" t="str">
        <f>IF(Deployments!O41="","",Deployments!O41)</f>
        <v>NA</v>
      </c>
      <c r="P41" s="21" t="str">
        <f>IF(Deployments!P41="","",Deployments!P41)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IF(Deployments!T41="","",Deployments!T41)</f>
        <v/>
      </c>
      <c r="AA41" s="21" t="str">
        <f>IF(Deployments!L41="","",Deployments!L41)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IF(Deployments!AH42="","",Deployments!AH42)</f>
        <v/>
      </c>
      <c r="E42" s="21" t="str">
        <f>IF(Deployments!I42="","",Deployments!I42)</f>
        <v/>
      </c>
      <c r="F42" s="21" t="str">
        <f>IF(Deployments!J42="","",Deployments!J42)</f>
        <v/>
      </c>
      <c r="G42" s="21" t="str">
        <f>IF(Deployments!K42="","",Deployments!K42)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IF(Deployments!AD42="","",Deployments!AD42)</f>
        <v/>
      </c>
      <c r="L42" s="21" t="str">
        <f>IF(Deployments!M42="","",Deployments!M42)</f>
        <v/>
      </c>
      <c r="M42" s="22"/>
      <c r="N42" s="21" t="str">
        <f>IF(Deployments!N42="","",Deployments!N42)</f>
        <v>NA</v>
      </c>
      <c r="O42" s="21" t="str">
        <f>IF(Deployments!O42="","",Deployments!O42)</f>
        <v>NA</v>
      </c>
      <c r="P42" s="21" t="str">
        <f>IF(Deployments!P42="","",Deployments!P42)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IF(Deployments!T42="","",Deployments!T42)</f>
        <v/>
      </c>
      <c r="AA42" s="21" t="str">
        <f>IF(Deployments!L42="","",Deployments!L42)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IF(Deployments!AH43="","",Deployments!AH43)</f>
        <v/>
      </c>
      <c r="E43" s="21" t="str">
        <f>IF(Deployments!I43="","",Deployments!I43)</f>
        <v/>
      </c>
      <c r="F43" s="21" t="str">
        <f>IF(Deployments!J43="","",Deployments!J43)</f>
        <v/>
      </c>
      <c r="G43" s="21" t="str">
        <f>IF(Deployments!K43="","",Deployments!K43)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IF(Deployments!AD43="","",Deployments!AD43)</f>
        <v/>
      </c>
      <c r="L43" s="21" t="str">
        <f>IF(Deployments!M43="","",Deployments!M43)</f>
        <v/>
      </c>
      <c r="M43" s="22"/>
      <c r="N43" s="21" t="str">
        <f>IF(Deployments!N43="","",Deployments!N43)</f>
        <v>NA</v>
      </c>
      <c r="O43" s="21" t="str">
        <f>IF(Deployments!O43="","",Deployments!O43)</f>
        <v>NA</v>
      </c>
      <c r="P43" s="21" t="str">
        <f>IF(Deployments!P43="","",Deployments!P43)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IF(Deployments!T43="","",Deployments!T43)</f>
        <v/>
      </c>
      <c r="AA43" s="21" t="str">
        <f>IF(Deployments!L43="","",Deployments!L43)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IF(Deployments!AH44="","",Deployments!AH44)</f>
        <v/>
      </c>
      <c r="E44" s="21" t="str">
        <f>IF(Deployments!I44="","",Deployments!I44)</f>
        <v/>
      </c>
      <c r="F44" s="21" t="str">
        <f>IF(Deployments!J44="","",Deployments!J44)</f>
        <v/>
      </c>
      <c r="G44" s="21" t="str">
        <f>IF(Deployments!K44="","",Deployments!K44)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IF(Deployments!AD44="","",Deployments!AD44)</f>
        <v/>
      </c>
      <c r="L44" s="21" t="str">
        <f>IF(Deployments!M44="","",Deployments!M44)</f>
        <v/>
      </c>
      <c r="M44" s="22"/>
      <c r="N44" s="21" t="str">
        <f>IF(Deployments!N44="","",Deployments!N44)</f>
        <v>NA</v>
      </c>
      <c r="O44" s="21" t="str">
        <f>IF(Deployments!O44="","",Deployments!O44)</f>
        <v>NA</v>
      </c>
      <c r="P44" s="21" t="str">
        <f>IF(Deployments!P44="","",Deployments!P44)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IF(Deployments!T44="","",Deployments!T44)</f>
        <v/>
      </c>
      <c r="AA44" s="21" t="str">
        <f>IF(Deployments!L44="","",Deployments!L44)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IF(Deployments!AH45="","",Deployments!AH45)</f>
        <v/>
      </c>
      <c r="E45" s="21" t="str">
        <f>IF(Deployments!I45="","",Deployments!I45)</f>
        <v/>
      </c>
      <c r="F45" s="21" t="str">
        <f>IF(Deployments!J45="","",Deployments!J45)</f>
        <v/>
      </c>
      <c r="G45" s="21" t="str">
        <f>IF(Deployments!K45="","",Deployments!K45)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IF(Deployments!AD45="","",Deployments!AD45)</f>
        <v/>
      </c>
      <c r="L45" s="21" t="str">
        <f>IF(Deployments!M45="","",Deployments!M45)</f>
        <v/>
      </c>
      <c r="M45" s="22"/>
      <c r="N45" s="21" t="str">
        <f>IF(Deployments!N45="","",Deployments!N45)</f>
        <v>NA</v>
      </c>
      <c r="O45" s="21" t="str">
        <f>IF(Deployments!O45="","",Deployments!O45)</f>
        <v>NA</v>
      </c>
      <c r="P45" s="21" t="str">
        <f>IF(Deployments!P45="","",Deployments!P45)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IF(Deployments!T45="","",Deployments!T45)</f>
        <v/>
      </c>
      <c r="AA45" s="21" t="str">
        <f>IF(Deployments!L45="","",Deployments!L45)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IF(Deployments!AH46="","",Deployments!AH46)</f>
        <v/>
      </c>
      <c r="E46" s="21" t="str">
        <f>IF(Deployments!I46="","",Deployments!I46)</f>
        <v/>
      </c>
      <c r="F46" s="21" t="str">
        <f>IF(Deployments!J46="","",Deployments!J46)</f>
        <v/>
      </c>
      <c r="G46" s="21" t="str">
        <f>IF(Deployments!K46="","",Deployments!K46)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IF(Deployments!AD46="","",Deployments!AD46)</f>
        <v/>
      </c>
      <c r="L46" s="21" t="str">
        <f>IF(Deployments!M46="","",Deployments!M46)</f>
        <v/>
      </c>
      <c r="M46" s="22"/>
      <c r="N46" s="21" t="str">
        <f>IF(Deployments!N46="","",Deployments!N46)</f>
        <v/>
      </c>
      <c r="O46" s="21" t="str">
        <f>IF(Deployments!O46="","",Deployments!O46)</f>
        <v/>
      </c>
      <c r="P46" s="21" t="str">
        <f>IF(Deployments!P46="","",Deployments!P46)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IF(Deployments!T46="","",Deployments!T46)</f>
        <v/>
      </c>
      <c r="AA46" s="21" t="str">
        <f>IF(Deployments!L46="","",Deployments!L46)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IF(Deployments!AH47="","",Deployments!AH47)</f>
        <v/>
      </c>
      <c r="E47" s="21" t="str">
        <f>IF(Deployments!I47="","",Deployments!I47)</f>
        <v/>
      </c>
      <c r="F47" s="21" t="str">
        <f>IF(Deployments!J47="","",Deployments!J47)</f>
        <v/>
      </c>
      <c r="G47" s="21" t="str">
        <f>IF(Deployments!K47="","",Deployments!K47)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IF(Deployments!AD47="","",Deployments!AD47)</f>
        <v/>
      </c>
      <c r="L47" s="21" t="str">
        <f>IF(Deployments!M47="","",Deployments!M47)</f>
        <v/>
      </c>
      <c r="M47" s="22"/>
      <c r="N47" s="21" t="str">
        <f>IF(Deployments!N47="","",Deployments!N47)</f>
        <v>NA</v>
      </c>
      <c r="O47" s="21" t="str">
        <f>IF(Deployments!O47="","",Deployments!O47)</f>
        <v>NA</v>
      </c>
      <c r="P47" s="21" t="str">
        <f>IF(Deployments!P47="","",Deployments!P47)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IF(Deployments!T47="","",Deployments!T47)</f>
        <v/>
      </c>
      <c r="AA47" s="21" t="str">
        <f>IF(Deployments!L47="","",Deployments!L47)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IF(Deployments!AH48="","",Deployments!AH48)</f>
        <v/>
      </c>
      <c r="E48" s="21" t="str">
        <f>IF(Deployments!I48="","",Deployments!I48)</f>
        <v/>
      </c>
      <c r="F48" s="21" t="str">
        <f>IF(Deployments!J48="","",Deployments!J48)</f>
        <v/>
      </c>
      <c r="G48" s="21" t="str">
        <f>IF(Deployments!K48="","",Deployments!K48)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IF(Deployments!AD48="","",Deployments!AD48)</f>
        <v/>
      </c>
      <c r="L48" s="21" t="str">
        <f>IF(Deployments!M48="","",Deployments!M48)</f>
        <v/>
      </c>
      <c r="M48" s="22"/>
      <c r="N48" s="21" t="str">
        <f>IF(Deployments!N48="","",Deployments!N48)</f>
        <v>NA</v>
      </c>
      <c r="O48" s="21" t="str">
        <f>IF(Deployments!O48="","",Deployments!O48)</f>
        <v>NA</v>
      </c>
      <c r="P48" s="21" t="str">
        <f>IF(Deployments!P48="","",Deployments!P48)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IF(Deployments!T48="","",Deployments!T48)</f>
        <v/>
      </c>
      <c r="AA48" s="21" t="str">
        <f>IF(Deployments!L48="","",Deployments!L48)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IF(Deployments!AH49="","",Deployments!AH49)</f>
        <v/>
      </c>
      <c r="E49" s="21" t="str">
        <f>IF(Deployments!I49="","",Deployments!I49)</f>
        <v/>
      </c>
      <c r="F49" s="21" t="str">
        <f>IF(Deployments!J49="","",Deployments!J49)</f>
        <v/>
      </c>
      <c r="G49" s="21" t="str">
        <f>IF(Deployments!K49="","",Deployments!K49)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IF(Deployments!AD49="","",Deployments!AD49)</f>
        <v/>
      </c>
      <c r="L49" s="21" t="str">
        <f>IF(Deployments!M49="","",Deployments!M49)</f>
        <v/>
      </c>
      <c r="M49" s="22"/>
      <c r="N49" s="21" t="str">
        <f>IF(Deployments!N49="","",Deployments!N49)</f>
        <v>NA</v>
      </c>
      <c r="O49" s="21" t="str">
        <f>IF(Deployments!O49="","",Deployments!O49)</f>
        <v>NA</v>
      </c>
      <c r="P49" s="21" t="str">
        <f>IF(Deployments!P49="","",Deployments!P49)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IF(Deployments!T49="","",Deployments!T49)</f>
        <v/>
      </c>
      <c r="AA49" s="21" t="str">
        <f>IF(Deployments!L49="","",Deployments!L49)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IF(Deployments!AH50="","",Deployments!AH50)</f>
        <v/>
      </c>
      <c r="E50" s="21" t="str">
        <f>IF(Deployments!I50="","",Deployments!I50)</f>
        <v/>
      </c>
      <c r="F50" s="21" t="str">
        <f>IF(Deployments!J50="","",Deployments!J50)</f>
        <v/>
      </c>
      <c r="G50" s="21" t="str">
        <f>IF(Deployments!K50="","",Deployments!K50)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IF(Deployments!AD50="","",Deployments!AD50)</f>
        <v/>
      </c>
      <c r="L50" s="21" t="str">
        <f>IF(Deployments!M50="","",Deployments!M50)</f>
        <v/>
      </c>
      <c r="M50" s="22"/>
      <c r="N50" s="21" t="str">
        <f>IF(Deployments!N50="","",Deployments!N50)</f>
        <v>Yes</v>
      </c>
      <c r="O50" s="21" t="str">
        <f>IF(Deployments!O50="","",Deployments!O50)</f>
        <v>No</v>
      </c>
      <c r="P50" s="21" t="str">
        <f>IF(Deployments!P50="","",Deployments!P50)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IF(Deployments!T50="","",Deployments!T50)</f>
        <v/>
      </c>
      <c r="AA50" s="21" t="str">
        <f>IF(Deployments!L50="","",Deployments!L50)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IF(Deployments!AH51="","",Deployments!AH51)</f>
        <v/>
      </c>
      <c r="E51" s="21" t="str">
        <f>IF(Deployments!I51="","",Deployments!I51)</f>
        <v/>
      </c>
      <c r="F51" s="21" t="str">
        <f>IF(Deployments!J51="","",Deployments!J51)</f>
        <v/>
      </c>
      <c r="G51" s="21" t="str">
        <f>IF(Deployments!K51="","",Deployments!K51)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IF(Deployments!AD51="","",Deployments!AD51)</f>
        <v/>
      </c>
      <c r="L51" s="21" t="str">
        <f>IF(Deployments!M51="","",Deployments!M51)</f>
        <v/>
      </c>
      <c r="M51" s="22"/>
      <c r="N51" s="21" t="str">
        <f>IF(Deployments!N51="","",Deployments!N51)</f>
        <v>Yes</v>
      </c>
      <c r="O51" s="21" t="str">
        <f>IF(Deployments!O51="","",Deployments!O51)</f>
        <v>No</v>
      </c>
      <c r="P51" s="21" t="str">
        <f>IF(Deployments!P51="","",Deployments!P51)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IF(Deployments!T51="","",Deployments!T51)</f>
        <v/>
      </c>
      <c r="AA51" s="21" t="str">
        <f>IF(Deployments!L51="","",Deployments!L51)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IF(Deployments!AH52="","",Deployments!AH52)</f>
        <v/>
      </c>
      <c r="E52" s="21" t="str">
        <f>IF(Deployments!I52="","",Deployments!I52)</f>
        <v/>
      </c>
      <c r="F52" s="21" t="str">
        <f>IF(Deployments!J52="","",Deployments!J52)</f>
        <v/>
      </c>
      <c r="G52" s="21" t="str">
        <f>IF(Deployments!K52="","",Deployments!K52)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IF(Deployments!AD52="","",Deployments!AD52)</f>
        <v/>
      </c>
      <c r="L52" s="21" t="str">
        <f>IF(Deployments!M52="","",Deployments!M52)</f>
        <v/>
      </c>
      <c r="M52" s="22"/>
      <c r="N52" s="21" t="str">
        <f>IF(Deployments!N52="","",Deployments!N52)</f>
        <v>Yes</v>
      </c>
      <c r="O52" s="21" t="str">
        <f>IF(Deployments!O52="","",Deployments!O52)</f>
        <v>No</v>
      </c>
      <c r="P52" s="21" t="str">
        <f>IF(Deployments!P52="","",Deployments!P52)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IF(Deployments!T52="","",Deployments!T52)</f>
        <v/>
      </c>
      <c r="AA52" s="21" t="str">
        <f>IF(Deployments!L52="","",Deployments!L52)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IF(Deployments!AH53="","",Deployments!AH53)</f>
        <v/>
      </c>
      <c r="E53" s="21" t="str">
        <f>IF(Deployments!I53="","",Deployments!I53)</f>
        <v/>
      </c>
      <c r="F53" s="21" t="str">
        <f>IF(Deployments!J53="","",Deployments!J53)</f>
        <v/>
      </c>
      <c r="G53" s="21" t="str">
        <f>IF(Deployments!K53="","",Deployments!K53)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IF(Deployments!AD53="","",Deployments!AD53)</f>
        <v/>
      </c>
      <c r="L53" s="21" t="str">
        <f>IF(Deployments!M53="","",Deployments!M53)</f>
        <v/>
      </c>
      <c r="M53" s="22"/>
      <c r="N53" s="21" t="str">
        <f>IF(Deployments!N53="","",Deployments!N53)</f>
        <v>Yes</v>
      </c>
      <c r="O53" s="21" t="str">
        <f>IF(Deployments!O53="","",Deployments!O53)</f>
        <v>No</v>
      </c>
      <c r="P53" s="21" t="str">
        <f>IF(Deployments!P53="","",Deployments!P53)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IF(Deployments!T53="","",Deployments!T53)</f>
        <v/>
      </c>
      <c r="AA53" s="21" t="str">
        <f>IF(Deployments!L53="","",Deployments!L53)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IF(Deployments!AH54="","",Deployments!AH54)</f>
        <v/>
      </c>
      <c r="E54" s="21" t="str">
        <f>IF(Deployments!I54="","",Deployments!I54)</f>
        <v/>
      </c>
      <c r="F54" s="21" t="str">
        <f>IF(Deployments!J54="","",Deployments!J54)</f>
        <v/>
      </c>
      <c r="G54" s="21" t="str">
        <f>IF(Deployments!K54="","",Deployments!K54)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IF(Deployments!AD54="","",Deployments!AD54)</f>
        <v/>
      </c>
      <c r="L54" s="21" t="str">
        <f>IF(Deployments!M54="","",Deployments!M54)</f>
        <v/>
      </c>
      <c r="M54" s="22"/>
      <c r="N54" s="21" t="str">
        <f>IF(Deployments!N54="","",Deployments!N54)</f>
        <v>Yes</v>
      </c>
      <c r="O54" s="21" t="str">
        <f>IF(Deployments!O54="","",Deployments!O54)</f>
        <v>No</v>
      </c>
      <c r="P54" s="21" t="str">
        <f>IF(Deployments!P54="","",Deployments!P54)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IF(Deployments!T54="","",Deployments!T54)</f>
        <v/>
      </c>
      <c r="AA54" s="21" t="str">
        <f>IF(Deployments!L54="","",Deployments!L54)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IF(Deployments!AH55="","",Deployments!AH55)</f>
        <v/>
      </c>
      <c r="E55" s="21" t="str">
        <f>IF(Deployments!I55="","",Deployments!I55)</f>
        <v/>
      </c>
      <c r="F55" s="21" t="str">
        <f>IF(Deployments!J55="","",Deployments!J55)</f>
        <v/>
      </c>
      <c r="G55" s="21" t="str">
        <f>IF(Deployments!K55="","",Deployments!K55)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IF(Deployments!AD55="","",Deployments!AD55)</f>
        <v/>
      </c>
      <c r="L55" s="21" t="str">
        <f>IF(Deployments!M55="","",Deployments!M55)</f>
        <v/>
      </c>
      <c r="M55" s="22"/>
      <c r="N55" s="21" t="str">
        <f>IF(Deployments!N55="","",Deployments!N55)</f>
        <v>Yes</v>
      </c>
      <c r="O55" s="21" t="str">
        <f>IF(Deployments!O55="","",Deployments!O55)</f>
        <v>No</v>
      </c>
      <c r="P55" s="21" t="str">
        <f>IF(Deployments!P55="","",Deployments!P55)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IF(Deployments!T55="","",Deployments!T55)</f>
        <v/>
      </c>
      <c r="AA55" s="21" t="str">
        <f>IF(Deployments!L55="","",Deployments!L55)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IF(Deployments!AH56="","",Deployments!AH56)</f>
        <v/>
      </c>
      <c r="E56" s="21" t="str">
        <f>IF(Deployments!I56="","",Deployments!I56)</f>
        <v/>
      </c>
      <c r="F56" s="21" t="str">
        <f>IF(Deployments!J56="","",Deployments!J56)</f>
        <v/>
      </c>
      <c r="G56" s="21" t="str">
        <f>IF(Deployments!K56="","",Deployments!K56)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IF(Deployments!AD56="","",Deployments!AD56)</f>
        <v/>
      </c>
      <c r="L56" s="21" t="str">
        <f>IF(Deployments!M56="","",Deployments!M56)</f>
        <v/>
      </c>
      <c r="M56" s="22"/>
      <c r="N56" s="21" t="str">
        <f>IF(Deployments!N56="","",Deployments!N56)</f>
        <v>Yes</v>
      </c>
      <c r="O56" s="21" t="str">
        <f>IF(Deployments!O56="","",Deployments!O56)</f>
        <v>No</v>
      </c>
      <c r="P56" s="21" t="str">
        <f>IF(Deployments!P56="","",Deployments!P56)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IF(Deployments!T56="","",Deployments!T56)</f>
        <v/>
      </c>
      <c r="AA56" s="21" t="str">
        <f>IF(Deployments!L56="","",Deployments!L56)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IF(Deployments!AH57="","",Deployments!AH57)</f>
        <v/>
      </c>
      <c r="E57" s="21" t="str">
        <f>IF(Deployments!I57="","",Deployments!I57)</f>
        <v/>
      </c>
      <c r="F57" s="21" t="str">
        <f>IF(Deployments!J57="","",Deployments!J57)</f>
        <v/>
      </c>
      <c r="G57" s="21" t="str">
        <f>IF(Deployments!K57="","",Deployments!K57)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IF(Deployments!AD57="","",Deployments!AD57)</f>
        <v/>
      </c>
      <c r="L57" s="21" t="str">
        <f>IF(Deployments!M57="","",Deployments!M57)</f>
        <v/>
      </c>
      <c r="M57" s="22"/>
      <c r="N57" s="21" t="str">
        <f>IF(Deployments!N57="","",Deployments!N57)</f>
        <v>Yes</v>
      </c>
      <c r="O57" s="21" t="str">
        <f>IF(Deployments!O57="","",Deployments!O57)</f>
        <v>No</v>
      </c>
      <c r="P57" s="21" t="str">
        <f>IF(Deployments!P57="","",Deployments!P57)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IF(Deployments!T57="","",Deployments!T57)</f>
        <v/>
      </c>
      <c r="AA57" s="21" t="str">
        <f>IF(Deployments!L57="","",Deployments!L57)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IF(Deployments!AH58="","",Deployments!AH58)</f>
        <v/>
      </c>
      <c r="E58" s="21" t="str">
        <f>IF(Deployments!I58="","",Deployments!I58)</f>
        <v/>
      </c>
      <c r="F58" s="21" t="str">
        <f>IF(Deployments!J58="","",Deployments!J58)</f>
        <v/>
      </c>
      <c r="G58" s="21" t="str">
        <f>IF(Deployments!K58="","",Deployments!K58)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IF(Deployments!AD58="","",Deployments!AD58)</f>
        <v/>
      </c>
      <c r="L58" s="21" t="str">
        <f>IF(Deployments!M58="","",Deployments!M58)</f>
        <v/>
      </c>
      <c r="M58" s="22"/>
      <c r="N58" s="21" t="str">
        <f>IF(Deployments!N58="","",Deployments!N58)</f>
        <v>Yes</v>
      </c>
      <c r="O58" s="21" t="str">
        <f>IF(Deployments!O58="","",Deployments!O58)</f>
        <v>No</v>
      </c>
      <c r="P58" s="21" t="str">
        <f>IF(Deployments!P58="","",Deployments!P58)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IF(Deployments!T58="","",Deployments!T58)</f>
        <v/>
      </c>
      <c r="AA58" s="21" t="str">
        <f>IF(Deployments!L58="","",Deployments!L58)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IF(Deployments!AH59="","",Deployments!AH59)</f>
        <v/>
      </c>
      <c r="E59" s="21" t="str">
        <f>IF(Deployments!I59="","",Deployments!I59)</f>
        <v/>
      </c>
      <c r="F59" s="21" t="str">
        <f>IF(Deployments!J59="","",Deployments!J59)</f>
        <v/>
      </c>
      <c r="G59" s="21" t="str">
        <f>IF(Deployments!K59="","",Deployments!K59)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IF(Deployments!AD59="","",Deployments!AD59)</f>
        <v/>
      </c>
      <c r="L59" s="21" t="str">
        <f>IF(Deployments!M59="","",Deployments!M59)</f>
        <v/>
      </c>
      <c r="M59" s="22"/>
      <c r="N59" s="21" t="str">
        <f>IF(Deployments!N59="","",Deployments!N59)</f>
        <v>Yes</v>
      </c>
      <c r="O59" s="21" t="str">
        <f>IF(Deployments!O59="","",Deployments!O59)</f>
        <v>No</v>
      </c>
      <c r="P59" s="21" t="str">
        <f>IF(Deployments!P59="","",Deployments!P59)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IF(Deployments!T59="","",Deployments!T59)</f>
        <v/>
      </c>
      <c r="AA59" s="21" t="str">
        <f>IF(Deployments!L59="","",Deployments!L59)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IF(Deployments!AH60="","",Deployments!AH60)</f>
        <v/>
      </c>
      <c r="E60" s="21" t="str">
        <f>IF(Deployments!I60="","",Deployments!I60)</f>
        <v/>
      </c>
      <c r="F60" s="21" t="str">
        <f>IF(Deployments!J60="","",Deployments!J60)</f>
        <v/>
      </c>
      <c r="G60" s="21" t="str">
        <f>IF(Deployments!K60="","",Deployments!K60)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IF(Deployments!AD60="","",Deployments!AD60)</f>
        <v/>
      </c>
      <c r="L60" s="21" t="str">
        <f>IF(Deployments!M60="","",Deployments!M60)</f>
        <v/>
      </c>
      <c r="M60" s="22"/>
      <c r="N60" s="21" t="str">
        <f>IF(Deployments!N60="","",Deployments!N60)</f>
        <v>Yes</v>
      </c>
      <c r="O60" s="21" t="str">
        <f>IF(Deployments!O60="","",Deployments!O60)</f>
        <v>No</v>
      </c>
      <c r="P60" s="21" t="str">
        <f>IF(Deployments!P60="","",Deployments!P60)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IF(Deployments!T60="","",Deployments!T60)</f>
        <v/>
      </c>
      <c r="AA60" s="21" t="str">
        <f>IF(Deployments!L60="","",Deployments!L60)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IF(Deployments!AH61="","",Deployments!AH61)</f>
        <v/>
      </c>
      <c r="E61" s="21" t="str">
        <f>IF(Deployments!I61="","",Deployments!I61)</f>
        <v/>
      </c>
      <c r="F61" s="21" t="str">
        <f>IF(Deployments!J61="","",Deployments!J61)</f>
        <v/>
      </c>
      <c r="G61" s="21" t="str">
        <f>IF(Deployments!K61="","",Deployments!K61)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IF(Deployments!AD61="","",Deployments!AD61)</f>
        <v/>
      </c>
      <c r="L61" s="21" t="str">
        <f>IF(Deployments!M61="","",Deployments!M61)</f>
        <v/>
      </c>
      <c r="M61" s="22"/>
      <c r="N61" s="21" t="str">
        <f>IF(Deployments!N61="","",Deployments!N61)</f>
        <v>Yes</v>
      </c>
      <c r="O61" s="21" t="str">
        <f>IF(Deployments!O61="","",Deployments!O61)</f>
        <v>No</v>
      </c>
      <c r="P61" s="21" t="str">
        <f>IF(Deployments!P61="","",Deployments!P61)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IF(Deployments!T61="","",Deployments!T61)</f>
        <v/>
      </c>
      <c r="AA61" s="21" t="str">
        <f>IF(Deployments!L61="","",Deployments!L61)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IF(Deployments!AH62="","",Deployments!AH62)</f>
        <v/>
      </c>
      <c r="E62" s="21" t="str">
        <f>IF(Deployments!I62="","",Deployments!I62)</f>
        <v/>
      </c>
      <c r="F62" s="21" t="str">
        <f>IF(Deployments!J62="","",Deployments!J62)</f>
        <v/>
      </c>
      <c r="G62" s="21" t="str">
        <f>IF(Deployments!K62="","",Deployments!K62)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IF(Deployments!AD62="","",Deployments!AD62)</f>
        <v/>
      </c>
      <c r="L62" s="21" t="str">
        <f>IF(Deployments!M62="","",Deployments!M62)</f>
        <v/>
      </c>
      <c r="M62" s="22"/>
      <c r="N62" s="21" t="str">
        <f>IF(Deployments!N62="","",Deployments!N62)</f>
        <v>Yes</v>
      </c>
      <c r="O62" s="21" t="str">
        <f>IF(Deployments!O62="","",Deployments!O62)</f>
        <v>No</v>
      </c>
      <c r="P62" s="21" t="str">
        <f>IF(Deployments!P62="","",Deployments!P62)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IF(Deployments!T62="","",Deployments!T62)</f>
        <v/>
      </c>
      <c r="AA62" s="21" t="str">
        <f>IF(Deployments!L62="","",Deployments!L62)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IF(Deployments!AH63="","",Deployments!AH63)</f>
        <v/>
      </c>
      <c r="E63" s="21" t="str">
        <f>IF(Deployments!I63="","",Deployments!I63)</f>
        <v/>
      </c>
      <c r="F63" s="21" t="str">
        <f>IF(Deployments!J63="","",Deployments!J63)</f>
        <v/>
      </c>
      <c r="G63" s="21" t="str">
        <f>IF(Deployments!K63="","",Deployments!K63)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IF(Deployments!AD63="","",Deployments!AD63)</f>
        <v/>
      </c>
      <c r="L63" s="21" t="str">
        <f>IF(Deployments!M63="","",Deployments!M63)</f>
        <v/>
      </c>
      <c r="M63" s="22"/>
      <c r="N63" s="21" t="str">
        <f>IF(Deployments!N63="","",Deployments!N63)</f>
        <v>Yes</v>
      </c>
      <c r="O63" s="21" t="str">
        <f>IF(Deployments!O63="","",Deployments!O63)</f>
        <v>No</v>
      </c>
      <c r="P63" s="21" t="str">
        <f>IF(Deployments!P63="","",Deployments!P63)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IF(Deployments!T63="","",Deployments!T63)</f>
        <v/>
      </c>
      <c r="AA63" s="21" t="str">
        <f>IF(Deployments!L63="","",Deployments!L63)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IF(Deployments!AH64="","",Deployments!AH64)</f>
        <v/>
      </c>
      <c r="E64" s="21" t="str">
        <f>IF(Deployments!I64="","",Deployments!I64)</f>
        <v/>
      </c>
      <c r="F64" s="21" t="str">
        <f>IF(Deployments!J64="","",Deployments!J64)</f>
        <v/>
      </c>
      <c r="G64" s="21" t="str">
        <f>IF(Deployments!K64="","",Deployments!K64)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IF(Deployments!AD64="","",Deployments!AD64)</f>
        <v/>
      </c>
      <c r="L64" s="21" t="str">
        <f>IF(Deployments!M64="","",Deployments!M64)</f>
        <v/>
      </c>
      <c r="M64" s="22"/>
      <c r="N64" s="21" t="str">
        <f>IF(Deployments!N64="","",Deployments!N64)</f>
        <v>Yes</v>
      </c>
      <c r="O64" s="21" t="str">
        <f>IF(Deployments!O64="","",Deployments!O64)</f>
        <v>No</v>
      </c>
      <c r="P64" s="21" t="str">
        <f>IF(Deployments!P64="","",Deployments!P64)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IF(Deployments!T64="","",Deployments!T64)</f>
        <v/>
      </c>
      <c r="AA64" s="21" t="str">
        <f>IF(Deployments!L64="","",Deployments!L64)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IF(Deployments!AH65="","",Deployments!AH65)</f>
        <v/>
      </c>
      <c r="E65" s="21" t="str">
        <f>IF(Deployments!I65="","",Deployments!I65)</f>
        <v/>
      </c>
      <c r="F65" s="21" t="str">
        <f>IF(Deployments!J65="","",Deployments!J65)</f>
        <v/>
      </c>
      <c r="G65" s="21" t="str">
        <f>IF(Deployments!K65="","",Deployments!K65)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IF(Deployments!AD65="","",Deployments!AD65)</f>
        <v/>
      </c>
      <c r="L65" s="21" t="str">
        <f>IF(Deployments!M65="","",Deployments!M65)</f>
        <v/>
      </c>
      <c r="M65" s="22"/>
      <c r="N65" s="21" t="str">
        <f>IF(Deployments!N65="","",Deployments!N65)</f>
        <v>Yes</v>
      </c>
      <c r="O65" s="21" t="str">
        <f>IF(Deployments!O65="","",Deployments!O65)</f>
        <v>No</v>
      </c>
      <c r="P65" s="21" t="str">
        <f>IF(Deployments!P65="","",Deployments!P65)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IF(Deployments!T65="","",Deployments!T65)</f>
        <v/>
      </c>
      <c r="AA65" s="21" t="str">
        <f>IF(Deployments!L65="","",Deployments!L65)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IF(Deployments!AH66="","",Deployments!AH66)</f>
        <v/>
      </c>
      <c r="E66" s="21" t="str">
        <f>IF(Deployments!I66="","",Deployments!I66)</f>
        <v/>
      </c>
      <c r="F66" s="21" t="str">
        <f>IF(Deployments!J66="","",Deployments!J66)</f>
        <v/>
      </c>
      <c r="G66" s="21" t="str">
        <f>IF(Deployments!K66="","",Deployments!K66)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IF(Deployments!AD66="","",Deployments!AD66)</f>
        <v/>
      </c>
      <c r="L66" s="21" t="str">
        <f>IF(Deployments!M66="","",Deployments!M66)</f>
        <v/>
      </c>
      <c r="M66" s="22"/>
      <c r="N66" s="21" t="str">
        <f>IF(Deployments!N66="","",Deployments!N66)</f>
        <v>Yes</v>
      </c>
      <c r="O66" s="21" t="str">
        <f>IF(Deployments!O66="","",Deployments!O66)</f>
        <v>No</v>
      </c>
      <c r="P66" s="21" t="str">
        <f>IF(Deployments!P66="","",Deployments!P66)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IF(Deployments!T66="","",Deployments!T66)</f>
        <v/>
      </c>
      <c r="AA66" s="21" t="str">
        <f>IF(Deployments!L66="","",Deployments!L66)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IF(Deployments!AH67="","",Deployments!AH67)</f>
        <v/>
      </c>
      <c r="E67" s="21" t="str">
        <f>IF(Deployments!I67="","",Deployments!I67)</f>
        <v/>
      </c>
      <c r="F67" s="21" t="str">
        <f>IF(Deployments!J67="","",Deployments!J67)</f>
        <v/>
      </c>
      <c r="G67" s="21" t="str">
        <f>IF(Deployments!K67="","",Deployments!K67)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IF(Deployments!AD67="","",Deployments!AD67)</f>
        <v/>
      </c>
      <c r="L67" s="21" t="str">
        <f>IF(Deployments!M67="","",Deployments!M67)</f>
        <v/>
      </c>
      <c r="M67" s="22"/>
      <c r="N67" s="21" t="str">
        <f>IF(Deployments!N67="","",Deployments!N67)</f>
        <v>Yes</v>
      </c>
      <c r="O67" s="21" t="str">
        <f>IF(Deployments!O67="","",Deployments!O67)</f>
        <v>No</v>
      </c>
      <c r="P67" s="21" t="str">
        <f>IF(Deployments!P67="","",Deployments!P67)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IF(Deployments!T67="","",Deployments!T67)</f>
        <v/>
      </c>
      <c r="AA67" s="21" t="str">
        <f>IF(Deployments!L67="","",Deployments!L67)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IF(Deployments!AH68="","",Deployments!AH68)</f>
        <v/>
      </c>
      <c r="E68" s="21" t="str">
        <f>IF(Deployments!I68="","",Deployments!I68)</f>
        <v/>
      </c>
      <c r="F68" s="21" t="str">
        <f>IF(Deployments!J68="","",Deployments!J68)</f>
        <v/>
      </c>
      <c r="G68" s="21" t="str">
        <f>IF(Deployments!K68="","",Deployments!K68)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IF(Deployments!AD68="","",Deployments!AD68)</f>
        <v/>
      </c>
      <c r="L68" s="21" t="str">
        <f>IF(Deployments!M68="","",Deployments!M68)</f>
        <v/>
      </c>
      <c r="M68" s="22"/>
      <c r="N68" s="21" t="str">
        <f>IF(Deployments!N68="","",Deployments!N68)</f>
        <v>Yes</v>
      </c>
      <c r="O68" s="21" t="str">
        <f>IF(Deployments!O68="","",Deployments!O68)</f>
        <v>No</v>
      </c>
      <c r="P68" s="21" t="str">
        <f>IF(Deployments!P68="","",Deployments!P68)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IF(Deployments!T68="","",Deployments!T68)</f>
        <v/>
      </c>
      <c r="AA68" s="21" t="str">
        <f>IF(Deployments!L68="","",Deployments!L68)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IF(Deployments!AH69="","",Deployments!AH69)</f>
        <v/>
      </c>
      <c r="E69" s="21" t="str">
        <f>IF(Deployments!I69="","",Deployments!I69)</f>
        <v/>
      </c>
      <c r="F69" s="21" t="str">
        <f>IF(Deployments!J69="","",Deployments!J69)</f>
        <v/>
      </c>
      <c r="G69" s="21" t="str">
        <f>IF(Deployments!K69="","",Deployments!K69)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IF(Deployments!AD69="","",Deployments!AD69)</f>
        <v/>
      </c>
      <c r="L69" s="21" t="str">
        <f>IF(Deployments!M69="","",Deployments!M69)</f>
        <v/>
      </c>
      <c r="M69" s="22"/>
      <c r="N69" s="21" t="str">
        <f>IF(Deployments!N69="","",Deployments!N69)</f>
        <v>Yes</v>
      </c>
      <c r="O69" s="21" t="str">
        <f>IF(Deployments!O69="","",Deployments!O69)</f>
        <v>No</v>
      </c>
      <c r="P69" s="21" t="str">
        <f>IF(Deployments!P69="","",Deployments!P69)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IF(Deployments!T69="","",Deployments!T69)</f>
        <v/>
      </c>
      <c r="AA69" s="21" t="str">
        <f>IF(Deployments!L69="","",Deployments!L69)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IF(Deployments!AH70="","",Deployments!AH70)</f>
        <v/>
      </c>
      <c r="E70" s="21" t="str">
        <f>IF(Deployments!I70="","",Deployments!I70)</f>
        <v/>
      </c>
      <c r="F70" s="21" t="str">
        <f>IF(Deployments!J70="","",Deployments!J70)</f>
        <v/>
      </c>
      <c r="G70" s="21" t="str">
        <f>IF(Deployments!K70="","",Deployments!K70)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IF(Deployments!AD70="","",Deployments!AD70)</f>
        <v/>
      </c>
      <c r="L70" s="21" t="str">
        <f>IF(Deployments!M70="","",Deployments!M70)</f>
        <v/>
      </c>
      <c r="M70" s="22"/>
      <c r="N70" s="21" t="str">
        <f>IF(Deployments!N70="","",Deployments!N70)</f>
        <v>Yes</v>
      </c>
      <c r="O70" s="21" t="str">
        <f>IF(Deployments!O70="","",Deployments!O70)</f>
        <v>No</v>
      </c>
      <c r="P70" s="21" t="str">
        <f>IF(Deployments!P70="","",Deployments!P70)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IF(Deployments!T70="","",Deployments!T70)</f>
        <v/>
      </c>
      <c r="AA70" s="21" t="str">
        <f>IF(Deployments!L70="","",Deployments!L70)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IF(Deployments!AH71="","",Deployments!AH71)</f>
        <v/>
      </c>
      <c r="E71" s="21" t="str">
        <f>IF(Deployments!I71="","",Deployments!I71)</f>
        <v/>
      </c>
      <c r="F71" s="21" t="str">
        <f>IF(Deployments!J71="","",Deployments!J71)</f>
        <v/>
      </c>
      <c r="G71" s="21" t="str">
        <f>IF(Deployments!K71="","",Deployments!K71)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IF(Deployments!AD71="","",Deployments!AD71)</f>
        <v/>
      </c>
      <c r="L71" s="21" t="str">
        <f>IF(Deployments!M71="","",Deployments!M71)</f>
        <v/>
      </c>
      <c r="M71" s="22"/>
      <c r="N71" s="21" t="str">
        <f>IF(Deployments!N71="","",Deployments!N71)</f>
        <v>Yes</v>
      </c>
      <c r="O71" s="21" t="str">
        <f>IF(Deployments!O71="","",Deployments!O71)</f>
        <v>No</v>
      </c>
      <c r="P71" s="21" t="str">
        <f>IF(Deployments!P71="","",Deployments!P71)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IF(Deployments!T71="","",Deployments!T71)</f>
        <v/>
      </c>
      <c r="AA71" s="21" t="str">
        <f>IF(Deployments!L71="","",Deployments!L71)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IF(Deployments!AH72="","",Deployments!AH72)</f>
        <v/>
      </c>
      <c r="E72" s="21" t="str">
        <f>IF(Deployments!I72="","",Deployments!I72)</f>
        <v/>
      </c>
      <c r="F72" s="21" t="str">
        <f>IF(Deployments!J72="","",Deployments!J72)</f>
        <v/>
      </c>
      <c r="G72" s="21" t="str">
        <f>IF(Deployments!K72="","",Deployments!K72)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IF(Deployments!AD72="","",Deployments!AD72)</f>
        <v/>
      </c>
      <c r="L72" s="21" t="str">
        <f>IF(Deployments!M72="","",Deployments!M72)</f>
        <v/>
      </c>
      <c r="M72" s="22"/>
      <c r="N72" s="21" t="str">
        <f>IF(Deployments!N72="","",Deployments!N72)</f>
        <v>Yes</v>
      </c>
      <c r="O72" s="21" t="str">
        <f>IF(Deployments!O72="","",Deployments!O72)</f>
        <v>No</v>
      </c>
      <c r="P72" s="21" t="str">
        <f>IF(Deployments!P72="","",Deployments!P72)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IF(Deployments!T72="","",Deployments!T72)</f>
        <v/>
      </c>
      <c r="AA72" s="21" t="str">
        <f>IF(Deployments!L72="","",Deployments!L72)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IF(Deployments!AH73="","",Deployments!AH73)</f>
        <v/>
      </c>
      <c r="E73" s="21" t="str">
        <f>IF(Deployments!I73="","",Deployments!I73)</f>
        <v/>
      </c>
      <c r="F73" s="21" t="str">
        <f>IF(Deployments!J73="","",Deployments!J73)</f>
        <v/>
      </c>
      <c r="G73" s="21" t="str">
        <f>IF(Deployments!K73="","",Deployments!K73)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IF(Deployments!AD73="","",Deployments!AD73)</f>
        <v/>
      </c>
      <c r="L73" s="21" t="str">
        <f>IF(Deployments!M73="","",Deployments!M73)</f>
        <v/>
      </c>
      <c r="M73" s="22"/>
      <c r="N73" s="21" t="str">
        <f>IF(Deployments!N73="","",Deployments!N73)</f>
        <v>Yes</v>
      </c>
      <c r="O73" s="21" t="str">
        <f>IF(Deployments!O73="","",Deployments!O73)</f>
        <v>No</v>
      </c>
      <c r="P73" s="21" t="str">
        <f>IF(Deployments!P73="","",Deployments!P73)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IF(Deployments!T73="","",Deployments!T73)</f>
        <v/>
      </c>
      <c r="AA73" s="21" t="str">
        <f>IF(Deployments!L73="","",Deployments!L73)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IF(Deployments!AH74="","",Deployments!AH74)</f>
        <v/>
      </c>
      <c r="E74" s="21" t="str">
        <f>IF(Deployments!I74="","",Deployments!I74)</f>
        <v/>
      </c>
      <c r="F74" s="21" t="str">
        <f>IF(Deployments!J74="","",Deployments!J74)</f>
        <v/>
      </c>
      <c r="G74" s="21" t="str">
        <f>IF(Deployments!K74="","",Deployments!K74)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IF(Deployments!AD74="","",Deployments!AD74)</f>
        <v/>
      </c>
      <c r="L74" s="21" t="str">
        <f>IF(Deployments!M74="","",Deployments!M74)</f>
        <v/>
      </c>
      <c r="M74" s="22"/>
      <c r="N74" s="21" t="str">
        <f>IF(Deployments!N74="","",Deployments!N74)</f>
        <v>Yes</v>
      </c>
      <c r="O74" s="21" t="str">
        <f>IF(Deployments!O74="","",Deployments!O74)</f>
        <v>No</v>
      </c>
      <c r="P74" s="21" t="str">
        <f>IF(Deployments!P74="","",Deployments!P74)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IF(Deployments!T74="","",Deployments!T74)</f>
        <v/>
      </c>
      <c r="AA74" s="21" t="str">
        <f>IF(Deployments!L74="","",Deployments!L74)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IF(Deployments!AH75="","",Deployments!AH75)</f>
        <v/>
      </c>
      <c r="E75" s="21" t="str">
        <f>IF(Deployments!I75="","",Deployments!I75)</f>
        <v/>
      </c>
      <c r="F75" s="21" t="str">
        <f>IF(Deployments!J75="","",Deployments!J75)</f>
        <v/>
      </c>
      <c r="G75" s="21" t="str">
        <f>IF(Deployments!K75="","",Deployments!K75)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IF(Deployments!AD75="","",Deployments!AD75)</f>
        <v/>
      </c>
      <c r="L75" s="21" t="str">
        <f>IF(Deployments!M75="","",Deployments!M75)</f>
        <v/>
      </c>
      <c r="M75" s="22"/>
      <c r="N75" s="21" t="str">
        <f>IF(Deployments!N75="","",Deployments!N75)</f>
        <v>Yes</v>
      </c>
      <c r="O75" s="21" t="str">
        <f>IF(Deployments!O75="","",Deployments!O75)</f>
        <v>No</v>
      </c>
      <c r="P75" s="21" t="str">
        <f>IF(Deployments!P75="","",Deployments!P75)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IF(Deployments!T75="","",Deployments!T75)</f>
        <v/>
      </c>
      <c r="AA75" s="21" t="str">
        <f>IF(Deployments!L75="","",Deployments!L75)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IF(Deployments!AH76="","",Deployments!AH76)</f>
        <v/>
      </c>
      <c r="E76" s="21" t="str">
        <f>IF(Deployments!I76="","",Deployments!I76)</f>
        <v/>
      </c>
      <c r="F76" s="21" t="str">
        <f>IF(Deployments!J76="","",Deployments!J76)</f>
        <v/>
      </c>
      <c r="G76" s="21" t="str">
        <f>IF(Deployments!K76="","",Deployments!K76)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IF(Deployments!AD76="","",Deployments!AD76)</f>
        <v/>
      </c>
      <c r="L76" s="21" t="str">
        <f>IF(Deployments!M76="","",Deployments!M76)</f>
        <v/>
      </c>
      <c r="M76" s="22"/>
      <c r="N76" s="21" t="str">
        <f>IF(Deployments!N76="","",Deployments!N76)</f>
        <v>Yes</v>
      </c>
      <c r="O76" s="21" t="str">
        <f>IF(Deployments!O76="","",Deployments!O76)</f>
        <v>No</v>
      </c>
      <c r="P76" s="21" t="str">
        <f>IF(Deployments!P76="","",Deployments!P76)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IF(Deployments!T76="","",Deployments!T76)</f>
        <v/>
      </c>
      <c r="AA76" s="21" t="str">
        <f>IF(Deployments!L76="","",Deployments!L76)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IF(Deployments!AH77="","",Deployments!AH77)</f>
        <v/>
      </c>
      <c r="E77" s="21" t="str">
        <f>IF(Deployments!I77="","",Deployments!I77)</f>
        <v/>
      </c>
      <c r="F77" s="21" t="str">
        <f>IF(Deployments!J77="","",Deployments!J77)</f>
        <v/>
      </c>
      <c r="G77" s="21" t="str">
        <f>IF(Deployments!K77="","",Deployments!K77)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IF(Deployments!AD77="","",Deployments!AD77)</f>
        <v/>
      </c>
      <c r="L77" s="21" t="str">
        <f>IF(Deployments!M77="","",Deployments!M77)</f>
        <v/>
      </c>
      <c r="M77" s="22"/>
      <c r="N77" s="21" t="str">
        <f>IF(Deployments!N77="","",Deployments!N77)</f>
        <v>Yes</v>
      </c>
      <c r="O77" s="21" t="str">
        <f>IF(Deployments!O77="","",Deployments!O77)</f>
        <v>No</v>
      </c>
      <c r="P77" s="21" t="str">
        <f>IF(Deployments!P77="","",Deployments!P77)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IF(Deployments!T77="","",Deployments!T77)</f>
        <v/>
      </c>
      <c r="AA77" s="21" t="str">
        <f>IF(Deployments!L77="","",Deployments!L77)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IF(Deployments!AH78="","",Deployments!AH78)</f>
        <v/>
      </c>
      <c r="E78" s="21" t="str">
        <f>IF(Deployments!I78="","",Deployments!I78)</f>
        <v/>
      </c>
      <c r="F78" s="21" t="str">
        <f>IF(Deployments!J78="","",Deployments!J78)</f>
        <v/>
      </c>
      <c r="G78" s="21" t="str">
        <f>IF(Deployments!K78="","",Deployments!K78)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IF(Deployments!AD78="","",Deployments!AD78)</f>
        <v/>
      </c>
      <c r="L78" s="21" t="str">
        <f>IF(Deployments!M78="","",Deployments!M78)</f>
        <v/>
      </c>
      <c r="M78" s="22"/>
      <c r="N78" s="21" t="str">
        <f>IF(Deployments!N78="","",Deployments!N78)</f>
        <v>Yes</v>
      </c>
      <c r="O78" s="21" t="str">
        <f>IF(Deployments!O78="","",Deployments!O78)</f>
        <v>No</v>
      </c>
      <c r="P78" s="21" t="str">
        <f>IF(Deployments!P78="","",Deployments!P78)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IF(Deployments!T78="","",Deployments!T78)</f>
        <v/>
      </c>
      <c r="AA78" s="21" t="str">
        <f>IF(Deployments!L78="","",Deployments!L78)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IF(Deployments!AH79="","",Deployments!AH79)</f>
        <v/>
      </c>
      <c r="E79" s="21" t="str">
        <f>IF(Deployments!I79="","",Deployments!I79)</f>
        <v/>
      </c>
      <c r="F79" s="21" t="str">
        <f>IF(Deployments!J79="","",Deployments!J79)</f>
        <v/>
      </c>
      <c r="G79" s="21" t="str">
        <f>IF(Deployments!K79="","",Deployments!K79)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IF(Deployments!AD79="","",Deployments!AD79)</f>
        <v/>
      </c>
      <c r="L79" s="21" t="str">
        <f>IF(Deployments!M79="","",Deployments!M79)</f>
        <v/>
      </c>
      <c r="M79" s="22"/>
      <c r="N79" s="21" t="str">
        <f>IF(Deployments!N79="","",Deployments!N79)</f>
        <v>Yes</v>
      </c>
      <c r="O79" s="21" t="str">
        <f>IF(Deployments!O79="","",Deployments!O79)</f>
        <v>No</v>
      </c>
      <c r="P79" s="21" t="str">
        <f>IF(Deployments!P79="","",Deployments!P79)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IF(Deployments!T79="","",Deployments!T79)</f>
        <v/>
      </c>
      <c r="AA79" s="21" t="str">
        <f>IF(Deployments!L79="","",Deployments!L79)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IF(Deployments!AH80="","",Deployments!AH80)</f>
        <v/>
      </c>
      <c r="E80" s="21" t="str">
        <f>IF(Deployments!I80="","",Deployments!I80)</f>
        <v/>
      </c>
      <c r="F80" s="21" t="str">
        <f>IF(Deployments!J80="","",Deployments!J80)</f>
        <v/>
      </c>
      <c r="G80" s="21" t="str">
        <f>IF(Deployments!K80="","",Deployments!K80)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IF(Deployments!AD80="","",Deployments!AD80)</f>
        <v/>
      </c>
      <c r="L80" s="21" t="str">
        <f>IF(Deployments!M80="","",Deployments!M80)</f>
        <v/>
      </c>
      <c r="M80" s="22"/>
      <c r="N80" s="21" t="str">
        <f>IF(Deployments!N80="","",Deployments!N80)</f>
        <v>Yes</v>
      </c>
      <c r="O80" s="21" t="str">
        <f>IF(Deployments!O80="","",Deployments!O80)</f>
        <v>No</v>
      </c>
      <c r="P80" s="21" t="str">
        <f>IF(Deployments!P80="","",Deployments!P80)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IF(Deployments!T80="","",Deployments!T80)</f>
        <v/>
      </c>
      <c r="AA80" s="21" t="str">
        <f>IF(Deployments!L80="","",Deployments!L80)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IF(Deployments!AH81="","",Deployments!AH81)</f>
        <v/>
      </c>
      <c r="E81" s="21" t="str">
        <f>IF(Deployments!I81="","",Deployments!I81)</f>
        <v/>
      </c>
      <c r="F81" s="21" t="str">
        <f>IF(Deployments!J81="","",Deployments!J81)</f>
        <v/>
      </c>
      <c r="G81" s="21" t="str">
        <f>IF(Deployments!K81="","",Deployments!K81)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IF(Deployments!AD81="","",Deployments!AD81)</f>
        <v/>
      </c>
      <c r="L81" s="21" t="str">
        <f>IF(Deployments!M81="","",Deployments!M81)</f>
        <v/>
      </c>
      <c r="M81" s="22"/>
      <c r="N81" s="21" t="str">
        <f>IF(Deployments!N81="","",Deployments!N81)</f>
        <v>Yes</v>
      </c>
      <c r="O81" s="21" t="str">
        <f>IF(Deployments!O81="","",Deployments!O81)</f>
        <v>No</v>
      </c>
      <c r="P81" s="21" t="str">
        <f>IF(Deployments!P81="","",Deployments!P81)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IF(Deployments!T81="","",Deployments!T81)</f>
        <v/>
      </c>
      <c r="AA81" s="21" t="str">
        <f>IF(Deployments!L81="","",Deployments!L81)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IF(Deployments!AH82="","",Deployments!AH82)</f>
        <v/>
      </c>
      <c r="E82" s="21" t="str">
        <f>IF(Deployments!I82="","",Deployments!I82)</f>
        <v/>
      </c>
      <c r="F82" s="21" t="str">
        <f>IF(Deployments!J82="","",Deployments!J82)</f>
        <v/>
      </c>
      <c r="G82" s="21" t="str">
        <f>IF(Deployments!K82="","",Deployments!K82)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IF(Deployments!AD82="","",Deployments!AD82)</f>
        <v/>
      </c>
      <c r="L82" s="21" t="str">
        <f>IF(Deployments!M82="","",Deployments!M82)</f>
        <v/>
      </c>
      <c r="M82" s="22"/>
      <c r="N82" s="21" t="str">
        <f>IF(Deployments!N82="","",Deployments!N82)</f>
        <v>Yes</v>
      </c>
      <c r="O82" s="21" t="str">
        <f>IF(Deployments!O82="","",Deployments!O82)</f>
        <v>No</v>
      </c>
      <c r="P82" s="21" t="str">
        <f>IF(Deployments!P82="","",Deployments!P82)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IF(Deployments!T82="","",Deployments!T82)</f>
        <v/>
      </c>
      <c r="AA82" s="21" t="str">
        <f>IF(Deployments!L82="","",Deployments!L82)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IF(Deployments!AH83="","",Deployments!AH83)</f>
        <v/>
      </c>
      <c r="E83" s="21" t="str">
        <f>IF(Deployments!I83="","",Deployments!I83)</f>
        <v/>
      </c>
      <c r="F83" s="21" t="str">
        <f>IF(Deployments!J83="","",Deployments!J83)</f>
        <v/>
      </c>
      <c r="G83" s="21" t="str">
        <f>IF(Deployments!K83="","",Deployments!K83)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IF(Deployments!AD83="","",Deployments!AD83)</f>
        <v/>
      </c>
      <c r="L83" s="21" t="str">
        <f>IF(Deployments!M83="","",Deployments!M83)</f>
        <v/>
      </c>
      <c r="M83" s="22"/>
      <c r="N83" s="21" t="str">
        <f>IF(Deployments!N83="","",Deployments!N83)</f>
        <v>Yes</v>
      </c>
      <c r="O83" s="21" t="str">
        <f>IF(Deployments!O83="","",Deployments!O83)</f>
        <v>No</v>
      </c>
      <c r="P83" s="21" t="str">
        <f>IF(Deployments!P83="","",Deployments!P83)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IF(Deployments!T83="","",Deployments!T83)</f>
        <v/>
      </c>
      <c r="AA83" s="21" t="str">
        <f>IF(Deployments!L83="","",Deployments!L83)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IF(Deployments!AH84="","",Deployments!AH84)</f>
        <v/>
      </c>
      <c r="E84" s="21" t="str">
        <f>IF(Deployments!I84="","",Deployments!I84)</f>
        <v/>
      </c>
      <c r="F84" s="21" t="str">
        <f>IF(Deployments!J84="","",Deployments!J84)</f>
        <v/>
      </c>
      <c r="G84" s="21" t="str">
        <f>IF(Deployments!K84="","",Deployments!K84)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IF(Deployments!AD84="","",Deployments!AD84)</f>
        <v/>
      </c>
      <c r="L84" s="21" t="str">
        <f>IF(Deployments!M84="","",Deployments!M84)</f>
        <v/>
      </c>
      <c r="M84" s="22"/>
      <c r="N84" s="21" t="str">
        <f>IF(Deployments!N84="","",Deployments!N84)</f>
        <v>Yes</v>
      </c>
      <c r="O84" s="21" t="str">
        <f>IF(Deployments!O84="","",Deployments!O84)</f>
        <v>No</v>
      </c>
      <c r="P84" s="21" t="str">
        <f>IF(Deployments!P84="","",Deployments!P84)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IF(Deployments!T84="","",Deployments!T84)</f>
        <v/>
      </c>
      <c r="AA84" s="21" t="str">
        <f>IF(Deployments!L84="","",Deployments!L84)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IF(Deployments!AH85="","",Deployments!AH85)</f>
        <v/>
      </c>
      <c r="E85" s="21" t="str">
        <f>IF(Deployments!I85="","",Deployments!I85)</f>
        <v/>
      </c>
      <c r="F85" s="21" t="str">
        <f>IF(Deployments!J85="","",Deployments!J85)</f>
        <v/>
      </c>
      <c r="G85" s="21" t="str">
        <f>IF(Deployments!K85="","",Deployments!K85)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IF(Deployments!AD85="","",Deployments!AD85)</f>
        <v/>
      </c>
      <c r="L85" s="21" t="str">
        <f>IF(Deployments!M85="","",Deployments!M85)</f>
        <v/>
      </c>
      <c r="M85" s="22"/>
      <c r="N85" s="21" t="str">
        <f>IF(Deployments!N85="","",Deployments!N85)</f>
        <v>Yes</v>
      </c>
      <c r="O85" s="21" t="str">
        <f>IF(Deployments!O85="","",Deployments!O85)</f>
        <v>No</v>
      </c>
      <c r="P85" s="21" t="str">
        <f>IF(Deployments!P85="","",Deployments!P85)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IF(Deployments!T85="","",Deployments!T85)</f>
        <v/>
      </c>
      <c r="AA85" s="21" t="str">
        <f>IF(Deployments!L85="","",Deployments!L85)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IF(Deployments!AH86="","",Deployments!AH86)</f>
        <v/>
      </c>
      <c r="E86" s="21" t="str">
        <f>IF(Deployments!I86="","",Deployments!I86)</f>
        <v/>
      </c>
      <c r="F86" s="21" t="str">
        <f>IF(Deployments!J86="","",Deployments!J86)</f>
        <v/>
      </c>
      <c r="G86" s="21" t="str">
        <f>IF(Deployments!K86="","",Deployments!K86)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IF(Deployments!AD86="","",Deployments!AD86)</f>
        <v/>
      </c>
      <c r="L86" s="21" t="str">
        <f>IF(Deployments!M86="","",Deployments!M86)</f>
        <v/>
      </c>
      <c r="M86" s="22"/>
      <c r="N86" s="21" t="str">
        <f>IF(Deployments!N86="","",Deployments!N86)</f>
        <v>Yes</v>
      </c>
      <c r="O86" s="21" t="str">
        <f>IF(Deployments!O86="","",Deployments!O86)</f>
        <v>No</v>
      </c>
      <c r="P86" s="21" t="str">
        <f>IF(Deployments!P86="","",Deployments!P86)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IF(Deployments!T86="","",Deployments!T86)</f>
        <v/>
      </c>
      <c r="AA86" s="21" t="str">
        <f>IF(Deployments!L86="","",Deployments!L86)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IF(Deployments!AH87="","",Deployments!AH87)</f>
        <v/>
      </c>
      <c r="E87" s="21" t="str">
        <f>IF(Deployments!I87="","",Deployments!I87)</f>
        <v/>
      </c>
      <c r="F87" s="21" t="str">
        <f>IF(Deployments!J87="","",Deployments!J87)</f>
        <v/>
      </c>
      <c r="G87" s="21" t="str">
        <f>IF(Deployments!K87="","",Deployments!K87)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IF(Deployments!AD87="","",Deployments!AD87)</f>
        <v/>
      </c>
      <c r="L87" s="21" t="str">
        <f>IF(Deployments!M87="","",Deployments!M87)</f>
        <v/>
      </c>
      <c r="M87" s="22"/>
      <c r="N87" s="21" t="str">
        <f>IF(Deployments!N87="","",Deployments!N87)</f>
        <v>Yes</v>
      </c>
      <c r="O87" s="21" t="str">
        <f>IF(Deployments!O87="","",Deployments!O87)</f>
        <v>No</v>
      </c>
      <c r="P87" s="21" t="str">
        <f>IF(Deployments!P87="","",Deployments!P87)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IF(Deployments!T87="","",Deployments!T87)</f>
        <v/>
      </c>
      <c r="AA87" s="21" t="str">
        <f>IF(Deployments!L87="","",Deployments!L87)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IF(Deployments!AH88="","",Deployments!AH88)</f>
        <v/>
      </c>
      <c r="E88" s="21" t="str">
        <f>IF(Deployments!I88="","",Deployments!I88)</f>
        <v/>
      </c>
      <c r="F88" s="21" t="str">
        <f>IF(Deployments!J88="","",Deployments!J88)</f>
        <v/>
      </c>
      <c r="G88" s="21" t="str">
        <f>IF(Deployments!K88="","",Deployments!K88)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IF(Deployments!AD88="","",Deployments!AD88)</f>
        <v/>
      </c>
      <c r="L88" s="21" t="str">
        <f>IF(Deployments!M88="","",Deployments!M88)</f>
        <v/>
      </c>
      <c r="M88" s="22"/>
      <c r="N88" s="21" t="str">
        <f>IF(Deployments!N88="","",Deployments!N88)</f>
        <v>Yes</v>
      </c>
      <c r="O88" s="21" t="str">
        <f>IF(Deployments!O88="","",Deployments!O88)</f>
        <v>No</v>
      </c>
      <c r="P88" s="21" t="str">
        <f>IF(Deployments!P88="","",Deployments!P88)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IF(Deployments!T88="","",Deployments!T88)</f>
        <v/>
      </c>
      <c r="AA88" s="21" t="str">
        <f>IF(Deployments!L88="","",Deployments!L88)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IF(Deployments!AH89="","",Deployments!AH89)</f>
        <v/>
      </c>
      <c r="E89" s="21" t="str">
        <f>IF(Deployments!I89="","",Deployments!I89)</f>
        <v/>
      </c>
      <c r="F89" s="21" t="str">
        <f>IF(Deployments!J89="","",Deployments!J89)</f>
        <v/>
      </c>
      <c r="G89" s="21" t="str">
        <f>IF(Deployments!K89="","",Deployments!K89)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IF(Deployments!AD89="","",Deployments!AD89)</f>
        <v/>
      </c>
      <c r="L89" s="21" t="str">
        <f>IF(Deployments!M89="","",Deployments!M89)</f>
        <v/>
      </c>
      <c r="M89" s="22"/>
      <c r="N89" s="21" t="str">
        <f>IF(Deployments!N89="","",Deployments!N89)</f>
        <v>Yes</v>
      </c>
      <c r="O89" s="21" t="str">
        <f>IF(Deployments!O89="","",Deployments!O89)</f>
        <v>No</v>
      </c>
      <c r="P89" s="21" t="str">
        <f>IF(Deployments!P89="","",Deployments!P89)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IF(Deployments!T89="","",Deployments!T89)</f>
        <v/>
      </c>
      <c r="AA89" s="21" t="str">
        <f>IF(Deployments!L89="","",Deployments!L89)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IF(Deployments!AH90="","",Deployments!AH90)</f>
        <v/>
      </c>
      <c r="E90" s="21" t="str">
        <f>IF(Deployments!I90="","",Deployments!I90)</f>
        <v/>
      </c>
      <c r="F90" s="21" t="str">
        <f>IF(Deployments!J90="","",Deployments!J90)</f>
        <v/>
      </c>
      <c r="G90" s="21" t="str">
        <f>IF(Deployments!K90="","",Deployments!K90)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IF(Deployments!AD90="","",Deployments!AD90)</f>
        <v/>
      </c>
      <c r="L90" s="21" t="str">
        <f>IF(Deployments!M90="","",Deployments!M90)</f>
        <v/>
      </c>
      <c r="M90" s="22"/>
      <c r="N90" s="21" t="str">
        <f>IF(Deployments!N90="","",Deployments!N90)</f>
        <v>Yes</v>
      </c>
      <c r="O90" s="21" t="str">
        <f>IF(Deployments!O90="","",Deployments!O90)</f>
        <v>No</v>
      </c>
      <c r="P90" s="21" t="str">
        <f>IF(Deployments!P90="","",Deployments!P90)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IF(Deployments!T90="","",Deployments!T90)</f>
        <v/>
      </c>
      <c r="AA90" s="21" t="str">
        <f>IF(Deployments!L90="","",Deployments!L90)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IF(Deployments!AH91="","",Deployments!AH91)</f>
        <v/>
      </c>
      <c r="E91" s="21" t="str">
        <f>IF(Deployments!I91="","",Deployments!I91)</f>
        <v/>
      </c>
      <c r="F91" s="21" t="str">
        <f>IF(Deployments!J91="","",Deployments!J91)</f>
        <v/>
      </c>
      <c r="G91" s="21" t="str">
        <f>IF(Deployments!K91="","",Deployments!K91)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IF(Deployments!AD91="","",Deployments!AD91)</f>
        <v/>
      </c>
      <c r="L91" s="21" t="str">
        <f>IF(Deployments!M91="","",Deployments!M91)</f>
        <v/>
      </c>
      <c r="M91" s="22"/>
      <c r="N91" s="21" t="str">
        <f>IF(Deployments!N91="","",Deployments!N91)</f>
        <v>Yes</v>
      </c>
      <c r="O91" s="21" t="str">
        <f>IF(Deployments!O91="","",Deployments!O91)</f>
        <v>No</v>
      </c>
      <c r="P91" s="21" t="str">
        <f>IF(Deployments!P91="","",Deployments!P91)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IF(Deployments!T91="","",Deployments!T91)</f>
        <v/>
      </c>
      <c r="AA91" s="21" t="str">
        <f>IF(Deployments!L91="","",Deployments!L91)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IF(Deployments!AH92="","",Deployments!AH92)</f>
        <v/>
      </c>
      <c r="E92" s="21" t="str">
        <f>IF(Deployments!I92="","",Deployments!I92)</f>
        <v/>
      </c>
      <c r="F92" s="21" t="str">
        <f>IF(Deployments!J92="","",Deployments!J92)</f>
        <v/>
      </c>
      <c r="G92" s="21" t="str">
        <f>IF(Deployments!K92="","",Deployments!K92)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IF(Deployments!AD92="","",Deployments!AD92)</f>
        <v/>
      </c>
      <c r="L92" s="21" t="str">
        <f>IF(Deployments!M92="","",Deployments!M92)</f>
        <v/>
      </c>
      <c r="M92" s="22"/>
      <c r="N92" s="21" t="str">
        <f>IF(Deployments!N92="","",Deployments!N92)</f>
        <v>Yes</v>
      </c>
      <c r="O92" s="21" t="str">
        <f>IF(Deployments!O92="","",Deployments!O92)</f>
        <v>No</v>
      </c>
      <c r="P92" s="21" t="str">
        <f>IF(Deployments!P92="","",Deployments!P92)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IF(Deployments!T92="","",Deployments!T92)</f>
        <v/>
      </c>
      <c r="AA92" s="21" t="str">
        <f>IF(Deployments!L92="","",Deployments!L92)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IF(Deployments!AH93="","",Deployments!AH93)</f>
        <v/>
      </c>
      <c r="E93" s="21" t="str">
        <f>IF(Deployments!I93="","",Deployments!I93)</f>
        <v/>
      </c>
      <c r="F93" s="21" t="str">
        <f>IF(Deployments!J93="","",Deployments!J93)</f>
        <v/>
      </c>
      <c r="G93" s="21" t="str">
        <f>IF(Deployments!K93="","",Deployments!K93)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IF(Deployments!AD93="","",Deployments!AD93)</f>
        <v/>
      </c>
      <c r="L93" s="21" t="str">
        <f>IF(Deployments!M93="","",Deployments!M93)</f>
        <v/>
      </c>
      <c r="M93" s="22"/>
      <c r="N93" s="21" t="str">
        <f>IF(Deployments!N93="","",Deployments!N93)</f>
        <v>Yes</v>
      </c>
      <c r="O93" s="21" t="str">
        <f>IF(Deployments!O93="","",Deployments!O93)</f>
        <v>No</v>
      </c>
      <c r="P93" s="21" t="str">
        <f>IF(Deployments!P93="","",Deployments!P93)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IF(Deployments!T93="","",Deployments!T93)</f>
        <v/>
      </c>
      <c r="AA93" s="21" t="str">
        <f>IF(Deployments!L93="","",Deployments!L93)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IF(Deployments!AH94="","",Deployments!AH94)</f>
        <v/>
      </c>
      <c r="E94" s="21" t="str">
        <f>IF(Deployments!I94="","",Deployments!I94)</f>
        <v/>
      </c>
      <c r="F94" s="21" t="str">
        <f>IF(Deployments!J94="","",Deployments!J94)</f>
        <v/>
      </c>
      <c r="G94" s="21" t="str">
        <f>IF(Deployments!K94="","",Deployments!K94)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IF(Deployments!AD94="","",Deployments!AD94)</f>
        <v/>
      </c>
      <c r="L94" s="21" t="str">
        <f>IF(Deployments!M94="","",Deployments!M94)</f>
        <v/>
      </c>
      <c r="M94" s="22"/>
      <c r="N94" s="21" t="str">
        <f>IF(Deployments!N94="","",Deployments!N94)</f>
        <v>Yes</v>
      </c>
      <c r="O94" s="21" t="str">
        <f>IF(Deployments!O94="","",Deployments!O94)</f>
        <v>No</v>
      </c>
      <c r="P94" s="21" t="str">
        <f>IF(Deployments!P94="","",Deployments!P94)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IF(Deployments!T94="","",Deployments!T94)</f>
        <v/>
      </c>
      <c r="AA94" s="21" t="str">
        <f>IF(Deployments!L94="","",Deployments!L94)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IF(Deployments!AH95="","",Deployments!AH95)</f>
        <v/>
      </c>
      <c r="E95" s="21" t="str">
        <f>IF(Deployments!I95="","",Deployments!I95)</f>
        <v/>
      </c>
      <c r="F95" s="21" t="str">
        <f>IF(Deployments!J95="","",Deployments!J95)</f>
        <v/>
      </c>
      <c r="G95" s="21" t="str">
        <f>IF(Deployments!K95="","",Deployments!K95)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IF(Deployments!AD95="","",Deployments!AD95)</f>
        <v/>
      </c>
      <c r="L95" s="21" t="str">
        <f>IF(Deployments!M95="","",Deployments!M95)</f>
        <v/>
      </c>
      <c r="M95" s="22"/>
      <c r="N95" s="21" t="str">
        <f>IF(Deployments!N95="","",Deployments!N95)</f>
        <v>Yes</v>
      </c>
      <c r="O95" s="21" t="str">
        <f>IF(Deployments!O95="","",Deployments!O95)</f>
        <v>No</v>
      </c>
      <c r="P95" s="21" t="str">
        <f>IF(Deployments!P95="","",Deployments!P95)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IF(Deployments!T95="","",Deployments!T95)</f>
        <v/>
      </c>
      <c r="AA95" s="21" t="str">
        <f>IF(Deployments!L95="","",Deployments!L95)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IF(Deployments!AH96="","",Deployments!AH96)</f>
        <v/>
      </c>
      <c r="E96" s="21" t="str">
        <f>IF(Deployments!I96="","",Deployments!I96)</f>
        <v/>
      </c>
      <c r="F96" s="21" t="str">
        <f>IF(Deployments!J96="","",Deployments!J96)</f>
        <v/>
      </c>
      <c r="G96" s="21" t="str">
        <f>IF(Deployments!K96="","",Deployments!K96)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IF(Deployments!AD96="","",Deployments!AD96)</f>
        <v/>
      </c>
      <c r="L96" s="21" t="str">
        <f>IF(Deployments!M96="","",Deployments!M96)</f>
        <v/>
      </c>
      <c r="M96" s="22"/>
      <c r="N96" s="21" t="str">
        <f>IF(Deployments!N96="","",Deployments!N96)</f>
        <v>Yes</v>
      </c>
      <c r="O96" s="21" t="str">
        <f>IF(Deployments!O96="","",Deployments!O96)</f>
        <v>No</v>
      </c>
      <c r="P96" s="21" t="str">
        <f>IF(Deployments!P96="","",Deployments!P96)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IF(Deployments!T96="","",Deployments!T96)</f>
        <v/>
      </c>
      <c r="AA96" s="21" t="str">
        <f>IF(Deployments!L96="","",Deployments!L96)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IF(Deployments!AH97="","",Deployments!AH97)</f>
        <v/>
      </c>
      <c r="E97" s="21" t="str">
        <f>IF(Deployments!I97="","",Deployments!I97)</f>
        <v/>
      </c>
      <c r="F97" s="21" t="str">
        <f>IF(Deployments!J97="","",Deployments!J97)</f>
        <v/>
      </c>
      <c r="G97" s="21" t="str">
        <f>IF(Deployments!K97="","",Deployments!K97)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IF(Deployments!AD97="","",Deployments!AD97)</f>
        <v/>
      </c>
      <c r="L97" s="21" t="str">
        <f>IF(Deployments!M97="","",Deployments!M97)</f>
        <v/>
      </c>
      <c r="M97" s="22"/>
      <c r="N97" s="21" t="str">
        <f>IF(Deployments!N97="","",Deployments!N97)</f>
        <v>Yes</v>
      </c>
      <c r="O97" s="21" t="str">
        <f>IF(Deployments!O97="","",Deployments!O97)</f>
        <v>No</v>
      </c>
      <c r="P97" s="21" t="str">
        <f>IF(Deployments!P97="","",Deployments!P97)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IF(Deployments!T97="","",Deployments!T97)</f>
        <v/>
      </c>
      <c r="AA97" s="21" t="str">
        <f>IF(Deployments!L97="","",Deployments!L97)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IF(Deployments!AH98="","",Deployments!AH98)</f>
        <v/>
      </c>
      <c r="E98" s="21" t="str">
        <f>IF(Deployments!I98="","",Deployments!I98)</f>
        <v/>
      </c>
      <c r="F98" s="21" t="str">
        <f>IF(Deployments!J98="","",Deployments!J98)</f>
        <v/>
      </c>
      <c r="G98" s="21" t="str">
        <f>IF(Deployments!K98="","",Deployments!K98)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IF(Deployments!AD98="","",Deployments!AD98)</f>
        <v/>
      </c>
      <c r="L98" s="21" t="str">
        <f>IF(Deployments!M98="","",Deployments!M98)</f>
        <v/>
      </c>
      <c r="M98" s="22"/>
      <c r="N98" s="21" t="str">
        <f>IF(Deployments!N98="","",Deployments!N98)</f>
        <v>Yes</v>
      </c>
      <c r="O98" s="21" t="str">
        <f>IF(Deployments!O98="","",Deployments!O98)</f>
        <v>No</v>
      </c>
      <c r="P98" s="21" t="str">
        <f>IF(Deployments!P98="","",Deployments!P98)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IF(Deployments!T98="","",Deployments!T98)</f>
        <v/>
      </c>
      <c r="AA98" s="21" t="str">
        <f>IF(Deployments!L98="","",Deployments!L98)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IF(Deployments!AH99="","",Deployments!AH99)</f>
        <v/>
      </c>
      <c r="E99" s="21" t="str">
        <f>IF(Deployments!I99="","",Deployments!I99)</f>
        <v/>
      </c>
      <c r="F99" s="21" t="str">
        <f>IF(Deployments!J99="","",Deployments!J99)</f>
        <v/>
      </c>
      <c r="G99" s="21" t="str">
        <f>IF(Deployments!K99="","",Deployments!K99)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IF(Deployments!AD99="","",Deployments!AD99)</f>
        <v/>
      </c>
      <c r="L99" s="21" t="str">
        <f>IF(Deployments!M99="","",Deployments!M99)</f>
        <v/>
      </c>
      <c r="M99" s="22"/>
      <c r="N99" s="21" t="str">
        <f>IF(Deployments!N99="","",Deployments!N99)</f>
        <v>Yes</v>
      </c>
      <c r="O99" s="21" t="str">
        <f>IF(Deployments!O99="","",Deployments!O99)</f>
        <v>No</v>
      </c>
      <c r="P99" s="21" t="str">
        <f>IF(Deployments!P99="","",Deployments!P99)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IF(Deployments!T99="","",Deployments!T99)</f>
        <v/>
      </c>
      <c r="AA99" s="21" t="str">
        <f>IF(Deployments!L99="","",Deployments!L99)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IF(Deployments!AH100="","",Deployments!AH100)</f>
        <v/>
      </c>
      <c r="E100" s="21" t="str">
        <f>IF(Deployments!I100="","",Deployments!I100)</f>
        <v/>
      </c>
      <c r="F100" s="21" t="str">
        <f>IF(Deployments!J100="","",Deployments!J100)</f>
        <v/>
      </c>
      <c r="G100" s="21" t="str">
        <f>IF(Deployments!K100="","",Deployments!K100)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IF(Deployments!AD100="","",Deployments!AD100)</f>
        <v/>
      </c>
      <c r="L100" s="21" t="str">
        <f>IF(Deployments!M100="","",Deployments!M100)</f>
        <v/>
      </c>
      <c r="M100" s="22"/>
      <c r="N100" s="21" t="str">
        <f>IF(Deployments!N100="","",Deployments!N100)</f>
        <v>Yes</v>
      </c>
      <c r="O100" s="21" t="str">
        <f>IF(Deployments!O100="","",Deployments!O100)</f>
        <v>No</v>
      </c>
      <c r="P100" s="21" t="str">
        <f>IF(Deployments!P100="","",Deployments!P100)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IF(Deployments!T100="","",Deployments!T100)</f>
        <v/>
      </c>
      <c r="AA100" s="21" t="str">
        <f>IF(Deployments!L100="","",Deployments!L100)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IF(Deployments!AH101="","",Deployments!AH101)</f>
        <v/>
      </c>
      <c r="E101" s="21" t="str">
        <f>IF(Deployments!I101="","",Deployments!I101)</f>
        <v/>
      </c>
      <c r="F101" s="21" t="str">
        <f>IF(Deployments!J101="","",Deployments!J101)</f>
        <v/>
      </c>
      <c r="G101" s="21" t="str">
        <f>IF(Deployments!K101="","",Deployments!K101)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IF(Deployments!AD101="","",Deployments!AD101)</f>
        <v/>
      </c>
      <c r="L101" s="21" t="str">
        <f>IF(Deployments!M101="","",Deployments!M101)</f>
        <v/>
      </c>
      <c r="M101" s="22"/>
      <c r="N101" s="21" t="str">
        <f>IF(Deployments!N101="","",Deployments!N101)</f>
        <v>Yes</v>
      </c>
      <c r="O101" s="21" t="str">
        <f>IF(Deployments!O101="","",Deployments!O101)</f>
        <v>No</v>
      </c>
      <c r="P101" s="21" t="str">
        <f>IF(Deployments!P101="","",Deployments!P101)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IF(Deployments!T101="","",Deployments!T101)</f>
        <v/>
      </c>
      <c r="AA101" s="21" t="str">
        <f>IF(Deployments!L101="","",Deployments!L101)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IF(Deployments!AH102="","",Deployments!AH102)</f>
        <v/>
      </c>
      <c r="E102" s="21" t="str">
        <f>IF(Deployments!I102="","",Deployments!I102)</f>
        <v/>
      </c>
      <c r="F102" s="21" t="str">
        <f>IF(Deployments!J102="","",Deployments!J102)</f>
        <v/>
      </c>
      <c r="G102" s="21" t="str">
        <f>IF(Deployments!K102="","",Deployments!K102)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IF(Deployments!AD102="","",Deployments!AD102)</f>
        <v/>
      </c>
      <c r="L102" s="21" t="str">
        <f>IF(Deployments!M102="","",Deployments!M102)</f>
        <v/>
      </c>
      <c r="M102" s="22"/>
      <c r="N102" s="21" t="str">
        <f>IF(Deployments!N102="","",Deployments!N102)</f>
        <v>Yes</v>
      </c>
      <c r="O102" s="21" t="str">
        <f>IF(Deployments!O102="","",Deployments!O102)</f>
        <v>No</v>
      </c>
      <c r="P102" s="21" t="str">
        <f>IF(Deployments!P102="","",Deployments!P102)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IF(Deployments!T102="","",Deployments!T102)</f>
        <v/>
      </c>
      <c r="AA102" s="21" t="str">
        <f>IF(Deployments!L102="","",Deployments!L102)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IF(Deployments!AH103="","",Deployments!AH103)</f>
        <v/>
      </c>
      <c r="E103" s="21" t="str">
        <f>IF(Deployments!I103="","",Deployments!I103)</f>
        <v/>
      </c>
      <c r="F103" s="21" t="str">
        <f>IF(Deployments!J103="","",Deployments!J103)</f>
        <v/>
      </c>
      <c r="G103" s="21" t="str">
        <f>IF(Deployments!K103="","",Deployments!K103)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IF(Deployments!AD103="","",Deployments!AD103)</f>
        <v/>
      </c>
      <c r="L103" s="21" t="str">
        <f>IF(Deployments!M103="","",Deployments!M103)</f>
        <v/>
      </c>
      <c r="M103" s="22"/>
      <c r="N103" s="21" t="str">
        <f>IF(Deployments!N103="","",Deployments!N103)</f>
        <v>Yes</v>
      </c>
      <c r="O103" s="21" t="str">
        <f>IF(Deployments!O103="","",Deployments!O103)</f>
        <v>No</v>
      </c>
      <c r="P103" s="21" t="str">
        <f>IF(Deployments!P103="","",Deployments!P103)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IF(Deployments!T103="","",Deployments!T103)</f>
        <v/>
      </c>
      <c r="AA103" s="21" t="str">
        <f>IF(Deployments!L103="","",Deployments!L103)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IF(Deployments!AH104="","",Deployments!AH104)</f>
        <v/>
      </c>
      <c r="E104" s="21" t="str">
        <f>IF(Deployments!I104="","",Deployments!I104)</f>
        <v/>
      </c>
      <c r="F104" s="21" t="str">
        <f>IF(Deployments!J104="","",Deployments!J104)</f>
        <v/>
      </c>
      <c r="G104" s="21" t="str">
        <f>IF(Deployments!K104="","",Deployments!K104)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IF(Deployments!AD104="","",Deployments!AD104)</f>
        <v/>
      </c>
      <c r="L104" s="21" t="str">
        <f>IF(Deployments!M104="","",Deployments!M104)</f>
        <v/>
      </c>
      <c r="M104" s="22"/>
      <c r="N104" s="21" t="str">
        <f>IF(Deployments!N104="","",Deployments!N104)</f>
        <v>Yes</v>
      </c>
      <c r="O104" s="21" t="str">
        <f>IF(Deployments!O104="","",Deployments!O104)</f>
        <v>No</v>
      </c>
      <c r="P104" s="21" t="str">
        <f>IF(Deployments!P104="","",Deployments!P104)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IF(Deployments!T104="","",Deployments!T104)</f>
        <v/>
      </c>
      <c r="AA104" s="21" t="str">
        <f>IF(Deployments!L104="","",Deployments!L104)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IF(Deployments!AH105="","",Deployments!AH105)</f>
        <v/>
      </c>
      <c r="E105" s="21" t="str">
        <f>IF(Deployments!I105="","",Deployments!I105)</f>
        <v/>
      </c>
      <c r="F105" s="21" t="str">
        <f>IF(Deployments!J105="","",Deployments!J105)</f>
        <v/>
      </c>
      <c r="G105" s="21" t="str">
        <f>IF(Deployments!K105="","",Deployments!K105)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IF(Deployments!AD105="","",Deployments!AD105)</f>
        <v/>
      </c>
      <c r="L105" s="21" t="str">
        <f>IF(Deployments!M105="","",Deployments!M105)</f>
        <v/>
      </c>
      <c r="M105" s="22"/>
      <c r="N105" s="21" t="str">
        <f>IF(Deployments!N105="","",Deployments!N105)</f>
        <v>Yes</v>
      </c>
      <c r="O105" s="21" t="str">
        <f>IF(Deployments!O105="","",Deployments!O105)</f>
        <v>No</v>
      </c>
      <c r="P105" s="21" t="str">
        <f>IF(Deployments!P105="","",Deployments!P105)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IF(Deployments!T105="","",Deployments!T105)</f>
        <v/>
      </c>
      <c r="AA105" s="21" t="str">
        <f>IF(Deployments!L105="","",Deployments!L105)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IF(Deployments!AH106="","",Deployments!AH106)</f>
        <v/>
      </c>
      <c r="E106" s="21" t="str">
        <f>IF(Deployments!I106="","",Deployments!I106)</f>
        <v/>
      </c>
      <c r="F106" s="21" t="str">
        <f>IF(Deployments!J106="","",Deployments!J106)</f>
        <v/>
      </c>
      <c r="G106" s="21" t="str">
        <f>IF(Deployments!K106="","",Deployments!K106)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IF(Deployments!AD106="","",Deployments!AD106)</f>
        <v/>
      </c>
      <c r="L106" s="21" t="str">
        <f>IF(Deployments!M106="","",Deployments!M106)</f>
        <v/>
      </c>
      <c r="M106" s="22"/>
      <c r="N106" s="21" t="str">
        <f>IF(Deployments!N106="","",Deployments!N106)</f>
        <v>Yes</v>
      </c>
      <c r="O106" s="21" t="str">
        <f>IF(Deployments!O106="","",Deployments!O106)</f>
        <v>No</v>
      </c>
      <c r="P106" s="21" t="str">
        <f>IF(Deployments!P106="","",Deployments!P106)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IF(Deployments!T106="","",Deployments!T106)</f>
        <v/>
      </c>
      <c r="AA106" s="21" t="str">
        <f>IF(Deployments!L106="","",Deployments!L106)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IF(Deployments!AH107="","",Deployments!AH107)</f>
        <v/>
      </c>
      <c r="E107" s="21" t="str">
        <f>IF(Deployments!I107="","",Deployments!I107)</f>
        <v/>
      </c>
      <c r="F107" s="21" t="str">
        <f>IF(Deployments!J107="","",Deployments!J107)</f>
        <v/>
      </c>
      <c r="G107" s="21" t="str">
        <f>IF(Deployments!K107="","",Deployments!K107)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IF(Deployments!AD107="","",Deployments!AD107)</f>
        <v/>
      </c>
      <c r="L107" s="21" t="str">
        <f>IF(Deployments!M107="","",Deployments!M107)</f>
        <v/>
      </c>
      <c r="M107" s="22"/>
      <c r="N107" s="21" t="str">
        <f>IF(Deployments!N107="","",Deployments!N107)</f>
        <v>Yes</v>
      </c>
      <c r="O107" s="21" t="str">
        <f>IF(Deployments!O107="","",Deployments!O107)</f>
        <v>No</v>
      </c>
      <c r="P107" s="21" t="str">
        <f>IF(Deployments!P107="","",Deployments!P107)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IF(Deployments!T107="","",Deployments!T107)</f>
        <v/>
      </c>
      <c r="AA107" s="21" t="str">
        <f>IF(Deployments!L107="","",Deployments!L107)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IF(Deployments!AH108="","",Deployments!AH108)</f>
        <v/>
      </c>
      <c r="E108" s="21" t="str">
        <f>IF(Deployments!I108="","",Deployments!I108)</f>
        <v/>
      </c>
      <c r="F108" s="21" t="str">
        <f>IF(Deployments!J108="","",Deployments!J108)</f>
        <v/>
      </c>
      <c r="G108" s="21" t="str">
        <f>IF(Deployments!K108="","",Deployments!K108)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IF(Deployments!AD108="","",Deployments!AD108)</f>
        <v/>
      </c>
      <c r="L108" s="21" t="str">
        <f>IF(Deployments!M108="","",Deployments!M108)</f>
        <v/>
      </c>
      <c r="M108" s="22"/>
      <c r="N108" s="21" t="str">
        <f>IF(Deployments!N108="","",Deployments!N108)</f>
        <v>Yes</v>
      </c>
      <c r="O108" s="21" t="str">
        <f>IF(Deployments!O108="","",Deployments!O108)</f>
        <v>No</v>
      </c>
      <c r="P108" s="21" t="str">
        <f>IF(Deployments!P108="","",Deployments!P108)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IF(Deployments!T108="","",Deployments!T108)</f>
        <v/>
      </c>
      <c r="AA108" s="21" t="str">
        <f>IF(Deployments!L108="","",Deployments!L108)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IF(Deployments!AH109="","",Deployments!AH109)</f>
        <v/>
      </c>
      <c r="E109" s="21" t="str">
        <f>IF(Deployments!I109="","",Deployments!I109)</f>
        <v/>
      </c>
      <c r="F109" s="21" t="str">
        <f>IF(Deployments!J109="","",Deployments!J109)</f>
        <v/>
      </c>
      <c r="G109" s="21" t="str">
        <f>IF(Deployments!K109="","",Deployments!K109)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IF(Deployments!AD109="","",Deployments!AD109)</f>
        <v/>
      </c>
      <c r="L109" s="21" t="str">
        <f>IF(Deployments!M109="","",Deployments!M109)</f>
        <v/>
      </c>
      <c r="M109" s="22"/>
      <c r="N109" s="21" t="str">
        <f>IF(Deployments!N109="","",Deployments!N109)</f>
        <v>Yes</v>
      </c>
      <c r="O109" s="21" t="str">
        <f>IF(Deployments!O109="","",Deployments!O109)</f>
        <v>No</v>
      </c>
      <c r="P109" s="21" t="str">
        <f>IF(Deployments!P109="","",Deployments!P109)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IF(Deployments!T109="","",Deployments!T109)</f>
        <v/>
      </c>
      <c r="AA109" s="21" t="str">
        <f>IF(Deployments!L109="","",Deployments!L109)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IF(Deployments!AH110="","",Deployments!AH110)</f>
        <v/>
      </c>
      <c r="E110" s="21" t="str">
        <f>IF(Deployments!I110="","",Deployments!I110)</f>
        <v/>
      </c>
      <c r="F110" s="21" t="str">
        <f>IF(Deployments!J110="","",Deployments!J110)</f>
        <v/>
      </c>
      <c r="G110" s="21" t="str">
        <f>IF(Deployments!K110="","",Deployments!K110)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IF(Deployments!AD110="","",Deployments!AD110)</f>
        <v/>
      </c>
      <c r="L110" s="21" t="str">
        <f>IF(Deployments!M110="","",Deployments!M110)</f>
        <v/>
      </c>
      <c r="M110" s="22"/>
      <c r="N110" s="21" t="str">
        <f>IF(Deployments!N110="","",Deployments!N110)</f>
        <v>Yes</v>
      </c>
      <c r="O110" s="21" t="str">
        <f>IF(Deployments!O110="","",Deployments!O110)</f>
        <v>No</v>
      </c>
      <c r="P110" s="21" t="str">
        <f>IF(Deployments!P110="","",Deployments!P110)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IF(Deployments!T110="","",Deployments!T110)</f>
        <v/>
      </c>
      <c r="AA110" s="21" t="str">
        <f>IF(Deployments!L110="","",Deployments!L110)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IF(Deployments!AH111="","",Deployments!AH111)</f>
        <v/>
      </c>
      <c r="E111" s="21" t="str">
        <f>IF(Deployments!I111="","",Deployments!I111)</f>
        <v/>
      </c>
      <c r="F111" s="21" t="str">
        <f>IF(Deployments!J111="","",Deployments!J111)</f>
        <v/>
      </c>
      <c r="G111" s="21" t="str">
        <f>IF(Deployments!K111="","",Deployments!K111)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IF(Deployments!AD111="","",Deployments!AD111)</f>
        <v/>
      </c>
      <c r="L111" s="21" t="str">
        <f>IF(Deployments!M111="","",Deployments!M111)</f>
        <v/>
      </c>
      <c r="M111" s="22"/>
      <c r="N111" s="21" t="str">
        <f>IF(Deployments!N111="","",Deployments!N111)</f>
        <v>Yes</v>
      </c>
      <c r="O111" s="21" t="str">
        <f>IF(Deployments!O111="","",Deployments!O111)</f>
        <v>No</v>
      </c>
      <c r="P111" s="21" t="str">
        <f>IF(Deployments!P111="","",Deployments!P111)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IF(Deployments!T111="","",Deployments!T111)</f>
        <v/>
      </c>
      <c r="AA111" s="21" t="str">
        <f>IF(Deployments!L111="","",Deployments!L111)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IF(Deployments!AH112="","",Deployments!AH112)</f>
        <v/>
      </c>
      <c r="E112" s="21" t="str">
        <f>IF(Deployments!I112="","",Deployments!I112)</f>
        <v/>
      </c>
      <c r="F112" s="21" t="str">
        <f>IF(Deployments!J112="","",Deployments!J112)</f>
        <v/>
      </c>
      <c r="G112" s="21" t="str">
        <f>IF(Deployments!K112="","",Deployments!K112)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IF(Deployments!AD112="","",Deployments!AD112)</f>
        <v/>
      </c>
      <c r="L112" s="21" t="str">
        <f>IF(Deployments!M112="","",Deployments!M112)</f>
        <v/>
      </c>
      <c r="M112" s="22"/>
      <c r="N112" s="21" t="str">
        <f>IF(Deployments!N112="","",Deployments!N112)</f>
        <v>Yes</v>
      </c>
      <c r="O112" s="21" t="str">
        <f>IF(Deployments!O112="","",Deployments!O112)</f>
        <v>No</v>
      </c>
      <c r="P112" s="21" t="str">
        <f>IF(Deployments!P112="","",Deployments!P112)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IF(Deployments!T112="","",Deployments!T112)</f>
        <v/>
      </c>
      <c r="AA112" s="21" t="str">
        <f>IF(Deployments!L112="","",Deployments!L112)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IF(Deployments!AH113="","",Deployments!AH113)</f>
        <v/>
      </c>
      <c r="E113" s="21" t="str">
        <f>IF(Deployments!I113="","",Deployments!I113)</f>
        <v/>
      </c>
      <c r="F113" s="21" t="str">
        <f>IF(Deployments!J113="","",Deployments!J113)</f>
        <v/>
      </c>
      <c r="G113" s="21" t="str">
        <f>IF(Deployments!K113="","",Deployments!K113)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IF(Deployments!AD113="","",Deployments!AD113)</f>
        <v/>
      </c>
      <c r="L113" s="21" t="str">
        <f>IF(Deployments!M113="","",Deployments!M113)</f>
        <v/>
      </c>
      <c r="M113" s="22"/>
      <c r="N113" s="21" t="str">
        <f>IF(Deployments!N113="","",Deployments!N113)</f>
        <v>Yes</v>
      </c>
      <c r="O113" s="21" t="str">
        <f>IF(Deployments!O113="","",Deployments!O113)</f>
        <v>No</v>
      </c>
      <c r="P113" s="21" t="str">
        <f>IF(Deployments!P113="","",Deployments!P113)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IF(Deployments!T113="","",Deployments!T113)</f>
        <v/>
      </c>
      <c r="AA113" s="21" t="str">
        <f>IF(Deployments!L113="","",Deployments!L113)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IF(Deployments!AH114="","",Deployments!AH114)</f>
        <v/>
      </c>
      <c r="E114" s="21" t="str">
        <f>IF(Deployments!I114="","",Deployments!I114)</f>
        <v/>
      </c>
      <c r="F114" s="21" t="str">
        <f>IF(Deployments!J114="","",Deployments!J114)</f>
        <v/>
      </c>
      <c r="G114" s="21" t="str">
        <f>IF(Deployments!K114="","",Deployments!K114)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IF(Deployments!AD114="","",Deployments!AD114)</f>
        <v/>
      </c>
      <c r="L114" s="21" t="str">
        <f>IF(Deployments!M114="","",Deployments!M114)</f>
        <v/>
      </c>
      <c r="M114" s="22"/>
      <c r="N114" s="21" t="str">
        <f>IF(Deployments!N114="","",Deployments!N114)</f>
        <v>Yes</v>
      </c>
      <c r="O114" s="21" t="str">
        <f>IF(Deployments!O114="","",Deployments!O114)</f>
        <v>No</v>
      </c>
      <c r="P114" s="21" t="str">
        <f>IF(Deployments!P114="","",Deployments!P114)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IF(Deployments!T114="","",Deployments!T114)</f>
        <v/>
      </c>
      <c r="AA114" s="21" t="str">
        <f>IF(Deployments!L114="","",Deployments!L114)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IF(Deployments!AH115="","",Deployments!AH115)</f>
        <v/>
      </c>
      <c r="E115" s="21" t="str">
        <f>IF(Deployments!I115="","",Deployments!I115)</f>
        <v/>
      </c>
      <c r="F115" s="21" t="str">
        <f>IF(Deployments!J115="","",Deployments!J115)</f>
        <v/>
      </c>
      <c r="G115" s="21" t="str">
        <f>IF(Deployments!K115="","",Deployments!K115)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IF(Deployments!AD115="","",Deployments!AD115)</f>
        <v/>
      </c>
      <c r="L115" s="21" t="str">
        <f>IF(Deployments!M115="","",Deployments!M115)</f>
        <v/>
      </c>
      <c r="M115" s="22"/>
      <c r="N115" s="21" t="str">
        <f>IF(Deployments!N115="","",Deployments!N115)</f>
        <v>Yes</v>
      </c>
      <c r="O115" s="21" t="str">
        <f>IF(Deployments!O115="","",Deployments!O115)</f>
        <v>No</v>
      </c>
      <c r="P115" s="21" t="str">
        <f>IF(Deployments!P115="","",Deployments!P115)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IF(Deployments!T115="","",Deployments!T115)</f>
        <v/>
      </c>
      <c r="AA115" s="21" t="str">
        <f>IF(Deployments!L115="","",Deployments!L115)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IF(Deployments!AH116="","",Deployments!AH116)</f>
        <v/>
      </c>
      <c r="E116" s="21" t="str">
        <f>IF(Deployments!I116="","",Deployments!I116)</f>
        <v/>
      </c>
      <c r="F116" s="21" t="str">
        <f>IF(Deployments!J116="","",Deployments!J116)</f>
        <v/>
      </c>
      <c r="G116" s="21" t="str">
        <f>IF(Deployments!K116="","",Deployments!K116)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IF(Deployments!AD116="","",Deployments!AD116)</f>
        <v/>
      </c>
      <c r="L116" s="21" t="str">
        <f>IF(Deployments!M116="","",Deployments!M116)</f>
        <v/>
      </c>
      <c r="M116" s="22"/>
      <c r="N116" s="21" t="str">
        <f>IF(Deployments!N116="","",Deployments!N116)</f>
        <v>Yes</v>
      </c>
      <c r="O116" s="21" t="str">
        <f>IF(Deployments!O116="","",Deployments!O116)</f>
        <v>No</v>
      </c>
      <c r="P116" s="21" t="str">
        <f>IF(Deployments!P116="","",Deployments!P116)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IF(Deployments!T116="","",Deployments!T116)</f>
        <v/>
      </c>
      <c r="AA116" s="21" t="str">
        <f>IF(Deployments!L116="","",Deployments!L116)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IF(Deployments!AH117="","",Deployments!AH117)</f>
        <v/>
      </c>
      <c r="E117" s="21" t="str">
        <f>IF(Deployments!I117="","",Deployments!I117)</f>
        <v/>
      </c>
      <c r="F117" s="21" t="str">
        <f>IF(Deployments!J117="","",Deployments!J117)</f>
        <v/>
      </c>
      <c r="G117" s="21" t="str">
        <f>IF(Deployments!K117="","",Deployments!K117)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IF(Deployments!AD117="","",Deployments!AD117)</f>
        <v/>
      </c>
      <c r="L117" s="21" t="str">
        <f>IF(Deployments!M117="","",Deployments!M117)</f>
        <v/>
      </c>
      <c r="M117" s="22"/>
      <c r="N117" s="21" t="str">
        <f>IF(Deployments!N117="","",Deployments!N117)</f>
        <v>Yes</v>
      </c>
      <c r="O117" s="21" t="str">
        <f>IF(Deployments!O117="","",Deployments!O117)</f>
        <v>No</v>
      </c>
      <c r="P117" s="21" t="str">
        <f>IF(Deployments!P117="","",Deployments!P117)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IF(Deployments!T117="","",Deployments!T117)</f>
        <v/>
      </c>
      <c r="AA117" s="21" t="str">
        <f>IF(Deployments!L117="","",Deployments!L117)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IF(Deployments!AH118="","",Deployments!AH118)</f>
        <v/>
      </c>
      <c r="E118" s="21" t="str">
        <f>IF(Deployments!I118="","",Deployments!I118)</f>
        <v/>
      </c>
      <c r="F118" s="21" t="str">
        <f>IF(Deployments!J118="","",Deployments!J118)</f>
        <v/>
      </c>
      <c r="G118" s="21" t="str">
        <f>IF(Deployments!K118="","",Deployments!K118)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IF(Deployments!AD118="","",Deployments!AD118)</f>
        <v/>
      </c>
      <c r="L118" s="21" t="str">
        <f>IF(Deployments!M118="","",Deployments!M118)</f>
        <v/>
      </c>
      <c r="M118" s="22"/>
      <c r="N118" s="21" t="str">
        <f>IF(Deployments!N118="","",Deployments!N118)</f>
        <v>Yes</v>
      </c>
      <c r="O118" s="21" t="str">
        <f>IF(Deployments!O118="","",Deployments!O118)</f>
        <v>No</v>
      </c>
      <c r="P118" s="21" t="str">
        <f>IF(Deployments!P118="","",Deployments!P118)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IF(Deployments!T118="","",Deployments!T118)</f>
        <v/>
      </c>
      <c r="AA118" s="21" t="str">
        <f>IF(Deployments!L118="","",Deployments!L118)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IF(Deployments!AH119="","",Deployments!AH119)</f>
        <v/>
      </c>
      <c r="E119" s="21" t="str">
        <f>IF(Deployments!I119="","",Deployments!I119)</f>
        <v/>
      </c>
      <c r="F119" s="21" t="str">
        <f>IF(Deployments!J119="","",Deployments!J119)</f>
        <v/>
      </c>
      <c r="G119" s="21" t="str">
        <f>IF(Deployments!K119="","",Deployments!K119)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IF(Deployments!AD119="","",Deployments!AD119)</f>
        <v/>
      </c>
      <c r="L119" s="21" t="str">
        <f>IF(Deployments!M119="","",Deployments!M119)</f>
        <v/>
      </c>
      <c r="M119" s="22"/>
      <c r="N119" s="21" t="str">
        <f>IF(Deployments!N119="","",Deployments!N119)</f>
        <v>Yes</v>
      </c>
      <c r="O119" s="21" t="str">
        <f>IF(Deployments!O119="","",Deployments!O119)</f>
        <v>No</v>
      </c>
      <c r="P119" s="21" t="str">
        <f>IF(Deployments!P119="","",Deployments!P119)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IF(Deployments!T119="","",Deployments!T119)</f>
        <v/>
      </c>
      <c r="AA119" s="21" t="str">
        <f>IF(Deployments!L119="","",Deployments!L119)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IF(Deployments!AH120="","",Deployments!AH120)</f>
        <v/>
      </c>
      <c r="E120" s="21" t="str">
        <f>IF(Deployments!I120="","",Deployments!I120)</f>
        <v/>
      </c>
      <c r="F120" s="21" t="str">
        <f>IF(Deployments!J120="","",Deployments!J120)</f>
        <v/>
      </c>
      <c r="G120" s="21" t="str">
        <f>IF(Deployments!K120="","",Deployments!K120)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IF(Deployments!AD120="","",Deployments!AD120)</f>
        <v/>
      </c>
      <c r="L120" s="21" t="str">
        <f>IF(Deployments!M120="","",Deployments!M120)</f>
        <v/>
      </c>
      <c r="M120" s="22"/>
      <c r="N120" s="21" t="str">
        <f>IF(Deployments!N120="","",Deployments!N120)</f>
        <v>Yes</v>
      </c>
      <c r="O120" s="21" t="str">
        <f>IF(Deployments!O120="","",Deployments!O120)</f>
        <v>No</v>
      </c>
      <c r="P120" s="21" t="str">
        <f>IF(Deployments!P120="","",Deployments!P120)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IF(Deployments!T120="","",Deployments!T120)</f>
        <v/>
      </c>
      <c r="AA120" s="21" t="str">
        <f>IF(Deployments!L120="","",Deployments!L120)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IF(Deployments!AH121="","",Deployments!AH121)</f>
        <v/>
      </c>
      <c r="E121" s="21" t="str">
        <f>IF(Deployments!I121="","",Deployments!I121)</f>
        <v/>
      </c>
      <c r="F121" s="21" t="str">
        <f>IF(Deployments!J121="","",Deployments!J121)</f>
        <v/>
      </c>
      <c r="G121" s="21" t="str">
        <f>IF(Deployments!K121="","",Deployments!K121)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IF(Deployments!AD121="","",Deployments!AD121)</f>
        <v/>
      </c>
      <c r="L121" s="21" t="str">
        <f>IF(Deployments!M121="","",Deployments!M121)</f>
        <v/>
      </c>
      <c r="M121" s="22"/>
      <c r="N121" s="21" t="str">
        <f>IF(Deployments!N121="","",Deployments!N121)</f>
        <v>Yes</v>
      </c>
      <c r="O121" s="21" t="str">
        <f>IF(Deployments!O121="","",Deployments!O121)</f>
        <v>No</v>
      </c>
      <c r="P121" s="21" t="str">
        <f>IF(Deployments!P121="","",Deployments!P121)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IF(Deployments!T121="","",Deployments!T121)</f>
        <v/>
      </c>
      <c r="AA121" s="21" t="str">
        <f>IF(Deployments!L121="","",Deployments!L121)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IF(Deployments!AH122="","",Deployments!AH122)</f>
        <v/>
      </c>
      <c r="E122" s="21" t="str">
        <f>IF(Deployments!I122="","",Deployments!I122)</f>
        <v/>
      </c>
      <c r="F122" s="21" t="str">
        <f>IF(Deployments!J122="","",Deployments!J122)</f>
        <v/>
      </c>
      <c r="G122" s="21" t="str">
        <f>IF(Deployments!K122="","",Deployments!K122)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IF(Deployments!AD122="","",Deployments!AD122)</f>
        <v/>
      </c>
      <c r="L122" s="21" t="str">
        <f>IF(Deployments!M122="","",Deployments!M122)</f>
        <v/>
      </c>
      <c r="M122" s="22"/>
      <c r="N122" s="21" t="str">
        <f>IF(Deployments!N122="","",Deployments!N122)</f>
        <v>Yes</v>
      </c>
      <c r="O122" s="21" t="str">
        <f>IF(Deployments!O122="","",Deployments!O122)</f>
        <v>No</v>
      </c>
      <c r="P122" s="21" t="str">
        <f>IF(Deployments!P122="","",Deployments!P122)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IF(Deployments!T122="","",Deployments!T122)</f>
        <v/>
      </c>
      <c r="AA122" s="21" t="str">
        <f>IF(Deployments!L122="","",Deployments!L122)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IF(Deployments!AH123="","",Deployments!AH123)</f>
        <v/>
      </c>
      <c r="E123" s="21" t="str">
        <f>IF(Deployments!I123="","",Deployments!I123)</f>
        <v/>
      </c>
      <c r="F123" s="21" t="str">
        <f>IF(Deployments!J123="","",Deployments!J123)</f>
        <v/>
      </c>
      <c r="G123" s="21" t="str">
        <f>IF(Deployments!K123="","",Deployments!K123)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IF(Deployments!AD123="","",Deployments!AD123)</f>
        <v/>
      </c>
      <c r="L123" s="21" t="str">
        <f>IF(Deployments!M123="","",Deployments!M123)</f>
        <v/>
      </c>
      <c r="M123" s="22"/>
      <c r="N123" s="21" t="str">
        <f>IF(Deployments!N123="","",Deployments!N123)</f>
        <v>Yes</v>
      </c>
      <c r="O123" s="21" t="str">
        <f>IF(Deployments!O123="","",Deployments!O123)</f>
        <v>No</v>
      </c>
      <c r="P123" s="21" t="str">
        <f>IF(Deployments!P123="","",Deployments!P123)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IF(Deployments!T123="","",Deployments!T123)</f>
        <v/>
      </c>
      <c r="AA123" s="21" t="str">
        <f>IF(Deployments!L123="","",Deployments!L123)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IF(Deployments!AH124="","",Deployments!AH124)</f>
        <v/>
      </c>
      <c r="E124" s="21" t="str">
        <f>IF(Deployments!I124="","",Deployments!I124)</f>
        <v/>
      </c>
      <c r="F124" s="21" t="str">
        <f>IF(Deployments!J124="","",Deployments!J124)</f>
        <v/>
      </c>
      <c r="G124" s="21" t="str">
        <f>IF(Deployments!K124="","",Deployments!K124)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IF(Deployments!AD124="","",Deployments!AD124)</f>
        <v/>
      </c>
      <c r="L124" s="21" t="str">
        <f>IF(Deployments!M124="","",Deployments!M124)</f>
        <v/>
      </c>
      <c r="M124" s="22"/>
      <c r="N124" s="21" t="str">
        <f>IF(Deployments!N124="","",Deployments!N124)</f>
        <v>Yes</v>
      </c>
      <c r="O124" s="21" t="str">
        <f>IF(Deployments!O124="","",Deployments!O124)</f>
        <v>No</v>
      </c>
      <c r="P124" s="21" t="str">
        <f>IF(Deployments!P124="","",Deployments!P124)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IF(Deployments!T124="","",Deployments!T124)</f>
        <v/>
      </c>
      <c r="AA124" s="21" t="str">
        <f>IF(Deployments!L124="","",Deployments!L124)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IF(Deployments!AH125="","",Deployments!AH125)</f>
        <v/>
      </c>
      <c r="E125" s="21" t="str">
        <f>IF(Deployments!I125="","",Deployments!I125)</f>
        <v/>
      </c>
      <c r="F125" s="21" t="str">
        <f>IF(Deployments!J125="","",Deployments!J125)</f>
        <v/>
      </c>
      <c r="G125" s="21" t="str">
        <f>IF(Deployments!K125="","",Deployments!K125)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IF(Deployments!AD125="","",Deployments!AD125)</f>
        <v/>
      </c>
      <c r="L125" s="21" t="str">
        <f>IF(Deployments!M125="","",Deployments!M125)</f>
        <v/>
      </c>
      <c r="M125" s="22"/>
      <c r="N125" s="21" t="str">
        <f>IF(Deployments!N125="","",Deployments!N125)</f>
        <v>Yes</v>
      </c>
      <c r="O125" s="21" t="str">
        <f>IF(Deployments!O125="","",Deployments!O125)</f>
        <v>No</v>
      </c>
      <c r="P125" s="21" t="str">
        <f>IF(Deployments!P125="","",Deployments!P125)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IF(Deployments!T125="","",Deployments!T125)</f>
        <v/>
      </c>
      <c r="AA125" s="21" t="str">
        <f>IF(Deployments!L125="","",Deployments!L125)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IF(Deployments!AH126="","",Deployments!AH126)</f>
        <v/>
      </c>
      <c r="E126" s="21" t="str">
        <f>IF(Deployments!I126="","",Deployments!I126)</f>
        <v/>
      </c>
      <c r="F126" s="21" t="str">
        <f>IF(Deployments!J126="","",Deployments!J126)</f>
        <v/>
      </c>
      <c r="G126" s="21" t="str">
        <f>IF(Deployments!K126="","",Deployments!K126)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IF(Deployments!AD126="","",Deployments!AD126)</f>
        <v/>
      </c>
      <c r="L126" s="21" t="str">
        <f>IF(Deployments!M126="","",Deployments!M126)</f>
        <v/>
      </c>
      <c r="M126" s="22"/>
      <c r="N126" s="21" t="str">
        <f>IF(Deployments!N126="","",Deployments!N126)</f>
        <v>Yes</v>
      </c>
      <c r="O126" s="21" t="str">
        <f>IF(Deployments!O126="","",Deployments!O126)</f>
        <v>No</v>
      </c>
      <c r="P126" s="21" t="str">
        <f>IF(Deployments!P126="","",Deployments!P126)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IF(Deployments!T126="","",Deployments!T126)</f>
        <v/>
      </c>
      <c r="AA126" s="21" t="str">
        <f>IF(Deployments!L126="","",Deployments!L126)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IF(Deployments!AH127="","",Deployments!AH127)</f>
        <v/>
      </c>
      <c r="E127" s="21" t="str">
        <f>IF(Deployments!I127="","",Deployments!I127)</f>
        <v/>
      </c>
      <c r="F127" s="21" t="str">
        <f>IF(Deployments!J127="","",Deployments!J127)</f>
        <v/>
      </c>
      <c r="G127" s="21" t="str">
        <f>IF(Deployments!K127="","",Deployments!K127)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IF(Deployments!AD127="","",Deployments!AD127)</f>
        <v/>
      </c>
      <c r="L127" s="21" t="str">
        <f>IF(Deployments!M127="","",Deployments!M127)</f>
        <v/>
      </c>
      <c r="M127" s="22"/>
      <c r="N127" s="21" t="str">
        <f>IF(Deployments!N127="","",Deployments!N127)</f>
        <v>Yes</v>
      </c>
      <c r="O127" s="21" t="str">
        <f>IF(Deployments!O127="","",Deployments!O127)</f>
        <v>No</v>
      </c>
      <c r="P127" s="21" t="str">
        <f>IF(Deployments!P127="","",Deployments!P127)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IF(Deployments!T127="","",Deployments!T127)</f>
        <v/>
      </c>
      <c r="AA127" s="21" t="str">
        <f>IF(Deployments!L127="","",Deployments!L127)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IF(Deployments!AH128="","",Deployments!AH128)</f>
        <v/>
      </c>
      <c r="E128" s="21" t="str">
        <f>IF(Deployments!I128="","",Deployments!I128)</f>
        <v/>
      </c>
      <c r="F128" s="21" t="str">
        <f>IF(Deployments!J128="","",Deployments!J128)</f>
        <v/>
      </c>
      <c r="G128" s="21" t="str">
        <f>IF(Deployments!K128="","",Deployments!K128)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IF(Deployments!AD128="","",Deployments!AD128)</f>
        <v/>
      </c>
      <c r="L128" s="21" t="str">
        <f>IF(Deployments!M128="","",Deployments!M128)</f>
        <v/>
      </c>
      <c r="M128" s="22"/>
      <c r="N128" s="21" t="str">
        <f>IF(Deployments!N128="","",Deployments!N128)</f>
        <v>Yes</v>
      </c>
      <c r="O128" s="21" t="str">
        <f>IF(Deployments!O128="","",Deployments!O128)</f>
        <v>No</v>
      </c>
      <c r="P128" s="21" t="str">
        <f>IF(Deployments!P128="","",Deployments!P128)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IF(Deployments!T128="","",Deployments!T128)</f>
        <v/>
      </c>
      <c r="AA128" s="21" t="str">
        <f>IF(Deployments!L128="","",Deployments!L128)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IF(Deployments!AH129="","",Deployments!AH129)</f>
        <v/>
      </c>
      <c r="E129" s="21" t="str">
        <f>IF(Deployments!I129="","",Deployments!I129)</f>
        <v/>
      </c>
      <c r="F129" s="21" t="str">
        <f>IF(Deployments!J129="","",Deployments!J129)</f>
        <v/>
      </c>
      <c r="G129" s="21" t="str">
        <f>IF(Deployments!K129="","",Deployments!K129)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IF(Deployments!AD129="","",Deployments!AD129)</f>
        <v/>
      </c>
      <c r="L129" s="21" t="str">
        <f>IF(Deployments!M129="","",Deployments!M129)</f>
        <v/>
      </c>
      <c r="M129" s="22"/>
      <c r="N129" s="21" t="str">
        <f>IF(Deployments!N129="","",Deployments!N129)</f>
        <v>Yes</v>
      </c>
      <c r="O129" s="21" t="str">
        <f>IF(Deployments!O129="","",Deployments!O129)</f>
        <v>No</v>
      </c>
      <c r="P129" s="21" t="str">
        <f>IF(Deployments!P129="","",Deployments!P129)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IF(Deployments!T129="","",Deployments!T129)</f>
        <v/>
      </c>
      <c r="AA129" s="21" t="str">
        <f>IF(Deployments!L129="","",Deployments!L129)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IF(Deployments!AH130="","",Deployments!AH130)</f>
        <v/>
      </c>
      <c r="E130" s="21" t="str">
        <f>IF(Deployments!I130="","",Deployments!I130)</f>
        <v/>
      </c>
      <c r="F130" s="21" t="str">
        <f>IF(Deployments!J130="","",Deployments!J130)</f>
        <v/>
      </c>
      <c r="G130" s="21" t="str">
        <f>IF(Deployments!K130="","",Deployments!K130)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IF(Deployments!AD130="","",Deployments!AD130)</f>
        <v/>
      </c>
      <c r="L130" s="21" t="str">
        <f>IF(Deployments!M130="","",Deployments!M130)</f>
        <v/>
      </c>
      <c r="M130" s="22"/>
      <c r="N130" s="21" t="str">
        <f>IF(Deployments!N130="","",Deployments!N130)</f>
        <v>Yes</v>
      </c>
      <c r="O130" s="21" t="str">
        <f>IF(Deployments!O130="","",Deployments!O130)</f>
        <v>No</v>
      </c>
      <c r="P130" s="21" t="str">
        <f>IF(Deployments!P130="","",Deployments!P130)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IF(Deployments!T130="","",Deployments!T130)</f>
        <v/>
      </c>
      <c r="AA130" s="21" t="str">
        <f>IF(Deployments!L130="","",Deployments!L130)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IF(Deployments!AH131="","",Deployments!AH131)</f>
        <v/>
      </c>
      <c r="E131" s="21" t="str">
        <f>IF(Deployments!I131="","",Deployments!I131)</f>
        <v/>
      </c>
      <c r="F131" s="21" t="str">
        <f>IF(Deployments!J131="","",Deployments!J131)</f>
        <v/>
      </c>
      <c r="G131" s="21" t="str">
        <f>IF(Deployments!K131="","",Deployments!K131)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IF(Deployments!AD131="","",Deployments!AD131)</f>
        <v/>
      </c>
      <c r="L131" s="21" t="str">
        <f>IF(Deployments!M131="","",Deployments!M131)</f>
        <v/>
      </c>
      <c r="M131" s="22"/>
      <c r="N131" s="21" t="str">
        <f>IF(Deployments!N131="","",Deployments!N131)</f>
        <v>Yes</v>
      </c>
      <c r="O131" s="21" t="str">
        <f>IF(Deployments!O131="","",Deployments!O131)</f>
        <v>No</v>
      </c>
      <c r="P131" s="21" t="str">
        <f>IF(Deployments!P131="","",Deployments!P131)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IF(Deployments!T131="","",Deployments!T131)</f>
        <v/>
      </c>
      <c r="AA131" s="21" t="str">
        <f>IF(Deployments!L131="","",Deployments!L131)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IF(Deployments!AH132="","",Deployments!AH132)</f>
        <v/>
      </c>
      <c r="E132" s="21" t="str">
        <f>IF(Deployments!I132="","",Deployments!I132)</f>
        <v/>
      </c>
      <c r="F132" s="21" t="str">
        <f>IF(Deployments!J132="","",Deployments!J132)</f>
        <v/>
      </c>
      <c r="G132" s="21" t="str">
        <f>IF(Deployments!K132="","",Deployments!K132)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IF(Deployments!AD132="","",Deployments!AD132)</f>
        <v/>
      </c>
      <c r="L132" s="21" t="str">
        <f>IF(Deployments!M132="","",Deployments!M132)</f>
        <v/>
      </c>
      <c r="M132" s="22"/>
      <c r="N132" s="21" t="str">
        <f>IF(Deployments!N132="","",Deployments!N132)</f>
        <v>Yes</v>
      </c>
      <c r="O132" s="21" t="str">
        <f>IF(Deployments!O132="","",Deployments!O132)</f>
        <v>No</v>
      </c>
      <c r="P132" s="21" t="str">
        <f>IF(Deployments!P132="","",Deployments!P132)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IF(Deployments!T132="","",Deployments!T132)</f>
        <v/>
      </c>
      <c r="AA132" s="21" t="str">
        <f>IF(Deployments!L132="","",Deployments!L132)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IF(Deployments!AH133="","",Deployments!AH133)</f>
        <v/>
      </c>
      <c r="E133" s="21" t="str">
        <f>IF(Deployments!I133="","",Deployments!I133)</f>
        <v/>
      </c>
      <c r="F133" s="21" t="str">
        <f>IF(Deployments!J133="","",Deployments!J133)</f>
        <v/>
      </c>
      <c r="G133" s="21" t="str">
        <f>IF(Deployments!K133="","",Deployments!K133)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IF(Deployments!AD133="","",Deployments!AD133)</f>
        <v/>
      </c>
      <c r="L133" s="21" t="str">
        <f>IF(Deployments!M133="","",Deployments!M133)</f>
        <v/>
      </c>
      <c r="M133" s="22"/>
      <c r="N133" s="21" t="str">
        <f>IF(Deployments!N133="","",Deployments!N133)</f>
        <v>Yes</v>
      </c>
      <c r="O133" s="21" t="str">
        <f>IF(Deployments!O133="","",Deployments!O133)</f>
        <v>No</v>
      </c>
      <c r="P133" s="21" t="str">
        <f>IF(Deployments!P133="","",Deployments!P133)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IF(Deployments!T133="","",Deployments!T133)</f>
        <v/>
      </c>
      <c r="AA133" s="21" t="str">
        <f>IF(Deployments!L133="","",Deployments!L133)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IF(Deployments!AH134="","",Deployments!AH134)</f>
        <v/>
      </c>
      <c r="E134" s="21" t="str">
        <f>IF(Deployments!I134="","",Deployments!I134)</f>
        <v/>
      </c>
      <c r="F134" s="21" t="str">
        <f>IF(Deployments!J134="","",Deployments!J134)</f>
        <v/>
      </c>
      <c r="G134" s="21" t="str">
        <f>IF(Deployments!K134="","",Deployments!K134)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IF(Deployments!AD134="","",Deployments!AD134)</f>
        <v/>
      </c>
      <c r="L134" s="21" t="str">
        <f>IF(Deployments!M134="","",Deployments!M134)</f>
        <v/>
      </c>
      <c r="M134" s="22"/>
      <c r="N134" s="21" t="str">
        <f>IF(Deployments!N134="","",Deployments!N134)</f>
        <v>Yes</v>
      </c>
      <c r="O134" s="21" t="str">
        <f>IF(Deployments!O134="","",Deployments!O134)</f>
        <v>No</v>
      </c>
      <c r="P134" s="21" t="str">
        <f>IF(Deployments!P134="","",Deployments!P134)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IF(Deployments!T134="","",Deployments!T134)</f>
        <v/>
      </c>
      <c r="AA134" s="21" t="str">
        <f>IF(Deployments!L134="","",Deployments!L134)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IF(Deployments!AH135="","",Deployments!AH135)</f>
        <v/>
      </c>
      <c r="E135" s="21" t="str">
        <f>IF(Deployments!I135="","",Deployments!I135)</f>
        <v/>
      </c>
      <c r="F135" s="21" t="str">
        <f>IF(Deployments!J135="","",Deployments!J135)</f>
        <v/>
      </c>
      <c r="G135" s="21" t="str">
        <f>IF(Deployments!K135="","",Deployments!K135)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IF(Deployments!AD135="","",Deployments!AD135)</f>
        <v/>
      </c>
      <c r="L135" s="21" t="str">
        <f>IF(Deployments!M135="","",Deployments!M135)</f>
        <v/>
      </c>
      <c r="M135" s="22"/>
      <c r="N135" s="21" t="str">
        <f>IF(Deployments!N135="","",Deployments!N135)</f>
        <v>Yes</v>
      </c>
      <c r="O135" s="21" t="str">
        <f>IF(Deployments!O135="","",Deployments!O135)</f>
        <v>No</v>
      </c>
      <c r="P135" s="21" t="str">
        <f>IF(Deployments!P135="","",Deployments!P135)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IF(Deployments!T135="","",Deployments!T135)</f>
        <v/>
      </c>
      <c r="AA135" s="21" t="str">
        <f>IF(Deployments!L135="","",Deployments!L135)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IF(Deployments!AH136="","",Deployments!AH136)</f>
        <v/>
      </c>
      <c r="E136" s="21" t="str">
        <f>IF(Deployments!I136="","",Deployments!I136)</f>
        <v/>
      </c>
      <c r="F136" s="21" t="str">
        <f>IF(Deployments!J136="","",Deployments!J136)</f>
        <v/>
      </c>
      <c r="G136" s="21" t="str">
        <f>IF(Deployments!K136="","",Deployments!K136)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IF(Deployments!AD136="","",Deployments!AD136)</f>
        <v/>
      </c>
      <c r="L136" s="21" t="str">
        <f>IF(Deployments!M136="","",Deployments!M136)</f>
        <v/>
      </c>
      <c r="M136" s="22"/>
      <c r="N136" s="21" t="str">
        <f>IF(Deployments!N136="","",Deployments!N136)</f>
        <v>Yes</v>
      </c>
      <c r="O136" s="21" t="str">
        <f>IF(Deployments!O136="","",Deployments!O136)</f>
        <v>No</v>
      </c>
      <c r="P136" s="21" t="str">
        <f>IF(Deployments!P136="","",Deployments!P136)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IF(Deployments!T136="","",Deployments!T136)</f>
        <v/>
      </c>
      <c r="AA136" s="21" t="str">
        <f>IF(Deployments!L136="","",Deployments!L136)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IF(Deployments!AH137="","",Deployments!AH137)</f>
        <v/>
      </c>
      <c r="E137" s="21" t="str">
        <f>IF(Deployments!I137="","",Deployments!I137)</f>
        <v/>
      </c>
      <c r="F137" s="21" t="str">
        <f>IF(Deployments!J137="","",Deployments!J137)</f>
        <v/>
      </c>
      <c r="G137" s="21" t="str">
        <f>IF(Deployments!K137="","",Deployments!K137)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IF(Deployments!AD137="","",Deployments!AD137)</f>
        <v/>
      </c>
      <c r="L137" s="21" t="str">
        <f>IF(Deployments!M137="","",Deployments!M137)</f>
        <v/>
      </c>
      <c r="M137" s="22"/>
      <c r="N137" s="21" t="str">
        <f>IF(Deployments!N137="","",Deployments!N137)</f>
        <v>Yes</v>
      </c>
      <c r="O137" s="21" t="str">
        <f>IF(Deployments!O137="","",Deployments!O137)</f>
        <v>No</v>
      </c>
      <c r="P137" s="21" t="str">
        <f>IF(Deployments!P137="","",Deployments!P137)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IF(Deployments!T137="","",Deployments!T137)</f>
        <v/>
      </c>
      <c r="AA137" s="21" t="str">
        <f>IF(Deployments!L137="","",Deployments!L137)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IF(Deployments!AH139="","",Deployments!AH139)</f>
        <v>Endoscopy Suite</v>
      </c>
      <c r="E138" s="21" t="str">
        <f>IF(Deployments!I139="","",Deployments!I139)</f>
        <v>1-C-2</v>
      </c>
      <c r="F138" s="21" t="str">
        <f>IF(Deployments!J139="","",Deployments!J139)</f>
        <v/>
      </c>
      <c r="G138" s="21" t="str">
        <f>IF(Deployments!K139="","",Deployments!K139)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IF(Deployments!AD139="","",Deployments!AD139)</f>
        <v>Anesthesia Machine</v>
      </c>
      <c r="L138" s="21" t="str">
        <f>IF(Deployments!M139="","",Deployments!M139)</f>
        <v/>
      </c>
      <c r="M138" s="22"/>
      <c r="N138" s="21" t="str">
        <f>IF(Deployments!N139="","",Deployments!N139)</f>
        <v/>
      </c>
      <c r="O138" s="21" t="str">
        <f>IF(Deployments!O139="","",Deployments!O139)</f>
        <v/>
      </c>
      <c r="P138" s="21" t="str">
        <f>IF(Deployments!P139="","",Deployments!P139)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IF(Deployments!T139="","",Deployments!T139)</f>
        <v/>
      </c>
      <c r="AA138" s="21" t="str">
        <f>IF(Deployments!L139="","",Deployments!L139)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IF(Deployments!AH140="","",Deployments!AH140)</f>
        <v>OR</v>
      </c>
      <c r="E139" s="21" t="str">
        <f>IF(Deployments!I140="","",Deployments!I140)</f>
        <v>OR 7</v>
      </c>
      <c r="F139" s="21" t="str">
        <f>IF(Deployments!J140="","",Deployments!J140)</f>
        <v/>
      </c>
      <c r="G139" s="21" t="str">
        <f>IF(Deployments!K140="","",Deployments!K140)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IF(Deployments!AD140="","",Deployments!AD140)</f>
        <v>Anesthesia Machine</v>
      </c>
      <c r="L139" s="21" t="str">
        <f>IF(Deployments!M140="","",Deployments!M140)</f>
        <v/>
      </c>
      <c r="M139" s="22"/>
      <c r="N139" s="21" t="str">
        <f>IF(Deployments!N140="","",Deployments!N140)</f>
        <v/>
      </c>
      <c r="O139" s="21" t="str">
        <f>IF(Deployments!O140="","",Deployments!O140)</f>
        <v/>
      </c>
      <c r="P139" s="21" t="str">
        <f>IF(Deployments!P140="","",Deployments!P140)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IF(Deployments!T140="","",Deployments!T140)</f>
        <v/>
      </c>
      <c r="AA139" s="21" t="str">
        <f>IF(Deployments!L140="","",Deployments!L140)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IF(Deployments!AH141="","",Deployments!AH141)</f>
        <v>OR</v>
      </c>
      <c r="E140" s="21" t="str">
        <f>IF(Deployments!I141="","",Deployments!I141)</f>
        <v>OR 1</v>
      </c>
      <c r="F140" s="21" t="str">
        <f>IF(Deployments!J141="","",Deployments!J141)</f>
        <v/>
      </c>
      <c r="G140" s="21" t="str">
        <f>IF(Deployments!K141="","",Deployments!K141)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IF(Deployments!AD141="","",Deployments!AD141)</f>
        <v>Anesthesia Machine</v>
      </c>
      <c r="L140" s="21" t="str">
        <f>IF(Deployments!M141="","",Deployments!M141)</f>
        <v/>
      </c>
      <c r="M140" s="22"/>
      <c r="N140" s="21" t="str">
        <f>IF(Deployments!N141="","",Deployments!N141)</f>
        <v/>
      </c>
      <c r="O140" s="21" t="str">
        <f>IF(Deployments!O141="","",Deployments!O141)</f>
        <v/>
      </c>
      <c r="P140" s="21" t="str">
        <f>IF(Deployments!P141="","",Deployments!P141)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IF(Deployments!T141="","",Deployments!T141)</f>
        <v/>
      </c>
      <c r="AA140" s="21" t="str">
        <f>IF(Deployments!L141="","",Deployments!L141)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IF(Deployments!AH142="","",Deployments!AH142)</f>
        <v>OR</v>
      </c>
      <c r="E141" s="21" t="str">
        <f>IF(Deployments!I142="","",Deployments!I142)</f>
        <v>OR 2</v>
      </c>
      <c r="F141" s="21" t="str">
        <f>IF(Deployments!J142="","",Deployments!J142)</f>
        <v/>
      </c>
      <c r="G141" s="21" t="str">
        <f>IF(Deployments!K142="","",Deployments!K142)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IF(Deployments!AD142="","",Deployments!AD142)</f>
        <v>Anesthesia Machine</v>
      </c>
      <c r="L141" s="21" t="str">
        <f>IF(Deployments!M142="","",Deployments!M142)</f>
        <v/>
      </c>
      <c r="M141" s="22"/>
      <c r="N141" s="21" t="str">
        <f>IF(Deployments!N142="","",Deployments!N142)</f>
        <v/>
      </c>
      <c r="O141" s="21" t="str">
        <f>IF(Deployments!O142="","",Deployments!O142)</f>
        <v/>
      </c>
      <c r="P141" s="21" t="str">
        <f>IF(Deployments!P142="","",Deployments!P142)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IF(Deployments!T142="","",Deployments!T142)</f>
        <v/>
      </c>
      <c r="AA141" s="21" t="str">
        <f>IF(Deployments!L142="","",Deployments!L142)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IF(Deployments!AH143="","",Deployments!AH143)</f>
        <v>OR</v>
      </c>
      <c r="E142" s="21" t="str">
        <f>IF(Deployments!I143="","",Deployments!I143)</f>
        <v>OR 5</v>
      </c>
      <c r="F142" s="21" t="str">
        <f>IF(Deployments!J143="","",Deployments!J143)</f>
        <v/>
      </c>
      <c r="G142" s="21" t="str">
        <f>IF(Deployments!K143="","",Deployments!K143)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IF(Deployments!AD143="","",Deployments!AD143)</f>
        <v>Anesthesia Machine</v>
      </c>
      <c r="L142" s="21" t="str">
        <f>IF(Deployments!M143="","",Deployments!M143)</f>
        <v/>
      </c>
      <c r="M142" s="22"/>
      <c r="N142" s="21" t="str">
        <f>IF(Deployments!N143="","",Deployments!N143)</f>
        <v/>
      </c>
      <c r="O142" s="21" t="str">
        <f>IF(Deployments!O143="","",Deployments!O143)</f>
        <v/>
      </c>
      <c r="P142" s="21" t="str">
        <f>IF(Deployments!P143="","",Deployments!P143)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IF(Deployments!T143="","",Deployments!T143)</f>
        <v/>
      </c>
      <c r="AA142" s="21" t="str">
        <f>IF(Deployments!L143="","",Deployments!L143)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IF(Deployments!AH144="","",Deployments!AH144)</f>
        <v>OR</v>
      </c>
      <c r="E143" s="21" t="str">
        <f>IF(Deployments!I144="","",Deployments!I144)</f>
        <v>OR 6</v>
      </c>
      <c r="F143" s="21" t="str">
        <f>IF(Deployments!J144="","",Deployments!J144)</f>
        <v/>
      </c>
      <c r="G143" s="21" t="str">
        <f>IF(Deployments!K144="","",Deployments!K144)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IF(Deployments!AD144="","",Deployments!AD144)</f>
        <v>Anesthesia Machine</v>
      </c>
      <c r="L143" s="21" t="str">
        <f>IF(Deployments!M144="","",Deployments!M144)</f>
        <v/>
      </c>
      <c r="M143" s="22"/>
      <c r="N143" s="21" t="str">
        <f>IF(Deployments!N144="","",Deployments!N144)</f>
        <v/>
      </c>
      <c r="O143" s="21" t="str">
        <f>IF(Deployments!O144="","",Deployments!O144)</f>
        <v/>
      </c>
      <c r="P143" s="21" t="str">
        <f>IF(Deployments!P144="","",Deployments!P144)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IF(Deployments!T144="","",Deployments!T144)</f>
        <v/>
      </c>
      <c r="AA143" s="21" t="str">
        <f>IF(Deployments!L144="","",Deployments!L144)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IF(Deployments!AH145="","",Deployments!AH145)</f>
        <v>OR</v>
      </c>
      <c r="E144" s="21" t="str">
        <f>IF(Deployments!I145="","",Deployments!I145)</f>
        <v>OR 3</v>
      </c>
      <c r="F144" s="21" t="str">
        <f>IF(Deployments!J145="","",Deployments!J145)</f>
        <v/>
      </c>
      <c r="G144" s="21" t="str">
        <f>IF(Deployments!K145="","",Deployments!K145)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IF(Deployments!AD145="","",Deployments!AD145)</f>
        <v>Anesthesia Machine</v>
      </c>
      <c r="L144" s="21" t="str">
        <f>IF(Deployments!M145="","",Deployments!M145)</f>
        <v/>
      </c>
      <c r="M144" s="22"/>
      <c r="N144" s="21" t="str">
        <f>IF(Deployments!N145="","",Deployments!N145)</f>
        <v/>
      </c>
      <c r="O144" s="21" t="str">
        <f>IF(Deployments!O145="","",Deployments!O145)</f>
        <v/>
      </c>
      <c r="P144" s="21" t="str">
        <f>IF(Deployments!P145="","",Deployments!P145)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IF(Deployments!T145="","",Deployments!T145)</f>
        <v/>
      </c>
      <c r="AA144" s="21" t="str">
        <f>IF(Deployments!L145="","",Deployments!L145)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IF(Deployments!AH146="","",Deployments!AH146)</f>
        <v/>
      </c>
      <c r="E145" s="21" t="str">
        <f>IF(Deployments!I146="","",Deployments!I146)</f>
        <v/>
      </c>
      <c r="F145" s="21" t="str">
        <f>IF(Deployments!J146="","",Deployments!J146)</f>
        <v/>
      </c>
      <c r="G145" s="21" t="str">
        <f>IF(Deployments!K146="","",Deployments!K146)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IF(Deployments!AD146="","",Deployments!AD146)</f>
        <v>Anesthesia Machine</v>
      </c>
      <c r="L145" s="21" t="str">
        <f>IF(Deployments!M146="","",Deployments!M146)</f>
        <v/>
      </c>
      <c r="M145" s="22"/>
      <c r="N145" s="21" t="str">
        <f>IF(Deployments!N146="","",Deployments!N146)</f>
        <v/>
      </c>
      <c r="O145" s="21" t="str">
        <f>IF(Deployments!O146="","",Deployments!O146)</f>
        <v/>
      </c>
      <c r="P145" s="21" t="str">
        <f>IF(Deployments!P146="","",Deployments!P146)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IF(Deployments!T146="","",Deployments!T146)</f>
        <v/>
      </c>
      <c r="AA145" s="21" t="str">
        <f>IF(Deployments!L146="","",Deployments!L146)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IF(Deployments!AH147="","",Deployments!AH147)</f>
        <v/>
      </c>
      <c r="E146" s="21" t="str">
        <f>IF(Deployments!I147="","",Deployments!I147)</f>
        <v/>
      </c>
      <c r="F146" s="21" t="str">
        <f>IF(Deployments!J147="","",Deployments!J147)</f>
        <v/>
      </c>
      <c r="G146" s="21" t="str">
        <f>IF(Deployments!K147="","",Deployments!K147)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IF(Deployments!AD147="","",Deployments!AD147)</f>
        <v>Anesthesia Machine</v>
      </c>
      <c r="L146" s="21" t="str">
        <f>IF(Deployments!M147="","",Deployments!M147)</f>
        <v/>
      </c>
      <c r="M146" s="22"/>
      <c r="N146" s="21" t="str">
        <f>IF(Deployments!N147="","",Deployments!N147)</f>
        <v/>
      </c>
      <c r="O146" s="21" t="str">
        <f>IF(Deployments!O147="","",Deployments!O147)</f>
        <v/>
      </c>
      <c r="P146" s="21" t="str">
        <f>IF(Deployments!P147="","",Deployments!P147)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IF(Deployments!T147="","",Deployments!T147)</f>
        <v/>
      </c>
      <c r="AA146" s="21" t="str">
        <f>IF(Deployments!L147="","",Deployments!L147)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IF(Deployments!AH148="","",Deployments!AH148)</f>
        <v/>
      </c>
      <c r="E147" s="21" t="str">
        <f>IF(Deployments!I148="","",Deployments!I148)</f>
        <v/>
      </c>
      <c r="F147" s="21" t="str">
        <f>IF(Deployments!J148="","",Deployments!J148)</f>
        <v/>
      </c>
      <c r="G147" s="21" t="str">
        <f>IF(Deployments!K148="","",Deployments!K148)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IF(Deployments!AD148="","",Deployments!AD148)</f>
        <v>Anesthesia Machine</v>
      </c>
      <c r="L147" s="21" t="str">
        <f>IF(Deployments!M148="","",Deployments!M148)</f>
        <v/>
      </c>
      <c r="M147" s="22"/>
      <c r="N147" s="21" t="str">
        <f>IF(Deployments!N148="","",Deployments!N148)</f>
        <v/>
      </c>
      <c r="O147" s="21" t="str">
        <f>IF(Deployments!O148="","",Deployments!O148)</f>
        <v/>
      </c>
      <c r="P147" s="21" t="str">
        <f>IF(Deployments!P148="","",Deployments!P148)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IF(Deployments!T148="","",Deployments!T148)</f>
        <v/>
      </c>
      <c r="AA147" s="21" t="str">
        <f>IF(Deployments!L148="","",Deployments!L148)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IF(Deployments!AH149="","",Deployments!AH149)</f>
        <v/>
      </c>
      <c r="E148" s="21" t="str">
        <f>IF(Deployments!I149="","",Deployments!I149)</f>
        <v/>
      </c>
      <c r="F148" s="21" t="str">
        <f>IF(Deployments!J149="","",Deployments!J149)</f>
        <v/>
      </c>
      <c r="G148" s="21" t="str">
        <f>IF(Deployments!K149="","",Deployments!K149)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IF(Deployments!AD149="","",Deployments!AD149)</f>
        <v/>
      </c>
      <c r="L148" s="21" t="str">
        <f>IF(Deployments!M149="","",Deployments!M149)</f>
        <v/>
      </c>
      <c r="M148" s="22"/>
      <c r="N148" s="21" t="str">
        <f>IF(Deployments!N149="","",Deployments!N149)</f>
        <v/>
      </c>
      <c r="O148" s="21" t="str">
        <f>IF(Deployments!O149="","",Deployments!O149)</f>
        <v/>
      </c>
      <c r="P148" s="21" t="str">
        <f>IF(Deployments!P149="","",Deployments!P149)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IF(Deployments!T149="","",Deployments!T149)</f>
        <v/>
      </c>
      <c r="AA148" s="21" t="str">
        <f>IF(Deployments!L149="","",Deployments!L149)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IF(Deployments!AH150="","",Deployments!AH150)</f>
        <v/>
      </c>
      <c r="E149" s="21" t="str">
        <f>IF(Deployments!I150="","",Deployments!I150)</f>
        <v/>
      </c>
      <c r="F149" s="21" t="str">
        <f>IF(Deployments!J150="","",Deployments!J150)</f>
        <v/>
      </c>
      <c r="G149" s="21" t="str">
        <f>IF(Deployments!K150="","",Deployments!K150)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IF(Deployments!AD150="","",Deployments!AD150)</f>
        <v/>
      </c>
      <c r="L149" s="21" t="str">
        <f>IF(Deployments!M150="","",Deployments!M150)</f>
        <v/>
      </c>
      <c r="M149" s="22"/>
      <c r="N149" s="21" t="str">
        <f>IF(Deployments!N150="","",Deployments!N150)</f>
        <v/>
      </c>
      <c r="O149" s="21" t="str">
        <f>IF(Deployments!O150="","",Deployments!O150)</f>
        <v/>
      </c>
      <c r="P149" s="21" t="str">
        <f>IF(Deployments!P150="","",Deployments!P150)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IF(Deployments!T150="","",Deployments!T150)</f>
        <v/>
      </c>
      <c r="AA149" s="21" t="str">
        <f>IF(Deployments!L150="","",Deployments!L150)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IF(Deployments!AH151="","",Deployments!AH151)</f>
        <v/>
      </c>
      <c r="E150" s="21" t="str">
        <f>IF(Deployments!I151="","",Deployments!I151)</f>
        <v/>
      </c>
      <c r="F150" s="21" t="str">
        <f>IF(Deployments!J151="","",Deployments!J151)</f>
        <v/>
      </c>
      <c r="G150" s="21" t="str">
        <f>IF(Deployments!K151="","",Deployments!K151)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IF(Deployments!AD151="","",Deployments!AD151)</f>
        <v/>
      </c>
      <c r="L150" s="21" t="str">
        <f>IF(Deployments!M151="","",Deployments!M151)</f>
        <v/>
      </c>
      <c r="M150" s="22"/>
      <c r="N150" s="21" t="str">
        <f>IF(Deployments!N151="","",Deployments!N151)</f>
        <v/>
      </c>
      <c r="O150" s="21" t="str">
        <f>IF(Deployments!O151="","",Deployments!O151)</f>
        <v/>
      </c>
      <c r="P150" s="21" t="str">
        <f>IF(Deployments!P151="","",Deployments!P151)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IF(Deployments!T151="","",Deployments!T151)</f>
        <v/>
      </c>
      <c r="AA150" s="21" t="str">
        <f>IF(Deployments!L151="","",Deployments!L151)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IF(Deployments!AH152="","",Deployments!AH152)</f>
        <v/>
      </c>
      <c r="E151" s="21" t="str">
        <f>IF(Deployments!I152="","",Deployments!I152)</f>
        <v/>
      </c>
      <c r="F151" s="21" t="str">
        <f>IF(Deployments!J152="","",Deployments!J152)</f>
        <v/>
      </c>
      <c r="G151" s="21" t="str">
        <f>IF(Deployments!K152="","",Deployments!K152)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IF(Deployments!AD152="","",Deployments!AD152)</f>
        <v/>
      </c>
      <c r="L151" s="21" t="str">
        <f>IF(Deployments!M152="","",Deployments!M152)</f>
        <v/>
      </c>
      <c r="M151" s="22"/>
      <c r="N151" s="21" t="str">
        <f>IF(Deployments!N152="","",Deployments!N152)</f>
        <v/>
      </c>
      <c r="O151" s="21" t="str">
        <f>IF(Deployments!O152="","",Deployments!O152)</f>
        <v/>
      </c>
      <c r="P151" s="21" t="str">
        <f>IF(Deployments!P152="","",Deployments!P152)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IF(Deployments!T152="","",Deployments!T152)</f>
        <v/>
      </c>
      <c r="AA151" s="21" t="str">
        <f>IF(Deployments!L152="","",Deployments!L152)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IF(Deployments!AH153="","",Deployments!AH153)</f>
        <v/>
      </c>
      <c r="E152" s="21" t="str">
        <f>IF(Deployments!I153="","",Deployments!I153)</f>
        <v/>
      </c>
      <c r="F152" s="21" t="str">
        <f>IF(Deployments!J153="","",Deployments!J153)</f>
        <v/>
      </c>
      <c r="G152" s="21" t="str">
        <f>IF(Deployments!K153="","",Deployments!K153)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IF(Deployments!AD153="","",Deployments!AD153)</f>
        <v/>
      </c>
      <c r="L152" s="21" t="str">
        <f>IF(Deployments!M153="","",Deployments!M153)</f>
        <v/>
      </c>
      <c r="M152" s="22"/>
      <c r="N152" s="21" t="str">
        <f>IF(Deployments!N153="","",Deployments!N153)</f>
        <v/>
      </c>
      <c r="O152" s="21" t="str">
        <f>IF(Deployments!O153="","",Deployments!O153)</f>
        <v/>
      </c>
      <c r="P152" s="21" t="str">
        <f>IF(Deployments!P153="","",Deployments!P153)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IF(Deployments!T153="","",Deployments!T153)</f>
        <v/>
      </c>
      <c r="AA152" s="21" t="str">
        <f>IF(Deployments!L153="","",Deployments!L153)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IF(Deployments!AH154="","",Deployments!AH154)</f>
        <v/>
      </c>
      <c r="E153" s="21" t="str">
        <f>IF(Deployments!I154="","",Deployments!I154)</f>
        <v/>
      </c>
      <c r="F153" s="21" t="str">
        <f>IF(Deployments!J154="","",Deployments!J154)</f>
        <v/>
      </c>
      <c r="G153" s="21" t="str">
        <f>IF(Deployments!K154="","",Deployments!K154)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IF(Deployments!AD154="","",Deployments!AD154)</f>
        <v/>
      </c>
      <c r="L153" s="21" t="str">
        <f>IF(Deployments!M154="","",Deployments!M154)</f>
        <v/>
      </c>
      <c r="M153" s="22"/>
      <c r="N153" s="21" t="str">
        <f>IF(Deployments!N154="","",Deployments!N154)</f>
        <v/>
      </c>
      <c r="O153" s="21" t="str">
        <f>IF(Deployments!O154="","",Deployments!O154)</f>
        <v/>
      </c>
      <c r="P153" s="21" t="str">
        <f>IF(Deployments!P154="","",Deployments!P154)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IF(Deployments!T154="","",Deployments!T154)</f>
        <v/>
      </c>
      <c r="AA153" s="21" t="str">
        <f>IF(Deployments!L154="","",Deployments!L154)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IF(Deployments!AH155="","",Deployments!AH155)</f>
        <v/>
      </c>
      <c r="E154" s="21" t="str">
        <f>IF(Deployments!I155="","",Deployments!I155)</f>
        <v/>
      </c>
      <c r="F154" s="21" t="str">
        <f>IF(Deployments!J155="","",Deployments!J155)</f>
        <v/>
      </c>
      <c r="G154" s="21" t="str">
        <f>IF(Deployments!K155="","",Deployments!K155)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IF(Deployments!AD155="","",Deployments!AD155)</f>
        <v/>
      </c>
      <c r="L154" s="21" t="str">
        <f>IF(Deployments!M155="","",Deployments!M155)</f>
        <v/>
      </c>
      <c r="M154" s="22"/>
      <c r="N154" s="21" t="str">
        <f>IF(Deployments!N155="","",Deployments!N155)</f>
        <v/>
      </c>
      <c r="O154" s="21" t="str">
        <f>IF(Deployments!O155="","",Deployments!O155)</f>
        <v/>
      </c>
      <c r="P154" s="21" t="str">
        <f>IF(Deployments!P155="","",Deployments!P155)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IF(Deployments!T155="","",Deployments!T155)</f>
        <v/>
      </c>
      <c r="AA154" s="21" t="str">
        <f>IF(Deployments!L155="","",Deployments!L155)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IF(Deployments!AH156="","",Deployments!AH156)</f>
        <v/>
      </c>
      <c r="E155" s="21" t="str">
        <f>IF(Deployments!I156="","",Deployments!I156)</f>
        <v/>
      </c>
      <c r="F155" s="21" t="str">
        <f>IF(Deployments!J156="","",Deployments!J156)</f>
        <v/>
      </c>
      <c r="G155" s="21" t="str">
        <f>IF(Deployments!K156="","",Deployments!K156)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IF(Deployments!AD156="","",Deployments!AD156)</f>
        <v/>
      </c>
      <c r="L155" s="21" t="str">
        <f>IF(Deployments!M156="","",Deployments!M156)</f>
        <v/>
      </c>
      <c r="M155" s="22"/>
      <c r="N155" s="21" t="str">
        <f>IF(Deployments!N156="","",Deployments!N156)</f>
        <v/>
      </c>
      <c r="O155" s="21" t="str">
        <f>IF(Deployments!O156="","",Deployments!O156)</f>
        <v/>
      </c>
      <c r="P155" s="21" t="str">
        <f>IF(Deployments!P156="","",Deployments!P156)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IF(Deployments!T156="","",Deployments!T156)</f>
        <v/>
      </c>
      <c r="AA155" s="21" t="str">
        <f>IF(Deployments!L156="","",Deployments!L156)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IF(Deployments!AH157="","",Deployments!AH157)</f>
        <v/>
      </c>
      <c r="E156" s="21" t="str">
        <f>IF(Deployments!I157="","",Deployments!I157)</f>
        <v/>
      </c>
      <c r="F156" s="21" t="str">
        <f>IF(Deployments!J157="","",Deployments!J157)</f>
        <v/>
      </c>
      <c r="G156" s="21" t="str">
        <f>IF(Deployments!K157="","",Deployments!K157)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IF(Deployments!AD157="","",Deployments!AD157)</f>
        <v/>
      </c>
      <c r="L156" s="21" t="str">
        <f>IF(Deployments!M157="","",Deployments!M157)</f>
        <v/>
      </c>
      <c r="M156" s="22"/>
      <c r="N156" s="21" t="str">
        <f>IF(Deployments!N157="","",Deployments!N157)</f>
        <v/>
      </c>
      <c r="O156" s="21" t="str">
        <f>IF(Deployments!O157="","",Deployments!O157)</f>
        <v/>
      </c>
      <c r="P156" s="21" t="str">
        <f>IF(Deployments!P157="","",Deployments!P157)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IF(Deployments!T157="","",Deployments!T157)</f>
        <v/>
      </c>
      <c r="AA156" s="21" t="str">
        <f>IF(Deployments!L157="","",Deployments!L157)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IF(Deployments!AH158="","",Deployments!AH158)</f>
        <v/>
      </c>
      <c r="E157" s="21" t="str">
        <f>IF(Deployments!I158="","",Deployments!I158)</f>
        <v/>
      </c>
      <c r="F157" s="21" t="str">
        <f>IF(Deployments!J158="","",Deployments!J158)</f>
        <v/>
      </c>
      <c r="G157" s="21" t="str">
        <f>IF(Deployments!K158="","",Deployments!K158)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IF(Deployments!AD158="","",Deployments!AD158)</f>
        <v/>
      </c>
      <c r="L157" s="21" t="str">
        <f>IF(Deployments!M158="","",Deployments!M158)</f>
        <v/>
      </c>
      <c r="M157" s="22"/>
      <c r="N157" s="21" t="str">
        <f>IF(Deployments!N158="","",Deployments!N158)</f>
        <v/>
      </c>
      <c r="O157" s="21" t="str">
        <f>IF(Deployments!O158="","",Deployments!O158)</f>
        <v/>
      </c>
      <c r="P157" s="21" t="str">
        <f>IF(Deployments!P158="","",Deployments!P158)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IF(Deployments!T158="","",Deployments!T158)</f>
        <v/>
      </c>
      <c r="AA157" s="21" t="str">
        <f>IF(Deployments!L158="","",Deployments!L158)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IF(Deployments!AH159="","",Deployments!AH159)</f>
        <v/>
      </c>
      <c r="E158" s="21" t="str">
        <f>IF(Deployments!I159="","",Deployments!I159)</f>
        <v/>
      </c>
      <c r="F158" s="21" t="str">
        <f>IF(Deployments!J159="","",Deployments!J159)</f>
        <v/>
      </c>
      <c r="G158" s="21" t="str">
        <f>IF(Deployments!K159="","",Deployments!K159)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IF(Deployments!AD159="","",Deployments!AD159)</f>
        <v/>
      </c>
      <c r="L158" s="21" t="str">
        <f>IF(Deployments!M159="","",Deployments!M159)</f>
        <v/>
      </c>
      <c r="M158" s="22"/>
      <c r="N158" s="21" t="str">
        <f>IF(Deployments!N159="","",Deployments!N159)</f>
        <v/>
      </c>
      <c r="O158" s="21" t="str">
        <f>IF(Deployments!O159="","",Deployments!O159)</f>
        <v/>
      </c>
      <c r="P158" s="21" t="str">
        <f>IF(Deployments!P159="","",Deployments!P159)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IF(Deployments!T159="","",Deployments!T159)</f>
        <v/>
      </c>
      <c r="AA158" s="21" t="str">
        <f>IF(Deployments!L159="","",Deployments!L159)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IF(Deployments!AH160="","",Deployments!AH160)</f>
        <v/>
      </c>
      <c r="E159" s="21" t="str">
        <f>IF(Deployments!I160="","",Deployments!I160)</f>
        <v/>
      </c>
      <c r="F159" s="21" t="str">
        <f>IF(Deployments!J160="","",Deployments!J160)</f>
        <v/>
      </c>
      <c r="G159" s="21" t="str">
        <f>IF(Deployments!K160="","",Deployments!K160)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IF(Deployments!AD160="","",Deployments!AD160)</f>
        <v/>
      </c>
      <c r="L159" s="21" t="str">
        <f>IF(Deployments!M160="","",Deployments!M160)</f>
        <v/>
      </c>
      <c r="M159" s="22"/>
      <c r="N159" s="21" t="str">
        <f>IF(Deployments!N160="","",Deployments!N160)</f>
        <v/>
      </c>
      <c r="O159" s="21" t="str">
        <f>IF(Deployments!O160="","",Deployments!O160)</f>
        <v/>
      </c>
      <c r="P159" s="21" t="str">
        <f>IF(Deployments!P160="","",Deployments!P160)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IF(Deployments!T160="","",Deployments!T160)</f>
        <v/>
      </c>
      <c r="AA159" s="21" t="str">
        <f>IF(Deployments!L160="","",Deployments!L160)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IF(Deployments!AH161="","",Deployments!AH161)</f>
        <v/>
      </c>
      <c r="E160" s="21" t="str">
        <f>IF(Deployments!I161="","",Deployments!I161)</f>
        <v/>
      </c>
      <c r="F160" s="21" t="str">
        <f>IF(Deployments!J161="","",Deployments!J161)</f>
        <v/>
      </c>
      <c r="G160" s="21" t="str">
        <f>IF(Deployments!K161="","",Deployments!K161)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IF(Deployments!AD161="","",Deployments!AD161)</f>
        <v/>
      </c>
      <c r="L160" s="21" t="str">
        <f>IF(Deployments!M161="","",Deployments!M161)</f>
        <v/>
      </c>
      <c r="M160" s="22"/>
      <c r="N160" s="21" t="str">
        <f>IF(Deployments!N161="","",Deployments!N161)</f>
        <v/>
      </c>
      <c r="O160" s="21" t="str">
        <f>IF(Deployments!O161="","",Deployments!O161)</f>
        <v/>
      </c>
      <c r="P160" s="21" t="str">
        <f>IF(Deployments!P161="","",Deployments!P161)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IF(Deployments!T161="","",Deployments!T161)</f>
        <v/>
      </c>
      <c r="AA160" s="21" t="str">
        <f>IF(Deployments!L161="","",Deployments!L161)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IF(Deployments!AH162="","",Deployments!AH162)</f>
        <v/>
      </c>
      <c r="E161" s="21" t="str">
        <f>IF(Deployments!I162="","",Deployments!I162)</f>
        <v/>
      </c>
      <c r="F161" s="21" t="str">
        <f>IF(Deployments!J162="","",Deployments!J162)</f>
        <v/>
      </c>
      <c r="G161" s="21" t="str">
        <f>IF(Deployments!K162="","",Deployments!K162)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IF(Deployments!AD162="","",Deployments!AD162)</f>
        <v/>
      </c>
      <c r="L161" s="21" t="str">
        <f>IF(Deployments!M162="","",Deployments!M162)</f>
        <v/>
      </c>
      <c r="M161" s="22"/>
      <c r="N161" s="21" t="str">
        <f>IF(Deployments!N162="","",Deployments!N162)</f>
        <v/>
      </c>
      <c r="O161" s="21" t="str">
        <f>IF(Deployments!O162="","",Deployments!O162)</f>
        <v/>
      </c>
      <c r="P161" s="21" t="str">
        <f>IF(Deployments!P162="","",Deployments!P162)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IF(Deployments!T162="","",Deployments!T162)</f>
        <v/>
      </c>
      <c r="AA161" s="21" t="str">
        <f>IF(Deployments!L162="","",Deployments!L162)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IF(Deployments!AH163="","",Deployments!AH163)</f>
        <v/>
      </c>
      <c r="E162" s="21" t="str">
        <f>IF(Deployments!I163="","",Deployments!I163)</f>
        <v/>
      </c>
      <c r="F162" s="21" t="str">
        <f>IF(Deployments!J163="","",Deployments!J163)</f>
        <v/>
      </c>
      <c r="G162" s="21" t="str">
        <f>IF(Deployments!K163="","",Deployments!K163)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IF(Deployments!AD163="","",Deployments!AD163)</f>
        <v/>
      </c>
      <c r="L162" s="21" t="str">
        <f>IF(Deployments!M163="","",Deployments!M163)</f>
        <v/>
      </c>
      <c r="M162" s="22"/>
      <c r="N162" s="21" t="str">
        <f>IF(Deployments!N163="","",Deployments!N163)</f>
        <v/>
      </c>
      <c r="O162" s="21" t="str">
        <f>IF(Deployments!O163="","",Deployments!O163)</f>
        <v/>
      </c>
      <c r="P162" s="21" t="str">
        <f>IF(Deployments!P163="","",Deployments!P163)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IF(Deployments!T163="","",Deployments!T163)</f>
        <v/>
      </c>
      <c r="AA162" s="21" t="str">
        <f>IF(Deployments!L163="","",Deployments!L163)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IF(Deployments!AH164="","",Deployments!AH164)</f>
        <v/>
      </c>
      <c r="E163" s="21" t="str">
        <f>IF(Deployments!I164="","",Deployments!I164)</f>
        <v/>
      </c>
      <c r="F163" s="21" t="str">
        <f>IF(Deployments!J164="","",Deployments!J164)</f>
        <v/>
      </c>
      <c r="G163" s="21" t="str">
        <f>IF(Deployments!K164="","",Deployments!K164)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IF(Deployments!AD164="","",Deployments!AD164)</f>
        <v/>
      </c>
      <c r="L163" s="21" t="str">
        <f>IF(Deployments!M164="","",Deployments!M164)</f>
        <v/>
      </c>
      <c r="M163" s="22"/>
      <c r="N163" s="21" t="str">
        <f>IF(Deployments!N164="","",Deployments!N164)</f>
        <v/>
      </c>
      <c r="O163" s="21" t="str">
        <f>IF(Deployments!O164="","",Deployments!O164)</f>
        <v/>
      </c>
      <c r="P163" s="21" t="str">
        <f>IF(Deployments!P164="","",Deployments!P164)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IF(Deployments!T164="","",Deployments!T164)</f>
        <v/>
      </c>
      <c r="AA163" s="21" t="str">
        <f>IF(Deployments!L164="","",Deployments!L164)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IF(Deployments!AH165="","",Deployments!AH165)</f>
        <v/>
      </c>
      <c r="E164" s="21" t="str">
        <f>IF(Deployments!I165="","",Deployments!I165)</f>
        <v/>
      </c>
      <c r="F164" s="21" t="str">
        <f>IF(Deployments!J165="","",Deployments!J165)</f>
        <v/>
      </c>
      <c r="G164" s="21" t="str">
        <f>IF(Deployments!K165="","",Deployments!K165)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IF(Deployments!AD165="","",Deployments!AD165)</f>
        <v/>
      </c>
      <c r="L164" s="21" t="str">
        <f>IF(Deployments!M165="","",Deployments!M165)</f>
        <v/>
      </c>
      <c r="M164" s="22"/>
      <c r="N164" s="21" t="str">
        <f>IF(Deployments!N165="","",Deployments!N165)</f>
        <v/>
      </c>
      <c r="O164" s="21" t="str">
        <f>IF(Deployments!O165="","",Deployments!O165)</f>
        <v/>
      </c>
      <c r="P164" s="21" t="str">
        <f>IF(Deployments!P165="","",Deployments!P165)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IF(Deployments!T165="","",Deployments!T165)</f>
        <v/>
      </c>
      <c r="AA164" s="21" t="str">
        <f>IF(Deployments!L165="","",Deployments!L165)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IF(Deployments!AH166="","",Deployments!AH166)</f>
        <v/>
      </c>
      <c r="E165" s="21" t="str">
        <f>IF(Deployments!I166="","",Deployments!I166)</f>
        <v/>
      </c>
      <c r="F165" s="21" t="str">
        <f>IF(Deployments!J166="","",Deployments!J166)</f>
        <v/>
      </c>
      <c r="G165" s="21" t="str">
        <f>IF(Deployments!K166="","",Deployments!K166)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IF(Deployments!AD166="","",Deployments!AD166)</f>
        <v/>
      </c>
      <c r="L165" s="21" t="str">
        <f>IF(Deployments!M166="","",Deployments!M166)</f>
        <v/>
      </c>
      <c r="M165" s="22"/>
      <c r="N165" s="21" t="str">
        <f>IF(Deployments!N166="","",Deployments!N166)</f>
        <v/>
      </c>
      <c r="O165" s="21" t="str">
        <f>IF(Deployments!O166="","",Deployments!O166)</f>
        <v/>
      </c>
      <c r="P165" s="21" t="str">
        <f>IF(Deployments!P166="","",Deployments!P166)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IF(Deployments!T166="","",Deployments!T166)</f>
        <v/>
      </c>
      <c r="AA165" s="21" t="str">
        <f>IF(Deployments!L166="","",Deployments!L166)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IF(Deployments!AH167="","",Deployments!AH167)</f>
        <v/>
      </c>
      <c r="E166" s="21" t="str">
        <f>IF(Deployments!I167="","",Deployments!I167)</f>
        <v/>
      </c>
      <c r="F166" s="21" t="str">
        <f>IF(Deployments!J167="","",Deployments!J167)</f>
        <v/>
      </c>
      <c r="G166" s="21" t="str">
        <f>IF(Deployments!K167="","",Deployments!K167)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IF(Deployments!AD167="","",Deployments!AD167)</f>
        <v/>
      </c>
      <c r="L166" s="21" t="str">
        <f>IF(Deployments!M167="","",Deployments!M167)</f>
        <v/>
      </c>
      <c r="M166" s="22"/>
      <c r="N166" s="21" t="str">
        <f>IF(Deployments!N167="","",Deployments!N167)</f>
        <v/>
      </c>
      <c r="O166" s="21" t="str">
        <f>IF(Deployments!O167="","",Deployments!O167)</f>
        <v/>
      </c>
      <c r="P166" s="21" t="str">
        <f>IF(Deployments!P167="","",Deployments!P167)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IF(Deployments!T167="","",Deployments!T167)</f>
        <v/>
      </c>
      <c r="AA166" s="21" t="str">
        <f>IF(Deployments!L167="","",Deployments!L167)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IF(Deployments!AH168="","",Deployments!AH168)</f>
        <v/>
      </c>
      <c r="E167" s="21" t="str">
        <f>IF(Deployments!I168="","",Deployments!I168)</f>
        <v/>
      </c>
      <c r="F167" s="21" t="str">
        <f>IF(Deployments!J168="","",Deployments!J168)</f>
        <v/>
      </c>
      <c r="G167" s="21" t="str">
        <f>IF(Deployments!K168="","",Deployments!K168)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IF(Deployments!AD168="","",Deployments!AD168)</f>
        <v/>
      </c>
      <c r="L167" s="21" t="str">
        <f>IF(Deployments!M168="","",Deployments!M168)</f>
        <v/>
      </c>
      <c r="M167" s="22"/>
      <c r="N167" s="21" t="str">
        <f>IF(Deployments!N168="","",Deployments!N168)</f>
        <v/>
      </c>
      <c r="O167" s="21" t="str">
        <f>IF(Deployments!O168="","",Deployments!O168)</f>
        <v/>
      </c>
      <c r="P167" s="21" t="str">
        <f>IF(Deployments!P168="","",Deployments!P168)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IF(Deployments!T168="","",Deployments!T168)</f>
        <v/>
      </c>
      <c r="AA167" s="21" t="str">
        <f>IF(Deployments!L168="","",Deployments!L168)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IF(Deployments!AH169="","",Deployments!AH169)</f>
        <v/>
      </c>
      <c r="E168" s="21" t="str">
        <f>IF(Deployments!I169="","",Deployments!I169)</f>
        <v/>
      </c>
      <c r="F168" s="21" t="str">
        <f>IF(Deployments!J169="","",Deployments!J169)</f>
        <v/>
      </c>
      <c r="G168" s="21" t="str">
        <f>IF(Deployments!K169="","",Deployments!K169)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IF(Deployments!AD169="","",Deployments!AD169)</f>
        <v/>
      </c>
      <c r="L168" s="21" t="str">
        <f>IF(Deployments!M169="","",Deployments!M169)</f>
        <v/>
      </c>
      <c r="M168" s="22"/>
      <c r="N168" s="21" t="str">
        <f>IF(Deployments!N169="","",Deployments!N169)</f>
        <v/>
      </c>
      <c r="O168" s="21" t="str">
        <f>IF(Deployments!O169="","",Deployments!O169)</f>
        <v/>
      </c>
      <c r="P168" s="21" t="str">
        <f>IF(Deployments!P169="","",Deployments!P169)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IF(Deployments!T169="","",Deployments!T169)</f>
        <v/>
      </c>
      <c r="AA168" s="21" t="str">
        <f>IF(Deployments!L169="","",Deployments!L169)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IF(Deployments!AH170="","",Deployments!AH170)</f>
        <v/>
      </c>
      <c r="E169" s="21" t="str">
        <f>IF(Deployments!I170="","",Deployments!I170)</f>
        <v/>
      </c>
      <c r="F169" s="21" t="str">
        <f>IF(Deployments!J170="","",Deployments!J170)</f>
        <v/>
      </c>
      <c r="G169" s="21" t="str">
        <f>IF(Deployments!K170="","",Deployments!K170)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IF(Deployments!AD170="","",Deployments!AD170)</f>
        <v/>
      </c>
      <c r="L169" s="21" t="str">
        <f>IF(Deployments!M170="","",Deployments!M170)</f>
        <v/>
      </c>
      <c r="M169" s="22"/>
      <c r="N169" s="21" t="str">
        <f>IF(Deployments!N170="","",Deployments!N170)</f>
        <v/>
      </c>
      <c r="O169" s="21" t="str">
        <f>IF(Deployments!O170="","",Deployments!O170)</f>
        <v/>
      </c>
      <c r="P169" s="21" t="str">
        <f>IF(Deployments!P170="","",Deployments!P170)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IF(Deployments!T170="","",Deployments!T170)</f>
        <v/>
      </c>
      <c r="AA169" s="21" t="str">
        <f>IF(Deployments!L170="","",Deployments!L170)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IF(Deployments!AH171="","",Deployments!AH171)</f>
        <v/>
      </c>
      <c r="E170" s="21" t="str">
        <f>IF(Deployments!I171="","",Deployments!I171)</f>
        <v/>
      </c>
      <c r="F170" s="21" t="str">
        <f>IF(Deployments!J171="","",Deployments!J171)</f>
        <v/>
      </c>
      <c r="G170" s="21" t="str">
        <f>IF(Deployments!K171="","",Deployments!K171)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IF(Deployments!AD171="","",Deployments!AD171)</f>
        <v/>
      </c>
      <c r="L170" s="21" t="str">
        <f>IF(Deployments!M171="","",Deployments!M171)</f>
        <v/>
      </c>
      <c r="M170" s="22"/>
      <c r="N170" s="21" t="str">
        <f>IF(Deployments!N171="","",Deployments!N171)</f>
        <v/>
      </c>
      <c r="O170" s="21" t="str">
        <f>IF(Deployments!O171="","",Deployments!O171)</f>
        <v/>
      </c>
      <c r="P170" s="21" t="str">
        <f>IF(Deployments!P171="","",Deployments!P171)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IF(Deployments!T171="","",Deployments!T171)</f>
        <v/>
      </c>
      <c r="AA170" s="21" t="str">
        <f>IF(Deployments!L171="","",Deployments!L171)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IF(Deployments!AH172="","",Deployments!AH172)</f>
        <v/>
      </c>
      <c r="E171" s="21" t="str">
        <f>IF(Deployments!I172="","",Deployments!I172)</f>
        <v/>
      </c>
      <c r="F171" s="21" t="str">
        <f>IF(Deployments!J172="","",Deployments!J172)</f>
        <v/>
      </c>
      <c r="G171" s="21" t="str">
        <f>IF(Deployments!K172="","",Deployments!K172)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IF(Deployments!AD172="","",Deployments!AD172)</f>
        <v/>
      </c>
      <c r="L171" s="21" t="str">
        <f>IF(Deployments!M172="","",Deployments!M172)</f>
        <v/>
      </c>
      <c r="M171" s="22"/>
      <c r="N171" s="21" t="str">
        <f>IF(Deployments!N172="","",Deployments!N172)</f>
        <v/>
      </c>
      <c r="O171" s="21" t="str">
        <f>IF(Deployments!O172="","",Deployments!O172)</f>
        <v/>
      </c>
      <c r="P171" s="21" t="str">
        <f>IF(Deployments!P172="","",Deployments!P172)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IF(Deployments!T172="","",Deployments!T172)</f>
        <v/>
      </c>
      <c r="AA171" s="21" t="str">
        <f>IF(Deployments!L172="","",Deployments!L172)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IF(Deployments!AH173="","",Deployments!AH173)</f>
        <v/>
      </c>
      <c r="E172" s="21" t="str">
        <f>IF(Deployments!I173="","",Deployments!I173)</f>
        <v/>
      </c>
      <c r="F172" s="21" t="str">
        <f>IF(Deployments!J173="","",Deployments!J173)</f>
        <v/>
      </c>
      <c r="G172" s="21" t="str">
        <f>IF(Deployments!K173="","",Deployments!K173)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IF(Deployments!AD173="","",Deployments!AD173)</f>
        <v/>
      </c>
      <c r="L172" s="21" t="str">
        <f>IF(Deployments!M173="","",Deployments!M173)</f>
        <v/>
      </c>
      <c r="M172" s="22"/>
      <c r="N172" s="21" t="str">
        <f>IF(Deployments!N173="","",Deployments!N173)</f>
        <v/>
      </c>
      <c r="O172" s="21" t="str">
        <f>IF(Deployments!O173="","",Deployments!O173)</f>
        <v/>
      </c>
      <c r="P172" s="21" t="str">
        <f>IF(Deployments!P173="","",Deployments!P173)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IF(Deployments!T173="","",Deployments!T173)</f>
        <v/>
      </c>
      <c r="AA172" s="21" t="str">
        <f>IF(Deployments!L173="","",Deployments!L173)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IF(Deployments!AH174="","",Deployments!AH174)</f>
        <v/>
      </c>
      <c r="E173" s="21" t="str">
        <f>IF(Deployments!I174="","",Deployments!I174)</f>
        <v/>
      </c>
      <c r="F173" s="21" t="str">
        <f>IF(Deployments!J174="","",Deployments!J174)</f>
        <v/>
      </c>
      <c r="G173" s="21" t="str">
        <f>IF(Deployments!K174="","",Deployments!K174)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IF(Deployments!AD174="","",Deployments!AD174)</f>
        <v/>
      </c>
      <c r="L173" s="21" t="str">
        <f>IF(Deployments!M174="","",Deployments!M174)</f>
        <v/>
      </c>
      <c r="M173" s="22"/>
      <c r="N173" s="21" t="str">
        <f>IF(Deployments!N174="","",Deployments!N174)</f>
        <v/>
      </c>
      <c r="O173" s="21" t="str">
        <f>IF(Deployments!O174="","",Deployments!O174)</f>
        <v/>
      </c>
      <c r="P173" s="21" t="str">
        <f>IF(Deployments!P174="","",Deployments!P174)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IF(Deployments!T174="","",Deployments!T174)</f>
        <v/>
      </c>
      <c r="AA173" s="21" t="str">
        <f>IF(Deployments!L174="","",Deployments!L174)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IF(Deployments!AH175="","",Deployments!AH175)</f>
        <v/>
      </c>
      <c r="E174" s="21" t="str">
        <f>IF(Deployments!I175="","",Deployments!I175)</f>
        <v/>
      </c>
      <c r="F174" s="21" t="str">
        <f>IF(Deployments!J175="","",Deployments!J175)</f>
        <v/>
      </c>
      <c r="G174" s="21" t="str">
        <f>IF(Deployments!K175="","",Deployments!K175)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IF(Deployments!AD175="","",Deployments!AD175)</f>
        <v/>
      </c>
      <c r="L174" s="21" t="str">
        <f>IF(Deployments!M175="","",Deployments!M175)</f>
        <v/>
      </c>
      <c r="M174" s="22"/>
      <c r="N174" s="21" t="str">
        <f>IF(Deployments!N175="","",Deployments!N175)</f>
        <v/>
      </c>
      <c r="O174" s="21" t="str">
        <f>IF(Deployments!O175="","",Deployments!O175)</f>
        <v/>
      </c>
      <c r="P174" s="21" t="str">
        <f>IF(Deployments!P175="","",Deployments!P175)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IF(Deployments!T175="","",Deployments!T175)</f>
        <v/>
      </c>
      <c r="AA174" s="21" t="str">
        <f>IF(Deployments!L175="","",Deployments!L175)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IF(Deployments!AH176="","",Deployments!AH176)</f>
        <v/>
      </c>
      <c r="E175" s="21" t="str">
        <f>IF(Deployments!I176="","",Deployments!I176)</f>
        <v/>
      </c>
      <c r="F175" s="21" t="str">
        <f>IF(Deployments!J176="","",Deployments!J176)</f>
        <v/>
      </c>
      <c r="G175" s="21" t="str">
        <f>IF(Deployments!K176="","",Deployments!K176)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IF(Deployments!AD176="","",Deployments!AD176)</f>
        <v/>
      </c>
      <c r="L175" s="21" t="str">
        <f>IF(Deployments!M176="","",Deployments!M176)</f>
        <v/>
      </c>
      <c r="M175" s="22"/>
      <c r="N175" s="21" t="str">
        <f>IF(Deployments!N176="","",Deployments!N176)</f>
        <v/>
      </c>
      <c r="O175" s="21" t="str">
        <f>IF(Deployments!O176="","",Deployments!O176)</f>
        <v/>
      </c>
      <c r="P175" s="21" t="str">
        <f>IF(Deployments!P176="","",Deployments!P176)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IF(Deployments!T176="","",Deployments!T176)</f>
        <v/>
      </c>
      <c r="AA175" s="21" t="str">
        <f>IF(Deployments!L176="","",Deployments!L176)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IF(Deployments!AH177="","",Deployments!AH177)</f>
        <v/>
      </c>
      <c r="E176" s="21" t="str">
        <f>IF(Deployments!I177="","",Deployments!I177)</f>
        <v/>
      </c>
      <c r="F176" s="21" t="str">
        <f>IF(Deployments!J177="","",Deployments!J177)</f>
        <v/>
      </c>
      <c r="G176" s="21" t="str">
        <f>IF(Deployments!K177="","",Deployments!K177)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IF(Deployments!AD177="","",Deployments!AD177)</f>
        <v/>
      </c>
      <c r="L176" s="21" t="str">
        <f>IF(Deployments!M177="","",Deployments!M177)</f>
        <v/>
      </c>
      <c r="M176" s="22"/>
      <c r="N176" s="21" t="str">
        <f>IF(Deployments!N177="","",Deployments!N177)</f>
        <v/>
      </c>
      <c r="O176" s="21" t="str">
        <f>IF(Deployments!O177="","",Deployments!O177)</f>
        <v/>
      </c>
      <c r="P176" s="21" t="str">
        <f>IF(Deployments!P177="","",Deployments!P177)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IF(Deployments!T177="","",Deployments!T177)</f>
        <v/>
      </c>
      <c r="AA176" s="21" t="str">
        <f>IF(Deployments!L177="","",Deployments!L177)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IF(Deployments!AH178="","",Deployments!AH178)</f>
        <v/>
      </c>
      <c r="E177" s="21" t="str">
        <f>IF(Deployments!I178="","",Deployments!I178)</f>
        <v/>
      </c>
      <c r="F177" s="21" t="str">
        <f>IF(Deployments!J178="","",Deployments!J178)</f>
        <v/>
      </c>
      <c r="G177" s="21" t="str">
        <f>IF(Deployments!K178="","",Deployments!K178)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IF(Deployments!AD178="","",Deployments!AD178)</f>
        <v/>
      </c>
      <c r="L177" s="21" t="str">
        <f>IF(Deployments!M178="","",Deployments!M178)</f>
        <v/>
      </c>
      <c r="M177" s="22"/>
      <c r="N177" s="21" t="str">
        <f>IF(Deployments!N178="","",Deployments!N178)</f>
        <v/>
      </c>
      <c r="O177" s="21" t="str">
        <f>IF(Deployments!O178="","",Deployments!O178)</f>
        <v/>
      </c>
      <c r="P177" s="21" t="str">
        <f>IF(Deployments!P178="","",Deployments!P178)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IF(Deployments!T178="","",Deployments!T178)</f>
        <v/>
      </c>
      <c r="AA177" s="21" t="str">
        <f>IF(Deployments!L178="","",Deployments!L178)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IF(Deployments!AH179="","",Deployments!AH179)</f>
        <v/>
      </c>
      <c r="E178" s="21" t="str">
        <f>IF(Deployments!I179="","",Deployments!I179)</f>
        <v/>
      </c>
      <c r="F178" s="21" t="str">
        <f>IF(Deployments!J179="","",Deployments!J179)</f>
        <v/>
      </c>
      <c r="G178" s="21" t="str">
        <f>IF(Deployments!K179="","",Deployments!K179)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IF(Deployments!AD179="","",Deployments!AD179)</f>
        <v/>
      </c>
      <c r="L178" s="21" t="str">
        <f>IF(Deployments!M179="","",Deployments!M179)</f>
        <v/>
      </c>
      <c r="M178" s="22"/>
      <c r="N178" s="21" t="str">
        <f>IF(Deployments!N179="","",Deployments!N179)</f>
        <v/>
      </c>
      <c r="O178" s="21" t="str">
        <f>IF(Deployments!O179="","",Deployments!O179)</f>
        <v/>
      </c>
      <c r="P178" s="21" t="str">
        <f>IF(Deployments!P179="","",Deployments!P179)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IF(Deployments!T179="","",Deployments!T179)</f>
        <v/>
      </c>
      <c r="AA178" s="21" t="str">
        <f>IF(Deployments!L179="","",Deployments!L179)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IF(Deployments!AH180="","",Deployments!AH180)</f>
        <v/>
      </c>
      <c r="E179" s="21" t="str">
        <f>IF(Deployments!I180="","",Deployments!I180)</f>
        <v/>
      </c>
      <c r="F179" s="21" t="str">
        <f>IF(Deployments!J180="","",Deployments!J180)</f>
        <v/>
      </c>
      <c r="G179" s="21" t="str">
        <f>IF(Deployments!K180="","",Deployments!K180)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IF(Deployments!AD180="","",Deployments!AD180)</f>
        <v/>
      </c>
      <c r="L179" s="21" t="str">
        <f>IF(Deployments!M180="","",Deployments!M180)</f>
        <v/>
      </c>
      <c r="M179" s="22"/>
      <c r="N179" s="21" t="str">
        <f>IF(Deployments!N180="","",Deployments!N180)</f>
        <v/>
      </c>
      <c r="O179" s="21" t="str">
        <f>IF(Deployments!O180="","",Deployments!O180)</f>
        <v/>
      </c>
      <c r="P179" s="21" t="str">
        <f>IF(Deployments!P180="","",Deployments!P180)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IF(Deployments!T180="","",Deployments!T180)</f>
        <v/>
      </c>
      <c r="AA179" s="21" t="str">
        <f>IF(Deployments!L180="","",Deployments!L180)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IF(Deployments!AH181="","",Deployments!AH181)</f>
        <v/>
      </c>
      <c r="E180" s="21" t="str">
        <f>IF(Deployments!I181="","",Deployments!I181)</f>
        <v/>
      </c>
      <c r="F180" s="21" t="str">
        <f>IF(Deployments!J181="","",Deployments!J181)</f>
        <v/>
      </c>
      <c r="G180" s="21" t="str">
        <f>IF(Deployments!K181="","",Deployments!K181)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IF(Deployments!AD181="","",Deployments!AD181)</f>
        <v/>
      </c>
      <c r="L180" s="21" t="str">
        <f>IF(Deployments!M181="","",Deployments!M181)</f>
        <v/>
      </c>
      <c r="M180" s="22"/>
      <c r="N180" s="21" t="str">
        <f>IF(Deployments!N181="","",Deployments!N181)</f>
        <v/>
      </c>
      <c r="O180" s="21" t="str">
        <f>IF(Deployments!O181="","",Deployments!O181)</f>
        <v/>
      </c>
      <c r="P180" s="21" t="str">
        <f>IF(Deployments!P181="","",Deployments!P181)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IF(Deployments!T181="","",Deployments!T181)</f>
        <v/>
      </c>
      <c r="AA180" s="21" t="str">
        <f>IF(Deployments!L181="","",Deployments!L181)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IF(Deployments!AH182="","",Deployments!AH182)</f>
        <v/>
      </c>
      <c r="E181" s="21" t="str">
        <f>IF(Deployments!I182="","",Deployments!I182)</f>
        <v/>
      </c>
      <c r="F181" s="21" t="str">
        <f>IF(Deployments!J182="","",Deployments!J182)</f>
        <v/>
      </c>
      <c r="G181" s="21" t="str">
        <f>IF(Deployments!K182="","",Deployments!K182)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IF(Deployments!AD182="","",Deployments!AD182)</f>
        <v/>
      </c>
      <c r="L181" s="21" t="str">
        <f>IF(Deployments!M182="","",Deployments!M182)</f>
        <v/>
      </c>
      <c r="M181" s="22"/>
      <c r="N181" s="21" t="str">
        <f>IF(Deployments!N182="","",Deployments!N182)</f>
        <v/>
      </c>
      <c r="O181" s="21" t="str">
        <f>IF(Deployments!O182="","",Deployments!O182)</f>
        <v/>
      </c>
      <c r="P181" s="21" t="str">
        <f>IF(Deployments!P182="","",Deployments!P182)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IF(Deployments!T182="","",Deployments!T182)</f>
        <v/>
      </c>
      <c r="AA181" s="21" t="str">
        <f>IF(Deployments!L182="","",Deployments!L182)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IF(Deployments!AH183="","",Deployments!AH183)</f>
        <v/>
      </c>
      <c r="E182" s="21" t="str">
        <f>IF(Deployments!I183="","",Deployments!I183)</f>
        <v/>
      </c>
      <c r="F182" s="21" t="str">
        <f>IF(Deployments!J183="","",Deployments!J183)</f>
        <v/>
      </c>
      <c r="G182" s="21" t="str">
        <f>IF(Deployments!K183="","",Deployments!K183)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IF(Deployments!AD183="","",Deployments!AD183)</f>
        <v/>
      </c>
      <c r="L182" s="21" t="str">
        <f>IF(Deployments!M183="","",Deployments!M183)</f>
        <v/>
      </c>
      <c r="M182" s="22"/>
      <c r="N182" s="21" t="str">
        <f>IF(Deployments!N183="","",Deployments!N183)</f>
        <v/>
      </c>
      <c r="O182" s="21" t="str">
        <f>IF(Deployments!O183="","",Deployments!O183)</f>
        <v/>
      </c>
      <c r="P182" s="21" t="str">
        <f>IF(Deployments!P183="","",Deployments!P183)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IF(Deployments!T183="","",Deployments!T183)</f>
        <v/>
      </c>
      <c r="AA182" s="21" t="str">
        <f>IF(Deployments!L183="","",Deployments!L183)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IF(Deployments!AH184="","",Deployments!AH184)</f>
        <v/>
      </c>
      <c r="E183" s="21" t="str">
        <f>IF(Deployments!I184="","",Deployments!I184)</f>
        <v/>
      </c>
      <c r="F183" s="21" t="str">
        <f>IF(Deployments!J184="","",Deployments!J184)</f>
        <v/>
      </c>
      <c r="G183" s="21" t="str">
        <f>IF(Deployments!K184="","",Deployments!K184)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IF(Deployments!AD184="","",Deployments!AD184)</f>
        <v/>
      </c>
      <c r="L183" s="21" t="str">
        <f>IF(Deployments!M184="","",Deployments!M184)</f>
        <v/>
      </c>
      <c r="M183" s="22"/>
      <c r="N183" s="21" t="str">
        <f>IF(Deployments!N184="","",Deployments!N184)</f>
        <v/>
      </c>
      <c r="O183" s="21" t="str">
        <f>IF(Deployments!O184="","",Deployments!O184)</f>
        <v/>
      </c>
      <c r="P183" s="21" t="str">
        <f>IF(Deployments!P184="","",Deployments!P184)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IF(Deployments!T184="","",Deployments!T184)</f>
        <v/>
      </c>
      <c r="AA183" s="21" t="str">
        <f>IF(Deployments!L184="","",Deployments!L184)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IF(Deployments!AH185="","",Deployments!AH185)</f>
        <v/>
      </c>
      <c r="E184" s="21" t="str">
        <f>IF(Deployments!I185="","",Deployments!I185)</f>
        <v/>
      </c>
      <c r="F184" s="21" t="str">
        <f>IF(Deployments!J185="","",Deployments!J185)</f>
        <v/>
      </c>
      <c r="G184" s="21" t="str">
        <f>IF(Deployments!K185="","",Deployments!K185)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IF(Deployments!AD185="","",Deployments!AD185)</f>
        <v/>
      </c>
      <c r="L184" s="21" t="str">
        <f>IF(Deployments!M185="","",Deployments!M185)</f>
        <v/>
      </c>
      <c r="M184" s="22"/>
      <c r="N184" s="21" t="str">
        <f>IF(Deployments!N185="","",Deployments!N185)</f>
        <v/>
      </c>
      <c r="O184" s="21" t="str">
        <f>IF(Deployments!O185="","",Deployments!O185)</f>
        <v/>
      </c>
      <c r="P184" s="21" t="str">
        <f>IF(Deployments!P185="","",Deployments!P185)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IF(Deployments!T185="","",Deployments!T185)</f>
        <v/>
      </c>
      <c r="AA184" s="21" t="str">
        <f>IF(Deployments!L185="","",Deployments!L185)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IF(Deployments!AH186="","",Deployments!AH186)</f>
        <v/>
      </c>
      <c r="E185" s="21" t="str">
        <f>IF(Deployments!I186="","",Deployments!I186)</f>
        <v/>
      </c>
      <c r="F185" s="21" t="str">
        <f>IF(Deployments!J186="","",Deployments!J186)</f>
        <v/>
      </c>
      <c r="G185" s="21" t="str">
        <f>IF(Deployments!K186="","",Deployments!K186)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IF(Deployments!AD186="","",Deployments!AD186)</f>
        <v/>
      </c>
      <c r="L185" s="21" t="str">
        <f>IF(Deployments!M186="","",Deployments!M186)</f>
        <v/>
      </c>
      <c r="M185" s="22"/>
      <c r="N185" s="21" t="str">
        <f>IF(Deployments!N186="","",Deployments!N186)</f>
        <v/>
      </c>
      <c r="O185" s="21" t="str">
        <f>IF(Deployments!O186="","",Deployments!O186)</f>
        <v/>
      </c>
      <c r="P185" s="21" t="str">
        <f>IF(Deployments!P186="","",Deployments!P186)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IF(Deployments!T186="","",Deployments!T186)</f>
        <v/>
      </c>
      <c r="AA185" s="21" t="str">
        <f>IF(Deployments!L186="","",Deployments!L186)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IF(Deployments!AH187="","",Deployments!AH187)</f>
        <v/>
      </c>
      <c r="E186" s="21" t="str">
        <f>IF(Deployments!I187="","",Deployments!I187)</f>
        <v/>
      </c>
      <c r="F186" s="21" t="str">
        <f>IF(Deployments!J187="","",Deployments!J187)</f>
        <v/>
      </c>
      <c r="G186" s="21" t="str">
        <f>IF(Deployments!K187="","",Deployments!K187)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IF(Deployments!AD187="","",Deployments!AD187)</f>
        <v/>
      </c>
      <c r="L186" s="21" t="str">
        <f>IF(Deployments!M187="","",Deployments!M187)</f>
        <v/>
      </c>
      <c r="M186" s="22"/>
      <c r="N186" s="21" t="str">
        <f>IF(Deployments!N187="","",Deployments!N187)</f>
        <v/>
      </c>
      <c r="O186" s="21" t="str">
        <f>IF(Deployments!O187="","",Deployments!O187)</f>
        <v/>
      </c>
      <c r="P186" s="21" t="str">
        <f>IF(Deployments!P187="","",Deployments!P187)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IF(Deployments!T187="","",Deployments!T187)</f>
        <v/>
      </c>
      <c r="AA186" s="21" t="str">
        <f>IF(Deployments!L187="","",Deployments!L187)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IF(Deployments!AH188="","",Deployments!AH188)</f>
        <v/>
      </c>
      <c r="E187" s="21" t="str">
        <f>IF(Deployments!I188="","",Deployments!I188)</f>
        <v/>
      </c>
      <c r="F187" s="21" t="str">
        <f>IF(Deployments!J188="","",Deployments!J188)</f>
        <v/>
      </c>
      <c r="G187" s="21" t="str">
        <f>IF(Deployments!K188="","",Deployments!K188)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IF(Deployments!AD188="","",Deployments!AD188)</f>
        <v/>
      </c>
      <c r="L187" s="21" t="str">
        <f>IF(Deployments!M188="","",Deployments!M188)</f>
        <v/>
      </c>
      <c r="M187" s="22"/>
      <c r="N187" s="21" t="str">
        <f>IF(Deployments!N188="","",Deployments!N188)</f>
        <v/>
      </c>
      <c r="O187" s="21" t="str">
        <f>IF(Deployments!O188="","",Deployments!O188)</f>
        <v/>
      </c>
      <c r="P187" s="21" t="str">
        <f>IF(Deployments!P188="","",Deployments!P188)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IF(Deployments!T188="","",Deployments!T188)</f>
        <v/>
      </c>
      <c r="AA187" s="21" t="str">
        <f>IF(Deployments!L188="","",Deployments!L188)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IF(Deployments!AH189="","",Deployments!AH189)</f>
        <v/>
      </c>
      <c r="E188" s="21" t="str">
        <f>IF(Deployments!I189="","",Deployments!I189)</f>
        <v/>
      </c>
      <c r="F188" s="21" t="str">
        <f>IF(Deployments!J189="","",Deployments!J189)</f>
        <v/>
      </c>
      <c r="G188" s="21" t="str">
        <f>IF(Deployments!K189="","",Deployments!K189)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IF(Deployments!AD189="","",Deployments!AD189)</f>
        <v/>
      </c>
      <c r="L188" s="21" t="str">
        <f>IF(Deployments!M189="","",Deployments!M189)</f>
        <v/>
      </c>
      <c r="M188" s="22"/>
      <c r="N188" s="21" t="str">
        <f>IF(Deployments!N189="","",Deployments!N189)</f>
        <v/>
      </c>
      <c r="O188" s="21" t="str">
        <f>IF(Deployments!O189="","",Deployments!O189)</f>
        <v/>
      </c>
      <c r="P188" s="21" t="str">
        <f>IF(Deployments!P189="","",Deployments!P189)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IF(Deployments!T189="","",Deployments!T189)</f>
        <v/>
      </c>
      <c r="AA188" s="21" t="str">
        <f>IF(Deployments!L189="","",Deployments!L189)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IF(Deployments!AH190="","",Deployments!AH190)</f>
        <v/>
      </c>
      <c r="E189" s="21" t="str">
        <f>IF(Deployments!I190="","",Deployments!I190)</f>
        <v/>
      </c>
      <c r="F189" s="21" t="str">
        <f>IF(Deployments!J190="","",Deployments!J190)</f>
        <v/>
      </c>
      <c r="G189" s="21" t="str">
        <f>IF(Deployments!K190="","",Deployments!K190)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IF(Deployments!AD190="","",Deployments!AD190)</f>
        <v/>
      </c>
      <c r="L189" s="21" t="str">
        <f>IF(Deployments!M190="","",Deployments!M190)</f>
        <v/>
      </c>
      <c r="M189" s="22"/>
      <c r="N189" s="21" t="str">
        <f>IF(Deployments!N190="","",Deployments!N190)</f>
        <v/>
      </c>
      <c r="O189" s="21" t="str">
        <f>IF(Deployments!O190="","",Deployments!O190)</f>
        <v/>
      </c>
      <c r="P189" s="21" t="str">
        <f>IF(Deployments!P190="","",Deployments!P190)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IF(Deployments!T190="","",Deployments!T190)</f>
        <v/>
      </c>
      <c r="AA189" s="21" t="str">
        <f>IF(Deployments!L190="","",Deployments!L190)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IF(Deployments!AH191="","",Deployments!AH191)</f>
        <v/>
      </c>
      <c r="E190" s="21" t="str">
        <f>IF(Deployments!I191="","",Deployments!I191)</f>
        <v/>
      </c>
      <c r="F190" s="21" t="str">
        <f>IF(Deployments!J191="","",Deployments!J191)</f>
        <v/>
      </c>
      <c r="G190" s="21" t="str">
        <f>IF(Deployments!K191="","",Deployments!K191)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IF(Deployments!AD191="","",Deployments!AD191)</f>
        <v/>
      </c>
      <c r="L190" s="21" t="str">
        <f>IF(Deployments!M191="","",Deployments!M191)</f>
        <v/>
      </c>
      <c r="M190" s="22"/>
      <c r="N190" s="21" t="str">
        <f>IF(Deployments!N191="","",Deployments!N191)</f>
        <v/>
      </c>
      <c r="O190" s="21" t="str">
        <f>IF(Deployments!O191="","",Deployments!O191)</f>
        <v/>
      </c>
      <c r="P190" s="21" t="str">
        <f>IF(Deployments!P191="","",Deployments!P191)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IF(Deployments!T191="","",Deployments!T191)</f>
        <v/>
      </c>
      <c r="AA190" s="21" t="str">
        <f>IF(Deployments!L191="","",Deployments!L191)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IF(Deployments!AH192="","",Deployments!AH192)</f>
        <v/>
      </c>
      <c r="E191" s="21" t="str">
        <f>IF(Deployments!I192="","",Deployments!I192)</f>
        <v/>
      </c>
      <c r="F191" s="21" t="str">
        <f>IF(Deployments!J192="","",Deployments!J192)</f>
        <v/>
      </c>
      <c r="G191" s="21" t="str">
        <f>IF(Deployments!K192="","",Deployments!K192)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IF(Deployments!AD192="","",Deployments!AD192)</f>
        <v/>
      </c>
      <c r="L191" s="21" t="str">
        <f>IF(Deployments!M192="","",Deployments!M192)</f>
        <v/>
      </c>
      <c r="M191" s="22"/>
      <c r="N191" s="21" t="str">
        <f>IF(Deployments!N192="","",Deployments!N192)</f>
        <v/>
      </c>
      <c r="O191" s="21" t="str">
        <f>IF(Deployments!O192="","",Deployments!O192)</f>
        <v/>
      </c>
      <c r="P191" s="21" t="str">
        <f>IF(Deployments!P192="","",Deployments!P192)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IF(Deployments!T192="","",Deployments!T192)</f>
        <v/>
      </c>
      <c r="AA191" s="21" t="str">
        <f>IF(Deployments!L192="","",Deployments!L192)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IF(Deployments!AH193="","",Deployments!AH193)</f>
        <v/>
      </c>
      <c r="E192" s="21" t="str">
        <f>IF(Deployments!I193="","",Deployments!I193)</f>
        <v/>
      </c>
      <c r="F192" s="21" t="str">
        <f>IF(Deployments!J193="","",Deployments!J193)</f>
        <v/>
      </c>
      <c r="G192" s="21" t="str">
        <f>IF(Deployments!K193="","",Deployments!K193)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IF(Deployments!AD193="","",Deployments!AD193)</f>
        <v/>
      </c>
      <c r="L192" s="21" t="str">
        <f>IF(Deployments!M193="","",Deployments!M193)</f>
        <v/>
      </c>
      <c r="M192" s="22"/>
      <c r="N192" s="21" t="str">
        <f>IF(Deployments!N193="","",Deployments!N193)</f>
        <v/>
      </c>
      <c r="O192" s="21" t="str">
        <f>IF(Deployments!O193="","",Deployments!O193)</f>
        <v/>
      </c>
      <c r="P192" s="21" t="str">
        <f>IF(Deployments!P193="","",Deployments!P193)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IF(Deployments!T193="","",Deployments!T193)</f>
        <v/>
      </c>
      <c r="AA192" s="21" t="str">
        <f>IF(Deployments!L193="","",Deployments!L193)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IF(Deployments!AH194="","",Deployments!AH194)</f>
        <v/>
      </c>
      <c r="E193" s="21" t="str">
        <f>IF(Deployments!I194="","",Deployments!I194)</f>
        <v/>
      </c>
      <c r="F193" s="21" t="str">
        <f>IF(Deployments!J194="","",Deployments!J194)</f>
        <v/>
      </c>
      <c r="G193" s="21" t="str">
        <f>IF(Deployments!K194="","",Deployments!K194)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IF(Deployments!AD194="","",Deployments!AD194)</f>
        <v/>
      </c>
      <c r="L193" s="21" t="str">
        <f>IF(Deployments!M194="","",Deployments!M194)</f>
        <v/>
      </c>
      <c r="M193" s="22"/>
      <c r="N193" s="21" t="str">
        <f>IF(Deployments!N194="","",Deployments!N194)</f>
        <v/>
      </c>
      <c r="O193" s="21" t="str">
        <f>IF(Deployments!O194="","",Deployments!O194)</f>
        <v/>
      </c>
      <c r="P193" s="21" t="str">
        <f>IF(Deployments!P194="","",Deployments!P194)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IF(Deployments!T194="","",Deployments!T194)</f>
        <v/>
      </c>
      <c r="AA193" s="21" t="str">
        <f>IF(Deployments!L194="","",Deployments!L194)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IF(Deployments!AH195="","",Deployments!AH195)</f>
        <v/>
      </c>
      <c r="E194" s="21" t="str">
        <f>IF(Deployments!I195="","",Deployments!I195)</f>
        <v/>
      </c>
      <c r="F194" s="21" t="str">
        <f>IF(Deployments!J195="","",Deployments!J195)</f>
        <v/>
      </c>
      <c r="G194" s="21" t="str">
        <f>IF(Deployments!K195="","",Deployments!K195)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IF(Deployments!AD195="","",Deployments!AD195)</f>
        <v/>
      </c>
      <c r="L194" s="21" t="str">
        <f>IF(Deployments!M195="","",Deployments!M195)</f>
        <v/>
      </c>
      <c r="M194" s="22"/>
      <c r="N194" s="21" t="str">
        <f>IF(Deployments!N195="","",Deployments!N195)</f>
        <v/>
      </c>
      <c r="O194" s="21" t="str">
        <f>IF(Deployments!O195="","",Deployments!O195)</f>
        <v/>
      </c>
      <c r="P194" s="21" t="str">
        <f>IF(Deployments!P195="","",Deployments!P195)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IF(Deployments!T195="","",Deployments!T195)</f>
        <v/>
      </c>
      <c r="AA194" s="21" t="str">
        <f>IF(Deployments!L195="","",Deployments!L195)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IF(Deployments!AH196="","",Deployments!AH196)</f>
        <v/>
      </c>
      <c r="E195" s="21" t="str">
        <f>IF(Deployments!I196="","",Deployments!I196)</f>
        <v/>
      </c>
      <c r="F195" s="21" t="str">
        <f>IF(Deployments!J196="","",Deployments!J196)</f>
        <v/>
      </c>
      <c r="G195" s="21" t="str">
        <f>IF(Deployments!K196="","",Deployments!K196)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IF(Deployments!AD196="","",Deployments!AD196)</f>
        <v/>
      </c>
      <c r="L195" s="21" t="str">
        <f>IF(Deployments!M196="","",Deployments!M196)</f>
        <v/>
      </c>
      <c r="M195" s="22"/>
      <c r="N195" s="21" t="str">
        <f>IF(Deployments!N196="","",Deployments!N196)</f>
        <v/>
      </c>
      <c r="O195" s="21" t="str">
        <f>IF(Deployments!O196="","",Deployments!O196)</f>
        <v/>
      </c>
      <c r="P195" s="21" t="str">
        <f>IF(Deployments!P196="","",Deployments!P196)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IF(Deployments!T196="","",Deployments!T196)</f>
        <v/>
      </c>
      <c r="AA195" s="21" t="str">
        <f>IF(Deployments!L196="","",Deployments!L196)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IF(Deployments!AH197="","",Deployments!AH197)</f>
        <v/>
      </c>
      <c r="E196" s="21" t="str">
        <f>IF(Deployments!I197="","",Deployments!I197)</f>
        <v/>
      </c>
      <c r="F196" s="21" t="str">
        <f>IF(Deployments!J197="","",Deployments!J197)</f>
        <v/>
      </c>
      <c r="G196" s="21" t="str">
        <f>IF(Deployments!K197="","",Deployments!K197)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IF(Deployments!AD197="","",Deployments!AD197)</f>
        <v/>
      </c>
      <c r="L196" s="21" t="str">
        <f>IF(Deployments!M197="","",Deployments!M197)</f>
        <v/>
      </c>
      <c r="M196" s="22"/>
      <c r="N196" s="21" t="str">
        <f>IF(Deployments!N197="","",Deployments!N197)</f>
        <v/>
      </c>
      <c r="O196" s="21" t="str">
        <f>IF(Deployments!O197="","",Deployments!O197)</f>
        <v/>
      </c>
      <c r="P196" s="21" t="str">
        <f>IF(Deployments!P197="","",Deployments!P197)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IF(Deployments!T197="","",Deployments!T197)</f>
        <v/>
      </c>
      <c r="AA196" s="21" t="str">
        <f>IF(Deployments!L197="","",Deployments!L197)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IF(Deployments!AH198="","",Deployments!AH198)</f>
        <v/>
      </c>
      <c r="E197" s="21" t="str">
        <f>IF(Deployments!I198="","",Deployments!I198)</f>
        <v/>
      </c>
      <c r="F197" s="21" t="str">
        <f>IF(Deployments!J198="","",Deployments!J198)</f>
        <v/>
      </c>
      <c r="G197" s="21" t="str">
        <f>IF(Deployments!K198="","",Deployments!K198)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IF(Deployments!AD198="","",Deployments!AD198)</f>
        <v/>
      </c>
      <c r="L197" s="21" t="str">
        <f>IF(Deployments!M198="","",Deployments!M198)</f>
        <v/>
      </c>
      <c r="M197" s="22"/>
      <c r="N197" s="21" t="str">
        <f>IF(Deployments!N198="","",Deployments!N198)</f>
        <v/>
      </c>
      <c r="O197" s="21" t="str">
        <f>IF(Deployments!O198="","",Deployments!O198)</f>
        <v/>
      </c>
      <c r="P197" s="21" t="str">
        <f>IF(Deployments!P198="","",Deployments!P198)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IF(Deployments!T198="","",Deployments!T198)</f>
        <v/>
      </c>
      <c r="AA197" s="21" t="str">
        <f>IF(Deployments!L198="","",Deployments!L198)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IF(Deployments!AH199="","",Deployments!AH199)</f>
        <v/>
      </c>
      <c r="E198" s="21" t="str">
        <f>IF(Deployments!I199="","",Deployments!I199)</f>
        <v/>
      </c>
      <c r="F198" s="21" t="str">
        <f>IF(Deployments!J199="","",Deployments!J199)</f>
        <v/>
      </c>
      <c r="G198" s="21" t="str">
        <f>IF(Deployments!K199="","",Deployments!K199)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IF(Deployments!AD199="","",Deployments!AD199)</f>
        <v/>
      </c>
      <c r="L198" s="21" t="str">
        <f>IF(Deployments!M199="","",Deployments!M199)</f>
        <v/>
      </c>
      <c r="M198" s="22"/>
      <c r="N198" s="21" t="str">
        <f>IF(Deployments!N199="","",Deployments!N199)</f>
        <v/>
      </c>
      <c r="O198" s="21" t="str">
        <f>IF(Deployments!O199="","",Deployments!O199)</f>
        <v/>
      </c>
      <c r="P198" s="21" t="str">
        <f>IF(Deployments!P199="","",Deployments!P199)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IF(Deployments!T199="","",Deployments!T199)</f>
        <v/>
      </c>
      <c r="AA198" s="21" t="str">
        <f>IF(Deployments!L199="","",Deployments!L199)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IF(Deployments!AH200="","",Deployments!AH200)</f>
        <v/>
      </c>
      <c r="E199" s="21" t="str">
        <f>IF(Deployments!I200="","",Deployments!I200)</f>
        <v/>
      </c>
      <c r="F199" s="21" t="str">
        <f>IF(Deployments!J200="","",Deployments!J200)</f>
        <v/>
      </c>
      <c r="G199" s="21" t="str">
        <f>IF(Deployments!K200="","",Deployments!K200)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IF(Deployments!AD200="","",Deployments!AD200)</f>
        <v/>
      </c>
      <c r="L199" s="21" t="str">
        <f>IF(Deployments!M200="","",Deployments!M200)</f>
        <v/>
      </c>
      <c r="M199" s="22"/>
      <c r="N199" s="21" t="str">
        <f>IF(Deployments!N200="","",Deployments!N200)</f>
        <v/>
      </c>
      <c r="O199" s="21" t="str">
        <f>IF(Deployments!O200="","",Deployments!O200)</f>
        <v/>
      </c>
      <c r="P199" s="21" t="str">
        <f>IF(Deployments!P200="","",Deployments!P200)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IF(Deployments!T200="","",Deployments!T200)</f>
        <v/>
      </c>
      <c r="AA199" s="21" t="str">
        <f>IF(Deployments!L200="","",Deployments!L200)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IF(Deployments!AH201="","",Deployments!AH201)</f>
        <v/>
      </c>
      <c r="E200" s="21" t="str">
        <f>IF(Deployments!I201="","",Deployments!I201)</f>
        <v/>
      </c>
      <c r="F200" s="21" t="str">
        <f>IF(Deployments!J201="","",Deployments!J201)</f>
        <v/>
      </c>
      <c r="G200" s="21" t="str">
        <f>IF(Deployments!K201="","",Deployments!K201)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IF(Deployments!AD201="","",Deployments!AD201)</f>
        <v/>
      </c>
      <c r="L200" s="21" t="str">
        <f>IF(Deployments!M201="","",Deployments!M201)</f>
        <v/>
      </c>
      <c r="M200" s="22"/>
      <c r="N200" s="21" t="str">
        <f>IF(Deployments!N201="","",Deployments!N201)</f>
        <v/>
      </c>
      <c r="O200" s="21" t="str">
        <f>IF(Deployments!O201="","",Deployments!O201)</f>
        <v/>
      </c>
      <c r="P200" s="21" t="str">
        <f>IF(Deployments!P201="","",Deployments!P201)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IF(Deployments!T201="","",Deployments!T201)</f>
        <v/>
      </c>
      <c r="AA200" s="21" t="str">
        <f>IF(Deployments!L201="","",Deployments!L201)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IF(Deployments!AH202="","",Deployments!AH202)</f>
        <v/>
      </c>
      <c r="E201" s="21" t="str">
        <f>IF(Deployments!I202="","",Deployments!I202)</f>
        <v/>
      </c>
      <c r="F201" s="21" t="str">
        <f>IF(Deployments!J202="","",Deployments!J202)</f>
        <v/>
      </c>
      <c r="G201" s="21" t="str">
        <f>IF(Deployments!K202="","",Deployments!K202)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IF(Deployments!AD202="","",Deployments!AD202)</f>
        <v/>
      </c>
      <c r="L201" s="21" t="str">
        <f>IF(Deployments!M202="","",Deployments!M202)</f>
        <v/>
      </c>
      <c r="M201" s="22"/>
      <c r="N201" s="21" t="str">
        <f>IF(Deployments!N202="","",Deployments!N202)</f>
        <v/>
      </c>
      <c r="O201" s="21" t="str">
        <f>IF(Deployments!O202="","",Deployments!O202)</f>
        <v/>
      </c>
      <c r="P201" s="21" t="str">
        <f>IF(Deployments!P202="","",Deployments!P202)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IF(Deployments!T202="","",Deployments!T202)</f>
        <v/>
      </c>
      <c r="AA201" s="21" t="str">
        <f>IF(Deployments!L202="","",Deployments!L202)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IF(Deployments!AH203="","",Deployments!AH203)</f>
        <v/>
      </c>
      <c r="E202" s="21" t="str">
        <f>IF(Deployments!I203="","",Deployments!I203)</f>
        <v/>
      </c>
      <c r="F202" s="21" t="str">
        <f>IF(Deployments!J203="","",Deployments!J203)</f>
        <v/>
      </c>
      <c r="G202" s="21" t="str">
        <f>IF(Deployments!K203="","",Deployments!K203)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IF(Deployments!AD203="","",Deployments!AD203)</f>
        <v/>
      </c>
      <c r="L202" s="21" t="str">
        <f>IF(Deployments!M203="","",Deployments!M203)</f>
        <v/>
      </c>
      <c r="M202" s="22"/>
      <c r="N202" s="21" t="str">
        <f>IF(Deployments!N203="","",Deployments!N203)</f>
        <v/>
      </c>
      <c r="O202" s="21" t="str">
        <f>IF(Deployments!O203="","",Deployments!O203)</f>
        <v/>
      </c>
      <c r="P202" s="21" t="str">
        <f>IF(Deployments!P203="","",Deployments!P203)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IF(Deployments!T203="","",Deployments!T203)</f>
        <v/>
      </c>
      <c r="AA202" s="21" t="str">
        <f>IF(Deployments!L203="","",Deployments!L203)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IF(Deployments!AH204="","",Deployments!AH204)</f>
        <v/>
      </c>
      <c r="E203" s="21" t="str">
        <f>IF(Deployments!I204="","",Deployments!I204)</f>
        <v/>
      </c>
      <c r="F203" s="21" t="str">
        <f>IF(Deployments!J204="","",Deployments!J204)</f>
        <v/>
      </c>
      <c r="G203" s="21" t="str">
        <f>IF(Deployments!K204="","",Deployments!K204)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IF(Deployments!AD204="","",Deployments!AD204)</f>
        <v/>
      </c>
      <c r="L203" s="21" t="str">
        <f>IF(Deployments!M204="","",Deployments!M204)</f>
        <v/>
      </c>
      <c r="M203" s="22"/>
      <c r="N203" s="21" t="str">
        <f>IF(Deployments!N204="","",Deployments!N204)</f>
        <v/>
      </c>
      <c r="O203" s="21" t="str">
        <f>IF(Deployments!O204="","",Deployments!O204)</f>
        <v/>
      </c>
      <c r="P203" s="21" t="str">
        <f>IF(Deployments!P204="","",Deployments!P204)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IF(Deployments!T204="","",Deployments!T204)</f>
        <v/>
      </c>
      <c r="AA203" s="21" t="str">
        <f>IF(Deployments!L204="","",Deployments!L204)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IF(Deployments!AH205="","",Deployments!AH205)</f>
        <v/>
      </c>
      <c r="E204" s="21" t="str">
        <f>IF(Deployments!I205="","",Deployments!I205)</f>
        <v/>
      </c>
      <c r="F204" s="21" t="str">
        <f>IF(Deployments!J205="","",Deployments!J205)</f>
        <v/>
      </c>
      <c r="G204" s="21" t="str">
        <f>IF(Deployments!K205="","",Deployments!K205)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IF(Deployments!AD205="","",Deployments!AD205)</f>
        <v/>
      </c>
      <c r="L204" s="21" t="str">
        <f>IF(Deployments!M205="","",Deployments!M205)</f>
        <v/>
      </c>
      <c r="M204" s="22"/>
      <c r="N204" s="21" t="str">
        <f>IF(Deployments!N205="","",Deployments!N205)</f>
        <v/>
      </c>
      <c r="O204" s="21" t="str">
        <f>IF(Deployments!O205="","",Deployments!O205)</f>
        <v/>
      </c>
      <c r="P204" s="21" t="str">
        <f>IF(Deployments!P205="","",Deployments!P205)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IF(Deployments!T205="","",Deployments!T205)</f>
        <v/>
      </c>
      <c r="AA204" s="21" t="str">
        <f>IF(Deployments!L205="","",Deployments!L205)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IF(Deployments!AH206="","",Deployments!AH206)</f>
        <v/>
      </c>
      <c r="E205" s="21" t="str">
        <f>IF(Deployments!I206="","",Deployments!I206)</f>
        <v/>
      </c>
      <c r="F205" s="21" t="str">
        <f>IF(Deployments!J206="","",Deployments!J206)</f>
        <v/>
      </c>
      <c r="G205" s="21" t="str">
        <f>IF(Deployments!K206="","",Deployments!K206)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IF(Deployments!AD206="","",Deployments!AD206)</f>
        <v/>
      </c>
      <c r="L205" s="21" t="str">
        <f>IF(Deployments!M206="","",Deployments!M206)</f>
        <v/>
      </c>
      <c r="M205" s="22"/>
      <c r="N205" s="21" t="str">
        <f>IF(Deployments!N206="","",Deployments!N206)</f>
        <v/>
      </c>
      <c r="O205" s="21" t="str">
        <f>IF(Deployments!O206="","",Deployments!O206)</f>
        <v/>
      </c>
      <c r="P205" s="21" t="str">
        <f>IF(Deployments!P206="","",Deployments!P206)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IF(Deployments!T206="","",Deployments!T206)</f>
        <v/>
      </c>
      <c r="AA205" s="21" t="str">
        <f>IF(Deployments!L206="","",Deployments!L206)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IF(Deployments!AH207="","",Deployments!AH207)</f>
        <v/>
      </c>
      <c r="E206" s="21" t="str">
        <f>IF(Deployments!I207="","",Deployments!I207)</f>
        <v/>
      </c>
      <c r="F206" s="21" t="str">
        <f>IF(Deployments!J207="","",Deployments!J207)</f>
        <v/>
      </c>
      <c r="G206" s="21" t="str">
        <f>IF(Deployments!K207="","",Deployments!K207)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IF(Deployments!AD207="","",Deployments!AD207)</f>
        <v/>
      </c>
      <c r="L206" s="21" t="str">
        <f>IF(Deployments!M207="","",Deployments!M207)</f>
        <v/>
      </c>
      <c r="M206" s="22"/>
      <c r="N206" s="21" t="str">
        <f>IF(Deployments!N207="","",Deployments!N207)</f>
        <v/>
      </c>
      <c r="O206" s="21" t="str">
        <f>IF(Deployments!O207="","",Deployments!O207)</f>
        <v/>
      </c>
      <c r="P206" s="21" t="str">
        <f>IF(Deployments!P207="","",Deployments!P207)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IF(Deployments!T207="","",Deployments!T207)</f>
        <v/>
      </c>
      <c r="AA206" s="21" t="str">
        <f>IF(Deployments!L207="","",Deployments!L207)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IF(Deployments!AH208="","",Deployments!AH208)</f>
        <v/>
      </c>
      <c r="E207" s="21" t="str">
        <f>IF(Deployments!I208="","",Deployments!I208)</f>
        <v/>
      </c>
      <c r="F207" s="21" t="str">
        <f>IF(Deployments!J208="","",Deployments!J208)</f>
        <v/>
      </c>
      <c r="G207" s="21" t="str">
        <f>IF(Deployments!K208="","",Deployments!K208)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IF(Deployments!AD208="","",Deployments!AD208)</f>
        <v/>
      </c>
      <c r="L207" s="21" t="str">
        <f>IF(Deployments!M208="","",Deployments!M208)</f>
        <v/>
      </c>
      <c r="M207" s="22"/>
      <c r="N207" s="21" t="str">
        <f>IF(Deployments!N208="","",Deployments!N208)</f>
        <v/>
      </c>
      <c r="O207" s="21" t="str">
        <f>IF(Deployments!O208="","",Deployments!O208)</f>
        <v/>
      </c>
      <c r="P207" s="21" t="str">
        <f>IF(Deployments!P208="","",Deployments!P208)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IF(Deployments!T208="","",Deployments!T208)</f>
        <v/>
      </c>
      <c r="AA207" s="21" t="str">
        <f>IF(Deployments!L208="","",Deployments!L208)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IF(Deployments!AH209="","",Deployments!AH209)</f>
        <v/>
      </c>
      <c r="E208" s="21" t="str">
        <f>IF(Deployments!I209="","",Deployments!I209)</f>
        <v/>
      </c>
      <c r="F208" s="21" t="str">
        <f>IF(Deployments!J209="","",Deployments!J209)</f>
        <v/>
      </c>
      <c r="G208" s="21" t="str">
        <f>IF(Deployments!K209="","",Deployments!K209)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IF(Deployments!AD209="","",Deployments!AD209)</f>
        <v/>
      </c>
      <c r="L208" s="21" t="str">
        <f>IF(Deployments!M209="","",Deployments!M209)</f>
        <v/>
      </c>
      <c r="M208" s="22"/>
      <c r="N208" s="21" t="str">
        <f>IF(Deployments!N209="","",Deployments!N209)</f>
        <v/>
      </c>
      <c r="O208" s="21" t="str">
        <f>IF(Deployments!O209="","",Deployments!O209)</f>
        <v/>
      </c>
      <c r="P208" s="21" t="str">
        <f>IF(Deployments!P209="","",Deployments!P209)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IF(Deployments!T209="","",Deployments!T209)</f>
        <v/>
      </c>
      <c r="AA208" s="21" t="str">
        <f>IF(Deployments!L209="","",Deployments!L209)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IF(Deployments!AH210="","",Deployments!AH210)</f>
        <v/>
      </c>
      <c r="E209" s="21" t="str">
        <f>IF(Deployments!I210="","",Deployments!I210)</f>
        <v/>
      </c>
      <c r="F209" s="21" t="str">
        <f>IF(Deployments!J210="","",Deployments!J210)</f>
        <v/>
      </c>
      <c r="G209" s="21" t="str">
        <f>IF(Deployments!K210="","",Deployments!K210)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IF(Deployments!AD210="","",Deployments!AD210)</f>
        <v/>
      </c>
      <c r="L209" s="21" t="str">
        <f>IF(Deployments!M210="","",Deployments!M210)</f>
        <v/>
      </c>
      <c r="M209" s="22"/>
      <c r="N209" s="21" t="str">
        <f>IF(Deployments!N210="","",Deployments!N210)</f>
        <v/>
      </c>
      <c r="O209" s="21" t="str">
        <f>IF(Deployments!O210="","",Deployments!O210)</f>
        <v/>
      </c>
      <c r="P209" s="21" t="str">
        <f>IF(Deployments!P210="","",Deployments!P210)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IF(Deployments!T210="","",Deployments!T210)</f>
        <v/>
      </c>
      <c r="AA209" s="21" t="str">
        <f>IF(Deployments!L210="","",Deployments!L210)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IF(Deployments!AH211="","",Deployments!AH211)</f>
        <v/>
      </c>
      <c r="E210" s="21" t="str">
        <f>IF(Deployments!I211="","",Deployments!I211)</f>
        <v/>
      </c>
      <c r="F210" s="21" t="str">
        <f>IF(Deployments!J211="","",Deployments!J211)</f>
        <v/>
      </c>
      <c r="G210" s="21" t="str">
        <f>IF(Deployments!K211="","",Deployments!K211)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IF(Deployments!AD211="","",Deployments!AD211)</f>
        <v/>
      </c>
      <c r="L210" s="21" t="str">
        <f>IF(Deployments!M211="","",Deployments!M211)</f>
        <v/>
      </c>
      <c r="M210" s="22"/>
      <c r="N210" s="21" t="str">
        <f>IF(Deployments!N211="","",Deployments!N211)</f>
        <v/>
      </c>
      <c r="O210" s="21" t="str">
        <f>IF(Deployments!O211="","",Deployments!O211)</f>
        <v/>
      </c>
      <c r="P210" s="21" t="str">
        <f>IF(Deployments!P211="","",Deployments!P211)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IF(Deployments!T211="","",Deployments!T211)</f>
        <v/>
      </c>
      <c r="AA210" s="21" t="str">
        <f>IF(Deployments!L211="","",Deployments!L211)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IF(Deployments!AH212="","",Deployments!AH212)</f>
        <v/>
      </c>
      <c r="E211" s="21" t="str">
        <f>IF(Deployments!I212="","",Deployments!I212)</f>
        <v/>
      </c>
      <c r="F211" s="21" t="str">
        <f>IF(Deployments!J212="","",Deployments!J212)</f>
        <v/>
      </c>
      <c r="G211" s="21" t="str">
        <f>IF(Deployments!K212="","",Deployments!K212)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IF(Deployments!AD212="","",Deployments!AD212)</f>
        <v/>
      </c>
      <c r="L211" s="21" t="str">
        <f>IF(Deployments!M212="","",Deployments!M212)</f>
        <v/>
      </c>
      <c r="M211" s="22"/>
      <c r="N211" s="21" t="str">
        <f>IF(Deployments!N212="","",Deployments!N212)</f>
        <v/>
      </c>
      <c r="O211" s="21" t="str">
        <f>IF(Deployments!O212="","",Deployments!O212)</f>
        <v/>
      </c>
      <c r="P211" s="21" t="str">
        <f>IF(Deployments!P212="","",Deployments!P212)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IF(Deployments!T212="","",Deployments!T212)</f>
        <v/>
      </c>
      <c r="AA211" s="21" t="str">
        <f>IF(Deployments!L212="","",Deployments!L212)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IF(Deployments!AH213="","",Deployments!AH213)</f>
        <v/>
      </c>
      <c r="E212" s="21" t="str">
        <f>IF(Deployments!I213="","",Deployments!I213)</f>
        <v/>
      </c>
      <c r="F212" s="21" t="str">
        <f>IF(Deployments!J213="","",Deployments!J213)</f>
        <v/>
      </c>
      <c r="G212" s="21" t="str">
        <f>IF(Deployments!K213="","",Deployments!K213)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IF(Deployments!AD213="","",Deployments!AD213)</f>
        <v/>
      </c>
      <c r="L212" s="21" t="str">
        <f>IF(Deployments!M213="","",Deployments!M213)</f>
        <v/>
      </c>
      <c r="M212" s="22"/>
      <c r="N212" s="21" t="str">
        <f>IF(Deployments!N213="","",Deployments!N213)</f>
        <v/>
      </c>
      <c r="O212" s="21" t="str">
        <f>IF(Deployments!O213="","",Deployments!O213)</f>
        <v/>
      </c>
      <c r="P212" s="21" t="str">
        <f>IF(Deployments!P213="","",Deployments!P213)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IF(Deployments!T213="","",Deployments!T213)</f>
        <v/>
      </c>
      <c r="AA212" s="21" t="str">
        <f>IF(Deployments!L213="","",Deployments!L213)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IF(Deployments!AH214="","",Deployments!AH214)</f>
        <v/>
      </c>
      <c r="E213" s="21" t="str">
        <f>IF(Deployments!I214="","",Deployments!I214)</f>
        <v/>
      </c>
      <c r="F213" s="21" t="str">
        <f>IF(Deployments!J214="","",Deployments!J214)</f>
        <v/>
      </c>
      <c r="G213" s="21" t="str">
        <f>IF(Deployments!K214="","",Deployments!K214)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IF(Deployments!AD214="","",Deployments!AD214)</f>
        <v/>
      </c>
      <c r="L213" s="21" t="str">
        <f>IF(Deployments!M214="","",Deployments!M214)</f>
        <v/>
      </c>
      <c r="M213" s="22"/>
      <c r="N213" s="21" t="str">
        <f>IF(Deployments!N214="","",Deployments!N214)</f>
        <v/>
      </c>
      <c r="O213" s="21" t="str">
        <f>IF(Deployments!O214="","",Deployments!O214)</f>
        <v/>
      </c>
      <c r="P213" s="21" t="str">
        <f>IF(Deployments!P214="","",Deployments!P214)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IF(Deployments!T214="","",Deployments!T214)</f>
        <v/>
      </c>
      <c r="AA213" s="21" t="str">
        <f>IF(Deployments!L214="","",Deployments!L214)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IF(Deployments!AH215="","",Deployments!AH215)</f>
        <v/>
      </c>
      <c r="E214" s="21" t="str">
        <f>IF(Deployments!I215="","",Deployments!I215)</f>
        <v/>
      </c>
      <c r="F214" s="21" t="str">
        <f>IF(Deployments!J215="","",Deployments!J215)</f>
        <v/>
      </c>
      <c r="G214" s="21" t="str">
        <f>IF(Deployments!K215="","",Deployments!K215)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IF(Deployments!AD215="","",Deployments!AD215)</f>
        <v/>
      </c>
      <c r="L214" s="21" t="str">
        <f>IF(Deployments!M215="","",Deployments!M215)</f>
        <v/>
      </c>
      <c r="M214" s="22"/>
      <c r="N214" s="21" t="str">
        <f>IF(Deployments!N215="","",Deployments!N215)</f>
        <v/>
      </c>
      <c r="O214" s="21" t="str">
        <f>IF(Deployments!O215="","",Deployments!O215)</f>
        <v/>
      </c>
      <c r="P214" s="21" t="str">
        <f>IF(Deployments!P215="","",Deployments!P215)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IF(Deployments!T215="","",Deployments!T215)</f>
        <v/>
      </c>
      <c r="AA214" s="21" t="str">
        <f>IF(Deployments!L215="","",Deployments!L215)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IF(Deployments!AH216="","",Deployments!AH216)</f>
        <v/>
      </c>
      <c r="E215" s="21" t="str">
        <f>IF(Deployments!I216="","",Deployments!I216)</f>
        <v/>
      </c>
      <c r="F215" s="21" t="str">
        <f>IF(Deployments!J216="","",Deployments!J216)</f>
        <v/>
      </c>
      <c r="G215" s="21" t="str">
        <f>IF(Deployments!K216="","",Deployments!K216)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IF(Deployments!AD216="","",Deployments!AD216)</f>
        <v/>
      </c>
      <c r="L215" s="21" t="str">
        <f>IF(Deployments!M216="","",Deployments!M216)</f>
        <v/>
      </c>
      <c r="M215" s="22"/>
      <c r="N215" s="21" t="str">
        <f>IF(Deployments!N216="","",Deployments!N216)</f>
        <v/>
      </c>
      <c r="O215" s="21" t="str">
        <f>IF(Deployments!O216="","",Deployments!O216)</f>
        <v/>
      </c>
      <c r="P215" s="21" t="str">
        <f>IF(Deployments!P216="","",Deployments!P216)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IF(Deployments!T216="","",Deployments!T216)</f>
        <v/>
      </c>
      <c r="AA215" s="21" t="str">
        <f>IF(Deployments!L216="","",Deployments!L216)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IF(Deployments!AH217="","",Deployments!AH217)</f>
        <v/>
      </c>
      <c r="E216" s="21" t="str">
        <f>IF(Deployments!I217="","",Deployments!I217)</f>
        <v/>
      </c>
      <c r="F216" s="21" t="str">
        <f>IF(Deployments!J217="","",Deployments!J217)</f>
        <v/>
      </c>
      <c r="G216" s="21" t="str">
        <f>IF(Deployments!K217="","",Deployments!K217)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IF(Deployments!AD217="","",Deployments!AD217)</f>
        <v/>
      </c>
      <c r="L216" s="21" t="str">
        <f>IF(Deployments!M217="","",Deployments!M217)</f>
        <v/>
      </c>
      <c r="M216" s="22"/>
      <c r="N216" s="21" t="str">
        <f>IF(Deployments!N217="","",Deployments!N217)</f>
        <v/>
      </c>
      <c r="O216" s="21" t="str">
        <f>IF(Deployments!O217="","",Deployments!O217)</f>
        <v/>
      </c>
      <c r="P216" s="21" t="str">
        <f>IF(Deployments!P217="","",Deployments!P217)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IF(Deployments!T217="","",Deployments!T217)</f>
        <v/>
      </c>
      <c r="AA216" s="21" t="str">
        <f>IF(Deployments!L217="","",Deployments!L217)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IF(Deployments!AH218="","",Deployments!AH218)</f>
        <v/>
      </c>
      <c r="E217" s="21" t="str">
        <f>IF(Deployments!I218="","",Deployments!I218)</f>
        <v/>
      </c>
      <c r="F217" s="21" t="str">
        <f>IF(Deployments!J218="","",Deployments!J218)</f>
        <v/>
      </c>
      <c r="G217" s="21" t="str">
        <f>IF(Deployments!K218="","",Deployments!K218)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IF(Deployments!AD218="","",Deployments!AD218)</f>
        <v/>
      </c>
      <c r="L217" s="21" t="str">
        <f>IF(Deployments!M218="","",Deployments!M218)</f>
        <v/>
      </c>
      <c r="M217" s="22"/>
      <c r="N217" s="21" t="str">
        <f>IF(Deployments!N218="","",Deployments!N218)</f>
        <v/>
      </c>
      <c r="O217" s="21" t="str">
        <f>IF(Deployments!O218="","",Deployments!O218)</f>
        <v/>
      </c>
      <c r="P217" s="21" t="str">
        <f>IF(Deployments!P218="","",Deployments!P218)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IF(Deployments!T218="","",Deployments!T218)</f>
        <v/>
      </c>
      <c r="AA217" s="21" t="str">
        <f>IF(Deployments!L218="","",Deployments!L218)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IF(Deployments!AH219="","",Deployments!AH219)</f>
        <v/>
      </c>
      <c r="E218" s="21" t="str">
        <f>IF(Deployments!I219="","",Deployments!I219)</f>
        <v/>
      </c>
      <c r="F218" s="21" t="str">
        <f>IF(Deployments!J219="","",Deployments!J219)</f>
        <v/>
      </c>
      <c r="G218" s="21" t="str">
        <f>IF(Deployments!K219="","",Deployments!K219)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IF(Deployments!AD219="","",Deployments!AD219)</f>
        <v/>
      </c>
      <c r="L218" s="21" t="str">
        <f>IF(Deployments!M219="","",Deployments!M219)</f>
        <v/>
      </c>
      <c r="M218" s="22"/>
      <c r="N218" s="21" t="str">
        <f>IF(Deployments!N219="","",Deployments!N219)</f>
        <v/>
      </c>
      <c r="O218" s="21" t="str">
        <f>IF(Deployments!O219="","",Deployments!O219)</f>
        <v/>
      </c>
      <c r="P218" s="21" t="str">
        <f>IF(Deployments!P219="","",Deployments!P219)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IF(Deployments!T219="","",Deployments!T219)</f>
        <v/>
      </c>
      <c r="AA218" s="21" t="str">
        <f>IF(Deployments!L219="","",Deployments!L219)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IF(Deployments!AH220="","",Deployments!AH220)</f>
        <v/>
      </c>
      <c r="E219" s="21" t="str">
        <f>IF(Deployments!I220="","",Deployments!I220)</f>
        <v/>
      </c>
      <c r="F219" s="21" t="str">
        <f>IF(Deployments!J220="","",Deployments!J220)</f>
        <v/>
      </c>
      <c r="G219" s="21" t="str">
        <f>IF(Deployments!K220="","",Deployments!K220)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IF(Deployments!AD220="","",Deployments!AD220)</f>
        <v/>
      </c>
      <c r="L219" s="21" t="str">
        <f>IF(Deployments!M220="","",Deployments!M220)</f>
        <v/>
      </c>
      <c r="M219" s="22"/>
      <c r="N219" s="21" t="str">
        <f>IF(Deployments!N220="","",Deployments!N220)</f>
        <v/>
      </c>
      <c r="O219" s="21" t="str">
        <f>IF(Deployments!O220="","",Deployments!O220)</f>
        <v/>
      </c>
      <c r="P219" s="21" t="str">
        <f>IF(Deployments!P220="","",Deployments!P220)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IF(Deployments!T220="","",Deployments!T220)</f>
        <v/>
      </c>
      <c r="AA219" s="21" t="str">
        <f>IF(Deployments!L220="","",Deployments!L220)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IF(Deployments!AH221="","",Deployments!AH221)</f>
        <v/>
      </c>
      <c r="E220" s="21" t="str">
        <f>IF(Deployments!I221="","",Deployments!I221)</f>
        <v/>
      </c>
      <c r="F220" s="21" t="str">
        <f>IF(Deployments!J221="","",Deployments!J221)</f>
        <v/>
      </c>
      <c r="G220" s="21" t="str">
        <f>IF(Deployments!K221="","",Deployments!K221)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IF(Deployments!AD221="","",Deployments!AD221)</f>
        <v/>
      </c>
      <c r="L220" s="21" t="str">
        <f>IF(Deployments!M221="","",Deployments!M221)</f>
        <v/>
      </c>
      <c r="M220" s="22"/>
      <c r="N220" s="21" t="str">
        <f>IF(Deployments!N221="","",Deployments!N221)</f>
        <v/>
      </c>
      <c r="O220" s="21" t="str">
        <f>IF(Deployments!O221="","",Deployments!O221)</f>
        <v/>
      </c>
      <c r="P220" s="21" t="str">
        <f>IF(Deployments!P221="","",Deployments!P221)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IF(Deployments!T221="","",Deployments!T221)</f>
        <v/>
      </c>
      <c r="AA220" s="21" t="str">
        <f>IF(Deployments!L221="","",Deployments!L221)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IF(Deployments!AH222="","",Deployments!AH222)</f>
        <v/>
      </c>
      <c r="E221" s="21" t="str">
        <f>IF(Deployments!I222="","",Deployments!I222)</f>
        <v/>
      </c>
      <c r="F221" s="21" t="str">
        <f>IF(Deployments!J222="","",Deployments!J222)</f>
        <v/>
      </c>
      <c r="G221" s="21" t="str">
        <f>IF(Deployments!K222="","",Deployments!K222)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IF(Deployments!AD222="","",Deployments!AD222)</f>
        <v/>
      </c>
      <c r="L221" s="21" t="str">
        <f>IF(Deployments!M222="","",Deployments!M222)</f>
        <v/>
      </c>
      <c r="M221" s="22"/>
      <c r="N221" s="21" t="str">
        <f>IF(Deployments!N222="","",Deployments!N222)</f>
        <v/>
      </c>
      <c r="O221" s="21" t="str">
        <f>IF(Deployments!O222="","",Deployments!O222)</f>
        <v/>
      </c>
      <c r="P221" s="21" t="str">
        <f>IF(Deployments!P222="","",Deployments!P222)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IF(Deployments!T222="","",Deployments!T222)</f>
        <v/>
      </c>
      <c r="AA221" s="21" t="str">
        <f>IF(Deployments!L222="","",Deployments!L222)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IF(Deployments!AH223="","",Deployments!AH223)</f>
        <v/>
      </c>
      <c r="E222" s="21" t="str">
        <f>IF(Deployments!I223="","",Deployments!I223)</f>
        <v/>
      </c>
      <c r="F222" s="21" t="str">
        <f>IF(Deployments!J223="","",Deployments!J223)</f>
        <v/>
      </c>
      <c r="G222" s="21" t="str">
        <f>IF(Deployments!K223="","",Deployments!K223)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IF(Deployments!AD223="","",Deployments!AD223)</f>
        <v/>
      </c>
      <c r="L222" s="21" t="str">
        <f>IF(Deployments!M223="","",Deployments!M223)</f>
        <v/>
      </c>
      <c r="M222" s="22"/>
      <c r="N222" s="21" t="str">
        <f>IF(Deployments!N223="","",Deployments!N223)</f>
        <v/>
      </c>
      <c r="O222" s="21" t="str">
        <f>IF(Deployments!O223="","",Deployments!O223)</f>
        <v/>
      </c>
      <c r="P222" s="21" t="str">
        <f>IF(Deployments!P223="","",Deployments!P223)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IF(Deployments!T223="","",Deployments!T223)</f>
        <v/>
      </c>
      <c r="AA222" s="21" t="str">
        <f>IF(Deployments!L223="","",Deployments!L223)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IF(Deployments!AH224="","",Deployments!AH224)</f>
        <v/>
      </c>
      <c r="E223" s="21" t="str">
        <f>IF(Deployments!I224="","",Deployments!I224)</f>
        <v/>
      </c>
      <c r="F223" s="21" t="str">
        <f>IF(Deployments!J224="","",Deployments!J224)</f>
        <v/>
      </c>
      <c r="G223" s="21" t="str">
        <f>IF(Deployments!K224="","",Deployments!K224)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IF(Deployments!AD224="","",Deployments!AD224)</f>
        <v/>
      </c>
      <c r="L223" s="21" t="str">
        <f>IF(Deployments!M224="","",Deployments!M224)</f>
        <v/>
      </c>
      <c r="M223" s="22"/>
      <c r="N223" s="21" t="str">
        <f>IF(Deployments!N224="","",Deployments!N224)</f>
        <v/>
      </c>
      <c r="O223" s="21" t="str">
        <f>IF(Deployments!O224="","",Deployments!O224)</f>
        <v/>
      </c>
      <c r="P223" s="21" t="str">
        <f>IF(Deployments!P224="","",Deployments!P224)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IF(Deployments!T224="","",Deployments!T224)</f>
        <v/>
      </c>
      <c r="AA223" s="21" t="str">
        <f>IF(Deployments!L224="","",Deployments!L224)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IF(Deployments!AH225="","",Deployments!AH225)</f>
        <v/>
      </c>
      <c r="E224" s="21" t="str">
        <f>IF(Deployments!I225="","",Deployments!I225)</f>
        <v/>
      </c>
      <c r="F224" s="21" t="str">
        <f>IF(Deployments!J225="","",Deployments!J225)</f>
        <v/>
      </c>
      <c r="G224" s="21" t="str">
        <f>IF(Deployments!K225="","",Deployments!K225)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IF(Deployments!AD225="","",Deployments!AD225)</f>
        <v/>
      </c>
      <c r="L224" s="21" t="str">
        <f>IF(Deployments!M225="","",Deployments!M225)</f>
        <v/>
      </c>
      <c r="M224" s="22"/>
      <c r="N224" s="21" t="str">
        <f>IF(Deployments!N225="","",Deployments!N225)</f>
        <v/>
      </c>
      <c r="O224" s="21" t="str">
        <f>IF(Deployments!O225="","",Deployments!O225)</f>
        <v/>
      </c>
      <c r="P224" s="21" t="str">
        <f>IF(Deployments!P225="","",Deployments!P225)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IF(Deployments!T225="","",Deployments!T225)</f>
        <v/>
      </c>
      <c r="AA224" s="21" t="str">
        <f>IF(Deployments!L225="","",Deployments!L225)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IF(Deployments!AH226="","",Deployments!AH226)</f>
        <v/>
      </c>
      <c r="E225" s="21" t="str">
        <f>IF(Deployments!I226="","",Deployments!I226)</f>
        <v/>
      </c>
      <c r="F225" s="21" t="str">
        <f>IF(Deployments!J226="","",Deployments!J226)</f>
        <v/>
      </c>
      <c r="G225" s="21" t="str">
        <f>IF(Deployments!K226="","",Deployments!K226)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IF(Deployments!AD226="","",Deployments!AD226)</f>
        <v/>
      </c>
      <c r="L225" s="21" t="str">
        <f>IF(Deployments!M226="","",Deployments!M226)</f>
        <v/>
      </c>
      <c r="M225" s="22"/>
      <c r="N225" s="21" t="str">
        <f>IF(Deployments!N226="","",Deployments!N226)</f>
        <v/>
      </c>
      <c r="O225" s="21" t="str">
        <f>IF(Deployments!O226="","",Deployments!O226)</f>
        <v/>
      </c>
      <c r="P225" s="21" t="str">
        <f>IF(Deployments!P226="","",Deployments!P226)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IF(Deployments!T226="","",Deployments!T226)</f>
        <v/>
      </c>
      <c r="AA225" s="21" t="str">
        <f>IF(Deployments!L226="","",Deployments!L226)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IF(Deployments!AH227="","",Deployments!AH227)</f>
        <v/>
      </c>
      <c r="E226" s="21" t="str">
        <f>IF(Deployments!I227="","",Deployments!I227)</f>
        <v/>
      </c>
      <c r="F226" s="21" t="str">
        <f>IF(Deployments!J227="","",Deployments!J227)</f>
        <v/>
      </c>
      <c r="G226" s="21" t="str">
        <f>IF(Deployments!K227="","",Deployments!K227)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IF(Deployments!AD227="","",Deployments!AD227)</f>
        <v/>
      </c>
      <c r="L226" s="21" t="str">
        <f>IF(Deployments!M227="","",Deployments!M227)</f>
        <v/>
      </c>
      <c r="M226" s="22"/>
      <c r="N226" s="21" t="str">
        <f>IF(Deployments!N227="","",Deployments!N227)</f>
        <v/>
      </c>
      <c r="O226" s="21" t="str">
        <f>IF(Deployments!O227="","",Deployments!O227)</f>
        <v/>
      </c>
      <c r="P226" s="21" t="str">
        <f>IF(Deployments!P227="","",Deployments!P227)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IF(Deployments!T227="","",Deployments!T227)</f>
        <v/>
      </c>
      <c r="AA226" s="21" t="str">
        <f>IF(Deployments!L227="","",Deployments!L227)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IF(Deployments!AH228="","",Deployments!AH228)</f>
        <v/>
      </c>
      <c r="E227" s="21" t="str">
        <f>IF(Deployments!I228="","",Deployments!I228)</f>
        <v/>
      </c>
      <c r="F227" s="21" t="str">
        <f>IF(Deployments!J228="","",Deployments!J228)</f>
        <v/>
      </c>
      <c r="G227" s="21" t="str">
        <f>IF(Deployments!K228="","",Deployments!K228)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IF(Deployments!AD228="","",Deployments!AD228)</f>
        <v/>
      </c>
      <c r="L227" s="21" t="str">
        <f>IF(Deployments!M228="","",Deployments!M228)</f>
        <v/>
      </c>
      <c r="M227" s="22"/>
      <c r="N227" s="21" t="str">
        <f>IF(Deployments!N228="","",Deployments!N228)</f>
        <v/>
      </c>
      <c r="O227" s="21" t="str">
        <f>IF(Deployments!O228="","",Deployments!O228)</f>
        <v/>
      </c>
      <c r="P227" s="21" t="str">
        <f>IF(Deployments!P228="","",Deployments!P228)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IF(Deployments!T228="","",Deployments!T228)</f>
        <v/>
      </c>
      <c r="AA227" s="21" t="str">
        <f>IF(Deployments!L228="","",Deployments!L228)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IF(Deployments!AH229="","",Deployments!AH229)</f>
        <v/>
      </c>
      <c r="E228" s="21" t="str">
        <f>IF(Deployments!I229="","",Deployments!I229)</f>
        <v/>
      </c>
      <c r="F228" s="21" t="str">
        <f>IF(Deployments!J229="","",Deployments!J229)</f>
        <v/>
      </c>
      <c r="G228" s="21" t="str">
        <f>IF(Deployments!K229="","",Deployments!K229)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IF(Deployments!AD229="","",Deployments!AD229)</f>
        <v/>
      </c>
      <c r="L228" s="21" t="str">
        <f>IF(Deployments!M229="","",Deployments!M229)</f>
        <v/>
      </c>
      <c r="M228" s="22"/>
      <c r="N228" s="21" t="str">
        <f>IF(Deployments!N229="","",Deployments!N229)</f>
        <v/>
      </c>
      <c r="O228" s="21" t="str">
        <f>IF(Deployments!O229="","",Deployments!O229)</f>
        <v/>
      </c>
      <c r="P228" s="21" t="str">
        <f>IF(Deployments!P229="","",Deployments!P229)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IF(Deployments!T229="","",Deployments!T229)</f>
        <v/>
      </c>
      <c r="AA228" s="21" t="str">
        <f>IF(Deployments!L229="","",Deployments!L229)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IF(Deployments!AH230="","",Deployments!AH230)</f>
        <v/>
      </c>
      <c r="E229" s="21" t="str">
        <f>IF(Deployments!I230="","",Deployments!I230)</f>
        <v/>
      </c>
      <c r="F229" s="21" t="str">
        <f>IF(Deployments!J230="","",Deployments!J230)</f>
        <v/>
      </c>
      <c r="G229" s="21" t="str">
        <f>IF(Deployments!K230="","",Deployments!K230)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IF(Deployments!AD230="","",Deployments!AD230)</f>
        <v/>
      </c>
      <c r="L229" s="21" t="str">
        <f>IF(Deployments!M230="","",Deployments!M230)</f>
        <v/>
      </c>
      <c r="M229" s="22"/>
      <c r="N229" s="21" t="str">
        <f>IF(Deployments!N230="","",Deployments!N230)</f>
        <v/>
      </c>
      <c r="O229" s="21" t="str">
        <f>IF(Deployments!O230="","",Deployments!O230)</f>
        <v/>
      </c>
      <c r="P229" s="21" t="str">
        <f>IF(Deployments!P230="","",Deployments!P230)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IF(Deployments!T230="","",Deployments!T230)</f>
        <v/>
      </c>
      <c r="AA229" s="21" t="str">
        <f>IF(Deployments!L230="","",Deployments!L230)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IF(Deployments!AH231="","",Deployments!AH231)</f>
        <v/>
      </c>
      <c r="E230" s="21" t="str">
        <f>IF(Deployments!I231="","",Deployments!I231)</f>
        <v/>
      </c>
      <c r="F230" s="21" t="str">
        <f>IF(Deployments!J231="","",Deployments!J231)</f>
        <v/>
      </c>
      <c r="G230" s="21" t="str">
        <f>IF(Deployments!K231="","",Deployments!K231)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IF(Deployments!AD231="","",Deployments!AD231)</f>
        <v/>
      </c>
      <c r="L230" s="21" t="str">
        <f>IF(Deployments!M231="","",Deployments!M231)</f>
        <v/>
      </c>
      <c r="M230" s="22"/>
      <c r="N230" s="21" t="str">
        <f>IF(Deployments!N231="","",Deployments!N231)</f>
        <v/>
      </c>
      <c r="O230" s="21" t="str">
        <f>IF(Deployments!O231="","",Deployments!O231)</f>
        <v/>
      </c>
      <c r="P230" s="21" t="str">
        <f>IF(Deployments!P231="","",Deployments!P231)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IF(Deployments!T231="","",Deployments!T231)</f>
        <v/>
      </c>
      <c r="AA230" s="21" t="str">
        <f>IF(Deployments!L231="","",Deployments!L231)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IF(Deployments!AH232="","",Deployments!AH232)</f>
        <v/>
      </c>
      <c r="E231" s="21" t="str">
        <f>IF(Deployments!I232="","",Deployments!I232)</f>
        <v/>
      </c>
      <c r="F231" s="21" t="str">
        <f>IF(Deployments!J232="","",Deployments!J232)</f>
        <v/>
      </c>
      <c r="G231" s="21" t="str">
        <f>IF(Deployments!K232="","",Deployments!K232)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IF(Deployments!AD232="","",Deployments!AD232)</f>
        <v/>
      </c>
      <c r="L231" s="21" t="str">
        <f>IF(Deployments!M232="","",Deployments!M232)</f>
        <v/>
      </c>
      <c r="M231" s="22"/>
      <c r="N231" s="21" t="str">
        <f>IF(Deployments!N232="","",Deployments!N232)</f>
        <v/>
      </c>
      <c r="O231" s="21" t="str">
        <f>IF(Deployments!O232="","",Deployments!O232)</f>
        <v/>
      </c>
      <c r="P231" s="21" t="str">
        <f>IF(Deployments!P232="","",Deployments!P232)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IF(Deployments!T232="","",Deployments!T232)</f>
        <v/>
      </c>
      <c r="AA231" s="21" t="str">
        <f>IF(Deployments!L232="","",Deployments!L232)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IF(Deployments!AH233="","",Deployments!AH233)</f>
        <v/>
      </c>
      <c r="E232" s="21" t="str">
        <f>IF(Deployments!I233="","",Deployments!I233)</f>
        <v/>
      </c>
      <c r="F232" s="21" t="str">
        <f>IF(Deployments!J233="","",Deployments!J233)</f>
        <v/>
      </c>
      <c r="G232" s="21" t="str">
        <f>IF(Deployments!K233="","",Deployments!K233)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IF(Deployments!AD233="","",Deployments!AD233)</f>
        <v/>
      </c>
      <c r="L232" s="21" t="str">
        <f>IF(Deployments!M233="","",Deployments!M233)</f>
        <v/>
      </c>
      <c r="M232" s="22"/>
      <c r="N232" s="21" t="str">
        <f>IF(Deployments!N233="","",Deployments!N233)</f>
        <v/>
      </c>
      <c r="O232" s="21" t="str">
        <f>IF(Deployments!O233="","",Deployments!O233)</f>
        <v/>
      </c>
      <c r="P232" s="21" t="str">
        <f>IF(Deployments!P233="","",Deployments!P233)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IF(Deployments!T233="","",Deployments!T233)</f>
        <v/>
      </c>
      <c r="AA232" s="21" t="str">
        <f>IF(Deployments!L233="","",Deployments!L233)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IF(Deployments!AH234="","",Deployments!AH234)</f>
        <v/>
      </c>
      <c r="E233" s="21" t="str">
        <f>IF(Deployments!I234="","",Deployments!I234)</f>
        <v/>
      </c>
      <c r="F233" s="21" t="str">
        <f>IF(Deployments!J234="","",Deployments!J234)</f>
        <v/>
      </c>
      <c r="G233" s="21" t="str">
        <f>IF(Deployments!K234="","",Deployments!K234)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IF(Deployments!AD234="","",Deployments!AD234)</f>
        <v/>
      </c>
      <c r="L233" s="21" t="str">
        <f>IF(Deployments!M234="","",Deployments!M234)</f>
        <v/>
      </c>
      <c r="M233" s="22"/>
      <c r="N233" s="21" t="str">
        <f>IF(Deployments!N234="","",Deployments!N234)</f>
        <v/>
      </c>
      <c r="O233" s="21" t="str">
        <f>IF(Deployments!O234="","",Deployments!O234)</f>
        <v/>
      </c>
      <c r="P233" s="21" t="str">
        <f>IF(Deployments!P234="","",Deployments!P234)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IF(Deployments!T234="","",Deployments!T234)</f>
        <v/>
      </c>
      <c r="AA233" s="21" t="str">
        <f>IF(Deployments!L234="","",Deployments!L234)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IF(Deployments!AH235="","",Deployments!AH235)</f>
        <v/>
      </c>
      <c r="E234" s="21" t="str">
        <f>IF(Deployments!I235="","",Deployments!I235)</f>
        <v/>
      </c>
      <c r="F234" s="21" t="str">
        <f>IF(Deployments!J235="","",Deployments!J235)</f>
        <v/>
      </c>
      <c r="G234" s="21" t="str">
        <f>IF(Deployments!K235="","",Deployments!K235)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IF(Deployments!AD235="","",Deployments!AD235)</f>
        <v/>
      </c>
      <c r="L234" s="21" t="str">
        <f>IF(Deployments!M235="","",Deployments!M235)</f>
        <v/>
      </c>
      <c r="M234" s="22"/>
      <c r="N234" s="21" t="str">
        <f>IF(Deployments!N235="","",Deployments!N235)</f>
        <v/>
      </c>
      <c r="O234" s="21" t="str">
        <f>IF(Deployments!O235="","",Deployments!O235)</f>
        <v/>
      </c>
      <c r="P234" s="21" t="str">
        <f>IF(Deployments!P235="","",Deployments!P235)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IF(Deployments!T235="","",Deployments!T235)</f>
        <v/>
      </c>
      <c r="AA234" s="21" t="str">
        <f>IF(Deployments!L235="","",Deployments!L235)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IF(Deployments!AH236="","",Deployments!AH236)</f>
        <v/>
      </c>
      <c r="E235" s="21" t="str">
        <f>IF(Deployments!I236="","",Deployments!I236)</f>
        <v/>
      </c>
      <c r="F235" s="21" t="str">
        <f>IF(Deployments!J236="","",Deployments!J236)</f>
        <v/>
      </c>
      <c r="G235" s="21" t="str">
        <f>IF(Deployments!K236="","",Deployments!K236)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IF(Deployments!AD236="","",Deployments!AD236)</f>
        <v/>
      </c>
      <c r="L235" s="21" t="str">
        <f>IF(Deployments!M236="","",Deployments!M236)</f>
        <v/>
      </c>
      <c r="M235" s="22"/>
      <c r="N235" s="21" t="str">
        <f>IF(Deployments!N236="","",Deployments!N236)</f>
        <v/>
      </c>
      <c r="O235" s="21" t="str">
        <f>IF(Deployments!O236="","",Deployments!O236)</f>
        <v/>
      </c>
      <c r="P235" s="21" t="str">
        <f>IF(Deployments!P236="","",Deployments!P236)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IF(Deployments!T236="","",Deployments!T236)</f>
        <v/>
      </c>
      <c r="AA235" s="21" t="str">
        <f>IF(Deployments!L236="","",Deployments!L236)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IF(Deployments!AH237="","",Deployments!AH237)</f>
        <v/>
      </c>
      <c r="E236" s="21" t="str">
        <f>IF(Deployments!I237="","",Deployments!I237)</f>
        <v/>
      </c>
      <c r="F236" s="21" t="str">
        <f>IF(Deployments!J237="","",Deployments!J237)</f>
        <v/>
      </c>
      <c r="G236" s="21" t="str">
        <f>IF(Deployments!K237="","",Deployments!K237)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IF(Deployments!AD237="","",Deployments!AD237)</f>
        <v/>
      </c>
      <c r="L236" s="21" t="str">
        <f>IF(Deployments!M237="","",Deployments!M237)</f>
        <v/>
      </c>
      <c r="M236" s="22"/>
      <c r="N236" s="21" t="str">
        <f>IF(Deployments!N237="","",Deployments!N237)</f>
        <v/>
      </c>
      <c r="O236" s="21" t="str">
        <f>IF(Deployments!O237="","",Deployments!O237)</f>
        <v/>
      </c>
      <c r="P236" s="21" t="str">
        <f>IF(Deployments!P237="","",Deployments!P237)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IF(Deployments!T237="","",Deployments!T237)</f>
        <v/>
      </c>
      <c r="AA236" s="21" t="str">
        <f>IF(Deployments!L237="","",Deployments!L237)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IF(Deployments!AH238="","",Deployments!AH238)</f>
        <v/>
      </c>
      <c r="E237" s="21" t="str">
        <f>IF(Deployments!I238="","",Deployments!I238)</f>
        <v/>
      </c>
      <c r="F237" s="21" t="str">
        <f>IF(Deployments!J238="","",Deployments!J238)</f>
        <v/>
      </c>
      <c r="G237" s="21" t="str">
        <f>IF(Deployments!K238="","",Deployments!K238)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IF(Deployments!AD238="","",Deployments!AD238)</f>
        <v/>
      </c>
      <c r="L237" s="21" t="str">
        <f>IF(Deployments!M238="","",Deployments!M238)</f>
        <v/>
      </c>
      <c r="M237" s="22"/>
      <c r="N237" s="21" t="str">
        <f>IF(Deployments!N238="","",Deployments!N238)</f>
        <v/>
      </c>
      <c r="O237" s="21" t="str">
        <f>IF(Deployments!O238="","",Deployments!O238)</f>
        <v/>
      </c>
      <c r="P237" s="21" t="str">
        <f>IF(Deployments!P238="","",Deployments!P238)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IF(Deployments!T238="","",Deployments!T238)</f>
        <v/>
      </c>
      <c r="AA237" s="21" t="str">
        <f>IF(Deployments!L238="","",Deployments!L238)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IF(Deployments!AH239="","",Deployments!AH239)</f>
        <v/>
      </c>
      <c r="E238" s="21" t="str">
        <f>IF(Deployments!I239="","",Deployments!I239)</f>
        <v/>
      </c>
      <c r="F238" s="21" t="str">
        <f>IF(Deployments!J239="","",Deployments!J239)</f>
        <v/>
      </c>
      <c r="G238" s="21" t="str">
        <f>IF(Deployments!K239="","",Deployments!K239)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IF(Deployments!AD239="","",Deployments!AD239)</f>
        <v/>
      </c>
      <c r="L238" s="21" t="str">
        <f>IF(Deployments!M239="","",Deployments!M239)</f>
        <v/>
      </c>
      <c r="M238" s="22"/>
      <c r="N238" s="21" t="str">
        <f>IF(Deployments!N239="","",Deployments!N239)</f>
        <v/>
      </c>
      <c r="O238" s="21" t="str">
        <f>IF(Deployments!O239="","",Deployments!O239)</f>
        <v/>
      </c>
      <c r="P238" s="21" t="str">
        <f>IF(Deployments!P239="","",Deployments!P239)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IF(Deployments!T239="","",Deployments!T239)</f>
        <v/>
      </c>
      <c r="AA238" s="21" t="str">
        <f>IF(Deployments!L239="","",Deployments!L239)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IF(Deployments!AH240="","",Deployments!AH240)</f>
        <v/>
      </c>
      <c r="E239" s="21" t="str">
        <f>IF(Deployments!I240="","",Deployments!I240)</f>
        <v/>
      </c>
      <c r="F239" s="21" t="str">
        <f>IF(Deployments!J240="","",Deployments!J240)</f>
        <v/>
      </c>
      <c r="G239" s="21" t="str">
        <f>IF(Deployments!K240="","",Deployments!K240)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IF(Deployments!AD240="","",Deployments!AD240)</f>
        <v/>
      </c>
      <c r="L239" s="21" t="str">
        <f>IF(Deployments!M240="","",Deployments!M240)</f>
        <v/>
      </c>
      <c r="M239" s="22"/>
      <c r="N239" s="21" t="str">
        <f>IF(Deployments!N240="","",Deployments!N240)</f>
        <v/>
      </c>
      <c r="O239" s="21" t="str">
        <f>IF(Deployments!O240="","",Deployments!O240)</f>
        <v/>
      </c>
      <c r="P239" s="21" t="str">
        <f>IF(Deployments!P240="","",Deployments!P240)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IF(Deployments!T240="","",Deployments!T240)</f>
        <v/>
      </c>
      <c r="AA239" s="21" t="str">
        <f>IF(Deployments!L240="","",Deployments!L240)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IF(Deployments!AH241="","",Deployments!AH241)</f>
        <v/>
      </c>
      <c r="E240" s="21" t="str">
        <f>IF(Deployments!I241="","",Deployments!I241)</f>
        <v/>
      </c>
      <c r="F240" s="21" t="str">
        <f>IF(Deployments!J241="","",Deployments!J241)</f>
        <v/>
      </c>
      <c r="G240" s="21" t="str">
        <f>IF(Deployments!K241="","",Deployments!K241)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IF(Deployments!AD241="","",Deployments!AD241)</f>
        <v/>
      </c>
      <c r="L240" s="21" t="str">
        <f>IF(Deployments!M241="","",Deployments!M241)</f>
        <v/>
      </c>
      <c r="M240" s="22"/>
      <c r="N240" s="21" t="str">
        <f>IF(Deployments!N241="","",Deployments!N241)</f>
        <v/>
      </c>
      <c r="O240" s="21" t="str">
        <f>IF(Deployments!O241="","",Deployments!O241)</f>
        <v/>
      </c>
      <c r="P240" s="21" t="str">
        <f>IF(Deployments!P241="","",Deployments!P241)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IF(Deployments!T241="","",Deployments!T241)</f>
        <v/>
      </c>
      <c r="AA240" s="21" t="str">
        <f>IF(Deployments!L241="","",Deployments!L241)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IF(Deployments!AH242="","",Deployments!AH242)</f>
        <v/>
      </c>
      <c r="E241" s="21" t="str">
        <f>IF(Deployments!I242="","",Deployments!I242)</f>
        <v/>
      </c>
      <c r="F241" s="21" t="str">
        <f>IF(Deployments!J242="","",Deployments!J242)</f>
        <v/>
      </c>
      <c r="G241" s="21" t="str">
        <f>IF(Deployments!K242="","",Deployments!K242)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IF(Deployments!AD242="","",Deployments!AD242)</f>
        <v/>
      </c>
      <c r="L241" s="21" t="str">
        <f>IF(Deployments!M242="","",Deployments!M242)</f>
        <v/>
      </c>
      <c r="M241" s="22"/>
      <c r="N241" s="21" t="str">
        <f>IF(Deployments!N242="","",Deployments!N242)</f>
        <v/>
      </c>
      <c r="O241" s="21" t="str">
        <f>IF(Deployments!O242="","",Deployments!O242)</f>
        <v/>
      </c>
      <c r="P241" s="21" t="str">
        <f>IF(Deployments!P242="","",Deployments!P242)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IF(Deployments!T242="","",Deployments!T242)</f>
        <v/>
      </c>
      <c r="AA241" s="21" t="str">
        <f>IF(Deployments!L242="","",Deployments!L242)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IF(Deployments!AH243="","",Deployments!AH243)</f>
        <v/>
      </c>
      <c r="E242" s="21" t="str">
        <f>IF(Deployments!I243="","",Deployments!I243)</f>
        <v/>
      </c>
      <c r="F242" s="21" t="str">
        <f>IF(Deployments!J243="","",Deployments!J243)</f>
        <v/>
      </c>
      <c r="G242" s="21" t="str">
        <f>IF(Deployments!K243="","",Deployments!K243)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IF(Deployments!AD243="","",Deployments!AD243)</f>
        <v/>
      </c>
      <c r="L242" s="21" t="str">
        <f>IF(Deployments!M243="","",Deployments!M243)</f>
        <v/>
      </c>
      <c r="M242" s="22"/>
      <c r="N242" s="21" t="str">
        <f>IF(Deployments!N243="","",Deployments!N243)</f>
        <v/>
      </c>
      <c r="O242" s="21" t="str">
        <f>IF(Deployments!O243="","",Deployments!O243)</f>
        <v/>
      </c>
      <c r="P242" s="21" t="str">
        <f>IF(Deployments!P243="","",Deployments!P243)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IF(Deployments!T243="","",Deployments!T243)</f>
        <v/>
      </c>
      <c r="AA242" s="21" t="str">
        <f>IF(Deployments!L243="","",Deployments!L243)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IF(Deployments!AH244="","",Deployments!AH244)</f>
        <v/>
      </c>
      <c r="E243" s="21" t="str">
        <f>IF(Deployments!I244="","",Deployments!I244)</f>
        <v/>
      </c>
      <c r="F243" s="21" t="str">
        <f>IF(Deployments!J244="","",Deployments!J244)</f>
        <v/>
      </c>
      <c r="G243" s="21" t="str">
        <f>IF(Deployments!K244="","",Deployments!K244)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IF(Deployments!AD244="","",Deployments!AD244)</f>
        <v/>
      </c>
      <c r="L243" s="21" t="str">
        <f>IF(Deployments!M244="","",Deployments!M244)</f>
        <v/>
      </c>
      <c r="M243" s="22"/>
      <c r="N243" s="21" t="str">
        <f>IF(Deployments!N244="","",Deployments!N244)</f>
        <v/>
      </c>
      <c r="O243" s="21" t="str">
        <f>IF(Deployments!O244="","",Deployments!O244)</f>
        <v/>
      </c>
      <c r="P243" s="21" t="str">
        <f>IF(Deployments!P244="","",Deployments!P244)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IF(Deployments!T244="","",Deployments!T244)</f>
        <v/>
      </c>
      <c r="AA243" s="21" t="str">
        <f>IF(Deployments!L244="","",Deployments!L244)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IF(Deployments!AH245="","",Deployments!AH245)</f>
        <v/>
      </c>
      <c r="E244" s="21" t="str">
        <f>IF(Deployments!I245="","",Deployments!I245)</f>
        <v/>
      </c>
      <c r="F244" s="21" t="str">
        <f>IF(Deployments!J245="","",Deployments!J245)</f>
        <v/>
      </c>
      <c r="G244" s="21" t="str">
        <f>IF(Deployments!K245="","",Deployments!K245)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IF(Deployments!AD245="","",Deployments!AD245)</f>
        <v/>
      </c>
      <c r="L244" s="21" t="str">
        <f>IF(Deployments!M245="","",Deployments!M245)</f>
        <v/>
      </c>
      <c r="M244" s="22"/>
      <c r="N244" s="21" t="str">
        <f>IF(Deployments!N245="","",Deployments!N245)</f>
        <v/>
      </c>
      <c r="O244" s="21" t="str">
        <f>IF(Deployments!O245="","",Deployments!O245)</f>
        <v/>
      </c>
      <c r="P244" s="21" t="str">
        <f>IF(Deployments!P245="","",Deployments!P245)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IF(Deployments!T245="","",Deployments!T245)</f>
        <v/>
      </c>
      <c r="AA244" s="21" t="str">
        <f>IF(Deployments!L245="","",Deployments!L245)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IF(Deployments!AH246="","",Deployments!AH246)</f>
        <v/>
      </c>
      <c r="E245" s="21" t="str">
        <f>IF(Deployments!I246="","",Deployments!I246)</f>
        <v/>
      </c>
      <c r="F245" s="21" t="str">
        <f>IF(Deployments!J246="","",Deployments!J246)</f>
        <v/>
      </c>
      <c r="G245" s="21" t="str">
        <f>IF(Deployments!K246="","",Deployments!K246)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IF(Deployments!AD246="","",Deployments!AD246)</f>
        <v/>
      </c>
      <c r="L245" s="21" t="str">
        <f>IF(Deployments!M246="","",Deployments!M246)</f>
        <v/>
      </c>
      <c r="M245" s="22"/>
      <c r="N245" s="21" t="str">
        <f>IF(Deployments!N246="","",Deployments!N246)</f>
        <v/>
      </c>
      <c r="O245" s="21" t="str">
        <f>IF(Deployments!O246="","",Deployments!O246)</f>
        <v/>
      </c>
      <c r="P245" s="21" t="str">
        <f>IF(Deployments!P246="","",Deployments!P246)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IF(Deployments!T246="","",Deployments!T246)</f>
        <v/>
      </c>
      <c r="AA245" s="21" t="str">
        <f>IF(Deployments!L246="","",Deployments!L246)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IF(Deployments!AH247="","",Deployments!AH247)</f>
        <v/>
      </c>
      <c r="E246" s="21" t="str">
        <f>IF(Deployments!I247="","",Deployments!I247)</f>
        <v/>
      </c>
      <c r="F246" s="21" t="str">
        <f>IF(Deployments!J247="","",Deployments!J247)</f>
        <v/>
      </c>
      <c r="G246" s="21" t="str">
        <f>IF(Deployments!K247="","",Deployments!K247)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IF(Deployments!AD247="","",Deployments!AD247)</f>
        <v/>
      </c>
      <c r="L246" s="21" t="str">
        <f>IF(Deployments!M247="","",Deployments!M247)</f>
        <v/>
      </c>
      <c r="M246" s="22"/>
      <c r="N246" s="21" t="str">
        <f>IF(Deployments!N247="","",Deployments!N247)</f>
        <v/>
      </c>
      <c r="O246" s="21" t="str">
        <f>IF(Deployments!O247="","",Deployments!O247)</f>
        <v/>
      </c>
      <c r="P246" s="21" t="str">
        <f>IF(Deployments!P247="","",Deployments!P247)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IF(Deployments!T247="","",Deployments!T247)</f>
        <v/>
      </c>
      <c r="AA246" s="21" t="str">
        <f>IF(Deployments!L247="","",Deployments!L247)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IF(Deployments!AH248="","",Deployments!AH248)</f>
        <v/>
      </c>
      <c r="E247" s="21" t="str">
        <f>IF(Deployments!I248="","",Deployments!I248)</f>
        <v/>
      </c>
      <c r="F247" s="21" t="str">
        <f>IF(Deployments!J248="","",Deployments!J248)</f>
        <v/>
      </c>
      <c r="G247" s="21" t="str">
        <f>IF(Deployments!K248="","",Deployments!K248)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IF(Deployments!AD248="","",Deployments!AD248)</f>
        <v/>
      </c>
      <c r="L247" s="21" t="str">
        <f>IF(Deployments!M248="","",Deployments!M248)</f>
        <v/>
      </c>
      <c r="M247" s="22"/>
      <c r="N247" s="21" t="str">
        <f>IF(Deployments!N248="","",Deployments!N248)</f>
        <v/>
      </c>
      <c r="O247" s="21" t="str">
        <f>IF(Deployments!O248="","",Deployments!O248)</f>
        <v/>
      </c>
      <c r="P247" s="21" t="str">
        <f>IF(Deployments!P248="","",Deployments!P248)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IF(Deployments!T248="","",Deployments!T248)</f>
        <v/>
      </c>
      <c r="AA247" s="21" t="str">
        <f>IF(Deployments!L248="","",Deployments!L248)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IF(Deployments!AH249="","",Deployments!AH249)</f>
        <v/>
      </c>
      <c r="E248" s="21" t="str">
        <f>IF(Deployments!I249="","",Deployments!I249)</f>
        <v/>
      </c>
      <c r="F248" s="21" t="str">
        <f>IF(Deployments!J249="","",Deployments!J249)</f>
        <v/>
      </c>
      <c r="G248" s="21" t="str">
        <f>IF(Deployments!K249="","",Deployments!K249)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IF(Deployments!AD249="","",Deployments!AD249)</f>
        <v/>
      </c>
      <c r="L248" s="21" t="str">
        <f>IF(Deployments!M249="","",Deployments!M249)</f>
        <v/>
      </c>
      <c r="M248" s="22"/>
      <c r="N248" s="21" t="str">
        <f>IF(Deployments!N249="","",Deployments!N249)</f>
        <v/>
      </c>
      <c r="O248" s="21" t="str">
        <f>IF(Deployments!O249="","",Deployments!O249)</f>
        <v/>
      </c>
      <c r="P248" s="21" t="str">
        <f>IF(Deployments!P249="","",Deployments!P249)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IF(Deployments!T249="","",Deployments!T249)</f>
        <v/>
      </c>
      <c r="AA248" s="21" t="str">
        <f>IF(Deployments!L249="","",Deployments!L249)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IF(Deployments!AH250="","",Deployments!AH250)</f>
        <v/>
      </c>
      <c r="E249" s="21" t="str">
        <f>IF(Deployments!I250="","",Deployments!I250)</f>
        <v/>
      </c>
      <c r="F249" s="21" t="str">
        <f>IF(Deployments!J250="","",Deployments!J250)</f>
        <v/>
      </c>
      <c r="G249" s="21" t="str">
        <f>IF(Deployments!K250="","",Deployments!K250)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IF(Deployments!AD250="","",Deployments!AD250)</f>
        <v/>
      </c>
      <c r="L249" s="21" t="str">
        <f>IF(Deployments!M250="","",Deployments!M250)</f>
        <v/>
      </c>
      <c r="M249" s="22"/>
      <c r="N249" s="21" t="str">
        <f>IF(Deployments!N250="","",Deployments!N250)</f>
        <v/>
      </c>
      <c r="O249" s="21" t="str">
        <f>IF(Deployments!O250="","",Deployments!O250)</f>
        <v/>
      </c>
      <c r="P249" s="21" t="str">
        <f>IF(Deployments!P250="","",Deployments!P250)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IF(Deployments!T250="","",Deployments!T250)</f>
        <v/>
      </c>
      <c r="AA249" s="21" t="str">
        <f>IF(Deployments!L250="","",Deployments!L250)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IF(Deployments!AH251="","",Deployments!AH251)</f>
        <v/>
      </c>
      <c r="E250" s="21" t="str">
        <f>IF(Deployments!I251="","",Deployments!I251)</f>
        <v/>
      </c>
      <c r="F250" s="21" t="str">
        <f>IF(Deployments!J251="","",Deployments!J251)</f>
        <v/>
      </c>
      <c r="G250" s="21" t="str">
        <f>IF(Deployments!K251="","",Deployments!K251)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IF(Deployments!AD251="","",Deployments!AD251)</f>
        <v/>
      </c>
      <c r="L250" s="21" t="str">
        <f>IF(Deployments!M251="","",Deployments!M251)</f>
        <v/>
      </c>
      <c r="M250" s="22"/>
      <c r="N250" s="21" t="str">
        <f>IF(Deployments!N251="","",Deployments!N251)</f>
        <v/>
      </c>
      <c r="O250" s="21" t="str">
        <f>IF(Deployments!O251="","",Deployments!O251)</f>
        <v/>
      </c>
      <c r="P250" s="21" t="str">
        <f>IF(Deployments!P251="","",Deployments!P251)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IF(Deployments!T251="","",Deployments!T251)</f>
        <v/>
      </c>
      <c r="AA250" s="21" t="str">
        <f>IF(Deployments!L251="","",Deployments!L251)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IF(Deployments!AH252="","",Deployments!AH252)</f>
        <v/>
      </c>
      <c r="E251" s="21" t="str">
        <f>IF(Deployments!I252="","",Deployments!I252)</f>
        <v/>
      </c>
      <c r="F251" s="21" t="str">
        <f>IF(Deployments!J252="","",Deployments!J252)</f>
        <v/>
      </c>
      <c r="G251" s="21" t="str">
        <f>IF(Deployments!K252="","",Deployments!K252)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IF(Deployments!AD252="","",Deployments!AD252)</f>
        <v/>
      </c>
      <c r="L251" s="21" t="str">
        <f>IF(Deployments!M252="","",Deployments!M252)</f>
        <v/>
      </c>
      <c r="M251" s="22"/>
      <c r="N251" s="21" t="str">
        <f>IF(Deployments!N252="","",Deployments!N252)</f>
        <v/>
      </c>
      <c r="O251" s="21" t="str">
        <f>IF(Deployments!O252="","",Deployments!O252)</f>
        <v/>
      </c>
      <c r="P251" s="21" t="str">
        <f>IF(Deployments!P252="","",Deployments!P252)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IF(Deployments!T252="","",Deployments!T252)</f>
        <v/>
      </c>
      <c r="AA251" s="21" t="str">
        <f>IF(Deployments!L252="","",Deployments!L252)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IF(Deployments!AH253="","",Deployments!AH253)</f>
        <v/>
      </c>
      <c r="E252" s="21" t="str">
        <f>IF(Deployments!I253="","",Deployments!I253)</f>
        <v/>
      </c>
      <c r="F252" s="21" t="str">
        <f>IF(Deployments!J253="","",Deployments!J253)</f>
        <v/>
      </c>
      <c r="G252" s="21" t="str">
        <f>IF(Deployments!K253="","",Deployments!K253)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IF(Deployments!AD253="","",Deployments!AD253)</f>
        <v/>
      </c>
      <c r="L252" s="21" t="str">
        <f>IF(Deployments!M253="","",Deployments!M253)</f>
        <v/>
      </c>
      <c r="M252" s="22"/>
      <c r="N252" s="21" t="str">
        <f>IF(Deployments!N253="","",Deployments!N253)</f>
        <v/>
      </c>
      <c r="O252" s="21" t="str">
        <f>IF(Deployments!O253="","",Deployments!O253)</f>
        <v/>
      </c>
      <c r="P252" s="21" t="str">
        <f>IF(Deployments!P253="","",Deployments!P253)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IF(Deployments!T253="","",Deployments!T253)</f>
        <v/>
      </c>
      <c r="AA252" s="21" t="str">
        <f>IF(Deployments!L253="","",Deployments!L253)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IF(Deployments!AH254="","",Deployments!AH254)</f>
        <v/>
      </c>
      <c r="E253" s="21" t="str">
        <f>IF(Deployments!I254="","",Deployments!I254)</f>
        <v/>
      </c>
      <c r="F253" s="21" t="str">
        <f>IF(Deployments!J254="","",Deployments!J254)</f>
        <v/>
      </c>
      <c r="G253" s="21" t="str">
        <f>IF(Deployments!K254="","",Deployments!K254)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IF(Deployments!AD254="","",Deployments!AD254)</f>
        <v/>
      </c>
      <c r="L253" s="21" t="str">
        <f>IF(Deployments!M254="","",Deployments!M254)</f>
        <v/>
      </c>
      <c r="M253" s="22"/>
      <c r="N253" s="21" t="str">
        <f>IF(Deployments!N254="","",Deployments!N254)</f>
        <v/>
      </c>
      <c r="O253" s="21" t="str">
        <f>IF(Deployments!O254="","",Deployments!O254)</f>
        <v/>
      </c>
      <c r="P253" s="21" t="str">
        <f>IF(Deployments!P254="","",Deployments!P254)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IF(Deployments!T254="","",Deployments!T254)</f>
        <v/>
      </c>
      <c r="AA253" s="21" t="str">
        <f>IF(Deployments!L254="","",Deployments!L254)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IF(Deployments!AH255="","",Deployments!AH255)</f>
        <v/>
      </c>
      <c r="E254" s="21" t="str">
        <f>IF(Deployments!I255="","",Deployments!I255)</f>
        <v/>
      </c>
      <c r="F254" s="21" t="str">
        <f>IF(Deployments!J255="","",Deployments!J255)</f>
        <v/>
      </c>
      <c r="G254" s="21" t="str">
        <f>IF(Deployments!K255="","",Deployments!K255)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IF(Deployments!AD255="","",Deployments!AD255)</f>
        <v/>
      </c>
      <c r="L254" s="21" t="str">
        <f>IF(Deployments!M255="","",Deployments!M255)</f>
        <v/>
      </c>
      <c r="M254" s="22"/>
      <c r="N254" s="21" t="str">
        <f>IF(Deployments!N255="","",Deployments!N255)</f>
        <v/>
      </c>
      <c r="O254" s="21" t="str">
        <f>IF(Deployments!O255="","",Deployments!O255)</f>
        <v/>
      </c>
      <c r="P254" s="21" t="str">
        <f>IF(Deployments!P255="","",Deployments!P255)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IF(Deployments!T255="","",Deployments!T255)</f>
        <v/>
      </c>
      <c r="AA254" s="21" t="str">
        <f>IF(Deployments!L255="","",Deployments!L255)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IF(Deployments!AH256="","",Deployments!AH256)</f>
        <v/>
      </c>
      <c r="E255" s="21" t="str">
        <f>IF(Deployments!I256="","",Deployments!I256)</f>
        <v/>
      </c>
      <c r="F255" s="21" t="str">
        <f>IF(Deployments!J256="","",Deployments!J256)</f>
        <v/>
      </c>
      <c r="G255" s="21" t="str">
        <f>IF(Deployments!K256="","",Deployments!K256)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IF(Deployments!AD256="","",Deployments!AD256)</f>
        <v/>
      </c>
      <c r="L255" s="21" t="str">
        <f>IF(Deployments!M256="","",Deployments!M256)</f>
        <v/>
      </c>
      <c r="M255" s="22"/>
      <c r="N255" s="21" t="str">
        <f>IF(Deployments!N256="","",Deployments!N256)</f>
        <v/>
      </c>
      <c r="O255" s="21" t="str">
        <f>IF(Deployments!O256="","",Deployments!O256)</f>
        <v/>
      </c>
      <c r="P255" s="21" t="str">
        <f>IF(Deployments!P256="","",Deployments!P256)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IF(Deployments!T256="","",Deployments!T256)</f>
        <v/>
      </c>
      <c r="AA255" s="21" t="str">
        <f>IF(Deployments!L256="","",Deployments!L256)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IF(Deployments!AH257="","",Deployments!AH257)</f>
        <v/>
      </c>
      <c r="E256" s="21" t="str">
        <f>IF(Deployments!I257="","",Deployments!I257)</f>
        <v/>
      </c>
      <c r="F256" s="21" t="str">
        <f>IF(Deployments!J257="","",Deployments!J257)</f>
        <v/>
      </c>
      <c r="G256" s="21" t="str">
        <f>IF(Deployments!K257="","",Deployments!K257)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IF(Deployments!AD257="","",Deployments!AD257)</f>
        <v/>
      </c>
      <c r="L256" s="21" t="str">
        <f>IF(Deployments!M257="","",Deployments!M257)</f>
        <v/>
      </c>
      <c r="M256" s="22"/>
      <c r="N256" s="21" t="str">
        <f>IF(Deployments!N257="","",Deployments!N257)</f>
        <v/>
      </c>
      <c r="O256" s="21" t="str">
        <f>IF(Deployments!O257="","",Deployments!O257)</f>
        <v/>
      </c>
      <c r="P256" s="21" t="str">
        <f>IF(Deployments!P257="","",Deployments!P257)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IF(Deployments!T257="","",Deployments!T257)</f>
        <v/>
      </c>
      <c r="AA256" s="21" t="str">
        <f>IF(Deployments!L257="","",Deployments!L257)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IF(Deployments!AH258="","",Deployments!AH258)</f>
        <v/>
      </c>
      <c r="E257" s="21" t="str">
        <f>IF(Deployments!I258="","",Deployments!I258)</f>
        <v/>
      </c>
      <c r="F257" s="21" t="str">
        <f>IF(Deployments!J258="","",Deployments!J258)</f>
        <v/>
      </c>
      <c r="G257" s="21" t="str">
        <f>IF(Deployments!K258="","",Deployments!K258)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IF(Deployments!AD258="","",Deployments!AD258)</f>
        <v/>
      </c>
      <c r="L257" s="21" t="str">
        <f>IF(Deployments!M258="","",Deployments!M258)</f>
        <v/>
      </c>
      <c r="M257" s="22"/>
      <c r="N257" s="21" t="str">
        <f>IF(Deployments!N258="","",Deployments!N258)</f>
        <v/>
      </c>
      <c r="O257" s="21" t="str">
        <f>IF(Deployments!O258="","",Deployments!O258)</f>
        <v/>
      </c>
      <c r="P257" s="21" t="str">
        <f>IF(Deployments!P258="","",Deployments!P258)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IF(Deployments!T258="","",Deployments!T258)</f>
        <v/>
      </c>
      <c r="AA257" s="21" t="str">
        <f>IF(Deployments!L258="","",Deployments!L258)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IF(Deployments!AH259="","",Deployments!AH259)</f>
        <v/>
      </c>
      <c r="E258" s="21" t="str">
        <f>IF(Deployments!I259="","",Deployments!I259)</f>
        <v/>
      </c>
      <c r="F258" s="21" t="str">
        <f>IF(Deployments!J259="","",Deployments!J259)</f>
        <v/>
      </c>
      <c r="G258" s="21" t="str">
        <f>IF(Deployments!K259="","",Deployments!K259)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IF(Deployments!AD259="","",Deployments!AD259)</f>
        <v/>
      </c>
      <c r="L258" s="21" t="str">
        <f>IF(Deployments!M259="","",Deployments!M259)</f>
        <v/>
      </c>
      <c r="M258" s="22"/>
      <c r="N258" s="21" t="str">
        <f>IF(Deployments!N259="","",Deployments!N259)</f>
        <v/>
      </c>
      <c r="O258" s="21" t="str">
        <f>IF(Deployments!O259="","",Deployments!O259)</f>
        <v/>
      </c>
      <c r="P258" s="21" t="str">
        <f>IF(Deployments!P259="","",Deployments!P259)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IF(Deployments!T259="","",Deployments!T259)</f>
        <v/>
      </c>
      <c r="AA258" s="21" t="str">
        <f>IF(Deployments!L259="","",Deployments!L259)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IF(Deployments!AH260="","",Deployments!AH260)</f>
        <v/>
      </c>
      <c r="E259" s="21" t="str">
        <f>IF(Deployments!I260="","",Deployments!I260)</f>
        <v/>
      </c>
      <c r="F259" s="21" t="str">
        <f>IF(Deployments!J260="","",Deployments!J260)</f>
        <v/>
      </c>
      <c r="G259" s="21" t="str">
        <f>IF(Deployments!K260="","",Deployments!K260)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IF(Deployments!AD260="","",Deployments!AD260)</f>
        <v/>
      </c>
      <c r="L259" s="21" t="str">
        <f>IF(Deployments!M260="","",Deployments!M260)</f>
        <v/>
      </c>
      <c r="M259" s="22"/>
      <c r="N259" s="21" t="str">
        <f>IF(Deployments!N260="","",Deployments!N260)</f>
        <v/>
      </c>
      <c r="O259" s="21" t="str">
        <f>IF(Deployments!O260="","",Deployments!O260)</f>
        <v/>
      </c>
      <c r="P259" s="21" t="str">
        <f>IF(Deployments!P260="","",Deployments!P260)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IF(Deployments!T260="","",Deployments!T260)</f>
        <v/>
      </c>
      <c r="AA259" s="21" t="str">
        <f>IF(Deployments!L260="","",Deployments!L260)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IF(Deployments!AH261="","",Deployments!AH261)</f>
        <v/>
      </c>
      <c r="E260" s="21" t="str">
        <f>IF(Deployments!I261="","",Deployments!I261)</f>
        <v/>
      </c>
      <c r="F260" s="21" t="str">
        <f>IF(Deployments!J261="","",Deployments!J261)</f>
        <v/>
      </c>
      <c r="G260" s="21" t="str">
        <f>IF(Deployments!K261="","",Deployments!K261)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IF(Deployments!AD261="","",Deployments!AD261)</f>
        <v/>
      </c>
      <c r="L260" s="21" t="str">
        <f>IF(Deployments!M261="","",Deployments!M261)</f>
        <v/>
      </c>
      <c r="M260" s="22"/>
      <c r="N260" s="21" t="str">
        <f>IF(Deployments!N261="","",Deployments!N261)</f>
        <v/>
      </c>
      <c r="O260" s="21" t="str">
        <f>IF(Deployments!O261="","",Deployments!O261)</f>
        <v/>
      </c>
      <c r="P260" s="21" t="str">
        <f>IF(Deployments!P261="","",Deployments!P261)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IF(Deployments!T261="","",Deployments!T261)</f>
        <v/>
      </c>
      <c r="AA260" s="21" t="str">
        <f>IF(Deployments!L261="","",Deployments!L261)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IF(Deployments!AH262="","",Deployments!AH262)</f>
        <v/>
      </c>
      <c r="E261" s="21" t="str">
        <f>IF(Deployments!I262="","",Deployments!I262)</f>
        <v/>
      </c>
      <c r="F261" s="21" t="str">
        <f>IF(Deployments!J262="","",Deployments!J262)</f>
        <v/>
      </c>
      <c r="G261" s="21" t="str">
        <f>IF(Deployments!K262="","",Deployments!K262)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IF(Deployments!AD262="","",Deployments!AD262)</f>
        <v/>
      </c>
      <c r="L261" s="21" t="str">
        <f>IF(Deployments!M262="","",Deployments!M262)</f>
        <v/>
      </c>
      <c r="M261" s="22"/>
      <c r="N261" s="21" t="str">
        <f>IF(Deployments!N262="","",Deployments!N262)</f>
        <v/>
      </c>
      <c r="O261" s="21" t="str">
        <f>IF(Deployments!O262="","",Deployments!O262)</f>
        <v/>
      </c>
      <c r="P261" s="21" t="str">
        <f>IF(Deployments!P262="","",Deployments!P262)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IF(Deployments!T262="","",Deployments!T262)</f>
        <v/>
      </c>
      <c r="AA261" s="21" t="str">
        <f>IF(Deployments!L262="","",Deployments!L262)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IF(Deployments!AH263="","",Deployments!AH263)</f>
        <v/>
      </c>
      <c r="E262" s="21" t="str">
        <f>IF(Deployments!I263="","",Deployments!I263)</f>
        <v/>
      </c>
      <c r="F262" s="21" t="str">
        <f>IF(Deployments!J263="","",Deployments!J263)</f>
        <v/>
      </c>
      <c r="G262" s="21" t="str">
        <f>IF(Deployments!K263="","",Deployments!K263)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IF(Deployments!AD263="","",Deployments!AD263)</f>
        <v/>
      </c>
      <c r="L262" s="21" t="str">
        <f>IF(Deployments!M263="","",Deployments!M263)</f>
        <v/>
      </c>
      <c r="M262" s="22"/>
      <c r="N262" s="21" t="str">
        <f>IF(Deployments!N263="","",Deployments!N263)</f>
        <v/>
      </c>
      <c r="O262" s="21" t="str">
        <f>IF(Deployments!O263="","",Deployments!O263)</f>
        <v/>
      </c>
      <c r="P262" s="21" t="str">
        <f>IF(Deployments!P263="","",Deployments!P263)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IF(Deployments!T263="","",Deployments!T263)</f>
        <v/>
      </c>
      <c r="AA262" s="21" t="str">
        <f>IF(Deployments!L263="","",Deployments!L263)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IF(Deployments!AH264="","",Deployments!AH264)</f>
        <v/>
      </c>
      <c r="E263" s="21" t="str">
        <f>IF(Deployments!I264="","",Deployments!I264)</f>
        <v/>
      </c>
      <c r="F263" s="21" t="str">
        <f>IF(Deployments!J264="","",Deployments!J264)</f>
        <v/>
      </c>
      <c r="G263" s="21" t="str">
        <f>IF(Deployments!K264="","",Deployments!K264)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IF(Deployments!AD264="","",Deployments!AD264)</f>
        <v/>
      </c>
      <c r="L263" s="21" t="str">
        <f>IF(Deployments!M264="","",Deployments!M264)</f>
        <v/>
      </c>
      <c r="M263" s="22"/>
      <c r="N263" s="21" t="str">
        <f>IF(Deployments!N264="","",Deployments!N264)</f>
        <v/>
      </c>
      <c r="O263" s="21" t="str">
        <f>IF(Deployments!O264="","",Deployments!O264)</f>
        <v/>
      </c>
      <c r="P263" s="21" t="str">
        <f>IF(Deployments!P264="","",Deployments!P264)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IF(Deployments!T264="","",Deployments!T264)</f>
        <v/>
      </c>
      <c r="AA263" s="21" t="str">
        <f>IF(Deployments!L264="","",Deployments!L264)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IF(Deployments!AH265="","",Deployments!AH265)</f>
        <v/>
      </c>
      <c r="E264" s="21" t="str">
        <f>IF(Deployments!I265="","",Deployments!I265)</f>
        <v/>
      </c>
      <c r="F264" s="21" t="str">
        <f>IF(Deployments!J265="","",Deployments!J265)</f>
        <v/>
      </c>
      <c r="G264" s="21" t="str">
        <f>IF(Deployments!K265="","",Deployments!K265)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IF(Deployments!AD265="","",Deployments!AD265)</f>
        <v/>
      </c>
      <c r="L264" s="21" t="str">
        <f>IF(Deployments!M265="","",Deployments!M265)</f>
        <v/>
      </c>
      <c r="M264" s="22"/>
      <c r="N264" s="21" t="str">
        <f>IF(Deployments!N265="","",Deployments!N265)</f>
        <v/>
      </c>
      <c r="O264" s="21" t="str">
        <f>IF(Deployments!O265="","",Deployments!O265)</f>
        <v/>
      </c>
      <c r="P264" s="21" t="str">
        <f>IF(Deployments!P265="","",Deployments!P265)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IF(Deployments!T265="","",Deployments!T265)</f>
        <v/>
      </c>
      <c r="AA264" s="21" t="str">
        <f>IF(Deployments!L265="","",Deployments!L265)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IF(Deployments!AH266="","",Deployments!AH266)</f>
        <v/>
      </c>
      <c r="E265" s="21" t="str">
        <f>IF(Deployments!I266="","",Deployments!I266)</f>
        <v/>
      </c>
      <c r="F265" s="21" t="str">
        <f>IF(Deployments!J266="","",Deployments!J266)</f>
        <v/>
      </c>
      <c r="G265" s="21" t="str">
        <f>IF(Deployments!K266="","",Deployments!K266)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IF(Deployments!AD266="","",Deployments!AD266)</f>
        <v/>
      </c>
      <c r="L265" s="21" t="str">
        <f>IF(Deployments!M266="","",Deployments!M266)</f>
        <v/>
      </c>
      <c r="M265" s="22"/>
      <c r="N265" s="21" t="str">
        <f>IF(Deployments!N266="","",Deployments!N266)</f>
        <v/>
      </c>
      <c r="O265" s="21" t="str">
        <f>IF(Deployments!O266="","",Deployments!O266)</f>
        <v/>
      </c>
      <c r="P265" s="21" t="str">
        <f>IF(Deployments!P266="","",Deployments!P266)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IF(Deployments!T266="","",Deployments!T266)</f>
        <v/>
      </c>
      <c r="AA265" s="21" t="str">
        <f>IF(Deployments!L266="","",Deployments!L266)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IF(Deployments!AH267="","",Deployments!AH267)</f>
        <v/>
      </c>
      <c r="E266" s="21" t="str">
        <f>IF(Deployments!I267="","",Deployments!I267)</f>
        <v/>
      </c>
      <c r="F266" s="21" t="str">
        <f>IF(Deployments!J267="","",Deployments!J267)</f>
        <v/>
      </c>
      <c r="G266" s="21" t="str">
        <f>IF(Deployments!K267="","",Deployments!K267)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IF(Deployments!AD267="","",Deployments!AD267)</f>
        <v/>
      </c>
      <c r="L266" s="21" t="str">
        <f>IF(Deployments!M267="","",Deployments!M267)</f>
        <v/>
      </c>
      <c r="M266" s="22"/>
      <c r="N266" s="21" t="str">
        <f>IF(Deployments!N267="","",Deployments!N267)</f>
        <v/>
      </c>
      <c r="O266" s="21" t="str">
        <f>IF(Deployments!O267="","",Deployments!O267)</f>
        <v/>
      </c>
      <c r="P266" s="21" t="str">
        <f>IF(Deployments!P267="","",Deployments!P267)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IF(Deployments!T267="","",Deployments!T267)</f>
        <v/>
      </c>
      <c r="AA266" s="21" t="str">
        <f>IF(Deployments!L267="","",Deployments!L267)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IF(Deployments!AH268="","",Deployments!AH268)</f>
        <v/>
      </c>
      <c r="E267" s="21" t="str">
        <f>IF(Deployments!I268="","",Deployments!I268)</f>
        <v/>
      </c>
      <c r="F267" s="21" t="str">
        <f>IF(Deployments!J268="","",Deployments!J268)</f>
        <v/>
      </c>
      <c r="G267" s="21" t="str">
        <f>IF(Deployments!K268="","",Deployments!K268)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IF(Deployments!AD268="","",Deployments!AD268)</f>
        <v/>
      </c>
      <c r="L267" s="21" t="str">
        <f>IF(Deployments!M268="","",Deployments!M268)</f>
        <v/>
      </c>
      <c r="M267" s="22"/>
      <c r="N267" s="21" t="str">
        <f>IF(Deployments!N268="","",Deployments!N268)</f>
        <v/>
      </c>
      <c r="O267" s="21" t="str">
        <f>IF(Deployments!O268="","",Deployments!O268)</f>
        <v/>
      </c>
      <c r="P267" s="21" t="str">
        <f>IF(Deployments!P268="","",Deployments!P268)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IF(Deployments!T268="","",Deployments!T268)</f>
        <v/>
      </c>
      <c r="AA267" s="21" t="str">
        <f>IF(Deployments!L268="","",Deployments!L268)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IF(Deployments!AH269="","",Deployments!AH269)</f>
        <v/>
      </c>
      <c r="E268" s="21" t="str">
        <f>IF(Deployments!I269="","",Deployments!I269)</f>
        <v/>
      </c>
      <c r="F268" s="21" t="str">
        <f>IF(Deployments!J269="","",Deployments!J269)</f>
        <v/>
      </c>
      <c r="G268" s="21" t="str">
        <f>IF(Deployments!K269="","",Deployments!K269)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IF(Deployments!AD269="","",Deployments!AD269)</f>
        <v/>
      </c>
      <c r="L268" s="21" t="str">
        <f>IF(Deployments!M269="","",Deployments!M269)</f>
        <v/>
      </c>
      <c r="M268" s="22"/>
      <c r="N268" s="21" t="str">
        <f>IF(Deployments!N269="","",Deployments!N269)</f>
        <v/>
      </c>
      <c r="O268" s="21" t="str">
        <f>IF(Deployments!O269="","",Deployments!O269)</f>
        <v/>
      </c>
      <c r="P268" s="21" t="str">
        <f>IF(Deployments!P269="","",Deployments!P269)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IF(Deployments!T269="","",Deployments!T269)</f>
        <v/>
      </c>
      <c r="AA268" s="21" t="str">
        <f>IF(Deployments!L269="","",Deployments!L269)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IF(Deployments!AH270="","",Deployments!AH270)</f>
        <v/>
      </c>
      <c r="E269" s="21" t="str">
        <f>IF(Deployments!I270="","",Deployments!I270)</f>
        <v/>
      </c>
      <c r="F269" s="21" t="str">
        <f>IF(Deployments!J270="","",Deployments!J270)</f>
        <v/>
      </c>
      <c r="G269" s="21" t="str">
        <f>IF(Deployments!K270="","",Deployments!K270)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IF(Deployments!AD270="","",Deployments!AD270)</f>
        <v/>
      </c>
      <c r="L269" s="21" t="str">
        <f>IF(Deployments!M270="","",Deployments!M270)</f>
        <v/>
      </c>
      <c r="M269" s="22"/>
      <c r="N269" s="21" t="str">
        <f>IF(Deployments!N270="","",Deployments!N270)</f>
        <v/>
      </c>
      <c r="O269" s="21" t="str">
        <f>IF(Deployments!O270="","",Deployments!O270)</f>
        <v/>
      </c>
      <c r="P269" s="21" t="str">
        <f>IF(Deployments!P270="","",Deployments!P270)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IF(Deployments!T270="","",Deployments!T270)</f>
        <v/>
      </c>
      <c r="AA269" s="21" t="str">
        <f>IF(Deployments!L270="","",Deployments!L270)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IF(Deployments!AH271="","",Deployments!AH271)</f>
        <v/>
      </c>
      <c r="E270" s="21" t="str">
        <f>IF(Deployments!I271="","",Deployments!I271)</f>
        <v/>
      </c>
      <c r="F270" s="21" t="str">
        <f>IF(Deployments!J271="","",Deployments!J271)</f>
        <v/>
      </c>
      <c r="G270" s="21" t="str">
        <f>IF(Deployments!K271="","",Deployments!K271)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IF(Deployments!AD271="","",Deployments!AD271)</f>
        <v/>
      </c>
      <c r="L270" s="21" t="str">
        <f>IF(Deployments!M271="","",Deployments!M271)</f>
        <v/>
      </c>
      <c r="M270" s="22"/>
      <c r="N270" s="21" t="str">
        <f>IF(Deployments!N271="","",Deployments!N271)</f>
        <v/>
      </c>
      <c r="O270" s="21" t="str">
        <f>IF(Deployments!O271="","",Deployments!O271)</f>
        <v/>
      </c>
      <c r="P270" s="21" t="str">
        <f>IF(Deployments!P271="","",Deployments!P271)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IF(Deployments!T271="","",Deployments!T271)</f>
        <v/>
      </c>
      <c r="AA270" s="21" t="str">
        <f>IF(Deployments!L271="","",Deployments!L271)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IF(Deployments!AH272="","",Deployments!AH272)</f>
        <v/>
      </c>
      <c r="E271" s="21" t="str">
        <f>IF(Deployments!I272="","",Deployments!I272)</f>
        <v/>
      </c>
      <c r="F271" s="21" t="str">
        <f>IF(Deployments!J272="","",Deployments!J272)</f>
        <v/>
      </c>
      <c r="G271" s="21" t="str">
        <f>IF(Deployments!K272="","",Deployments!K272)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IF(Deployments!AD272="","",Deployments!AD272)</f>
        <v/>
      </c>
      <c r="L271" s="21" t="str">
        <f>IF(Deployments!M272="","",Deployments!M272)</f>
        <v/>
      </c>
      <c r="M271" s="22"/>
      <c r="N271" s="21" t="str">
        <f>IF(Deployments!N272="","",Deployments!N272)</f>
        <v/>
      </c>
      <c r="O271" s="21" t="str">
        <f>IF(Deployments!O272="","",Deployments!O272)</f>
        <v/>
      </c>
      <c r="P271" s="21" t="str">
        <f>IF(Deployments!P272="","",Deployments!P272)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IF(Deployments!T272="","",Deployments!T272)</f>
        <v/>
      </c>
      <c r="AA271" s="21" t="str">
        <f>IF(Deployments!L272="","",Deployments!L272)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IF(Deployments!AH273="","",Deployments!AH273)</f>
        <v/>
      </c>
      <c r="E272" s="21" t="str">
        <f>IF(Deployments!I273="","",Deployments!I273)</f>
        <v/>
      </c>
      <c r="F272" s="21" t="str">
        <f>IF(Deployments!J273="","",Deployments!J273)</f>
        <v/>
      </c>
      <c r="G272" s="21" t="str">
        <f>IF(Deployments!K273="","",Deployments!K273)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IF(Deployments!AD273="","",Deployments!AD273)</f>
        <v/>
      </c>
      <c r="L272" s="21" t="str">
        <f>IF(Deployments!M273="","",Deployments!M273)</f>
        <v/>
      </c>
      <c r="M272" s="22"/>
      <c r="N272" s="21" t="str">
        <f>IF(Deployments!N273="","",Deployments!N273)</f>
        <v/>
      </c>
      <c r="O272" s="21" t="str">
        <f>IF(Deployments!O273="","",Deployments!O273)</f>
        <v/>
      </c>
      <c r="P272" s="21" t="str">
        <f>IF(Deployments!P273="","",Deployments!P273)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IF(Deployments!T273="","",Deployments!T273)</f>
        <v/>
      </c>
      <c r="AA272" s="21" t="str">
        <f>IF(Deployments!L273="","",Deployments!L273)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IF(Deployments!AH274="","",Deployments!AH274)</f>
        <v/>
      </c>
      <c r="E273" s="21" t="str">
        <f>IF(Deployments!I274="","",Deployments!I274)</f>
        <v/>
      </c>
      <c r="F273" s="21" t="str">
        <f>IF(Deployments!J274="","",Deployments!J274)</f>
        <v/>
      </c>
      <c r="G273" s="21" t="str">
        <f>IF(Deployments!K274="","",Deployments!K274)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IF(Deployments!AD274="","",Deployments!AD274)</f>
        <v/>
      </c>
      <c r="L273" s="21" t="str">
        <f>IF(Deployments!M274="","",Deployments!M274)</f>
        <v/>
      </c>
      <c r="M273" s="22"/>
      <c r="N273" s="21" t="str">
        <f>IF(Deployments!N274="","",Deployments!N274)</f>
        <v/>
      </c>
      <c r="O273" s="21" t="str">
        <f>IF(Deployments!O274="","",Deployments!O274)</f>
        <v/>
      </c>
      <c r="P273" s="21" t="str">
        <f>IF(Deployments!P274="","",Deployments!P274)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IF(Deployments!T274="","",Deployments!T274)</f>
        <v/>
      </c>
      <c r="AA273" s="21" t="str">
        <f>IF(Deployments!L274="","",Deployments!L274)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IF(Deployments!AH275="","",Deployments!AH275)</f>
        <v/>
      </c>
      <c r="E274" s="21" t="str">
        <f>IF(Deployments!I275="","",Deployments!I275)</f>
        <v/>
      </c>
      <c r="F274" s="21" t="str">
        <f>IF(Deployments!J275="","",Deployments!J275)</f>
        <v/>
      </c>
      <c r="G274" s="21" t="str">
        <f>IF(Deployments!K275="","",Deployments!K275)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IF(Deployments!AD275="","",Deployments!AD275)</f>
        <v/>
      </c>
      <c r="L274" s="21" t="str">
        <f>IF(Deployments!M275="","",Deployments!M275)</f>
        <v/>
      </c>
      <c r="M274" s="22"/>
      <c r="N274" s="21" t="str">
        <f>IF(Deployments!N275="","",Deployments!N275)</f>
        <v/>
      </c>
      <c r="O274" s="21" t="str">
        <f>IF(Deployments!O275="","",Deployments!O275)</f>
        <v/>
      </c>
      <c r="P274" s="21" t="str">
        <f>IF(Deployments!P275="","",Deployments!P275)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IF(Deployments!T275="","",Deployments!T275)</f>
        <v/>
      </c>
      <c r="AA274" s="21" t="str">
        <f>IF(Deployments!L275="","",Deployments!L275)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IF(Deployments!AH276="","",Deployments!AH276)</f>
        <v/>
      </c>
      <c r="E275" s="21" t="str">
        <f>IF(Deployments!I276="","",Deployments!I276)</f>
        <v/>
      </c>
      <c r="F275" s="21" t="str">
        <f>IF(Deployments!J276="","",Deployments!J276)</f>
        <v/>
      </c>
      <c r="G275" s="21" t="str">
        <f>IF(Deployments!K276="","",Deployments!K276)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IF(Deployments!AD276="","",Deployments!AD276)</f>
        <v/>
      </c>
      <c r="L275" s="21" t="str">
        <f>IF(Deployments!M276="","",Deployments!M276)</f>
        <v/>
      </c>
      <c r="M275" s="22"/>
      <c r="N275" s="21" t="str">
        <f>IF(Deployments!N276="","",Deployments!N276)</f>
        <v/>
      </c>
      <c r="O275" s="21" t="str">
        <f>IF(Deployments!O276="","",Deployments!O276)</f>
        <v/>
      </c>
      <c r="P275" s="21" t="str">
        <f>IF(Deployments!P276="","",Deployments!P276)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IF(Deployments!T276="","",Deployments!T276)</f>
        <v/>
      </c>
      <c r="AA275" s="21" t="str">
        <f>IF(Deployments!L276="","",Deployments!L276)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IF(Deployments!AH277="","",Deployments!AH277)</f>
        <v/>
      </c>
      <c r="E276" s="21" t="str">
        <f>IF(Deployments!I277="","",Deployments!I277)</f>
        <v/>
      </c>
      <c r="F276" s="21" t="str">
        <f>IF(Deployments!J277="","",Deployments!J277)</f>
        <v/>
      </c>
      <c r="G276" s="21" t="str">
        <f>IF(Deployments!K277="","",Deployments!K277)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IF(Deployments!AD277="","",Deployments!AD277)</f>
        <v/>
      </c>
      <c r="L276" s="21" t="str">
        <f>IF(Deployments!M277="","",Deployments!M277)</f>
        <v/>
      </c>
      <c r="M276" s="22"/>
      <c r="N276" s="21" t="str">
        <f>IF(Deployments!N277="","",Deployments!N277)</f>
        <v/>
      </c>
      <c r="O276" s="21" t="str">
        <f>IF(Deployments!O277="","",Deployments!O277)</f>
        <v/>
      </c>
      <c r="P276" s="21" t="str">
        <f>IF(Deployments!P277="","",Deployments!P277)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IF(Deployments!T277="","",Deployments!T277)</f>
        <v/>
      </c>
      <c r="AA276" s="21" t="str">
        <f>IF(Deployments!L277="","",Deployments!L277)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IF(Deployments!AH278="","",Deployments!AH278)</f>
        <v/>
      </c>
      <c r="E277" s="21" t="str">
        <f>IF(Deployments!I278="","",Deployments!I278)</f>
        <v/>
      </c>
      <c r="F277" s="21" t="str">
        <f>IF(Deployments!J278="","",Deployments!J278)</f>
        <v/>
      </c>
      <c r="G277" s="21" t="str">
        <f>IF(Deployments!K278="","",Deployments!K278)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IF(Deployments!AD278="","",Deployments!AD278)</f>
        <v/>
      </c>
      <c r="L277" s="21" t="str">
        <f>IF(Deployments!M278="","",Deployments!M278)</f>
        <v/>
      </c>
      <c r="M277" s="22"/>
      <c r="N277" s="21" t="str">
        <f>IF(Deployments!N278="","",Deployments!N278)</f>
        <v/>
      </c>
      <c r="O277" s="21" t="str">
        <f>IF(Deployments!O278="","",Deployments!O278)</f>
        <v/>
      </c>
      <c r="P277" s="21" t="str">
        <f>IF(Deployments!P278="","",Deployments!P278)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IF(Deployments!T278="","",Deployments!T278)</f>
        <v/>
      </c>
      <c r="AA277" s="21" t="str">
        <f>IF(Deployments!L278="","",Deployments!L278)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IF(Deployments!AH279="","",Deployments!AH279)</f>
        <v/>
      </c>
      <c r="E278" s="21" t="str">
        <f>IF(Deployments!I279="","",Deployments!I279)</f>
        <v/>
      </c>
      <c r="F278" s="21" t="str">
        <f>IF(Deployments!J279="","",Deployments!J279)</f>
        <v/>
      </c>
      <c r="G278" s="21" t="str">
        <f>IF(Deployments!K279="","",Deployments!K279)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IF(Deployments!AD279="","",Deployments!AD279)</f>
        <v/>
      </c>
      <c r="L278" s="21" t="str">
        <f>IF(Deployments!M279="","",Deployments!M279)</f>
        <v/>
      </c>
      <c r="M278" s="22"/>
      <c r="N278" s="21" t="str">
        <f>IF(Deployments!N279="","",Deployments!N279)</f>
        <v/>
      </c>
      <c r="O278" s="21" t="str">
        <f>IF(Deployments!O279="","",Deployments!O279)</f>
        <v/>
      </c>
      <c r="P278" s="21" t="str">
        <f>IF(Deployments!P279="","",Deployments!P279)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IF(Deployments!T279="","",Deployments!T279)</f>
        <v/>
      </c>
      <c r="AA278" s="21" t="str">
        <f>IF(Deployments!L279="","",Deployments!L279)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IF(Deployments!AH280="","",Deployments!AH280)</f>
        <v/>
      </c>
      <c r="E279" s="21" t="str">
        <f>IF(Deployments!I280="","",Deployments!I280)</f>
        <v/>
      </c>
      <c r="F279" s="21" t="str">
        <f>IF(Deployments!J280="","",Deployments!J280)</f>
        <v/>
      </c>
      <c r="G279" s="21" t="str">
        <f>IF(Deployments!K280="","",Deployments!K280)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IF(Deployments!AD280="","",Deployments!AD280)</f>
        <v/>
      </c>
      <c r="L279" s="21" t="str">
        <f>IF(Deployments!M280="","",Deployments!M280)</f>
        <v/>
      </c>
      <c r="M279" s="22"/>
      <c r="N279" s="21" t="str">
        <f>IF(Deployments!N280="","",Deployments!N280)</f>
        <v/>
      </c>
      <c r="O279" s="21" t="str">
        <f>IF(Deployments!O280="","",Deployments!O280)</f>
        <v/>
      </c>
      <c r="P279" s="21" t="str">
        <f>IF(Deployments!P280="","",Deployments!P280)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IF(Deployments!T280="","",Deployments!T280)</f>
        <v/>
      </c>
      <c r="AA279" s="21" t="str">
        <f>IF(Deployments!L280="","",Deployments!L280)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IF(Deployments!AH281="","",Deployments!AH281)</f>
        <v/>
      </c>
      <c r="E280" s="21" t="str">
        <f>IF(Deployments!I281="","",Deployments!I281)</f>
        <v/>
      </c>
      <c r="F280" s="21" t="str">
        <f>IF(Deployments!J281="","",Deployments!J281)</f>
        <v/>
      </c>
      <c r="G280" s="21" t="str">
        <f>IF(Deployments!K281="","",Deployments!K281)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IF(Deployments!AD281="","",Deployments!AD281)</f>
        <v/>
      </c>
      <c r="L280" s="21" t="str">
        <f>IF(Deployments!M281="","",Deployments!M281)</f>
        <v/>
      </c>
      <c r="M280" s="22"/>
      <c r="N280" s="21" t="str">
        <f>IF(Deployments!N281="","",Deployments!N281)</f>
        <v/>
      </c>
      <c r="O280" s="21" t="str">
        <f>IF(Deployments!O281="","",Deployments!O281)</f>
        <v/>
      </c>
      <c r="P280" s="21" t="str">
        <f>IF(Deployments!P281="","",Deployments!P281)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IF(Deployments!T281="","",Deployments!T281)</f>
        <v/>
      </c>
      <c r="AA280" s="21" t="str">
        <f>IF(Deployments!L281="","",Deployments!L281)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IF(Deployments!AH282="","",Deployments!AH282)</f>
        <v/>
      </c>
      <c r="E281" s="21" t="str">
        <f>IF(Deployments!I282="","",Deployments!I282)</f>
        <v/>
      </c>
      <c r="F281" s="21" t="str">
        <f>IF(Deployments!J282="","",Deployments!J282)</f>
        <v/>
      </c>
      <c r="G281" s="21" t="str">
        <f>IF(Deployments!K282="","",Deployments!K282)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IF(Deployments!AD282="","",Deployments!AD282)</f>
        <v/>
      </c>
      <c r="L281" s="21" t="str">
        <f>IF(Deployments!M282="","",Deployments!M282)</f>
        <v/>
      </c>
      <c r="M281" s="22"/>
      <c r="N281" s="21" t="str">
        <f>IF(Deployments!N282="","",Deployments!N282)</f>
        <v/>
      </c>
      <c r="O281" s="21" t="str">
        <f>IF(Deployments!O282="","",Deployments!O282)</f>
        <v/>
      </c>
      <c r="P281" s="21" t="str">
        <f>IF(Deployments!P282="","",Deployments!P282)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IF(Deployments!T282="","",Deployments!T282)</f>
        <v/>
      </c>
      <c r="AA281" s="21" t="str">
        <f>IF(Deployments!L282="","",Deployments!L282)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IF(Deployments!AH283="","",Deployments!AH283)</f>
        <v/>
      </c>
      <c r="E282" s="21" t="str">
        <f>IF(Deployments!I283="","",Deployments!I283)</f>
        <v/>
      </c>
      <c r="F282" s="21" t="str">
        <f>IF(Deployments!J283="","",Deployments!J283)</f>
        <v/>
      </c>
      <c r="G282" s="21" t="str">
        <f>IF(Deployments!K283="","",Deployments!K283)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IF(Deployments!AD283="","",Deployments!AD283)</f>
        <v/>
      </c>
      <c r="L282" s="21" t="str">
        <f>IF(Deployments!M283="","",Deployments!M283)</f>
        <v/>
      </c>
      <c r="M282" s="22"/>
      <c r="N282" s="21" t="str">
        <f>IF(Deployments!N283="","",Deployments!N283)</f>
        <v/>
      </c>
      <c r="O282" s="21" t="str">
        <f>IF(Deployments!O283="","",Deployments!O283)</f>
        <v/>
      </c>
      <c r="P282" s="21" t="str">
        <f>IF(Deployments!P283="","",Deployments!P283)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IF(Deployments!T283="","",Deployments!T283)</f>
        <v/>
      </c>
      <c r="AA282" s="21" t="str">
        <f>IF(Deployments!L283="","",Deployments!L283)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IF(Deployments!AH284="","",Deployments!AH284)</f>
        <v/>
      </c>
      <c r="E283" s="21" t="str">
        <f>IF(Deployments!I284="","",Deployments!I284)</f>
        <v/>
      </c>
      <c r="F283" s="21" t="str">
        <f>IF(Deployments!J284="","",Deployments!J284)</f>
        <v/>
      </c>
      <c r="G283" s="21" t="str">
        <f>IF(Deployments!K284="","",Deployments!K284)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IF(Deployments!AD284="","",Deployments!AD284)</f>
        <v/>
      </c>
      <c r="L283" s="21" t="str">
        <f>IF(Deployments!M284="","",Deployments!M284)</f>
        <v/>
      </c>
      <c r="M283" s="22"/>
      <c r="N283" s="21" t="str">
        <f>IF(Deployments!N284="","",Deployments!N284)</f>
        <v/>
      </c>
      <c r="O283" s="21" t="str">
        <f>IF(Deployments!O284="","",Deployments!O284)</f>
        <v/>
      </c>
      <c r="P283" s="21" t="str">
        <f>IF(Deployments!P284="","",Deployments!P284)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IF(Deployments!T284="","",Deployments!T284)</f>
        <v/>
      </c>
      <c r="AA283" s="21" t="str">
        <f>IF(Deployments!L284="","",Deployments!L284)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IF(Deployments!AH285="","",Deployments!AH285)</f>
        <v/>
      </c>
      <c r="E284" s="21" t="str">
        <f>IF(Deployments!I285="","",Deployments!I285)</f>
        <v/>
      </c>
      <c r="F284" s="21" t="str">
        <f>IF(Deployments!J285="","",Deployments!J285)</f>
        <v/>
      </c>
      <c r="G284" s="21" t="str">
        <f>IF(Deployments!K285="","",Deployments!K285)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IF(Deployments!AD285="","",Deployments!AD285)</f>
        <v/>
      </c>
      <c r="L284" s="21" t="str">
        <f>IF(Deployments!M285="","",Deployments!M285)</f>
        <v/>
      </c>
      <c r="M284" s="22"/>
      <c r="N284" s="21" t="str">
        <f>IF(Deployments!N285="","",Deployments!N285)</f>
        <v/>
      </c>
      <c r="O284" s="21" t="str">
        <f>IF(Deployments!O285="","",Deployments!O285)</f>
        <v/>
      </c>
      <c r="P284" s="21" t="str">
        <f>IF(Deployments!P285="","",Deployments!P285)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IF(Deployments!T285="","",Deployments!T285)</f>
        <v/>
      </c>
      <c r="AA284" s="21" t="str">
        <f>IF(Deployments!L285="","",Deployments!L285)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IF(Deployments!AH286="","",Deployments!AH286)</f>
        <v/>
      </c>
      <c r="E285" s="21" t="str">
        <f>IF(Deployments!I286="","",Deployments!I286)</f>
        <v/>
      </c>
      <c r="F285" s="21" t="str">
        <f>IF(Deployments!J286="","",Deployments!J286)</f>
        <v/>
      </c>
      <c r="G285" s="21" t="str">
        <f>IF(Deployments!K286="","",Deployments!K286)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IF(Deployments!AD286="","",Deployments!AD286)</f>
        <v/>
      </c>
      <c r="L285" s="21" t="str">
        <f>IF(Deployments!M286="","",Deployments!M286)</f>
        <v/>
      </c>
      <c r="M285" s="22"/>
      <c r="N285" s="21" t="str">
        <f>IF(Deployments!N286="","",Deployments!N286)</f>
        <v/>
      </c>
      <c r="O285" s="21" t="str">
        <f>IF(Deployments!O286="","",Deployments!O286)</f>
        <v/>
      </c>
      <c r="P285" s="21" t="str">
        <f>IF(Deployments!P286="","",Deployments!P286)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IF(Deployments!T286="","",Deployments!T286)</f>
        <v/>
      </c>
      <c r="AA285" s="21" t="str">
        <f>IF(Deployments!L286="","",Deployments!L286)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IF(Deployments!AH287="","",Deployments!AH287)</f>
        <v/>
      </c>
      <c r="E286" s="21" t="str">
        <f>IF(Deployments!I287="","",Deployments!I287)</f>
        <v/>
      </c>
      <c r="F286" s="21" t="str">
        <f>IF(Deployments!J287="","",Deployments!J287)</f>
        <v/>
      </c>
      <c r="G286" s="21" t="str">
        <f>IF(Deployments!K287="","",Deployments!K287)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IF(Deployments!AD287="","",Deployments!AD287)</f>
        <v/>
      </c>
      <c r="L286" s="21" t="str">
        <f>IF(Deployments!M287="","",Deployments!M287)</f>
        <v/>
      </c>
      <c r="M286" s="22"/>
      <c r="N286" s="21" t="str">
        <f>IF(Deployments!N287="","",Deployments!N287)</f>
        <v/>
      </c>
      <c r="O286" s="21" t="str">
        <f>IF(Deployments!O287="","",Deployments!O287)</f>
        <v/>
      </c>
      <c r="P286" s="21" t="str">
        <f>IF(Deployments!P287="","",Deployments!P287)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IF(Deployments!T287="","",Deployments!T287)</f>
        <v/>
      </c>
      <c r="AA286" s="21" t="str">
        <f>IF(Deployments!L287="","",Deployments!L287)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IF(Deployments!AH288="","",Deployments!AH288)</f>
        <v/>
      </c>
      <c r="E287" s="21" t="str">
        <f>IF(Deployments!I288="","",Deployments!I288)</f>
        <v/>
      </c>
      <c r="F287" s="21" t="str">
        <f>IF(Deployments!J288="","",Deployments!J288)</f>
        <v/>
      </c>
      <c r="G287" s="21" t="str">
        <f>IF(Deployments!K288="","",Deployments!K288)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IF(Deployments!AD288="","",Deployments!AD288)</f>
        <v/>
      </c>
      <c r="L287" s="21" t="str">
        <f>IF(Deployments!M288="","",Deployments!M288)</f>
        <v/>
      </c>
      <c r="M287" s="22"/>
      <c r="N287" s="21" t="str">
        <f>IF(Deployments!N288="","",Deployments!N288)</f>
        <v/>
      </c>
      <c r="O287" s="21" t="str">
        <f>IF(Deployments!O288="","",Deployments!O288)</f>
        <v/>
      </c>
      <c r="P287" s="21" t="str">
        <f>IF(Deployments!P288="","",Deployments!P288)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IF(Deployments!T288="","",Deployments!T288)</f>
        <v/>
      </c>
      <c r="AA287" s="21" t="str">
        <f>IF(Deployments!L288="","",Deployments!L288)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IF(Deployments!AH289="","",Deployments!AH289)</f>
        <v/>
      </c>
      <c r="E288" s="21" t="str">
        <f>IF(Deployments!I289="","",Deployments!I289)</f>
        <v/>
      </c>
      <c r="F288" s="21" t="str">
        <f>IF(Deployments!J289="","",Deployments!J289)</f>
        <v/>
      </c>
      <c r="G288" s="21" t="str">
        <f>IF(Deployments!K289="","",Deployments!K289)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IF(Deployments!AD289="","",Deployments!AD289)</f>
        <v/>
      </c>
      <c r="L288" s="21" t="str">
        <f>IF(Deployments!M289="","",Deployments!M289)</f>
        <v/>
      </c>
      <c r="M288" s="22"/>
      <c r="N288" s="21" t="str">
        <f>IF(Deployments!N289="","",Deployments!N289)</f>
        <v/>
      </c>
      <c r="O288" s="21" t="str">
        <f>IF(Deployments!O289="","",Deployments!O289)</f>
        <v/>
      </c>
      <c r="P288" s="21" t="str">
        <f>IF(Deployments!P289="","",Deployments!P289)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IF(Deployments!T289="","",Deployments!T289)</f>
        <v/>
      </c>
      <c r="AA288" s="21" t="str">
        <f>IF(Deployments!L289="","",Deployments!L289)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IF(Deployments!AH290="","",Deployments!AH290)</f>
        <v/>
      </c>
      <c r="E289" s="21" t="str">
        <f>IF(Deployments!I290="","",Deployments!I290)</f>
        <v/>
      </c>
      <c r="F289" s="21" t="str">
        <f>IF(Deployments!J290="","",Deployments!J290)</f>
        <v/>
      </c>
      <c r="G289" s="21" t="str">
        <f>IF(Deployments!K290="","",Deployments!K290)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IF(Deployments!AD290="","",Deployments!AD290)</f>
        <v/>
      </c>
      <c r="L289" s="21" t="str">
        <f>IF(Deployments!M290="","",Deployments!M290)</f>
        <v/>
      </c>
      <c r="M289" s="22"/>
      <c r="N289" s="21" t="str">
        <f>IF(Deployments!N290="","",Deployments!N290)</f>
        <v/>
      </c>
      <c r="O289" s="21" t="str">
        <f>IF(Deployments!O290="","",Deployments!O290)</f>
        <v/>
      </c>
      <c r="P289" s="21" t="str">
        <f>IF(Deployments!P290="","",Deployments!P290)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IF(Deployments!T290="","",Deployments!T290)</f>
        <v/>
      </c>
      <c r="AA289" s="21" t="str">
        <f>IF(Deployments!L290="","",Deployments!L290)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IF(Deployments!AH291="","",Deployments!AH291)</f>
        <v/>
      </c>
      <c r="E290" s="21" t="str">
        <f>IF(Deployments!I291="","",Deployments!I291)</f>
        <v/>
      </c>
      <c r="F290" s="21" t="str">
        <f>IF(Deployments!J291="","",Deployments!J291)</f>
        <v/>
      </c>
      <c r="G290" s="21" t="str">
        <f>IF(Deployments!K291="","",Deployments!K291)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IF(Deployments!AD291="","",Deployments!AD291)</f>
        <v/>
      </c>
      <c r="L290" s="21" t="str">
        <f>IF(Deployments!M291="","",Deployments!M291)</f>
        <v/>
      </c>
      <c r="M290" s="22"/>
      <c r="N290" s="21" t="str">
        <f>IF(Deployments!N291="","",Deployments!N291)</f>
        <v/>
      </c>
      <c r="O290" s="21" t="str">
        <f>IF(Deployments!O291="","",Deployments!O291)</f>
        <v/>
      </c>
      <c r="P290" s="21" t="str">
        <f>IF(Deployments!P291="","",Deployments!P291)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IF(Deployments!T291="","",Deployments!T291)</f>
        <v/>
      </c>
      <c r="AA290" s="21" t="str">
        <f>IF(Deployments!L291="","",Deployments!L291)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IF(Deployments!AH292="","",Deployments!AH292)</f>
        <v/>
      </c>
      <c r="E291" s="21" t="str">
        <f>IF(Deployments!I292="","",Deployments!I292)</f>
        <v/>
      </c>
      <c r="F291" s="21" t="str">
        <f>IF(Deployments!J292="","",Deployments!J292)</f>
        <v/>
      </c>
      <c r="G291" s="21" t="str">
        <f>IF(Deployments!K292="","",Deployments!K292)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IF(Deployments!AD292="","",Deployments!AD292)</f>
        <v/>
      </c>
      <c r="L291" s="21" t="str">
        <f>IF(Deployments!M292="","",Deployments!M292)</f>
        <v/>
      </c>
      <c r="M291" s="22"/>
      <c r="N291" s="21" t="str">
        <f>IF(Deployments!N292="","",Deployments!N292)</f>
        <v/>
      </c>
      <c r="O291" s="21" t="str">
        <f>IF(Deployments!O292="","",Deployments!O292)</f>
        <v/>
      </c>
      <c r="P291" s="21" t="str">
        <f>IF(Deployments!P292="","",Deployments!P292)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IF(Deployments!T292="","",Deployments!T292)</f>
        <v/>
      </c>
      <c r="AA291" s="21" t="str">
        <f>IF(Deployments!L292="","",Deployments!L292)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IF(Deployments!AH293="","",Deployments!AH293)</f>
        <v/>
      </c>
      <c r="E292" s="21" t="str">
        <f>IF(Deployments!I293="","",Deployments!I293)</f>
        <v/>
      </c>
      <c r="F292" s="21" t="str">
        <f>IF(Deployments!J293="","",Deployments!J293)</f>
        <v/>
      </c>
      <c r="G292" s="21" t="str">
        <f>IF(Deployments!K293="","",Deployments!K293)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IF(Deployments!AD293="","",Deployments!AD293)</f>
        <v/>
      </c>
      <c r="L292" s="21" t="str">
        <f>IF(Deployments!M293="","",Deployments!M293)</f>
        <v/>
      </c>
      <c r="M292" s="22"/>
      <c r="N292" s="21" t="str">
        <f>IF(Deployments!N293="","",Deployments!N293)</f>
        <v/>
      </c>
      <c r="O292" s="21" t="str">
        <f>IF(Deployments!O293="","",Deployments!O293)</f>
        <v/>
      </c>
      <c r="P292" s="21" t="str">
        <f>IF(Deployments!P293="","",Deployments!P293)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IF(Deployments!T293="","",Deployments!T293)</f>
        <v/>
      </c>
      <c r="AA292" s="21" t="str">
        <f>IF(Deployments!L293="","",Deployments!L293)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IF(Deployments!AH294="","",Deployments!AH294)</f>
        <v/>
      </c>
      <c r="E293" s="21" t="str">
        <f>IF(Deployments!I294="","",Deployments!I294)</f>
        <v/>
      </c>
      <c r="F293" s="21" t="str">
        <f>IF(Deployments!J294="","",Deployments!J294)</f>
        <v/>
      </c>
      <c r="G293" s="21" t="str">
        <f>IF(Deployments!K294="","",Deployments!K294)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IF(Deployments!AD294="","",Deployments!AD294)</f>
        <v/>
      </c>
      <c r="L293" s="21" t="str">
        <f>IF(Deployments!M294="","",Deployments!M294)</f>
        <v/>
      </c>
      <c r="M293" s="22"/>
      <c r="N293" s="21" t="str">
        <f>IF(Deployments!N294="","",Deployments!N294)</f>
        <v/>
      </c>
      <c r="O293" s="21" t="str">
        <f>IF(Deployments!O294="","",Deployments!O294)</f>
        <v/>
      </c>
      <c r="P293" s="21" t="str">
        <f>IF(Deployments!P294="","",Deployments!P294)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IF(Deployments!T294="","",Deployments!T294)</f>
        <v/>
      </c>
      <c r="AA293" s="21" t="str">
        <f>IF(Deployments!L294="","",Deployments!L294)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IF(Deployments!AH295="","",Deployments!AH295)</f>
        <v/>
      </c>
      <c r="E294" s="21" t="str">
        <f>IF(Deployments!I295="","",Deployments!I295)</f>
        <v/>
      </c>
      <c r="F294" s="21" t="str">
        <f>IF(Deployments!J295="","",Deployments!J295)</f>
        <v/>
      </c>
      <c r="G294" s="21" t="str">
        <f>IF(Deployments!K295="","",Deployments!K295)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IF(Deployments!AD295="","",Deployments!AD295)</f>
        <v/>
      </c>
      <c r="L294" s="21" t="str">
        <f>IF(Deployments!M295="","",Deployments!M295)</f>
        <v/>
      </c>
      <c r="M294" s="22"/>
      <c r="N294" s="21" t="str">
        <f>IF(Deployments!N295="","",Deployments!N295)</f>
        <v/>
      </c>
      <c r="O294" s="21" t="str">
        <f>IF(Deployments!O295="","",Deployments!O295)</f>
        <v/>
      </c>
      <c r="P294" s="21" t="str">
        <f>IF(Deployments!P295="","",Deployments!P295)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IF(Deployments!T295="","",Deployments!T295)</f>
        <v/>
      </c>
      <c r="AA294" s="21" t="str">
        <f>IF(Deployments!L295="","",Deployments!L295)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IF(Deployments!AH296="","",Deployments!AH296)</f>
        <v/>
      </c>
      <c r="E295" s="21" t="str">
        <f>IF(Deployments!I296="","",Deployments!I296)</f>
        <v/>
      </c>
      <c r="F295" s="21" t="str">
        <f>IF(Deployments!J296="","",Deployments!J296)</f>
        <v/>
      </c>
      <c r="G295" s="21" t="str">
        <f>IF(Deployments!K296="","",Deployments!K296)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IF(Deployments!AD296="","",Deployments!AD296)</f>
        <v/>
      </c>
      <c r="L295" s="21" t="str">
        <f>IF(Deployments!M296="","",Deployments!M296)</f>
        <v/>
      </c>
      <c r="M295" s="22"/>
      <c r="N295" s="21" t="str">
        <f>IF(Deployments!N296="","",Deployments!N296)</f>
        <v/>
      </c>
      <c r="O295" s="21" t="str">
        <f>IF(Deployments!O296="","",Deployments!O296)</f>
        <v/>
      </c>
      <c r="P295" s="21" t="str">
        <f>IF(Deployments!P296="","",Deployments!P296)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IF(Deployments!T296="","",Deployments!T296)</f>
        <v/>
      </c>
      <c r="AA295" s="21" t="str">
        <f>IF(Deployments!L296="","",Deployments!L296)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IF(Deployments!AH297="","",Deployments!AH297)</f>
        <v/>
      </c>
      <c r="E296" s="21" t="str">
        <f>IF(Deployments!I297="","",Deployments!I297)</f>
        <v/>
      </c>
      <c r="F296" s="21" t="str">
        <f>IF(Deployments!J297="","",Deployments!J297)</f>
        <v/>
      </c>
      <c r="G296" s="21" t="str">
        <f>IF(Deployments!K297="","",Deployments!K297)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IF(Deployments!AD297="","",Deployments!AD297)</f>
        <v/>
      </c>
      <c r="L296" s="21" t="str">
        <f>IF(Deployments!M297="","",Deployments!M297)</f>
        <v/>
      </c>
      <c r="M296" s="22"/>
      <c r="N296" s="21" t="str">
        <f>IF(Deployments!N297="","",Deployments!N297)</f>
        <v/>
      </c>
      <c r="O296" s="21" t="str">
        <f>IF(Deployments!O297="","",Deployments!O297)</f>
        <v/>
      </c>
      <c r="P296" s="21" t="str">
        <f>IF(Deployments!P297="","",Deployments!P297)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IF(Deployments!T297="","",Deployments!T297)</f>
        <v/>
      </c>
      <c r="AA296" s="21" t="str">
        <f>IF(Deployments!L297="","",Deployments!L297)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IF(Deployments!AH298="","",Deployments!AH298)</f>
        <v/>
      </c>
      <c r="E297" s="21" t="str">
        <f>IF(Deployments!I298="","",Deployments!I298)</f>
        <v/>
      </c>
      <c r="F297" s="21" t="str">
        <f>IF(Deployments!J298="","",Deployments!J298)</f>
        <v/>
      </c>
      <c r="G297" s="21" t="str">
        <f>IF(Deployments!K298="","",Deployments!K298)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IF(Deployments!AD298="","",Deployments!AD298)</f>
        <v/>
      </c>
      <c r="L297" s="21" t="str">
        <f>IF(Deployments!M298="","",Deployments!M298)</f>
        <v/>
      </c>
      <c r="M297" s="22"/>
      <c r="N297" s="21" t="str">
        <f>IF(Deployments!N298="","",Deployments!N298)</f>
        <v/>
      </c>
      <c r="O297" s="21" t="str">
        <f>IF(Deployments!O298="","",Deployments!O298)</f>
        <v/>
      </c>
      <c r="P297" s="21" t="str">
        <f>IF(Deployments!P298="","",Deployments!P298)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IF(Deployments!T298="","",Deployments!T298)</f>
        <v/>
      </c>
      <c r="AA297" s="21" t="str">
        <f>IF(Deployments!L298="","",Deployments!L298)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IF(Deployments!AH299="","",Deployments!AH299)</f>
        <v/>
      </c>
      <c r="E298" s="21" t="str">
        <f>IF(Deployments!I299="","",Deployments!I299)</f>
        <v/>
      </c>
      <c r="F298" s="21" t="str">
        <f>IF(Deployments!J299="","",Deployments!J299)</f>
        <v/>
      </c>
      <c r="G298" s="21" t="str">
        <f>IF(Deployments!K299="","",Deployments!K299)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IF(Deployments!AD299="","",Deployments!AD299)</f>
        <v/>
      </c>
      <c r="L298" s="21" t="str">
        <f>IF(Deployments!M299="","",Deployments!M299)</f>
        <v/>
      </c>
      <c r="M298" s="22"/>
      <c r="N298" s="21" t="str">
        <f>IF(Deployments!N299="","",Deployments!N299)</f>
        <v/>
      </c>
      <c r="O298" s="21" t="str">
        <f>IF(Deployments!O299="","",Deployments!O299)</f>
        <v/>
      </c>
      <c r="P298" s="21" t="str">
        <f>IF(Deployments!P299="","",Deployments!P299)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IF(Deployments!T299="","",Deployments!T299)</f>
        <v/>
      </c>
      <c r="AA298" s="21" t="str">
        <f>IF(Deployments!L299="","",Deployments!L299)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IF(Deployments!AH300="","",Deployments!AH300)</f>
        <v/>
      </c>
      <c r="E299" s="21" t="str">
        <f>IF(Deployments!I300="","",Deployments!I300)</f>
        <v/>
      </c>
      <c r="F299" s="21" t="str">
        <f>IF(Deployments!J300="","",Deployments!J300)</f>
        <v/>
      </c>
      <c r="G299" s="21" t="str">
        <f>IF(Deployments!K300="","",Deployments!K300)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IF(Deployments!AD300="","",Deployments!AD300)</f>
        <v/>
      </c>
      <c r="L299" s="21" t="str">
        <f>IF(Deployments!M300="","",Deployments!M300)</f>
        <v/>
      </c>
      <c r="M299" s="22"/>
      <c r="N299" s="21" t="str">
        <f>IF(Deployments!N300="","",Deployments!N300)</f>
        <v/>
      </c>
      <c r="O299" s="21" t="str">
        <f>IF(Deployments!O300="","",Deployments!O300)</f>
        <v/>
      </c>
      <c r="P299" s="21" t="str">
        <f>IF(Deployments!P300="","",Deployments!P300)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IF(Deployments!T300="","",Deployments!T300)</f>
        <v/>
      </c>
      <c r="AA299" s="21" t="str">
        <f>IF(Deployments!L300="","",Deployments!L300)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IF(Deployments!AH301="","",Deployments!AH301)</f>
        <v/>
      </c>
      <c r="E300" s="21" t="str">
        <f>IF(Deployments!I301="","",Deployments!I301)</f>
        <v/>
      </c>
      <c r="F300" s="21" t="str">
        <f>IF(Deployments!J301="","",Deployments!J301)</f>
        <v/>
      </c>
      <c r="G300" s="21" t="str">
        <f>IF(Deployments!K301="","",Deployments!K301)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IF(Deployments!AD301="","",Deployments!AD301)</f>
        <v/>
      </c>
      <c r="L300" s="21" t="str">
        <f>IF(Deployments!M301="","",Deployments!M301)</f>
        <v/>
      </c>
      <c r="M300" s="22"/>
      <c r="N300" s="21" t="str">
        <f>IF(Deployments!N301="","",Deployments!N301)</f>
        <v/>
      </c>
      <c r="O300" s="21" t="str">
        <f>IF(Deployments!O301="","",Deployments!O301)</f>
        <v/>
      </c>
      <c r="P300" s="21" t="str">
        <f>IF(Deployments!P301="","",Deployments!P301)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IF(Deployments!T301="","",Deployments!T301)</f>
        <v/>
      </c>
      <c r="AA300" s="21" t="str">
        <f>IF(Deployments!L301="","",Deployments!L301)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IF(Deployments!AH302="","",Deployments!AH302)</f>
        <v/>
      </c>
      <c r="E301" s="21" t="str">
        <f>IF(Deployments!I302="","",Deployments!I302)</f>
        <v/>
      </c>
      <c r="F301" s="21" t="str">
        <f>IF(Deployments!J302="","",Deployments!J302)</f>
        <v/>
      </c>
      <c r="G301" s="21" t="str">
        <f>IF(Deployments!K302="","",Deployments!K302)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IF(Deployments!AD302="","",Deployments!AD302)</f>
        <v/>
      </c>
      <c r="L301" s="21" t="str">
        <f>IF(Deployments!M302="","",Deployments!M302)</f>
        <v/>
      </c>
      <c r="M301" s="22"/>
      <c r="N301" s="21" t="str">
        <f>IF(Deployments!N302="","",Deployments!N302)</f>
        <v/>
      </c>
      <c r="O301" s="21" t="str">
        <f>IF(Deployments!O302="","",Deployments!O302)</f>
        <v/>
      </c>
      <c r="P301" s="21" t="str">
        <f>IF(Deployments!P302="","",Deployments!P302)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IF(Deployments!T302="","",Deployments!T302)</f>
        <v/>
      </c>
      <c r="AA301" s="21" t="str">
        <f>IF(Deployments!L302="","",Deployments!L302)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IF(Deployments!AH303="","",Deployments!AH303)</f>
        <v/>
      </c>
      <c r="E302" s="21" t="str">
        <f>IF(Deployments!I303="","",Deployments!I303)</f>
        <v/>
      </c>
      <c r="F302" s="21" t="str">
        <f>IF(Deployments!J303="","",Deployments!J303)</f>
        <v/>
      </c>
      <c r="G302" s="21" t="str">
        <f>IF(Deployments!K303="","",Deployments!K303)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IF(Deployments!AD303="","",Deployments!AD303)</f>
        <v/>
      </c>
      <c r="L302" s="21" t="str">
        <f>IF(Deployments!M303="","",Deployments!M303)</f>
        <v/>
      </c>
      <c r="M302" s="22"/>
      <c r="N302" s="21" t="str">
        <f>IF(Deployments!N303="","",Deployments!N303)</f>
        <v/>
      </c>
      <c r="O302" s="21" t="str">
        <f>IF(Deployments!O303="","",Deployments!O303)</f>
        <v/>
      </c>
      <c r="P302" s="21" t="str">
        <f>IF(Deployments!P303="","",Deployments!P303)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IF(Deployments!T303="","",Deployments!T303)</f>
        <v/>
      </c>
      <c r="AA302" s="21" t="str">
        <f>IF(Deployments!L303="","",Deployments!L303)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IF(Deployments!AH304="","",Deployments!AH304)</f>
        <v/>
      </c>
      <c r="E303" s="21" t="str">
        <f>IF(Deployments!I304="","",Deployments!I304)</f>
        <v/>
      </c>
      <c r="F303" s="21" t="str">
        <f>IF(Deployments!J304="","",Deployments!J304)</f>
        <v/>
      </c>
      <c r="G303" s="21" t="str">
        <f>IF(Deployments!K304="","",Deployments!K304)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IF(Deployments!AD304="","",Deployments!AD304)</f>
        <v/>
      </c>
      <c r="L303" s="21" t="str">
        <f>IF(Deployments!M304="","",Deployments!M304)</f>
        <v/>
      </c>
      <c r="M303" s="22"/>
      <c r="N303" s="21" t="str">
        <f>IF(Deployments!N304="","",Deployments!N304)</f>
        <v/>
      </c>
      <c r="O303" s="21" t="str">
        <f>IF(Deployments!O304="","",Deployments!O304)</f>
        <v/>
      </c>
      <c r="P303" s="21" t="str">
        <f>IF(Deployments!P304="","",Deployments!P304)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IF(Deployments!T304="","",Deployments!T304)</f>
        <v/>
      </c>
      <c r="AA303" s="21" t="str">
        <f>IF(Deployments!L304="","",Deployments!L304)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IF(Deployments!AH305="","",Deployments!AH305)</f>
        <v/>
      </c>
      <c r="E304" s="21" t="str">
        <f>IF(Deployments!I305="","",Deployments!I305)</f>
        <v/>
      </c>
      <c r="F304" s="21" t="str">
        <f>IF(Deployments!J305="","",Deployments!J305)</f>
        <v/>
      </c>
      <c r="G304" s="21" t="str">
        <f>IF(Deployments!K305="","",Deployments!K305)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IF(Deployments!AD305="","",Deployments!AD305)</f>
        <v/>
      </c>
      <c r="L304" s="21" t="str">
        <f>IF(Deployments!M305="","",Deployments!M305)</f>
        <v/>
      </c>
      <c r="M304" s="22"/>
      <c r="N304" s="21" t="str">
        <f>IF(Deployments!N305="","",Deployments!N305)</f>
        <v/>
      </c>
      <c r="O304" s="21" t="str">
        <f>IF(Deployments!O305="","",Deployments!O305)</f>
        <v/>
      </c>
      <c r="P304" s="21" t="str">
        <f>IF(Deployments!P305="","",Deployments!P305)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IF(Deployments!T305="","",Deployments!T305)</f>
        <v/>
      </c>
      <c r="AA304" s="21" t="str">
        <f>IF(Deployments!L305="","",Deployments!L305)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IF(Deployments!AH306="","",Deployments!AH306)</f>
        <v/>
      </c>
      <c r="E305" s="21" t="str">
        <f>IF(Deployments!I306="","",Deployments!I306)</f>
        <v/>
      </c>
      <c r="F305" s="21" t="str">
        <f>IF(Deployments!J306="","",Deployments!J306)</f>
        <v/>
      </c>
      <c r="G305" s="21" t="str">
        <f>IF(Deployments!K306="","",Deployments!K306)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IF(Deployments!AD306="","",Deployments!AD306)</f>
        <v/>
      </c>
      <c r="L305" s="21" t="str">
        <f>IF(Deployments!M306="","",Deployments!M306)</f>
        <v/>
      </c>
      <c r="M305" s="22"/>
      <c r="N305" s="21" t="str">
        <f>IF(Deployments!N306="","",Deployments!N306)</f>
        <v/>
      </c>
      <c r="O305" s="21" t="str">
        <f>IF(Deployments!O306="","",Deployments!O306)</f>
        <v/>
      </c>
      <c r="P305" s="21" t="str">
        <f>IF(Deployments!P306="","",Deployments!P306)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IF(Deployments!T306="","",Deployments!T306)</f>
        <v/>
      </c>
      <c r="AA305" s="21" t="str">
        <f>IF(Deployments!L306="","",Deployments!L306)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IF(Deployments!AH307="","",Deployments!AH307)</f>
        <v/>
      </c>
      <c r="E306" s="21" t="str">
        <f>IF(Deployments!I307="","",Deployments!I307)</f>
        <v/>
      </c>
      <c r="F306" s="21" t="str">
        <f>IF(Deployments!J307="","",Deployments!J307)</f>
        <v/>
      </c>
      <c r="G306" s="21" t="str">
        <f>IF(Deployments!K307="","",Deployments!K307)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IF(Deployments!AD307="","",Deployments!AD307)</f>
        <v/>
      </c>
      <c r="L306" s="21" t="str">
        <f>IF(Deployments!M307="","",Deployments!M307)</f>
        <v/>
      </c>
      <c r="M306" s="22"/>
      <c r="N306" s="21" t="str">
        <f>IF(Deployments!N307="","",Deployments!N307)</f>
        <v/>
      </c>
      <c r="O306" s="21" t="str">
        <f>IF(Deployments!O307="","",Deployments!O307)</f>
        <v/>
      </c>
      <c r="P306" s="21" t="str">
        <f>IF(Deployments!P307="","",Deployments!P307)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IF(Deployments!T307="","",Deployments!T307)</f>
        <v/>
      </c>
      <c r="AA306" s="21" t="str">
        <f>IF(Deployments!L307="","",Deployments!L307)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IF(Deployments!AH308="","",Deployments!AH308)</f>
        <v/>
      </c>
      <c r="E307" s="21" t="str">
        <f>IF(Deployments!I308="","",Deployments!I308)</f>
        <v/>
      </c>
      <c r="F307" s="21" t="str">
        <f>IF(Deployments!J308="","",Deployments!J308)</f>
        <v/>
      </c>
      <c r="G307" s="21" t="str">
        <f>IF(Deployments!K308="","",Deployments!K308)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IF(Deployments!AD308="","",Deployments!AD308)</f>
        <v/>
      </c>
      <c r="L307" s="21" t="str">
        <f>IF(Deployments!M308="","",Deployments!M308)</f>
        <v/>
      </c>
      <c r="M307" s="22"/>
      <c r="N307" s="21" t="str">
        <f>IF(Deployments!N308="","",Deployments!N308)</f>
        <v/>
      </c>
      <c r="O307" s="21" t="str">
        <f>IF(Deployments!O308="","",Deployments!O308)</f>
        <v/>
      </c>
      <c r="P307" s="21" t="str">
        <f>IF(Deployments!P308="","",Deployments!P308)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IF(Deployments!T308="","",Deployments!T308)</f>
        <v/>
      </c>
      <c r="AA307" s="21" t="str">
        <f>IF(Deployments!L308="","",Deployments!L308)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IF(Deployments!AH309="","",Deployments!AH309)</f>
        <v/>
      </c>
      <c r="E308" s="21" t="str">
        <f>IF(Deployments!I309="","",Deployments!I309)</f>
        <v/>
      </c>
      <c r="F308" s="21" t="str">
        <f>IF(Deployments!J309="","",Deployments!J309)</f>
        <v/>
      </c>
      <c r="G308" s="21" t="str">
        <f>IF(Deployments!K309="","",Deployments!K309)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IF(Deployments!AD309="","",Deployments!AD309)</f>
        <v/>
      </c>
      <c r="L308" s="21" t="str">
        <f>IF(Deployments!M309="","",Deployments!M309)</f>
        <v/>
      </c>
      <c r="M308" s="22"/>
      <c r="N308" s="21" t="str">
        <f>IF(Deployments!N309="","",Deployments!N309)</f>
        <v/>
      </c>
      <c r="O308" s="21" t="str">
        <f>IF(Deployments!O309="","",Deployments!O309)</f>
        <v/>
      </c>
      <c r="P308" s="21" t="str">
        <f>IF(Deployments!P309="","",Deployments!P309)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IF(Deployments!T309="","",Deployments!T309)</f>
        <v/>
      </c>
      <c r="AA308" s="21" t="str">
        <f>IF(Deployments!L309="","",Deployments!L309)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IF(Deployments!AH310="","",Deployments!AH310)</f>
        <v/>
      </c>
      <c r="E309" s="21" t="str">
        <f>IF(Deployments!I310="","",Deployments!I310)</f>
        <v/>
      </c>
      <c r="F309" s="21" t="str">
        <f>IF(Deployments!J310="","",Deployments!J310)</f>
        <v/>
      </c>
      <c r="G309" s="21" t="str">
        <f>IF(Deployments!K310="","",Deployments!K310)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IF(Deployments!AD310="","",Deployments!AD310)</f>
        <v/>
      </c>
      <c r="L309" s="21" t="str">
        <f>IF(Deployments!M310="","",Deployments!M310)</f>
        <v/>
      </c>
      <c r="M309" s="22"/>
      <c r="N309" s="21" t="str">
        <f>IF(Deployments!N310="","",Deployments!N310)</f>
        <v/>
      </c>
      <c r="O309" s="21" t="str">
        <f>IF(Deployments!O310="","",Deployments!O310)</f>
        <v/>
      </c>
      <c r="P309" s="21" t="str">
        <f>IF(Deployments!P310="","",Deployments!P310)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IF(Deployments!T310="","",Deployments!T310)</f>
        <v/>
      </c>
      <c r="AA309" s="21" t="str">
        <f>IF(Deployments!L310="","",Deployments!L310)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IF(Deployments!AH311="","",Deployments!AH311)</f>
        <v/>
      </c>
      <c r="E310" s="21" t="str">
        <f>IF(Deployments!I311="","",Deployments!I311)</f>
        <v/>
      </c>
      <c r="F310" s="21" t="str">
        <f>IF(Deployments!J311="","",Deployments!J311)</f>
        <v/>
      </c>
      <c r="G310" s="21" t="str">
        <f>IF(Deployments!K311="","",Deployments!K311)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IF(Deployments!AD311="","",Deployments!AD311)</f>
        <v/>
      </c>
      <c r="L310" s="21" t="str">
        <f>IF(Deployments!M311="","",Deployments!M311)</f>
        <v/>
      </c>
      <c r="M310" s="22"/>
      <c r="N310" s="21" t="str">
        <f>IF(Deployments!N311="","",Deployments!N311)</f>
        <v/>
      </c>
      <c r="O310" s="21" t="str">
        <f>IF(Deployments!O311="","",Deployments!O311)</f>
        <v/>
      </c>
      <c r="P310" s="21" t="str">
        <f>IF(Deployments!P311="","",Deployments!P311)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IF(Deployments!T311="","",Deployments!T311)</f>
        <v/>
      </c>
      <c r="AA310" s="21" t="str">
        <f>IF(Deployments!L311="","",Deployments!L311)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IF(Deployments!AH312="","",Deployments!AH312)</f>
        <v/>
      </c>
      <c r="E311" s="21" t="str">
        <f>IF(Deployments!I312="","",Deployments!I312)</f>
        <v/>
      </c>
      <c r="F311" s="21" t="str">
        <f>IF(Deployments!J312="","",Deployments!J312)</f>
        <v/>
      </c>
      <c r="G311" s="21" t="str">
        <f>IF(Deployments!K312="","",Deployments!K312)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IF(Deployments!AD312="","",Deployments!AD312)</f>
        <v/>
      </c>
      <c r="L311" s="21" t="str">
        <f>IF(Deployments!M312="","",Deployments!M312)</f>
        <v/>
      </c>
      <c r="M311" s="22"/>
      <c r="N311" s="21" t="str">
        <f>IF(Deployments!N312="","",Deployments!N312)</f>
        <v/>
      </c>
      <c r="O311" s="21" t="str">
        <f>IF(Deployments!O312="","",Deployments!O312)</f>
        <v/>
      </c>
      <c r="P311" s="21" t="str">
        <f>IF(Deployments!P312="","",Deployments!P312)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IF(Deployments!T312="","",Deployments!T312)</f>
        <v/>
      </c>
      <c r="AA311" s="21" t="str">
        <f>IF(Deployments!L312="","",Deployments!L312)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IF(Deployments!AH313="","",Deployments!AH313)</f>
        <v/>
      </c>
      <c r="E312" s="21" t="str">
        <f>IF(Deployments!I313="","",Deployments!I313)</f>
        <v/>
      </c>
      <c r="F312" s="21" t="str">
        <f>IF(Deployments!J313="","",Deployments!J313)</f>
        <v/>
      </c>
      <c r="G312" s="21" t="str">
        <f>IF(Deployments!K313="","",Deployments!K313)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IF(Deployments!AD313="","",Deployments!AD313)</f>
        <v/>
      </c>
      <c r="L312" s="21" t="str">
        <f>IF(Deployments!M313="","",Deployments!M313)</f>
        <v/>
      </c>
      <c r="M312" s="22"/>
      <c r="N312" s="21" t="str">
        <f>IF(Deployments!N313="","",Deployments!N313)</f>
        <v/>
      </c>
      <c r="O312" s="21" t="str">
        <f>IF(Deployments!O313="","",Deployments!O313)</f>
        <v/>
      </c>
      <c r="P312" s="21" t="str">
        <f>IF(Deployments!P313="","",Deployments!P313)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IF(Deployments!T313="","",Deployments!T313)</f>
        <v/>
      </c>
      <c r="AA312" s="21" t="str">
        <f>IF(Deployments!L313="","",Deployments!L313)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IF(Deployments!AH314="","",Deployments!AH314)</f>
        <v/>
      </c>
      <c r="E313" s="21" t="str">
        <f>IF(Deployments!I314="","",Deployments!I314)</f>
        <v/>
      </c>
      <c r="F313" s="21" t="str">
        <f>IF(Deployments!J314="","",Deployments!J314)</f>
        <v/>
      </c>
      <c r="G313" s="21" t="str">
        <f>IF(Deployments!K314="","",Deployments!K314)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IF(Deployments!AD314="","",Deployments!AD314)</f>
        <v/>
      </c>
      <c r="L313" s="21" t="str">
        <f>IF(Deployments!M314="","",Deployments!M314)</f>
        <v/>
      </c>
      <c r="M313" s="22"/>
      <c r="N313" s="21" t="str">
        <f>IF(Deployments!N314="","",Deployments!N314)</f>
        <v/>
      </c>
      <c r="O313" s="21" t="str">
        <f>IF(Deployments!O314="","",Deployments!O314)</f>
        <v/>
      </c>
      <c r="P313" s="21" t="str">
        <f>IF(Deployments!P314="","",Deployments!P314)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IF(Deployments!T314="","",Deployments!T314)</f>
        <v/>
      </c>
      <c r="AA313" s="21" t="str">
        <f>IF(Deployments!L314="","",Deployments!L314)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IF(Deployments!AH315="","",Deployments!AH315)</f>
        <v/>
      </c>
      <c r="E314" s="21" t="str">
        <f>IF(Deployments!I315="","",Deployments!I315)</f>
        <v/>
      </c>
      <c r="F314" s="21" t="str">
        <f>IF(Deployments!J315="","",Deployments!J315)</f>
        <v/>
      </c>
      <c r="G314" s="21" t="str">
        <f>IF(Deployments!K315="","",Deployments!K315)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IF(Deployments!AD315="","",Deployments!AD315)</f>
        <v/>
      </c>
      <c r="L314" s="21" t="str">
        <f>IF(Deployments!M315="","",Deployments!M315)</f>
        <v/>
      </c>
      <c r="M314" s="22"/>
      <c r="N314" s="21" t="str">
        <f>IF(Deployments!N315="","",Deployments!N315)</f>
        <v/>
      </c>
      <c r="O314" s="21" t="str">
        <f>IF(Deployments!O315="","",Deployments!O315)</f>
        <v/>
      </c>
      <c r="P314" s="21" t="str">
        <f>IF(Deployments!P315="","",Deployments!P315)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IF(Deployments!T315="","",Deployments!T315)</f>
        <v/>
      </c>
      <c r="AA314" s="21" t="str">
        <f>IF(Deployments!L315="","",Deployments!L315)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IF(Deployments!AH316="","",Deployments!AH316)</f>
        <v/>
      </c>
      <c r="E315" s="21" t="str">
        <f>IF(Deployments!I316="","",Deployments!I316)</f>
        <v/>
      </c>
      <c r="F315" s="21" t="str">
        <f>IF(Deployments!J316="","",Deployments!J316)</f>
        <v/>
      </c>
      <c r="G315" s="21" t="str">
        <f>IF(Deployments!K316="","",Deployments!K316)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IF(Deployments!AD316="","",Deployments!AD316)</f>
        <v/>
      </c>
      <c r="L315" s="21" t="str">
        <f>IF(Deployments!M316="","",Deployments!M316)</f>
        <v/>
      </c>
      <c r="M315" s="22"/>
      <c r="N315" s="21" t="str">
        <f>IF(Deployments!N316="","",Deployments!N316)</f>
        <v/>
      </c>
      <c r="O315" s="21" t="str">
        <f>IF(Deployments!O316="","",Deployments!O316)</f>
        <v/>
      </c>
      <c r="P315" s="21" t="str">
        <f>IF(Deployments!P316="","",Deployments!P316)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IF(Deployments!T316="","",Deployments!T316)</f>
        <v/>
      </c>
      <c r="AA315" s="21" t="str">
        <f>IF(Deployments!L316="","",Deployments!L316)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IF(Deployments!AH317="","",Deployments!AH317)</f>
        <v/>
      </c>
      <c r="E316" s="21" t="str">
        <f>IF(Deployments!I317="","",Deployments!I317)</f>
        <v/>
      </c>
      <c r="F316" s="21" t="str">
        <f>IF(Deployments!J317="","",Deployments!J317)</f>
        <v/>
      </c>
      <c r="G316" s="21" t="str">
        <f>IF(Deployments!K317="","",Deployments!K317)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IF(Deployments!AD317="","",Deployments!AD317)</f>
        <v/>
      </c>
      <c r="L316" s="21" t="str">
        <f>IF(Deployments!M317="","",Deployments!M317)</f>
        <v/>
      </c>
      <c r="M316" s="22"/>
      <c r="N316" s="21" t="str">
        <f>IF(Deployments!N317="","",Deployments!N317)</f>
        <v/>
      </c>
      <c r="O316" s="21" t="str">
        <f>IF(Deployments!O317="","",Deployments!O317)</f>
        <v/>
      </c>
      <c r="P316" s="21" t="str">
        <f>IF(Deployments!P317="","",Deployments!P317)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IF(Deployments!T317="","",Deployments!T317)</f>
        <v/>
      </c>
      <c r="AA316" s="21" t="str">
        <f>IF(Deployments!L317="","",Deployments!L317)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IF(Deployments!AH318="","",Deployments!AH318)</f>
        <v/>
      </c>
      <c r="E317" s="21" t="str">
        <f>IF(Deployments!I318="","",Deployments!I318)</f>
        <v/>
      </c>
      <c r="F317" s="21" t="str">
        <f>IF(Deployments!J318="","",Deployments!J318)</f>
        <v/>
      </c>
      <c r="G317" s="21" t="str">
        <f>IF(Deployments!K318="","",Deployments!K318)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IF(Deployments!AD318="","",Deployments!AD318)</f>
        <v/>
      </c>
      <c r="L317" s="21" t="str">
        <f>IF(Deployments!M318="","",Deployments!M318)</f>
        <v/>
      </c>
      <c r="M317" s="22"/>
      <c r="N317" s="21" t="str">
        <f>IF(Deployments!N318="","",Deployments!N318)</f>
        <v/>
      </c>
      <c r="O317" s="21" t="str">
        <f>IF(Deployments!O318="","",Deployments!O318)</f>
        <v/>
      </c>
      <c r="P317" s="21" t="str">
        <f>IF(Deployments!P318="","",Deployments!P318)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IF(Deployments!T318="","",Deployments!T318)</f>
        <v/>
      </c>
      <c r="AA317" s="21" t="str">
        <f>IF(Deployments!L318="","",Deployments!L318)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IF(Deployments!AH319="","",Deployments!AH319)</f>
        <v/>
      </c>
      <c r="E318" s="21" t="str">
        <f>IF(Deployments!I319="","",Deployments!I319)</f>
        <v/>
      </c>
      <c r="F318" s="21" t="str">
        <f>IF(Deployments!J319="","",Deployments!J319)</f>
        <v/>
      </c>
      <c r="G318" s="21" t="str">
        <f>IF(Deployments!K319="","",Deployments!K319)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IF(Deployments!AD319="","",Deployments!AD319)</f>
        <v/>
      </c>
      <c r="L318" s="21" t="str">
        <f>IF(Deployments!M319="","",Deployments!M319)</f>
        <v/>
      </c>
      <c r="M318" s="22"/>
      <c r="N318" s="21" t="str">
        <f>IF(Deployments!N319="","",Deployments!N319)</f>
        <v/>
      </c>
      <c r="O318" s="21" t="str">
        <f>IF(Deployments!O319="","",Deployments!O319)</f>
        <v/>
      </c>
      <c r="P318" s="21" t="str">
        <f>IF(Deployments!P319="","",Deployments!P319)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IF(Deployments!T319="","",Deployments!T319)</f>
        <v/>
      </c>
      <c r="AA318" s="21" t="str">
        <f>IF(Deployments!L319="","",Deployments!L319)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IF(Deployments!AH320="","",Deployments!AH320)</f>
        <v/>
      </c>
      <c r="E319" s="21" t="str">
        <f>IF(Deployments!I320="","",Deployments!I320)</f>
        <v/>
      </c>
      <c r="F319" s="21" t="str">
        <f>IF(Deployments!J320="","",Deployments!J320)</f>
        <v/>
      </c>
      <c r="G319" s="21" t="str">
        <f>IF(Deployments!K320="","",Deployments!K320)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IF(Deployments!AD320="","",Deployments!AD320)</f>
        <v/>
      </c>
      <c r="L319" s="21" t="str">
        <f>IF(Deployments!M320="","",Deployments!M320)</f>
        <v/>
      </c>
      <c r="M319" s="22"/>
      <c r="N319" s="21" t="str">
        <f>IF(Deployments!N320="","",Deployments!N320)</f>
        <v/>
      </c>
      <c r="O319" s="21" t="str">
        <f>IF(Deployments!O320="","",Deployments!O320)</f>
        <v/>
      </c>
      <c r="P319" s="21" t="str">
        <f>IF(Deployments!P320="","",Deployments!P320)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IF(Deployments!T320="","",Deployments!T320)</f>
        <v/>
      </c>
      <c r="AA319" s="21" t="str">
        <f>IF(Deployments!L320="","",Deployments!L320)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IF(Deployments!AH321="","",Deployments!AH321)</f>
        <v/>
      </c>
      <c r="E320" s="21" t="str">
        <f>IF(Deployments!I321="","",Deployments!I321)</f>
        <v/>
      </c>
      <c r="F320" s="21" t="str">
        <f>IF(Deployments!J321="","",Deployments!J321)</f>
        <v/>
      </c>
      <c r="G320" s="21" t="str">
        <f>IF(Deployments!K321="","",Deployments!K321)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IF(Deployments!AD321="","",Deployments!AD321)</f>
        <v/>
      </c>
      <c r="L320" s="21" t="str">
        <f>IF(Deployments!M321="","",Deployments!M321)</f>
        <v/>
      </c>
      <c r="M320" s="22"/>
      <c r="N320" s="21" t="str">
        <f>IF(Deployments!N321="","",Deployments!N321)</f>
        <v/>
      </c>
      <c r="O320" s="21" t="str">
        <f>IF(Deployments!O321="","",Deployments!O321)</f>
        <v/>
      </c>
      <c r="P320" s="21" t="str">
        <f>IF(Deployments!P321="","",Deployments!P321)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IF(Deployments!T321="","",Deployments!T321)</f>
        <v/>
      </c>
      <c r="AA320" s="21" t="str">
        <f>IF(Deployments!L321="","",Deployments!L321)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IF(Deployments!AH322="","",Deployments!AH322)</f>
        <v/>
      </c>
      <c r="E321" s="21" t="str">
        <f>IF(Deployments!I322="","",Deployments!I322)</f>
        <v/>
      </c>
      <c r="F321" s="21" t="str">
        <f>IF(Deployments!J322="","",Deployments!J322)</f>
        <v/>
      </c>
      <c r="G321" s="21" t="str">
        <f>IF(Deployments!K322="","",Deployments!K322)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IF(Deployments!AD322="","",Deployments!AD322)</f>
        <v/>
      </c>
      <c r="L321" s="21" t="str">
        <f>IF(Deployments!M322="","",Deployments!M322)</f>
        <v/>
      </c>
      <c r="M321" s="22"/>
      <c r="N321" s="21" t="str">
        <f>IF(Deployments!N322="","",Deployments!N322)</f>
        <v/>
      </c>
      <c r="O321" s="21" t="str">
        <f>IF(Deployments!O322="","",Deployments!O322)</f>
        <v/>
      </c>
      <c r="P321" s="21" t="str">
        <f>IF(Deployments!P322="","",Deployments!P322)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IF(Deployments!T322="","",Deployments!T322)</f>
        <v/>
      </c>
      <c r="AA321" s="21" t="str">
        <f>IF(Deployments!L322="","",Deployments!L322)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IF(Deployments!AH323="","",Deployments!AH323)</f>
        <v/>
      </c>
      <c r="E322" s="21" t="str">
        <f>IF(Deployments!I323="","",Deployments!I323)</f>
        <v/>
      </c>
      <c r="F322" s="21" t="str">
        <f>IF(Deployments!J323="","",Deployments!J323)</f>
        <v/>
      </c>
      <c r="G322" s="21" t="str">
        <f>IF(Deployments!K323="","",Deployments!K323)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IF(Deployments!AD323="","",Deployments!AD323)</f>
        <v/>
      </c>
      <c r="L322" s="21" t="str">
        <f>IF(Deployments!M323="","",Deployments!M323)</f>
        <v/>
      </c>
      <c r="M322" s="22"/>
      <c r="N322" s="21" t="str">
        <f>IF(Deployments!N323="","",Deployments!N323)</f>
        <v/>
      </c>
      <c r="O322" s="21" t="str">
        <f>IF(Deployments!O323="","",Deployments!O323)</f>
        <v/>
      </c>
      <c r="P322" s="21" t="str">
        <f>IF(Deployments!P323="","",Deployments!P323)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IF(Deployments!T323="","",Deployments!T323)</f>
        <v/>
      </c>
      <c r="AA322" s="21" t="str">
        <f>IF(Deployments!L323="","",Deployments!L323)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IF(Deployments!AH324="","",Deployments!AH324)</f>
        <v/>
      </c>
      <c r="E323" s="21" t="str">
        <f>IF(Deployments!I324="","",Deployments!I324)</f>
        <v/>
      </c>
      <c r="F323" s="21" t="str">
        <f>IF(Deployments!J324="","",Deployments!J324)</f>
        <v/>
      </c>
      <c r="G323" s="21" t="str">
        <f>IF(Deployments!K324="","",Deployments!K324)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IF(Deployments!AD324="","",Deployments!AD324)</f>
        <v/>
      </c>
      <c r="L323" s="21" t="str">
        <f>IF(Deployments!M324="","",Deployments!M324)</f>
        <v/>
      </c>
      <c r="M323" s="22"/>
      <c r="N323" s="21" t="str">
        <f>IF(Deployments!N324="","",Deployments!N324)</f>
        <v/>
      </c>
      <c r="O323" s="21" t="str">
        <f>IF(Deployments!O324="","",Deployments!O324)</f>
        <v/>
      </c>
      <c r="P323" s="21" t="str">
        <f>IF(Deployments!P324="","",Deployments!P324)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IF(Deployments!T324="","",Deployments!T324)</f>
        <v/>
      </c>
      <c r="AA323" s="21" t="str">
        <f>IF(Deployments!L324="","",Deployments!L324)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IF(Deployments!AH325="","",Deployments!AH325)</f>
        <v/>
      </c>
      <c r="E324" s="21" t="str">
        <f>IF(Deployments!I325="","",Deployments!I325)</f>
        <v/>
      </c>
      <c r="F324" s="21" t="str">
        <f>IF(Deployments!J325="","",Deployments!J325)</f>
        <v/>
      </c>
      <c r="G324" s="21" t="str">
        <f>IF(Deployments!K325="","",Deployments!K325)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IF(Deployments!AD325="","",Deployments!AD325)</f>
        <v/>
      </c>
      <c r="L324" s="21" t="str">
        <f>IF(Deployments!M325="","",Deployments!M325)</f>
        <v/>
      </c>
      <c r="M324" s="22"/>
      <c r="N324" s="21" t="str">
        <f>IF(Deployments!N325="","",Deployments!N325)</f>
        <v/>
      </c>
      <c r="O324" s="21" t="str">
        <f>IF(Deployments!O325="","",Deployments!O325)</f>
        <v/>
      </c>
      <c r="P324" s="21" t="str">
        <f>IF(Deployments!P325="","",Deployments!P325)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IF(Deployments!T325="","",Deployments!T325)</f>
        <v/>
      </c>
      <c r="AA324" s="21" t="str">
        <f>IF(Deployments!L325="","",Deployments!L325)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IF(Deployments!AH326="","",Deployments!AH326)</f>
        <v/>
      </c>
      <c r="E325" s="21" t="str">
        <f>IF(Deployments!I326="","",Deployments!I326)</f>
        <v/>
      </c>
      <c r="F325" s="21" t="str">
        <f>IF(Deployments!J326="","",Deployments!J326)</f>
        <v/>
      </c>
      <c r="G325" s="21" t="str">
        <f>IF(Deployments!K326="","",Deployments!K326)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IF(Deployments!AD326="","",Deployments!AD326)</f>
        <v/>
      </c>
      <c r="L325" s="21" t="str">
        <f>IF(Deployments!M326="","",Deployments!M326)</f>
        <v/>
      </c>
      <c r="M325" s="22"/>
      <c r="N325" s="21" t="str">
        <f>IF(Deployments!N326="","",Deployments!N326)</f>
        <v/>
      </c>
      <c r="O325" s="21" t="str">
        <f>IF(Deployments!O326="","",Deployments!O326)</f>
        <v/>
      </c>
      <c r="P325" s="21" t="str">
        <f>IF(Deployments!P326="","",Deployments!P326)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IF(Deployments!T326="","",Deployments!T326)</f>
        <v/>
      </c>
      <c r="AA325" s="21" t="str">
        <f>IF(Deployments!L326="","",Deployments!L326)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IF(Deployments!AH327="","",Deployments!AH327)</f>
        <v/>
      </c>
      <c r="E326" s="21" t="str">
        <f>IF(Deployments!I327="","",Deployments!I327)</f>
        <v/>
      </c>
      <c r="F326" s="21" t="str">
        <f>IF(Deployments!J327="","",Deployments!J327)</f>
        <v/>
      </c>
      <c r="G326" s="21" t="str">
        <f>IF(Deployments!K327="","",Deployments!K327)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IF(Deployments!AD327="","",Deployments!AD327)</f>
        <v/>
      </c>
      <c r="L326" s="21" t="str">
        <f>IF(Deployments!M327="","",Deployments!M327)</f>
        <v/>
      </c>
      <c r="M326" s="22"/>
      <c r="N326" s="21" t="str">
        <f>IF(Deployments!N327="","",Deployments!N327)</f>
        <v/>
      </c>
      <c r="O326" s="21" t="str">
        <f>IF(Deployments!O327="","",Deployments!O327)</f>
        <v/>
      </c>
      <c r="P326" s="21" t="str">
        <f>IF(Deployments!P327="","",Deployments!P327)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IF(Deployments!T327="","",Deployments!T327)</f>
        <v/>
      </c>
      <c r="AA326" s="21" t="str">
        <f>IF(Deployments!L327="","",Deployments!L327)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IF(Deployments!AH328="","",Deployments!AH328)</f>
        <v/>
      </c>
      <c r="E327" s="21" t="str">
        <f>IF(Deployments!I328="","",Deployments!I328)</f>
        <v/>
      </c>
      <c r="F327" s="21" t="str">
        <f>IF(Deployments!J328="","",Deployments!J328)</f>
        <v/>
      </c>
      <c r="G327" s="21" t="str">
        <f>IF(Deployments!K328="","",Deployments!K328)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IF(Deployments!AD328="","",Deployments!AD328)</f>
        <v/>
      </c>
      <c r="L327" s="21" t="str">
        <f>IF(Deployments!M328="","",Deployments!M328)</f>
        <v/>
      </c>
      <c r="M327" s="22"/>
      <c r="N327" s="21" t="str">
        <f>IF(Deployments!N328="","",Deployments!N328)</f>
        <v/>
      </c>
      <c r="O327" s="21" t="str">
        <f>IF(Deployments!O328="","",Deployments!O328)</f>
        <v/>
      </c>
      <c r="P327" s="21" t="str">
        <f>IF(Deployments!P328="","",Deployments!P328)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IF(Deployments!T328="","",Deployments!T328)</f>
        <v/>
      </c>
      <c r="AA327" s="21" t="str">
        <f>IF(Deployments!L328="","",Deployments!L328)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IF(Deployments!AH329="","",Deployments!AH329)</f>
        <v/>
      </c>
      <c r="E328" s="21" t="str">
        <f>IF(Deployments!I329="","",Deployments!I329)</f>
        <v/>
      </c>
      <c r="F328" s="21" t="str">
        <f>IF(Deployments!J329="","",Deployments!J329)</f>
        <v/>
      </c>
      <c r="G328" s="21" t="str">
        <f>IF(Deployments!K329="","",Deployments!K329)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IF(Deployments!AD329="","",Deployments!AD329)</f>
        <v/>
      </c>
      <c r="L328" s="21" t="str">
        <f>IF(Deployments!M329="","",Deployments!M329)</f>
        <v/>
      </c>
      <c r="M328" s="22"/>
      <c r="N328" s="21" t="str">
        <f>IF(Deployments!N329="","",Deployments!N329)</f>
        <v/>
      </c>
      <c r="O328" s="21" t="str">
        <f>IF(Deployments!O329="","",Deployments!O329)</f>
        <v/>
      </c>
      <c r="P328" s="21" t="str">
        <f>IF(Deployments!P329="","",Deployments!P329)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IF(Deployments!T329="","",Deployments!T329)</f>
        <v/>
      </c>
      <c r="AA328" s="21" t="str">
        <f>IF(Deployments!L329="","",Deployments!L329)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IF(Deployments!AH330="","",Deployments!AH330)</f>
        <v/>
      </c>
      <c r="E329" s="21" t="str">
        <f>IF(Deployments!I330="","",Deployments!I330)</f>
        <v/>
      </c>
      <c r="F329" s="21" t="str">
        <f>IF(Deployments!J330="","",Deployments!J330)</f>
        <v/>
      </c>
      <c r="G329" s="21" t="str">
        <f>IF(Deployments!K330="","",Deployments!K330)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IF(Deployments!AD330="","",Deployments!AD330)</f>
        <v/>
      </c>
      <c r="L329" s="21" t="str">
        <f>IF(Deployments!M330="","",Deployments!M330)</f>
        <v/>
      </c>
      <c r="M329" s="22"/>
      <c r="N329" s="21" t="str">
        <f>IF(Deployments!N330="","",Deployments!N330)</f>
        <v/>
      </c>
      <c r="O329" s="21" t="str">
        <f>IF(Deployments!O330="","",Deployments!O330)</f>
        <v/>
      </c>
      <c r="P329" s="21" t="str">
        <f>IF(Deployments!P330="","",Deployments!P330)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IF(Deployments!T330="","",Deployments!T330)</f>
        <v/>
      </c>
      <c r="AA329" s="21" t="str">
        <f>IF(Deployments!L330="","",Deployments!L330)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IF(Deployments!AH331="","",Deployments!AH331)</f>
        <v/>
      </c>
      <c r="E330" s="21" t="str">
        <f>IF(Deployments!I331="","",Deployments!I331)</f>
        <v/>
      </c>
      <c r="F330" s="21" t="str">
        <f>IF(Deployments!J331="","",Deployments!J331)</f>
        <v/>
      </c>
      <c r="G330" s="21" t="str">
        <f>IF(Deployments!K331="","",Deployments!K331)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IF(Deployments!AD331="","",Deployments!AD331)</f>
        <v/>
      </c>
      <c r="L330" s="21" t="str">
        <f>IF(Deployments!M331="","",Deployments!M331)</f>
        <v/>
      </c>
      <c r="M330" s="22"/>
      <c r="N330" s="21" t="str">
        <f>IF(Deployments!N331="","",Deployments!N331)</f>
        <v/>
      </c>
      <c r="O330" s="21" t="str">
        <f>IF(Deployments!O331="","",Deployments!O331)</f>
        <v/>
      </c>
      <c r="P330" s="21" t="str">
        <f>IF(Deployments!P331="","",Deployments!P331)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IF(Deployments!T331="","",Deployments!T331)</f>
        <v/>
      </c>
      <c r="AA330" s="21" t="str">
        <f>IF(Deployments!L331="","",Deployments!L331)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IF(Deployments!AH332="","",Deployments!AH332)</f>
        <v/>
      </c>
      <c r="E331" s="21" t="str">
        <f>IF(Deployments!I332="","",Deployments!I332)</f>
        <v/>
      </c>
      <c r="F331" s="21" t="str">
        <f>IF(Deployments!J332="","",Deployments!J332)</f>
        <v/>
      </c>
      <c r="G331" s="21" t="str">
        <f>IF(Deployments!K332="","",Deployments!K332)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IF(Deployments!AD332="","",Deployments!AD332)</f>
        <v/>
      </c>
      <c r="L331" s="21" t="str">
        <f>IF(Deployments!M332="","",Deployments!M332)</f>
        <v/>
      </c>
      <c r="M331" s="22"/>
      <c r="N331" s="21" t="str">
        <f>IF(Deployments!N332="","",Deployments!N332)</f>
        <v/>
      </c>
      <c r="O331" s="21" t="str">
        <f>IF(Deployments!O332="","",Deployments!O332)</f>
        <v/>
      </c>
      <c r="P331" s="21" t="str">
        <f>IF(Deployments!P332="","",Deployments!P332)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IF(Deployments!T332="","",Deployments!T332)</f>
        <v/>
      </c>
      <c r="AA331" s="21" t="str">
        <f>IF(Deployments!L332="","",Deployments!L332)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IF(Deployments!AH333="","",Deployments!AH333)</f>
        <v/>
      </c>
      <c r="E332" s="21" t="str">
        <f>IF(Deployments!I333="","",Deployments!I333)</f>
        <v/>
      </c>
      <c r="F332" s="21" t="str">
        <f>IF(Deployments!J333="","",Deployments!J333)</f>
        <v/>
      </c>
      <c r="G332" s="21" t="str">
        <f>IF(Deployments!K333="","",Deployments!K333)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IF(Deployments!AD333="","",Deployments!AD333)</f>
        <v/>
      </c>
      <c r="L332" s="21" t="str">
        <f>IF(Deployments!M333="","",Deployments!M333)</f>
        <v/>
      </c>
      <c r="M332" s="22"/>
      <c r="N332" s="21" t="str">
        <f>IF(Deployments!N333="","",Deployments!N333)</f>
        <v/>
      </c>
      <c r="O332" s="21" t="str">
        <f>IF(Deployments!O333="","",Deployments!O333)</f>
        <v/>
      </c>
      <c r="P332" s="21" t="str">
        <f>IF(Deployments!P333="","",Deployments!P333)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IF(Deployments!T333="","",Deployments!T333)</f>
        <v/>
      </c>
      <c r="AA332" s="21" t="str">
        <f>IF(Deployments!L333="","",Deployments!L333)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IF(Deployments!AH334="","",Deployments!AH334)</f>
        <v/>
      </c>
      <c r="E333" s="21" t="str">
        <f>IF(Deployments!I334="","",Deployments!I334)</f>
        <v/>
      </c>
      <c r="F333" s="21" t="str">
        <f>IF(Deployments!J334="","",Deployments!J334)</f>
        <v/>
      </c>
      <c r="G333" s="21" t="str">
        <f>IF(Deployments!K334="","",Deployments!K334)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IF(Deployments!AD334="","",Deployments!AD334)</f>
        <v/>
      </c>
      <c r="L333" s="21" t="str">
        <f>IF(Deployments!M334="","",Deployments!M334)</f>
        <v/>
      </c>
      <c r="M333" s="22"/>
      <c r="N333" s="21" t="str">
        <f>IF(Deployments!N334="","",Deployments!N334)</f>
        <v/>
      </c>
      <c r="O333" s="21" t="str">
        <f>IF(Deployments!O334="","",Deployments!O334)</f>
        <v/>
      </c>
      <c r="P333" s="21" t="str">
        <f>IF(Deployments!P334="","",Deployments!P334)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IF(Deployments!T334="","",Deployments!T334)</f>
        <v/>
      </c>
      <c r="AA333" s="21" t="str">
        <f>IF(Deployments!L334="","",Deployments!L334)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IF(Deployments!AH335="","",Deployments!AH335)</f>
        <v/>
      </c>
      <c r="E334" s="21" t="str">
        <f>IF(Deployments!I335="","",Deployments!I335)</f>
        <v/>
      </c>
      <c r="F334" s="21" t="str">
        <f>IF(Deployments!J335="","",Deployments!J335)</f>
        <v/>
      </c>
      <c r="G334" s="21" t="str">
        <f>IF(Deployments!K335="","",Deployments!K335)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IF(Deployments!AD335="","",Deployments!AD335)</f>
        <v/>
      </c>
      <c r="L334" s="21" t="str">
        <f>IF(Deployments!M335="","",Deployments!M335)</f>
        <v/>
      </c>
      <c r="M334" s="22"/>
      <c r="N334" s="21" t="str">
        <f>IF(Deployments!N335="","",Deployments!N335)</f>
        <v/>
      </c>
      <c r="O334" s="21" t="str">
        <f>IF(Deployments!O335="","",Deployments!O335)</f>
        <v/>
      </c>
      <c r="P334" s="21" t="str">
        <f>IF(Deployments!P335="","",Deployments!P335)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IF(Deployments!T335="","",Deployments!T335)</f>
        <v/>
      </c>
      <c r="AA334" s="21" t="str">
        <f>IF(Deployments!L335="","",Deployments!L335)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IF(Deployments!AH336="","",Deployments!AH336)</f>
        <v/>
      </c>
      <c r="E335" s="21" t="str">
        <f>IF(Deployments!I336="","",Deployments!I336)</f>
        <v/>
      </c>
      <c r="F335" s="21" t="str">
        <f>IF(Deployments!J336="","",Deployments!J336)</f>
        <v/>
      </c>
      <c r="G335" s="21" t="str">
        <f>IF(Deployments!K336="","",Deployments!K336)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IF(Deployments!AD336="","",Deployments!AD336)</f>
        <v/>
      </c>
      <c r="L335" s="21" t="str">
        <f>IF(Deployments!M336="","",Deployments!M336)</f>
        <v/>
      </c>
      <c r="M335" s="22"/>
      <c r="N335" s="21" t="str">
        <f>IF(Deployments!N336="","",Deployments!N336)</f>
        <v/>
      </c>
      <c r="O335" s="21" t="str">
        <f>IF(Deployments!O336="","",Deployments!O336)</f>
        <v/>
      </c>
      <c r="P335" s="21" t="str">
        <f>IF(Deployments!P336="","",Deployments!P336)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IF(Deployments!T336="","",Deployments!T336)</f>
        <v/>
      </c>
      <c r="AA335" s="21" t="str">
        <f>IF(Deployments!L336="","",Deployments!L336)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IF(Deployments!AH337="","",Deployments!AH337)</f>
        <v/>
      </c>
      <c r="E336" s="21" t="str">
        <f>IF(Deployments!I337="","",Deployments!I337)</f>
        <v/>
      </c>
      <c r="F336" s="21" t="str">
        <f>IF(Deployments!J337="","",Deployments!J337)</f>
        <v/>
      </c>
      <c r="G336" s="21" t="str">
        <f>IF(Deployments!K337="","",Deployments!K337)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IF(Deployments!AD337="","",Deployments!AD337)</f>
        <v/>
      </c>
      <c r="L336" s="21" t="str">
        <f>IF(Deployments!M337="","",Deployments!M337)</f>
        <v/>
      </c>
      <c r="M336" s="22"/>
      <c r="N336" s="21" t="str">
        <f>IF(Deployments!N337="","",Deployments!N337)</f>
        <v/>
      </c>
      <c r="O336" s="21" t="str">
        <f>IF(Deployments!O337="","",Deployments!O337)</f>
        <v/>
      </c>
      <c r="P336" s="21" t="str">
        <f>IF(Deployments!P337="","",Deployments!P337)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IF(Deployments!T337="","",Deployments!T337)</f>
        <v/>
      </c>
      <c r="AA336" s="21" t="str">
        <f>IF(Deployments!L337="","",Deployments!L337)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IF(Deployments!AH338="","",Deployments!AH338)</f>
        <v/>
      </c>
      <c r="E337" s="21" t="str">
        <f>IF(Deployments!I338="","",Deployments!I338)</f>
        <v/>
      </c>
      <c r="F337" s="21" t="str">
        <f>IF(Deployments!J338="","",Deployments!J338)</f>
        <v/>
      </c>
      <c r="G337" s="21" t="str">
        <f>IF(Deployments!K338="","",Deployments!K338)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IF(Deployments!AD338="","",Deployments!AD338)</f>
        <v/>
      </c>
      <c r="L337" s="21" t="str">
        <f>IF(Deployments!M338="","",Deployments!M338)</f>
        <v/>
      </c>
      <c r="M337" s="22"/>
      <c r="N337" s="21" t="str">
        <f>IF(Deployments!N338="","",Deployments!N338)</f>
        <v/>
      </c>
      <c r="O337" s="21" t="str">
        <f>IF(Deployments!O338="","",Deployments!O338)</f>
        <v/>
      </c>
      <c r="P337" s="21" t="str">
        <f>IF(Deployments!P338="","",Deployments!P338)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IF(Deployments!T338="","",Deployments!T338)</f>
        <v/>
      </c>
      <c r="AA337" s="21" t="str">
        <f>IF(Deployments!L338="","",Deployments!L338)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IF(Deployments!AH339="","",Deployments!AH339)</f>
        <v/>
      </c>
      <c r="E338" s="21" t="str">
        <f>IF(Deployments!I339="","",Deployments!I339)</f>
        <v/>
      </c>
      <c r="F338" s="21" t="str">
        <f>IF(Deployments!J339="","",Deployments!J339)</f>
        <v/>
      </c>
      <c r="G338" s="21" t="str">
        <f>IF(Deployments!K339="","",Deployments!K339)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IF(Deployments!AD339="","",Deployments!AD339)</f>
        <v/>
      </c>
      <c r="L338" s="21" t="str">
        <f>IF(Deployments!M339="","",Deployments!M339)</f>
        <v/>
      </c>
      <c r="M338" s="22"/>
      <c r="N338" s="21" t="str">
        <f>IF(Deployments!N339="","",Deployments!N339)</f>
        <v/>
      </c>
      <c r="O338" s="21" t="str">
        <f>IF(Deployments!O339="","",Deployments!O339)</f>
        <v/>
      </c>
      <c r="P338" s="21" t="str">
        <f>IF(Deployments!P339="","",Deployments!P339)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IF(Deployments!T339="","",Deployments!T339)</f>
        <v/>
      </c>
      <c r="AA338" s="21" t="str">
        <f>IF(Deployments!L339="","",Deployments!L339)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IF(Deployments!AH340="","",Deployments!AH340)</f>
        <v/>
      </c>
      <c r="E339" s="21" t="str">
        <f>IF(Deployments!I340="","",Deployments!I340)</f>
        <v/>
      </c>
      <c r="F339" s="21" t="str">
        <f>IF(Deployments!J340="","",Deployments!J340)</f>
        <v/>
      </c>
      <c r="G339" s="21" t="str">
        <f>IF(Deployments!K340="","",Deployments!K340)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IF(Deployments!AD340="","",Deployments!AD340)</f>
        <v/>
      </c>
      <c r="L339" s="21" t="str">
        <f>IF(Deployments!M340="","",Deployments!M340)</f>
        <v/>
      </c>
      <c r="M339" s="22"/>
      <c r="N339" s="21" t="str">
        <f>IF(Deployments!N340="","",Deployments!N340)</f>
        <v/>
      </c>
      <c r="O339" s="21" t="str">
        <f>IF(Deployments!O340="","",Deployments!O340)</f>
        <v/>
      </c>
      <c r="P339" s="21" t="str">
        <f>IF(Deployments!P340="","",Deployments!P340)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IF(Deployments!T340="","",Deployments!T340)</f>
        <v/>
      </c>
      <c r="AA339" s="21" t="str">
        <f>IF(Deployments!L340="","",Deployments!L340)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IF(Deployments!AH341="","",Deployments!AH341)</f>
        <v/>
      </c>
      <c r="E340" s="21" t="str">
        <f>IF(Deployments!I341="","",Deployments!I341)</f>
        <v/>
      </c>
      <c r="F340" s="21" t="str">
        <f>IF(Deployments!J341="","",Deployments!J341)</f>
        <v/>
      </c>
      <c r="G340" s="21" t="str">
        <f>IF(Deployments!K341="","",Deployments!K341)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IF(Deployments!AD341="","",Deployments!AD341)</f>
        <v/>
      </c>
      <c r="L340" s="21" t="str">
        <f>IF(Deployments!M341="","",Deployments!M341)</f>
        <v/>
      </c>
      <c r="M340" s="22"/>
      <c r="N340" s="21" t="str">
        <f>IF(Deployments!N341="","",Deployments!N341)</f>
        <v/>
      </c>
      <c r="O340" s="21" t="str">
        <f>IF(Deployments!O341="","",Deployments!O341)</f>
        <v/>
      </c>
      <c r="P340" s="21" t="str">
        <f>IF(Deployments!P341="","",Deployments!P341)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IF(Deployments!T341="","",Deployments!T341)</f>
        <v/>
      </c>
      <c r="AA340" s="21" t="str">
        <f>IF(Deployments!L341="","",Deployments!L341)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IF(Deployments!AH342="","",Deployments!AH342)</f>
        <v/>
      </c>
      <c r="E341" s="21" t="str">
        <f>IF(Deployments!I342="","",Deployments!I342)</f>
        <v/>
      </c>
      <c r="F341" s="21" t="str">
        <f>IF(Deployments!J342="","",Deployments!J342)</f>
        <v/>
      </c>
      <c r="G341" s="21" t="str">
        <f>IF(Deployments!K342="","",Deployments!K342)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IF(Deployments!AD342="","",Deployments!AD342)</f>
        <v/>
      </c>
      <c r="L341" s="21" t="str">
        <f>IF(Deployments!M342="","",Deployments!M342)</f>
        <v/>
      </c>
      <c r="M341" s="22"/>
      <c r="N341" s="21" t="str">
        <f>IF(Deployments!N342="","",Deployments!N342)</f>
        <v/>
      </c>
      <c r="O341" s="21" t="str">
        <f>IF(Deployments!O342="","",Deployments!O342)</f>
        <v/>
      </c>
      <c r="P341" s="21" t="str">
        <f>IF(Deployments!P342="","",Deployments!P342)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IF(Deployments!T342="","",Deployments!T342)</f>
        <v/>
      </c>
      <c r="AA341" s="21" t="str">
        <f>IF(Deployments!L342="","",Deployments!L342)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IF(Deployments!AH343="","",Deployments!AH343)</f>
        <v/>
      </c>
      <c r="E342" s="21" t="str">
        <f>IF(Deployments!I343="","",Deployments!I343)</f>
        <v/>
      </c>
      <c r="F342" s="21" t="str">
        <f>IF(Deployments!J343="","",Deployments!J343)</f>
        <v/>
      </c>
      <c r="G342" s="21" t="str">
        <f>IF(Deployments!K343="","",Deployments!K343)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IF(Deployments!AD343="","",Deployments!AD343)</f>
        <v/>
      </c>
      <c r="L342" s="21" t="str">
        <f>IF(Deployments!M343="","",Deployments!M343)</f>
        <v/>
      </c>
      <c r="M342" s="22"/>
      <c r="N342" s="21" t="str">
        <f>IF(Deployments!N343="","",Deployments!N343)</f>
        <v/>
      </c>
      <c r="O342" s="21" t="str">
        <f>IF(Deployments!O343="","",Deployments!O343)</f>
        <v/>
      </c>
      <c r="P342" s="21" t="str">
        <f>IF(Deployments!P343="","",Deployments!P343)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IF(Deployments!T343="","",Deployments!T343)</f>
        <v/>
      </c>
      <c r="AA342" s="21" t="str">
        <f>IF(Deployments!L343="","",Deployments!L343)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IF(Deployments!AH344="","",Deployments!AH344)</f>
        <v/>
      </c>
      <c r="E343" s="21" t="str">
        <f>IF(Deployments!I344="","",Deployments!I344)</f>
        <v/>
      </c>
      <c r="F343" s="21" t="str">
        <f>IF(Deployments!J344="","",Deployments!J344)</f>
        <v/>
      </c>
      <c r="G343" s="21" t="str">
        <f>IF(Deployments!K344="","",Deployments!K344)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IF(Deployments!AD344="","",Deployments!AD344)</f>
        <v/>
      </c>
      <c r="L343" s="21" t="str">
        <f>IF(Deployments!M344="","",Deployments!M344)</f>
        <v/>
      </c>
      <c r="M343" s="22"/>
      <c r="N343" s="21" t="str">
        <f>IF(Deployments!N344="","",Deployments!N344)</f>
        <v/>
      </c>
      <c r="O343" s="21" t="str">
        <f>IF(Deployments!O344="","",Deployments!O344)</f>
        <v/>
      </c>
      <c r="P343" s="21" t="str">
        <f>IF(Deployments!P344="","",Deployments!P344)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IF(Deployments!T344="","",Deployments!T344)</f>
        <v/>
      </c>
      <c r="AA343" s="21" t="str">
        <f>IF(Deployments!L344="","",Deployments!L344)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IF(Deployments!AH345="","",Deployments!AH345)</f>
        <v/>
      </c>
      <c r="E344" s="21" t="str">
        <f>IF(Deployments!I345="","",Deployments!I345)</f>
        <v/>
      </c>
      <c r="F344" s="21" t="str">
        <f>IF(Deployments!J345="","",Deployments!J345)</f>
        <v/>
      </c>
      <c r="G344" s="21" t="str">
        <f>IF(Deployments!K345="","",Deployments!K345)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IF(Deployments!AD345="","",Deployments!AD345)</f>
        <v/>
      </c>
      <c r="L344" s="21" t="str">
        <f>IF(Deployments!M345="","",Deployments!M345)</f>
        <v/>
      </c>
      <c r="M344" s="22"/>
      <c r="N344" s="21" t="str">
        <f>IF(Deployments!N345="","",Deployments!N345)</f>
        <v/>
      </c>
      <c r="O344" s="21" t="str">
        <f>IF(Deployments!O345="","",Deployments!O345)</f>
        <v/>
      </c>
      <c r="P344" s="21" t="str">
        <f>IF(Deployments!P345="","",Deployments!P345)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IF(Deployments!T345="","",Deployments!T345)</f>
        <v/>
      </c>
      <c r="AA344" s="21" t="str">
        <f>IF(Deployments!L345="","",Deployments!L345)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IF(Deployments!AH346="","",Deployments!AH346)</f>
        <v/>
      </c>
      <c r="E345" s="21" t="str">
        <f>IF(Deployments!I346="","",Deployments!I346)</f>
        <v/>
      </c>
      <c r="F345" s="21" t="str">
        <f>IF(Deployments!J346="","",Deployments!J346)</f>
        <v/>
      </c>
      <c r="G345" s="21" t="str">
        <f>IF(Deployments!K346="","",Deployments!K346)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IF(Deployments!AD346="","",Deployments!AD346)</f>
        <v/>
      </c>
      <c r="L345" s="21" t="str">
        <f>IF(Deployments!M346="","",Deployments!M346)</f>
        <v/>
      </c>
      <c r="M345" s="22"/>
      <c r="N345" s="21" t="str">
        <f>IF(Deployments!N346="","",Deployments!N346)</f>
        <v/>
      </c>
      <c r="O345" s="21" t="str">
        <f>IF(Deployments!O346="","",Deployments!O346)</f>
        <v/>
      </c>
      <c r="P345" s="21" t="str">
        <f>IF(Deployments!P346="","",Deployments!P346)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IF(Deployments!T346="","",Deployments!T346)</f>
        <v/>
      </c>
      <c r="AA345" s="21" t="str">
        <f>IF(Deployments!L346="","",Deployments!L346)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IF(Deployments!AH347="","",Deployments!AH347)</f>
        <v/>
      </c>
      <c r="E346" s="21" t="str">
        <f>IF(Deployments!I347="","",Deployments!I347)</f>
        <v/>
      </c>
      <c r="F346" s="21" t="str">
        <f>IF(Deployments!J347="","",Deployments!J347)</f>
        <v/>
      </c>
      <c r="G346" s="21" t="str">
        <f>IF(Deployments!K347="","",Deployments!K347)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IF(Deployments!AD347="","",Deployments!AD347)</f>
        <v/>
      </c>
      <c r="L346" s="21" t="str">
        <f>IF(Deployments!M347="","",Deployments!M347)</f>
        <v/>
      </c>
      <c r="M346" s="22"/>
      <c r="N346" s="21" t="str">
        <f>IF(Deployments!N347="","",Deployments!N347)</f>
        <v/>
      </c>
      <c r="O346" s="21" t="str">
        <f>IF(Deployments!O347="","",Deployments!O347)</f>
        <v/>
      </c>
      <c r="P346" s="21" t="str">
        <f>IF(Deployments!P347="","",Deployments!P347)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IF(Deployments!T347="","",Deployments!T347)</f>
        <v/>
      </c>
      <c r="AA346" s="21" t="str">
        <f>IF(Deployments!L347="","",Deployments!L347)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IF(Deployments!AH348="","",Deployments!AH348)</f>
        <v/>
      </c>
      <c r="E347" s="21" t="str">
        <f>IF(Deployments!I348="","",Deployments!I348)</f>
        <v/>
      </c>
      <c r="F347" s="21" t="str">
        <f>IF(Deployments!J348="","",Deployments!J348)</f>
        <v/>
      </c>
      <c r="G347" s="21" t="str">
        <f>IF(Deployments!K348="","",Deployments!K348)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IF(Deployments!AD348="","",Deployments!AD348)</f>
        <v/>
      </c>
      <c r="L347" s="21" t="str">
        <f>IF(Deployments!M348="","",Deployments!M348)</f>
        <v/>
      </c>
      <c r="M347" s="22"/>
      <c r="N347" s="21" t="str">
        <f>IF(Deployments!N348="","",Deployments!N348)</f>
        <v/>
      </c>
      <c r="O347" s="21" t="str">
        <f>IF(Deployments!O348="","",Deployments!O348)</f>
        <v/>
      </c>
      <c r="P347" s="21" t="str">
        <f>IF(Deployments!P348="","",Deployments!P348)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IF(Deployments!T348="","",Deployments!T348)</f>
        <v/>
      </c>
      <c r="AA347" s="21" t="str">
        <f>IF(Deployments!L348="","",Deployments!L348)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IF(Deployments!AH349="","",Deployments!AH349)</f>
        <v/>
      </c>
      <c r="E348" s="21" t="str">
        <f>IF(Deployments!I349="","",Deployments!I349)</f>
        <v/>
      </c>
      <c r="F348" s="21" t="str">
        <f>IF(Deployments!J349="","",Deployments!J349)</f>
        <v/>
      </c>
      <c r="G348" s="21" t="str">
        <f>IF(Deployments!K349="","",Deployments!K349)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IF(Deployments!AD349="","",Deployments!AD349)</f>
        <v/>
      </c>
      <c r="L348" s="21" t="str">
        <f>IF(Deployments!M349="","",Deployments!M349)</f>
        <v/>
      </c>
      <c r="M348" s="22"/>
      <c r="N348" s="21" t="str">
        <f>IF(Deployments!N349="","",Deployments!N349)</f>
        <v/>
      </c>
      <c r="O348" s="21" t="str">
        <f>IF(Deployments!O349="","",Deployments!O349)</f>
        <v/>
      </c>
      <c r="P348" s="21" t="str">
        <f>IF(Deployments!P349="","",Deployments!P349)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IF(Deployments!T349="","",Deployments!T349)</f>
        <v/>
      </c>
      <c r="AA348" s="21" t="str">
        <f>IF(Deployments!L349="","",Deployments!L349)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IF(Deployments!AH350="","",Deployments!AH350)</f>
        <v/>
      </c>
      <c r="E349" s="21" t="str">
        <f>IF(Deployments!I350="","",Deployments!I350)</f>
        <v/>
      </c>
      <c r="F349" s="21" t="str">
        <f>IF(Deployments!J350="","",Deployments!J350)</f>
        <v/>
      </c>
      <c r="G349" s="21" t="str">
        <f>IF(Deployments!K350="","",Deployments!K350)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IF(Deployments!AD350="","",Deployments!AD350)</f>
        <v/>
      </c>
      <c r="L349" s="21" t="str">
        <f>IF(Deployments!M350="","",Deployments!M350)</f>
        <v/>
      </c>
      <c r="M349" s="22"/>
      <c r="N349" s="21" t="str">
        <f>IF(Deployments!N350="","",Deployments!N350)</f>
        <v/>
      </c>
      <c r="O349" s="21" t="str">
        <f>IF(Deployments!O350="","",Deployments!O350)</f>
        <v/>
      </c>
      <c r="P349" s="21" t="str">
        <f>IF(Deployments!P350="","",Deployments!P350)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IF(Deployments!T350="","",Deployments!T350)</f>
        <v/>
      </c>
      <c r="AA349" s="21" t="str">
        <f>IF(Deployments!L350="","",Deployments!L350)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IF(Deployments!AH351="","",Deployments!AH351)</f>
        <v/>
      </c>
      <c r="E350" s="21" t="str">
        <f>IF(Deployments!I351="","",Deployments!I351)</f>
        <v/>
      </c>
      <c r="F350" s="21" t="str">
        <f>IF(Deployments!J351="","",Deployments!J351)</f>
        <v/>
      </c>
      <c r="G350" s="21" t="str">
        <f>IF(Deployments!K351="","",Deployments!K351)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IF(Deployments!AD351="","",Deployments!AD351)</f>
        <v/>
      </c>
      <c r="L350" s="21" t="str">
        <f>IF(Deployments!M351="","",Deployments!M351)</f>
        <v/>
      </c>
      <c r="M350" s="22"/>
      <c r="N350" s="21" t="str">
        <f>IF(Deployments!N351="","",Deployments!N351)</f>
        <v/>
      </c>
      <c r="O350" s="21" t="str">
        <f>IF(Deployments!O351="","",Deployments!O351)</f>
        <v/>
      </c>
      <c r="P350" s="21" t="str">
        <f>IF(Deployments!P351="","",Deployments!P351)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IF(Deployments!T351="","",Deployments!T351)</f>
        <v/>
      </c>
      <c r="AA350" s="21" t="str">
        <f>IF(Deployments!L351="","",Deployments!L351)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IF(Deployments!AH352="","",Deployments!AH352)</f>
        <v/>
      </c>
      <c r="E351" s="21" t="str">
        <f>IF(Deployments!I352="","",Deployments!I352)</f>
        <v/>
      </c>
      <c r="F351" s="21" t="str">
        <f>IF(Deployments!J352="","",Deployments!J352)</f>
        <v/>
      </c>
      <c r="G351" s="21" t="str">
        <f>IF(Deployments!K352="","",Deployments!K352)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IF(Deployments!AD352="","",Deployments!AD352)</f>
        <v/>
      </c>
      <c r="L351" s="21" t="str">
        <f>IF(Deployments!M352="","",Deployments!M352)</f>
        <v/>
      </c>
      <c r="M351" s="22"/>
      <c r="N351" s="21" t="str">
        <f>IF(Deployments!N352="","",Deployments!N352)</f>
        <v/>
      </c>
      <c r="O351" s="21" t="str">
        <f>IF(Deployments!O352="","",Deployments!O352)</f>
        <v/>
      </c>
      <c r="P351" s="21" t="str">
        <f>IF(Deployments!P352="","",Deployments!P352)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IF(Deployments!T352="","",Deployments!T352)</f>
        <v/>
      </c>
      <c r="AA351" s="21" t="str">
        <f>IF(Deployments!L352="","",Deployments!L352)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IF(Deployments!AH353="","",Deployments!AH353)</f>
        <v/>
      </c>
      <c r="E352" s="21" t="str">
        <f>IF(Deployments!I353="","",Deployments!I353)</f>
        <v/>
      </c>
      <c r="F352" s="21" t="str">
        <f>IF(Deployments!J353="","",Deployments!J353)</f>
        <v/>
      </c>
      <c r="G352" s="21" t="str">
        <f>IF(Deployments!K353="","",Deployments!K353)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IF(Deployments!AD353="","",Deployments!AD353)</f>
        <v/>
      </c>
      <c r="L352" s="21" t="str">
        <f>IF(Deployments!M353="","",Deployments!M353)</f>
        <v/>
      </c>
      <c r="M352" s="22"/>
      <c r="N352" s="21" t="str">
        <f>IF(Deployments!N353="","",Deployments!N353)</f>
        <v/>
      </c>
      <c r="O352" s="21" t="str">
        <f>IF(Deployments!O353="","",Deployments!O353)</f>
        <v/>
      </c>
      <c r="P352" s="21" t="str">
        <f>IF(Deployments!P353="","",Deployments!P353)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IF(Deployments!T353="","",Deployments!T353)</f>
        <v/>
      </c>
      <c r="AA352" s="21" t="str">
        <f>IF(Deployments!L353="","",Deployments!L353)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IF(Deployments!AH354="","",Deployments!AH354)</f>
        <v/>
      </c>
      <c r="E353" s="21" t="str">
        <f>IF(Deployments!I354="","",Deployments!I354)</f>
        <v/>
      </c>
      <c r="F353" s="21" t="str">
        <f>IF(Deployments!J354="","",Deployments!J354)</f>
        <v/>
      </c>
      <c r="G353" s="21" t="str">
        <f>IF(Deployments!K354="","",Deployments!K354)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IF(Deployments!AD354="","",Deployments!AD354)</f>
        <v/>
      </c>
      <c r="L353" s="21" t="str">
        <f>IF(Deployments!M354="","",Deployments!M354)</f>
        <v/>
      </c>
      <c r="M353" s="22"/>
      <c r="N353" s="21" t="str">
        <f>IF(Deployments!N354="","",Deployments!N354)</f>
        <v/>
      </c>
      <c r="O353" s="21" t="str">
        <f>IF(Deployments!O354="","",Deployments!O354)</f>
        <v/>
      </c>
      <c r="P353" s="21" t="str">
        <f>IF(Deployments!P354="","",Deployments!P354)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IF(Deployments!T354="","",Deployments!T354)</f>
        <v/>
      </c>
      <c r="AA353" s="21" t="str">
        <f>IF(Deployments!L354="","",Deployments!L354)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IF(Deployments!AH355="","",Deployments!AH355)</f>
        <v/>
      </c>
      <c r="E354" s="21" t="str">
        <f>IF(Deployments!I355="","",Deployments!I355)</f>
        <v/>
      </c>
      <c r="F354" s="21" t="str">
        <f>IF(Deployments!J355="","",Deployments!J355)</f>
        <v/>
      </c>
      <c r="G354" s="21" t="str">
        <f>IF(Deployments!K355="","",Deployments!K355)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IF(Deployments!AD355="","",Deployments!AD355)</f>
        <v/>
      </c>
      <c r="L354" s="21" t="str">
        <f>IF(Deployments!M355="","",Deployments!M355)</f>
        <v/>
      </c>
      <c r="M354" s="22"/>
      <c r="N354" s="21" t="str">
        <f>IF(Deployments!N355="","",Deployments!N355)</f>
        <v/>
      </c>
      <c r="O354" s="21" t="str">
        <f>IF(Deployments!O355="","",Deployments!O355)</f>
        <v/>
      </c>
      <c r="P354" s="21" t="str">
        <f>IF(Deployments!P355="","",Deployments!P355)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IF(Deployments!T355="","",Deployments!T355)</f>
        <v/>
      </c>
      <c r="AA354" s="21" t="str">
        <f>IF(Deployments!L355="","",Deployments!L355)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IF(Deployments!AH356="","",Deployments!AH356)</f>
        <v/>
      </c>
      <c r="E355" s="21" t="str">
        <f>IF(Deployments!I356="","",Deployments!I356)</f>
        <v/>
      </c>
      <c r="F355" s="21" t="str">
        <f>IF(Deployments!J356="","",Deployments!J356)</f>
        <v/>
      </c>
      <c r="G355" s="21" t="str">
        <f>IF(Deployments!K356="","",Deployments!K356)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IF(Deployments!AD356="","",Deployments!AD356)</f>
        <v/>
      </c>
      <c r="L355" s="21" t="str">
        <f>IF(Deployments!M356="","",Deployments!M356)</f>
        <v/>
      </c>
      <c r="M355" s="22"/>
      <c r="N355" s="21" t="str">
        <f>IF(Deployments!N356="","",Deployments!N356)</f>
        <v/>
      </c>
      <c r="O355" s="21" t="str">
        <f>IF(Deployments!O356="","",Deployments!O356)</f>
        <v/>
      </c>
      <c r="P355" s="21" t="str">
        <f>IF(Deployments!P356="","",Deployments!P356)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IF(Deployments!T356="","",Deployments!T356)</f>
        <v/>
      </c>
      <c r="AA355" s="21" t="str">
        <f>IF(Deployments!L356="","",Deployments!L356)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IF(Deployments!AH357="","",Deployments!AH357)</f>
        <v/>
      </c>
      <c r="E356" s="21" t="str">
        <f>IF(Deployments!I357="","",Deployments!I357)</f>
        <v/>
      </c>
      <c r="F356" s="21" t="str">
        <f>IF(Deployments!J357="","",Deployments!J357)</f>
        <v/>
      </c>
      <c r="G356" s="21" t="str">
        <f>IF(Deployments!K357="","",Deployments!K357)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IF(Deployments!AD357="","",Deployments!AD357)</f>
        <v/>
      </c>
      <c r="L356" s="21" t="str">
        <f>IF(Deployments!M357="","",Deployments!M357)</f>
        <v/>
      </c>
      <c r="M356" s="22"/>
      <c r="N356" s="21" t="str">
        <f>IF(Deployments!N357="","",Deployments!N357)</f>
        <v/>
      </c>
      <c r="O356" s="21" t="str">
        <f>IF(Deployments!O357="","",Deployments!O357)</f>
        <v/>
      </c>
      <c r="P356" s="21" t="str">
        <f>IF(Deployments!P357="","",Deployments!P357)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IF(Deployments!T357="","",Deployments!T357)</f>
        <v/>
      </c>
      <c r="AA356" s="21" t="str">
        <f>IF(Deployments!L357="","",Deployments!L357)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IF(Deployments!AH358="","",Deployments!AH358)</f>
        <v/>
      </c>
      <c r="E357" s="21" t="str">
        <f>IF(Deployments!I358="","",Deployments!I358)</f>
        <v/>
      </c>
      <c r="F357" s="21" t="str">
        <f>IF(Deployments!J358="","",Deployments!J358)</f>
        <v/>
      </c>
      <c r="G357" s="21" t="str">
        <f>IF(Deployments!K358="","",Deployments!K358)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IF(Deployments!AD358="","",Deployments!AD358)</f>
        <v/>
      </c>
      <c r="L357" s="21" t="str">
        <f>IF(Deployments!M358="","",Deployments!M358)</f>
        <v/>
      </c>
      <c r="M357" s="22"/>
      <c r="N357" s="21" t="str">
        <f>IF(Deployments!N358="","",Deployments!N358)</f>
        <v/>
      </c>
      <c r="O357" s="21" t="str">
        <f>IF(Deployments!O358="","",Deployments!O358)</f>
        <v/>
      </c>
      <c r="P357" s="21" t="str">
        <f>IF(Deployments!P358="","",Deployments!P358)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IF(Deployments!T358="","",Deployments!T358)</f>
        <v/>
      </c>
      <c r="AA357" s="21" t="str">
        <f>IF(Deployments!L358="","",Deployments!L358)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IF(Deployments!AH359="","",Deployments!AH359)</f>
        <v/>
      </c>
      <c r="E358" s="21" t="str">
        <f>IF(Deployments!I359="","",Deployments!I359)</f>
        <v/>
      </c>
      <c r="F358" s="21" t="str">
        <f>IF(Deployments!J359="","",Deployments!J359)</f>
        <v/>
      </c>
      <c r="G358" s="21" t="str">
        <f>IF(Deployments!K359="","",Deployments!K359)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IF(Deployments!AD359="","",Deployments!AD359)</f>
        <v/>
      </c>
      <c r="L358" s="21" t="str">
        <f>IF(Deployments!M359="","",Deployments!M359)</f>
        <v/>
      </c>
      <c r="M358" s="22"/>
      <c r="N358" s="21" t="str">
        <f>IF(Deployments!N359="","",Deployments!N359)</f>
        <v/>
      </c>
      <c r="O358" s="21" t="str">
        <f>IF(Deployments!O359="","",Deployments!O359)</f>
        <v/>
      </c>
      <c r="P358" s="21" t="str">
        <f>IF(Deployments!P359="","",Deployments!P359)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IF(Deployments!T359="","",Deployments!T359)</f>
        <v/>
      </c>
      <c r="AA358" s="21" t="str">
        <f>IF(Deployments!L359="","",Deployments!L359)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IF(Deployments!AH360="","",Deployments!AH360)</f>
        <v/>
      </c>
      <c r="E359" s="21" t="str">
        <f>IF(Deployments!I360="","",Deployments!I360)</f>
        <v/>
      </c>
      <c r="F359" s="21" t="str">
        <f>IF(Deployments!J360="","",Deployments!J360)</f>
        <v/>
      </c>
      <c r="G359" s="21" t="str">
        <f>IF(Deployments!K360="","",Deployments!K360)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IF(Deployments!AD360="","",Deployments!AD360)</f>
        <v/>
      </c>
      <c r="L359" s="21" t="str">
        <f>IF(Deployments!M360="","",Deployments!M360)</f>
        <v/>
      </c>
      <c r="M359" s="22"/>
      <c r="N359" s="21" t="str">
        <f>IF(Deployments!N360="","",Deployments!N360)</f>
        <v/>
      </c>
      <c r="O359" s="21" t="str">
        <f>IF(Deployments!O360="","",Deployments!O360)</f>
        <v/>
      </c>
      <c r="P359" s="21" t="str">
        <f>IF(Deployments!P360="","",Deployments!P360)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IF(Deployments!T360="","",Deployments!T360)</f>
        <v/>
      </c>
      <c r="AA359" s="21" t="str">
        <f>IF(Deployments!L360="","",Deployments!L360)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IF(Deployments!AH361="","",Deployments!AH361)</f>
        <v/>
      </c>
      <c r="E360" s="21" t="str">
        <f>IF(Deployments!I361="","",Deployments!I361)</f>
        <v/>
      </c>
      <c r="F360" s="21" t="str">
        <f>IF(Deployments!J361="","",Deployments!J361)</f>
        <v/>
      </c>
      <c r="G360" s="21" t="str">
        <f>IF(Deployments!K361="","",Deployments!K361)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IF(Deployments!AD361="","",Deployments!AD361)</f>
        <v/>
      </c>
      <c r="L360" s="21" t="str">
        <f>IF(Deployments!M361="","",Deployments!M361)</f>
        <v/>
      </c>
      <c r="M360" s="22"/>
      <c r="N360" s="21" t="str">
        <f>IF(Deployments!N361="","",Deployments!N361)</f>
        <v/>
      </c>
      <c r="O360" s="21" t="str">
        <f>IF(Deployments!O361="","",Deployments!O361)</f>
        <v/>
      </c>
      <c r="P360" s="21" t="str">
        <f>IF(Deployments!P361="","",Deployments!P361)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IF(Deployments!T361="","",Deployments!T361)</f>
        <v/>
      </c>
      <c r="AA360" s="21" t="str">
        <f>IF(Deployments!L361="","",Deployments!L361)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IF(Deployments!AH362="","",Deployments!AH362)</f>
        <v/>
      </c>
      <c r="E361" s="21" t="str">
        <f>IF(Deployments!I362="","",Deployments!I362)</f>
        <v/>
      </c>
      <c r="F361" s="21" t="str">
        <f>IF(Deployments!J362="","",Deployments!J362)</f>
        <v/>
      </c>
      <c r="G361" s="21" t="str">
        <f>IF(Deployments!K362="","",Deployments!K362)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IF(Deployments!AD362="","",Deployments!AD362)</f>
        <v/>
      </c>
      <c r="L361" s="21" t="str">
        <f>IF(Deployments!M362="","",Deployments!M362)</f>
        <v/>
      </c>
      <c r="M361" s="22"/>
      <c r="N361" s="21" t="str">
        <f>IF(Deployments!N362="","",Deployments!N362)</f>
        <v/>
      </c>
      <c r="O361" s="21" t="str">
        <f>IF(Deployments!O362="","",Deployments!O362)</f>
        <v/>
      </c>
      <c r="P361" s="21" t="str">
        <f>IF(Deployments!P362="","",Deployments!P362)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IF(Deployments!T362="","",Deployments!T362)</f>
        <v/>
      </c>
      <c r="AA361" s="21" t="str">
        <f>IF(Deployments!L362="","",Deployments!L362)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IF(Deployments!AH363="","",Deployments!AH363)</f>
        <v/>
      </c>
      <c r="E362" s="21" t="str">
        <f>IF(Deployments!I363="","",Deployments!I363)</f>
        <v/>
      </c>
      <c r="F362" s="21" t="str">
        <f>IF(Deployments!J363="","",Deployments!J363)</f>
        <v/>
      </c>
      <c r="G362" s="21" t="str">
        <f>IF(Deployments!K363="","",Deployments!K363)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IF(Deployments!AD363="","",Deployments!AD363)</f>
        <v/>
      </c>
      <c r="L362" s="21" t="str">
        <f>IF(Deployments!M363="","",Deployments!M363)</f>
        <v/>
      </c>
      <c r="M362" s="22"/>
      <c r="N362" s="21" t="str">
        <f>IF(Deployments!N363="","",Deployments!N363)</f>
        <v/>
      </c>
      <c r="O362" s="21" t="str">
        <f>IF(Deployments!O363="","",Deployments!O363)</f>
        <v/>
      </c>
      <c r="P362" s="21" t="str">
        <f>IF(Deployments!P363="","",Deployments!P363)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IF(Deployments!T363="","",Deployments!T363)</f>
        <v/>
      </c>
      <c r="AA362" s="21" t="str">
        <f>IF(Deployments!L363="","",Deployments!L363)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IF(Deployments!AH364="","",Deployments!AH364)</f>
        <v/>
      </c>
      <c r="E363" s="21" t="str">
        <f>IF(Deployments!I364="","",Deployments!I364)</f>
        <v/>
      </c>
      <c r="F363" s="21" t="str">
        <f>IF(Deployments!J364="","",Deployments!J364)</f>
        <v/>
      </c>
      <c r="G363" s="21" t="str">
        <f>IF(Deployments!K364="","",Deployments!K364)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IF(Deployments!AD364="","",Deployments!AD364)</f>
        <v/>
      </c>
      <c r="L363" s="21" t="str">
        <f>IF(Deployments!M364="","",Deployments!M364)</f>
        <v/>
      </c>
      <c r="M363" s="22"/>
      <c r="N363" s="21" t="str">
        <f>IF(Deployments!N364="","",Deployments!N364)</f>
        <v/>
      </c>
      <c r="O363" s="21" t="str">
        <f>IF(Deployments!O364="","",Deployments!O364)</f>
        <v/>
      </c>
      <c r="P363" s="21" t="str">
        <f>IF(Deployments!P364="","",Deployments!P364)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IF(Deployments!T364="","",Deployments!T364)</f>
        <v/>
      </c>
      <c r="AA363" s="21" t="str">
        <f>IF(Deployments!L364="","",Deployments!L364)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IF(Deployments!AH365="","",Deployments!AH365)</f>
        <v/>
      </c>
      <c r="E364" s="21" t="str">
        <f>IF(Deployments!I365="","",Deployments!I365)</f>
        <v/>
      </c>
      <c r="F364" s="21" t="str">
        <f>IF(Deployments!J365="","",Deployments!J365)</f>
        <v/>
      </c>
      <c r="G364" s="21" t="str">
        <f>IF(Deployments!K365="","",Deployments!K365)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IF(Deployments!AD365="","",Deployments!AD365)</f>
        <v/>
      </c>
      <c r="L364" s="21" t="str">
        <f>IF(Deployments!M365="","",Deployments!M365)</f>
        <v/>
      </c>
      <c r="M364" s="22"/>
      <c r="N364" s="21" t="str">
        <f>IF(Deployments!N365="","",Deployments!N365)</f>
        <v/>
      </c>
      <c r="O364" s="21" t="str">
        <f>IF(Deployments!O365="","",Deployments!O365)</f>
        <v/>
      </c>
      <c r="P364" s="21" t="str">
        <f>IF(Deployments!P365="","",Deployments!P365)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IF(Deployments!T365="","",Deployments!T365)</f>
        <v/>
      </c>
      <c r="AA364" s="21" t="str">
        <f>IF(Deployments!L365="","",Deployments!L365)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IF(Deployments!AH366="","",Deployments!AH366)</f>
        <v/>
      </c>
      <c r="E365" s="21" t="str">
        <f>IF(Deployments!I366="","",Deployments!I366)</f>
        <v/>
      </c>
      <c r="F365" s="21" t="str">
        <f>IF(Deployments!J366="","",Deployments!J366)</f>
        <v/>
      </c>
      <c r="G365" s="21" t="str">
        <f>IF(Deployments!K366="","",Deployments!K366)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IF(Deployments!AD366="","",Deployments!AD366)</f>
        <v/>
      </c>
      <c r="L365" s="21" t="str">
        <f>IF(Deployments!M366="","",Deployments!M366)</f>
        <v/>
      </c>
      <c r="M365" s="22"/>
      <c r="N365" s="21" t="str">
        <f>IF(Deployments!N366="","",Deployments!N366)</f>
        <v/>
      </c>
      <c r="O365" s="21" t="str">
        <f>IF(Deployments!O366="","",Deployments!O366)</f>
        <v/>
      </c>
      <c r="P365" s="21" t="str">
        <f>IF(Deployments!P366="","",Deployments!P366)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IF(Deployments!T366="","",Deployments!T366)</f>
        <v/>
      </c>
      <c r="AA365" s="21" t="str">
        <f>IF(Deployments!L366="","",Deployments!L366)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IF(Deployments!AH367="","",Deployments!AH367)</f>
        <v/>
      </c>
      <c r="E366" s="21" t="str">
        <f>IF(Deployments!I367="","",Deployments!I367)</f>
        <v/>
      </c>
      <c r="F366" s="21" t="str">
        <f>IF(Deployments!J367="","",Deployments!J367)</f>
        <v/>
      </c>
      <c r="G366" s="21" t="str">
        <f>IF(Deployments!K367="","",Deployments!K367)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IF(Deployments!AD367="","",Deployments!AD367)</f>
        <v/>
      </c>
      <c r="L366" s="21" t="str">
        <f>IF(Deployments!M367="","",Deployments!M367)</f>
        <v/>
      </c>
      <c r="M366" s="22"/>
      <c r="N366" s="21" t="str">
        <f>IF(Deployments!N367="","",Deployments!N367)</f>
        <v/>
      </c>
      <c r="O366" s="21" t="str">
        <f>IF(Deployments!O367="","",Deployments!O367)</f>
        <v/>
      </c>
      <c r="P366" s="21" t="str">
        <f>IF(Deployments!P367="","",Deployments!P367)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IF(Deployments!T367="","",Deployments!T367)</f>
        <v/>
      </c>
      <c r="AA366" s="21" t="str">
        <f>IF(Deployments!L367="","",Deployments!L367)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IF(Deployments!AH368="","",Deployments!AH368)</f>
        <v/>
      </c>
      <c r="E367" s="21" t="str">
        <f>IF(Deployments!I368="","",Deployments!I368)</f>
        <v/>
      </c>
      <c r="F367" s="21" t="str">
        <f>IF(Deployments!J368="","",Deployments!J368)</f>
        <v/>
      </c>
      <c r="G367" s="21" t="str">
        <f>IF(Deployments!K368="","",Deployments!K368)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IF(Deployments!AD368="","",Deployments!AD368)</f>
        <v/>
      </c>
      <c r="L367" s="21" t="str">
        <f>IF(Deployments!M368="","",Deployments!M368)</f>
        <v/>
      </c>
      <c r="M367" s="22"/>
      <c r="N367" s="21" t="str">
        <f>IF(Deployments!N368="","",Deployments!N368)</f>
        <v/>
      </c>
      <c r="O367" s="21" t="str">
        <f>IF(Deployments!O368="","",Deployments!O368)</f>
        <v/>
      </c>
      <c r="P367" s="21" t="str">
        <f>IF(Deployments!P368="","",Deployments!P368)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IF(Deployments!T368="","",Deployments!T368)</f>
        <v/>
      </c>
      <c r="AA367" s="21" t="str">
        <f>IF(Deployments!L368="","",Deployments!L368)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IF(Deployments!AH369="","",Deployments!AH369)</f>
        <v/>
      </c>
      <c r="E368" s="21" t="str">
        <f>IF(Deployments!I369="","",Deployments!I369)</f>
        <v/>
      </c>
      <c r="F368" s="21" t="str">
        <f>IF(Deployments!J369="","",Deployments!J369)</f>
        <v/>
      </c>
      <c r="G368" s="21" t="str">
        <f>IF(Deployments!K369="","",Deployments!K369)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IF(Deployments!AD369="","",Deployments!AD369)</f>
        <v/>
      </c>
      <c r="L368" s="21" t="str">
        <f>IF(Deployments!M369="","",Deployments!M369)</f>
        <v/>
      </c>
      <c r="M368" s="22"/>
      <c r="N368" s="21" t="str">
        <f>IF(Deployments!N369="","",Deployments!N369)</f>
        <v/>
      </c>
      <c r="O368" s="21" t="str">
        <f>IF(Deployments!O369="","",Deployments!O369)</f>
        <v/>
      </c>
      <c r="P368" s="21" t="str">
        <f>IF(Deployments!P369="","",Deployments!P369)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IF(Deployments!T369="","",Deployments!T369)</f>
        <v/>
      </c>
      <c r="AA368" s="21" t="str">
        <f>IF(Deployments!L369="","",Deployments!L369)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IF(Deployments!AH370="","",Deployments!AH370)</f>
        <v/>
      </c>
      <c r="E369" s="21" t="str">
        <f>IF(Deployments!I370="","",Deployments!I370)</f>
        <v/>
      </c>
      <c r="F369" s="21" t="str">
        <f>IF(Deployments!J370="","",Deployments!J370)</f>
        <v/>
      </c>
      <c r="G369" s="21" t="str">
        <f>IF(Deployments!K370="","",Deployments!K370)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IF(Deployments!AD370="","",Deployments!AD370)</f>
        <v/>
      </c>
      <c r="L369" s="21" t="str">
        <f>IF(Deployments!M370="","",Deployments!M370)</f>
        <v/>
      </c>
      <c r="M369" s="22"/>
      <c r="N369" s="21" t="str">
        <f>IF(Deployments!N370="","",Deployments!N370)</f>
        <v/>
      </c>
      <c r="O369" s="21" t="str">
        <f>IF(Deployments!O370="","",Deployments!O370)</f>
        <v/>
      </c>
      <c r="P369" s="21" t="str">
        <f>IF(Deployments!P370="","",Deployments!P370)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IF(Deployments!T370="","",Deployments!T370)</f>
        <v/>
      </c>
      <c r="AA369" s="21" t="str">
        <f>IF(Deployments!L370="","",Deployments!L370)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IF(Deployments!AH371="","",Deployments!AH371)</f>
        <v/>
      </c>
      <c r="E370" s="21" t="str">
        <f>IF(Deployments!I371="","",Deployments!I371)</f>
        <v/>
      </c>
      <c r="F370" s="21" t="str">
        <f>IF(Deployments!J371="","",Deployments!J371)</f>
        <v/>
      </c>
      <c r="G370" s="21" t="str">
        <f>IF(Deployments!K371="","",Deployments!K371)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IF(Deployments!AD371="","",Deployments!AD371)</f>
        <v/>
      </c>
      <c r="L370" s="21" t="str">
        <f>IF(Deployments!M371="","",Deployments!M371)</f>
        <v/>
      </c>
      <c r="M370" s="22"/>
      <c r="N370" s="21" t="str">
        <f>IF(Deployments!N371="","",Deployments!N371)</f>
        <v/>
      </c>
      <c r="O370" s="21" t="str">
        <f>IF(Deployments!O371="","",Deployments!O371)</f>
        <v/>
      </c>
      <c r="P370" s="21" t="str">
        <f>IF(Deployments!P371="","",Deployments!P371)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IF(Deployments!T371="","",Deployments!T371)</f>
        <v/>
      </c>
      <c r="AA370" s="21" t="str">
        <f>IF(Deployments!L371="","",Deployments!L371)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IF(Deployments!AH372="","",Deployments!AH372)</f>
        <v/>
      </c>
      <c r="E371" s="21" t="str">
        <f>IF(Deployments!I372="","",Deployments!I372)</f>
        <v/>
      </c>
      <c r="F371" s="21" t="str">
        <f>IF(Deployments!J372="","",Deployments!J372)</f>
        <v/>
      </c>
      <c r="G371" s="21" t="str">
        <f>IF(Deployments!K372="","",Deployments!K372)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IF(Deployments!AD372="","",Deployments!AD372)</f>
        <v/>
      </c>
      <c r="L371" s="21" t="str">
        <f>IF(Deployments!M372="","",Deployments!M372)</f>
        <v/>
      </c>
      <c r="M371" s="22"/>
      <c r="N371" s="21" t="str">
        <f>IF(Deployments!N372="","",Deployments!N372)</f>
        <v/>
      </c>
      <c r="O371" s="21" t="str">
        <f>IF(Deployments!O372="","",Deployments!O372)</f>
        <v/>
      </c>
      <c r="P371" s="21" t="str">
        <f>IF(Deployments!P372="","",Deployments!P372)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IF(Deployments!T372="","",Deployments!T372)</f>
        <v/>
      </c>
      <c r="AA371" s="21" t="str">
        <f>IF(Deployments!L372="","",Deployments!L372)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IF(Deployments!AH373="","",Deployments!AH373)</f>
        <v/>
      </c>
      <c r="E372" s="21" t="str">
        <f>IF(Deployments!I373="","",Deployments!I373)</f>
        <v/>
      </c>
      <c r="F372" s="21" t="str">
        <f>IF(Deployments!J373="","",Deployments!J373)</f>
        <v/>
      </c>
      <c r="G372" s="21" t="str">
        <f>IF(Deployments!K373="","",Deployments!K373)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IF(Deployments!AD373="","",Deployments!AD373)</f>
        <v/>
      </c>
      <c r="L372" s="21" t="str">
        <f>IF(Deployments!M373="","",Deployments!M373)</f>
        <v/>
      </c>
      <c r="M372" s="22"/>
      <c r="N372" s="21" t="str">
        <f>IF(Deployments!N373="","",Deployments!N373)</f>
        <v/>
      </c>
      <c r="O372" s="21" t="str">
        <f>IF(Deployments!O373="","",Deployments!O373)</f>
        <v/>
      </c>
      <c r="P372" s="21" t="str">
        <f>IF(Deployments!P373="","",Deployments!P373)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IF(Deployments!T373="","",Deployments!T373)</f>
        <v/>
      </c>
      <c r="AA372" s="21" t="str">
        <f>IF(Deployments!L373="","",Deployments!L373)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IF(Deployments!AH374="","",Deployments!AH374)</f>
        <v/>
      </c>
      <c r="E373" s="21" t="str">
        <f>IF(Deployments!I374="","",Deployments!I374)</f>
        <v/>
      </c>
      <c r="F373" s="21" t="str">
        <f>IF(Deployments!J374="","",Deployments!J374)</f>
        <v/>
      </c>
      <c r="G373" s="21" t="str">
        <f>IF(Deployments!K374="","",Deployments!K374)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IF(Deployments!AD374="","",Deployments!AD374)</f>
        <v/>
      </c>
      <c r="L373" s="21" t="str">
        <f>IF(Deployments!M374="","",Deployments!M374)</f>
        <v/>
      </c>
      <c r="M373" s="22"/>
      <c r="N373" s="21" t="str">
        <f>IF(Deployments!N374="","",Deployments!N374)</f>
        <v/>
      </c>
      <c r="O373" s="21" t="str">
        <f>IF(Deployments!O374="","",Deployments!O374)</f>
        <v/>
      </c>
      <c r="P373" s="21" t="str">
        <f>IF(Deployments!P374="","",Deployments!P374)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IF(Deployments!T374="","",Deployments!T374)</f>
        <v/>
      </c>
      <c r="AA373" s="21" t="str">
        <f>IF(Deployments!L374="","",Deployments!L374)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IF(Deployments!AH375="","",Deployments!AH375)</f>
        <v/>
      </c>
      <c r="E374" s="21" t="str">
        <f>IF(Deployments!I375="","",Deployments!I375)</f>
        <v/>
      </c>
      <c r="F374" s="21" t="str">
        <f>IF(Deployments!J375="","",Deployments!J375)</f>
        <v/>
      </c>
      <c r="G374" s="21" t="str">
        <f>IF(Deployments!K375="","",Deployments!K375)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IF(Deployments!AD375="","",Deployments!AD375)</f>
        <v/>
      </c>
      <c r="L374" s="21" t="str">
        <f>IF(Deployments!M375="","",Deployments!M375)</f>
        <v/>
      </c>
      <c r="M374" s="22"/>
      <c r="N374" s="21" t="str">
        <f>IF(Deployments!N375="","",Deployments!N375)</f>
        <v/>
      </c>
      <c r="O374" s="21" t="str">
        <f>IF(Deployments!O375="","",Deployments!O375)</f>
        <v/>
      </c>
      <c r="P374" s="21" t="str">
        <f>IF(Deployments!P375="","",Deployments!P375)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IF(Deployments!T375="","",Deployments!T375)</f>
        <v/>
      </c>
      <c r="AA374" s="21" t="str">
        <f>IF(Deployments!L375="","",Deployments!L375)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IF(Deployments!AH376="","",Deployments!AH376)</f>
        <v/>
      </c>
      <c r="E375" s="21" t="str">
        <f>IF(Deployments!I376="","",Deployments!I376)</f>
        <v/>
      </c>
      <c r="F375" s="21" t="str">
        <f>IF(Deployments!J376="","",Deployments!J376)</f>
        <v/>
      </c>
      <c r="G375" s="21" t="str">
        <f>IF(Deployments!K376="","",Deployments!K376)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IF(Deployments!AD376="","",Deployments!AD376)</f>
        <v/>
      </c>
      <c r="L375" s="21" t="str">
        <f>IF(Deployments!M376="","",Deployments!M376)</f>
        <v/>
      </c>
      <c r="M375" s="22"/>
      <c r="N375" s="21" t="str">
        <f>IF(Deployments!N376="","",Deployments!N376)</f>
        <v/>
      </c>
      <c r="O375" s="21" t="str">
        <f>IF(Deployments!O376="","",Deployments!O376)</f>
        <v/>
      </c>
      <c r="P375" s="21" t="str">
        <f>IF(Deployments!P376="","",Deployments!P376)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IF(Deployments!T376="","",Deployments!T376)</f>
        <v/>
      </c>
      <c r="AA375" s="21" t="str">
        <f>IF(Deployments!L376="","",Deployments!L376)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IF(Deployments!AH377="","",Deployments!AH377)</f>
        <v/>
      </c>
      <c r="E376" s="21" t="str">
        <f>IF(Deployments!I377="","",Deployments!I377)</f>
        <v/>
      </c>
      <c r="F376" s="21" t="str">
        <f>IF(Deployments!J377="","",Deployments!J377)</f>
        <v/>
      </c>
      <c r="G376" s="21" t="str">
        <f>IF(Deployments!K377="","",Deployments!K377)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IF(Deployments!AD377="","",Deployments!AD377)</f>
        <v/>
      </c>
      <c r="L376" s="21" t="str">
        <f>IF(Deployments!M377="","",Deployments!M377)</f>
        <v/>
      </c>
      <c r="M376" s="22"/>
      <c r="N376" s="21" t="str">
        <f>IF(Deployments!N377="","",Deployments!N377)</f>
        <v/>
      </c>
      <c r="O376" s="21" t="str">
        <f>IF(Deployments!O377="","",Deployments!O377)</f>
        <v/>
      </c>
      <c r="P376" s="21" t="str">
        <f>IF(Deployments!P377="","",Deployments!P377)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IF(Deployments!T377="","",Deployments!T377)</f>
        <v/>
      </c>
      <c r="AA376" s="21" t="str">
        <f>IF(Deployments!L377="","",Deployments!L377)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IF(Deployments!AH378="","",Deployments!AH378)</f>
        <v/>
      </c>
      <c r="E377" s="21" t="str">
        <f>IF(Deployments!I378="","",Deployments!I378)</f>
        <v/>
      </c>
      <c r="F377" s="21" t="str">
        <f>IF(Deployments!J378="","",Deployments!J378)</f>
        <v/>
      </c>
      <c r="G377" s="21" t="str">
        <f>IF(Deployments!K378="","",Deployments!K378)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IF(Deployments!AD378="","",Deployments!AD378)</f>
        <v/>
      </c>
      <c r="L377" s="21" t="str">
        <f>IF(Deployments!M378="","",Deployments!M378)</f>
        <v/>
      </c>
      <c r="M377" s="22"/>
      <c r="N377" s="21" t="str">
        <f>IF(Deployments!N378="","",Deployments!N378)</f>
        <v/>
      </c>
      <c r="O377" s="21" t="str">
        <f>IF(Deployments!O378="","",Deployments!O378)</f>
        <v/>
      </c>
      <c r="P377" s="21" t="str">
        <f>IF(Deployments!P378="","",Deployments!P378)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IF(Deployments!T378="","",Deployments!T378)</f>
        <v/>
      </c>
      <c r="AA377" s="21" t="str">
        <f>IF(Deployments!L378="","",Deployments!L378)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IF(Deployments!AH379="","",Deployments!AH379)</f>
        <v/>
      </c>
      <c r="E378" s="21" t="str">
        <f>IF(Deployments!I379="","",Deployments!I379)</f>
        <v/>
      </c>
      <c r="F378" s="21" t="str">
        <f>IF(Deployments!J379="","",Deployments!J379)</f>
        <v/>
      </c>
      <c r="G378" s="21" t="str">
        <f>IF(Deployments!K379="","",Deployments!K379)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IF(Deployments!AD379="","",Deployments!AD379)</f>
        <v/>
      </c>
      <c r="L378" s="21" t="str">
        <f>IF(Deployments!M379="","",Deployments!M379)</f>
        <v/>
      </c>
      <c r="M378" s="22"/>
      <c r="N378" s="21" t="str">
        <f>IF(Deployments!N379="","",Deployments!N379)</f>
        <v/>
      </c>
      <c r="O378" s="21" t="str">
        <f>IF(Deployments!O379="","",Deployments!O379)</f>
        <v/>
      </c>
      <c r="P378" s="21" t="str">
        <f>IF(Deployments!P379="","",Deployments!P379)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IF(Deployments!T379="","",Deployments!T379)</f>
        <v/>
      </c>
      <c r="AA378" s="21" t="str">
        <f>IF(Deployments!L379="","",Deployments!L379)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IF(Deployments!AH380="","",Deployments!AH380)</f>
        <v/>
      </c>
      <c r="E379" s="21" t="str">
        <f>IF(Deployments!I380="","",Deployments!I380)</f>
        <v/>
      </c>
      <c r="F379" s="21" t="str">
        <f>IF(Deployments!J380="","",Deployments!J380)</f>
        <v/>
      </c>
      <c r="G379" s="21" t="str">
        <f>IF(Deployments!K380="","",Deployments!K380)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IF(Deployments!AD380="","",Deployments!AD380)</f>
        <v/>
      </c>
      <c r="L379" s="21" t="str">
        <f>IF(Deployments!M380="","",Deployments!M380)</f>
        <v/>
      </c>
      <c r="M379" s="22"/>
      <c r="N379" s="21" t="str">
        <f>IF(Deployments!N380="","",Deployments!N380)</f>
        <v/>
      </c>
      <c r="O379" s="21" t="str">
        <f>IF(Deployments!O380="","",Deployments!O380)</f>
        <v/>
      </c>
      <c r="P379" s="21" t="str">
        <f>IF(Deployments!P380="","",Deployments!P380)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IF(Deployments!T380="","",Deployments!T380)</f>
        <v/>
      </c>
      <c r="AA379" s="21" t="str">
        <f>IF(Deployments!L380="","",Deployments!L380)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IF(Deployments!AH381="","",Deployments!AH381)</f>
        <v/>
      </c>
      <c r="E380" s="21" t="str">
        <f>IF(Deployments!I381="","",Deployments!I381)</f>
        <v/>
      </c>
      <c r="F380" s="21" t="str">
        <f>IF(Deployments!J381="","",Deployments!J381)</f>
        <v/>
      </c>
      <c r="G380" s="21" t="str">
        <f>IF(Deployments!K381="","",Deployments!K381)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IF(Deployments!AD381="","",Deployments!AD381)</f>
        <v/>
      </c>
      <c r="L380" s="21" t="str">
        <f>IF(Deployments!M381="","",Deployments!M381)</f>
        <v/>
      </c>
      <c r="M380" s="22"/>
      <c r="N380" s="21" t="str">
        <f>IF(Deployments!N381="","",Deployments!N381)</f>
        <v/>
      </c>
      <c r="O380" s="21" t="str">
        <f>IF(Deployments!O381="","",Deployments!O381)</f>
        <v/>
      </c>
      <c r="P380" s="21" t="str">
        <f>IF(Deployments!P381="","",Deployments!P381)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IF(Deployments!T381="","",Deployments!T381)</f>
        <v/>
      </c>
      <c r="AA380" s="21" t="str">
        <f>IF(Deployments!L381="","",Deployments!L381)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IF(Deployments!AH382="","",Deployments!AH382)</f>
        <v/>
      </c>
      <c r="E381" s="21" t="str">
        <f>IF(Deployments!I382="","",Deployments!I382)</f>
        <v/>
      </c>
      <c r="F381" s="21" t="str">
        <f>IF(Deployments!J382="","",Deployments!J382)</f>
        <v/>
      </c>
      <c r="G381" s="21" t="str">
        <f>IF(Deployments!K382="","",Deployments!K382)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IF(Deployments!AD382="","",Deployments!AD382)</f>
        <v/>
      </c>
      <c r="L381" s="21" t="str">
        <f>IF(Deployments!M382="","",Deployments!M382)</f>
        <v/>
      </c>
      <c r="M381" s="22"/>
      <c r="N381" s="21" t="str">
        <f>IF(Deployments!N382="","",Deployments!N382)</f>
        <v/>
      </c>
      <c r="O381" s="21" t="str">
        <f>IF(Deployments!O382="","",Deployments!O382)</f>
        <v/>
      </c>
      <c r="P381" s="21" t="str">
        <f>IF(Deployments!P382="","",Deployments!P382)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IF(Deployments!T382="","",Deployments!T382)</f>
        <v/>
      </c>
      <c r="AA381" s="21" t="str">
        <f>IF(Deployments!L382="","",Deployments!L382)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IF(Deployments!AH383="","",Deployments!AH383)</f>
        <v/>
      </c>
      <c r="E382" s="21" t="str">
        <f>IF(Deployments!I383="","",Deployments!I383)</f>
        <v/>
      </c>
      <c r="F382" s="21" t="str">
        <f>IF(Deployments!J383="","",Deployments!J383)</f>
        <v/>
      </c>
      <c r="G382" s="21" t="str">
        <f>IF(Deployments!K383="","",Deployments!K383)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IF(Deployments!AD383="","",Deployments!AD383)</f>
        <v/>
      </c>
      <c r="L382" s="21" t="str">
        <f>IF(Deployments!M383="","",Deployments!M383)</f>
        <v/>
      </c>
      <c r="M382" s="22"/>
      <c r="N382" s="21" t="str">
        <f>IF(Deployments!N383="","",Deployments!N383)</f>
        <v/>
      </c>
      <c r="O382" s="21" t="str">
        <f>IF(Deployments!O383="","",Deployments!O383)</f>
        <v/>
      </c>
      <c r="P382" s="21" t="str">
        <f>IF(Deployments!P383="","",Deployments!P383)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IF(Deployments!T383="","",Deployments!T383)</f>
        <v/>
      </c>
      <c r="AA382" s="21" t="str">
        <f>IF(Deployments!L383="","",Deployments!L383)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IF(Deployments!AH384="","",Deployments!AH384)</f>
        <v/>
      </c>
      <c r="E383" s="21" t="str">
        <f>IF(Deployments!I384="","",Deployments!I384)</f>
        <v/>
      </c>
      <c r="F383" s="21" t="str">
        <f>IF(Deployments!J384="","",Deployments!J384)</f>
        <v/>
      </c>
      <c r="G383" s="21" t="str">
        <f>IF(Deployments!K384="","",Deployments!K384)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IF(Deployments!AD384="","",Deployments!AD384)</f>
        <v/>
      </c>
      <c r="L383" s="21" t="str">
        <f>IF(Deployments!M384="","",Deployments!M384)</f>
        <v/>
      </c>
      <c r="M383" s="22"/>
      <c r="N383" s="21" t="str">
        <f>IF(Deployments!N384="","",Deployments!N384)</f>
        <v/>
      </c>
      <c r="O383" s="21" t="str">
        <f>IF(Deployments!O384="","",Deployments!O384)</f>
        <v/>
      </c>
      <c r="P383" s="21" t="str">
        <f>IF(Deployments!P384="","",Deployments!P384)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IF(Deployments!T384="","",Deployments!T384)</f>
        <v/>
      </c>
      <c r="AA383" s="21" t="str">
        <f>IF(Deployments!L384="","",Deployments!L384)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IF(Deployments!AH385="","",Deployments!AH385)</f>
        <v/>
      </c>
      <c r="E384" s="21" t="str">
        <f>IF(Deployments!I385="","",Deployments!I385)</f>
        <v/>
      </c>
      <c r="F384" s="21" t="str">
        <f>IF(Deployments!J385="","",Deployments!J385)</f>
        <v/>
      </c>
      <c r="G384" s="21" t="str">
        <f>IF(Deployments!K385="","",Deployments!K385)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IF(Deployments!AD385="","",Deployments!AD385)</f>
        <v/>
      </c>
      <c r="L384" s="21" t="str">
        <f>IF(Deployments!M385="","",Deployments!M385)</f>
        <v/>
      </c>
      <c r="M384" s="22"/>
      <c r="N384" s="21" t="str">
        <f>IF(Deployments!N385="","",Deployments!N385)</f>
        <v/>
      </c>
      <c r="O384" s="21" t="str">
        <f>IF(Deployments!O385="","",Deployments!O385)</f>
        <v/>
      </c>
      <c r="P384" s="21" t="str">
        <f>IF(Deployments!P385="","",Deployments!P385)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IF(Deployments!T385="","",Deployments!T385)</f>
        <v/>
      </c>
      <c r="AA384" s="21" t="str">
        <f>IF(Deployments!L385="","",Deployments!L385)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IF(Deployments!AH386="","",Deployments!AH386)</f>
        <v/>
      </c>
      <c r="E385" s="21" t="str">
        <f>IF(Deployments!I386="","",Deployments!I386)</f>
        <v/>
      </c>
      <c r="F385" s="21" t="str">
        <f>IF(Deployments!J386="","",Deployments!J386)</f>
        <v/>
      </c>
      <c r="G385" s="21" t="str">
        <f>IF(Deployments!K386="","",Deployments!K386)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IF(Deployments!AD386="","",Deployments!AD386)</f>
        <v/>
      </c>
      <c r="L385" s="21" t="str">
        <f>IF(Deployments!M386="","",Deployments!M386)</f>
        <v/>
      </c>
      <c r="M385" s="22"/>
      <c r="N385" s="21" t="str">
        <f>IF(Deployments!N386="","",Deployments!N386)</f>
        <v/>
      </c>
      <c r="O385" s="21" t="str">
        <f>IF(Deployments!O386="","",Deployments!O386)</f>
        <v/>
      </c>
      <c r="P385" s="21" t="str">
        <f>IF(Deployments!P386="","",Deployments!P386)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IF(Deployments!T386="","",Deployments!T386)</f>
        <v/>
      </c>
      <c r="AA385" s="21" t="str">
        <f>IF(Deployments!L386="","",Deployments!L386)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IF(Deployments!AH387="","",Deployments!AH387)</f>
        <v/>
      </c>
      <c r="E386" s="21" t="str">
        <f>IF(Deployments!I387="","",Deployments!I387)</f>
        <v/>
      </c>
      <c r="F386" s="21" t="str">
        <f>IF(Deployments!J387="","",Deployments!J387)</f>
        <v/>
      </c>
      <c r="G386" s="21" t="str">
        <f>IF(Deployments!K387="","",Deployments!K387)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IF(Deployments!AD387="","",Deployments!AD387)</f>
        <v/>
      </c>
      <c r="L386" s="21" t="str">
        <f>IF(Deployments!M387="","",Deployments!M387)</f>
        <v/>
      </c>
      <c r="M386" s="22"/>
      <c r="N386" s="21" t="str">
        <f>IF(Deployments!N387="","",Deployments!N387)</f>
        <v/>
      </c>
      <c r="O386" s="21" t="str">
        <f>IF(Deployments!O387="","",Deployments!O387)</f>
        <v/>
      </c>
      <c r="P386" s="21" t="str">
        <f>IF(Deployments!P387="","",Deployments!P387)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IF(Deployments!T387="","",Deployments!T387)</f>
        <v/>
      </c>
      <c r="AA386" s="21" t="str">
        <f>IF(Deployments!L387="","",Deployments!L387)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IF(Deployments!AH388="","",Deployments!AH388)</f>
        <v/>
      </c>
      <c r="E387" s="21" t="str">
        <f>IF(Deployments!I388="","",Deployments!I388)</f>
        <v/>
      </c>
      <c r="F387" s="21" t="str">
        <f>IF(Deployments!J388="","",Deployments!J388)</f>
        <v/>
      </c>
      <c r="G387" s="21" t="str">
        <f>IF(Deployments!K388="","",Deployments!K388)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IF(Deployments!AD388="","",Deployments!AD388)</f>
        <v/>
      </c>
      <c r="L387" s="21" t="str">
        <f>IF(Deployments!M388="","",Deployments!M388)</f>
        <v/>
      </c>
      <c r="M387" s="22"/>
      <c r="N387" s="21" t="str">
        <f>IF(Deployments!N388="","",Deployments!N388)</f>
        <v/>
      </c>
      <c r="O387" s="21" t="str">
        <f>IF(Deployments!O388="","",Deployments!O388)</f>
        <v/>
      </c>
      <c r="P387" s="21" t="str">
        <f>IF(Deployments!P388="","",Deployments!P388)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IF(Deployments!T388="","",Deployments!T388)</f>
        <v/>
      </c>
      <c r="AA387" s="21" t="str">
        <f>IF(Deployments!L388="","",Deployments!L388)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IF(Deployments!AH389="","",Deployments!AH389)</f>
        <v/>
      </c>
      <c r="E388" s="21" t="str">
        <f>IF(Deployments!I389="","",Deployments!I389)</f>
        <v/>
      </c>
      <c r="F388" s="21" t="str">
        <f>IF(Deployments!J389="","",Deployments!J389)</f>
        <v/>
      </c>
      <c r="G388" s="21" t="str">
        <f>IF(Deployments!K389="","",Deployments!K389)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IF(Deployments!AD389="","",Deployments!AD389)</f>
        <v/>
      </c>
      <c r="L388" s="21" t="str">
        <f>IF(Deployments!M389="","",Deployments!M389)</f>
        <v/>
      </c>
      <c r="M388" s="22"/>
      <c r="N388" s="21" t="str">
        <f>IF(Deployments!N389="","",Deployments!N389)</f>
        <v/>
      </c>
      <c r="O388" s="21" t="str">
        <f>IF(Deployments!O389="","",Deployments!O389)</f>
        <v/>
      </c>
      <c r="P388" s="21" t="str">
        <f>IF(Deployments!P389="","",Deployments!P389)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IF(Deployments!T389="","",Deployments!T389)</f>
        <v/>
      </c>
      <c r="AA388" s="21" t="str">
        <f>IF(Deployments!L389="","",Deployments!L389)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IF(Deployments!AH390="","",Deployments!AH390)</f>
        <v/>
      </c>
      <c r="E389" s="21" t="str">
        <f>IF(Deployments!I390="","",Deployments!I390)</f>
        <v/>
      </c>
      <c r="F389" s="21" t="str">
        <f>IF(Deployments!J390="","",Deployments!J390)</f>
        <v/>
      </c>
      <c r="G389" s="21" t="str">
        <f>IF(Deployments!K390="","",Deployments!K390)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IF(Deployments!AD390="","",Deployments!AD390)</f>
        <v/>
      </c>
      <c r="L389" s="21" t="str">
        <f>IF(Deployments!M390="","",Deployments!M390)</f>
        <v/>
      </c>
      <c r="M389" s="22"/>
      <c r="N389" s="21" t="str">
        <f>IF(Deployments!N390="","",Deployments!N390)</f>
        <v/>
      </c>
      <c r="O389" s="21" t="str">
        <f>IF(Deployments!O390="","",Deployments!O390)</f>
        <v/>
      </c>
      <c r="P389" s="21" t="str">
        <f>IF(Deployments!P390="","",Deployments!P390)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IF(Deployments!T390="","",Deployments!T390)</f>
        <v/>
      </c>
      <c r="AA389" s="21" t="str">
        <f>IF(Deployments!L390="","",Deployments!L390)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IF(Deployments!AH391="","",Deployments!AH391)</f>
        <v/>
      </c>
      <c r="E390" s="21" t="str">
        <f>IF(Deployments!I391="","",Deployments!I391)</f>
        <v/>
      </c>
      <c r="F390" s="21" t="str">
        <f>IF(Deployments!J391="","",Deployments!J391)</f>
        <v/>
      </c>
      <c r="G390" s="21" t="str">
        <f>IF(Deployments!K391="","",Deployments!K391)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IF(Deployments!AD391="","",Deployments!AD391)</f>
        <v/>
      </c>
      <c r="L390" s="21" t="str">
        <f>IF(Deployments!M391="","",Deployments!M391)</f>
        <v/>
      </c>
      <c r="M390" s="22"/>
      <c r="N390" s="21" t="str">
        <f>IF(Deployments!N391="","",Deployments!N391)</f>
        <v/>
      </c>
      <c r="O390" s="21" t="str">
        <f>IF(Deployments!O391="","",Deployments!O391)</f>
        <v/>
      </c>
      <c r="P390" s="21" t="str">
        <f>IF(Deployments!P391="","",Deployments!P391)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IF(Deployments!T391="","",Deployments!T391)</f>
        <v/>
      </c>
      <c r="AA390" s="21" t="str">
        <f>IF(Deployments!L391="","",Deployments!L391)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IF(Deployments!AH392="","",Deployments!AH392)</f>
        <v/>
      </c>
      <c r="E391" s="21" t="str">
        <f>IF(Deployments!I392="","",Deployments!I392)</f>
        <v/>
      </c>
      <c r="F391" s="21" t="str">
        <f>IF(Deployments!J392="","",Deployments!J392)</f>
        <v/>
      </c>
      <c r="G391" s="21" t="str">
        <f>IF(Deployments!K392="","",Deployments!K392)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IF(Deployments!AD392="","",Deployments!AD392)</f>
        <v/>
      </c>
      <c r="L391" s="21" t="str">
        <f>IF(Deployments!M392="","",Deployments!M392)</f>
        <v/>
      </c>
      <c r="M391" s="22"/>
      <c r="N391" s="21" t="str">
        <f>IF(Deployments!N392="","",Deployments!N392)</f>
        <v/>
      </c>
      <c r="O391" s="21" t="str">
        <f>IF(Deployments!O392="","",Deployments!O392)</f>
        <v/>
      </c>
      <c r="P391" s="21" t="str">
        <f>IF(Deployments!P392="","",Deployments!P392)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IF(Deployments!T392="","",Deployments!T392)</f>
        <v/>
      </c>
      <c r="AA391" s="21" t="str">
        <f>IF(Deployments!L392="","",Deployments!L392)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IF(Deployments!AH393="","",Deployments!AH393)</f>
        <v/>
      </c>
      <c r="E392" s="21" t="str">
        <f>IF(Deployments!I393="","",Deployments!I393)</f>
        <v/>
      </c>
      <c r="F392" s="21" t="str">
        <f>IF(Deployments!J393="","",Deployments!J393)</f>
        <v/>
      </c>
      <c r="G392" s="21" t="str">
        <f>IF(Deployments!K393="","",Deployments!K393)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IF(Deployments!AD393="","",Deployments!AD393)</f>
        <v/>
      </c>
      <c r="L392" s="21" t="str">
        <f>IF(Deployments!M393="","",Deployments!M393)</f>
        <v/>
      </c>
      <c r="M392" s="22"/>
      <c r="N392" s="21" t="str">
        <f>IF(Deployments!N393="","",Deployments!N393)</f>
        <v/>
      </c>
      <c r="O392" s="21" t="str">
        <f>IF(Deployments!O393="","",Deployments!O393)</f>
        <v/>
      </c>
      <c r="P392" s="21" t="str">
        <f>IF(Deployments!P393="","",Deployments!P393)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IF(Deployments!T393="","",Deployments!T393)</f>
        <v/>
      </c>
      <c r="AA392" s="21" t="str">
        <f>IF(Deployments!L393="","",Deployments!L393)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IF(Deployments!AH394="","",Deployments!AH394)</f>
        <v/>
      </c>
      <c r="E393" s="21" t="str">
        <f>IF(Deployments!I394="","",Deployments!I394)</f>
        <v/>
      </c>
      <c r="F393" s="21" t="str">
        <f>IF(Deployments!J394="","",Deployments!J394)</f>
        <v/>
      </c>
      <c r="G393" s="21" t="str">
        <f>IF(Deployments!K394="","",Deployments!K394)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IF(Deployments!AD394="","",Deployments!AD394)</f>
        <v/>
      </c>
      <c r="L393" s="21" t="str">
        <f>IF(Deployments!M394="","",Deployments!M394)</f>
        <v/>
      </c>
      <c r="M393" s="22"/>
      <c r="N393" s="21" t="str">
        <f>IF(Deployments!N394="","",Deployments!N394)</f>
        <v/>
      </c>
      <c r="O393" s="21" t="str">
        <f>IF(Deployments!O394="","",Deployments!O394)</f>
        <v/>
      </c>
      <c r="P393" s="21" t="str">
        <f>IF(Deployments!P394="","",Deployments!P394)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IF(Deployments!T394="","",Deployments!T394)</f>
        <v/>
      </c>
      <c r="AA393" s="21" t="str">
        <f>IF(Deployments!L394="","",Deployments!L394)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IF(Deployments!AH395="","",Deployments!AH395)</f>
        <v/>
      </c>
      <c r="E394" s="21" t="str">
        <f>IF(Deployments!I395="","",Deployments!I395)</f>
        <v/>
      </c>
      <c r="F394" s="21" t="str">
        <f>IF(Deployments!J395="","",Deployments!J395)</f>
        <v/>
      </c>
      <c r="G394" s="21" t="str">
        <f>IF(Deployments!K395="","",Deployments!K395)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IF(Deployments!AD395="","",Deployments!AD395)</f>
        <v/>
      </c>
      <c r="L394" s="21" t="str">
        <f>IF(Deployments!M395="","",Deployments!M395)</f>
        <v/>
      </c>
      <c r="M394" s="22"/>
      <c r="N394" s="21" t="str">
        <f>IF(Deployments!N395="","",Deployments!N395)</f>
        <v/>
      </c>
      <c r="O394" s="21" t="str">
        <f>IF(Deployments!O395="","",Deployments!O395)</f>
        <v/>
      </c>
      <c r="P394" s="21" t="str">
        <f>IF(Deployments!P395="","",Deployments!P395)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IF(Deployments!T395="","",Deployments!T395)</f>
        <v/>
      </c>
      <c r="AA394" s="21" t="str">
        <f>IF(Deployments!L395="","",Deployments!L395)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IF(Deployments!AH396="","",Deployments!AH396)</f>
        <v/>
      </c>
      <c r="E395" s="21" t="str">
        <f>IF(Deployments!I396="","",Deployments!I396)</f>
        <v/>
      </c>
      <c r="F395" s="21" t="str">
        <f>IF(Deployments!J396="","",Deployments!J396)</f>
        <v/>
      </c>
      <c r="G395" s="21" t="str">
        <f>IF(Deployments!K396="","",Deployments!K396)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IF(Deployments!AD396="","",Deployments!AD396)</f>
        <v/>
      </c>
      <c r="L395" s="21" t="str">
        <f>IF(Deployments!M396="","",Deployments!M396)</f>
        <v/>
      </c>
      <c r="M395" s="22"/>
      <c r="N395" s="21" t="str">
        <f>IF(Deployments!N396="","",Deployments!N396)</f>
        <v/>
      </c>
      <c r="O395" s="21" t="str">
        <f>IF(Deployments!O396="","",Deployments!O396)</f>
        <v/>
      </c>
      <c r="P395" s="21" t="str">
        <f>IF(Deployments!P396="","",Deployments!P396)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IF(Deployments!T396="","",Deployments!T396)</f>
        <v/>
      </c>
      <c r="AA395" s="21" t="str">
        <f>IF(Deployments!L396="","",Deployments!L396)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IF(Deployments!AH397="","",Deployments!AH397)</f>
        <v/>
      </c>
      <c r="E396" s="21" t="str">
        <f>IF(Deployments!I397="","",Deployments!I397)</f>
        <v/>
      </c>
      <c r="F396" s="21" t="str">
        <f>IF(Deployments!J397="","",Deployments!J397)</f>
        <v/>
      </c>
      <c r="G396" s="21" t="str">
        <f>IF(Deployments!K397="","",Deployments!K397)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IF(Deployments!AD397="","",Deployments!AD397)</f>
        <v/>
      </c>
      <c r="L396" s="21" t="str">
        <f>IF(Deployments!M397="","",Deployments!M397)</f>
        <v/>
      </c>
      <c r="M396" s="22"/>
      <c r="N396" s="21" t="str">
        <f>IF(Deployments!N397="","",Deployments!N397)</f>
        <v/>
      </c>
      <c r="O396" s="21" t="str">
        <f>IF(Deployments!O397="","",Deployments!O397)</f>
        <v/>
      </c>
      <c r="P396" s="21" t="str">
        <f>IF(Deployments!P397="","",Deployments!P397)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IF(Deployments!T397="","",Deployments!T397)</f>
        <v/>
      </c>
      <c r="AA396" s="21" t="str">
        <f>IF(Deployments!L397="","",Deployments!L397)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IF(Deployments!AH398="","",Deployments!AH398)</f>
        <v/>
      </c>
      <c r="E397" s="21" t="str">
        <f>IF(Deployments!I398="","",Deployments!I398)</f>
        <v/>
      </c>
      <c r="F397" s="21" t="str">
        <f>IF(Deployments!J398="","",Deployments!J398)</f>
        <v/>
      </c>
      <c r="G397" s="21" t="str">
        <f>IF(Deployments!K398="","",Deployments!K398)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IF(Deployments!AD398="","",Deployments!AD398)</f>
        <v/>
      </c>
      <c r="L397" s="21" t="str">
        <f>IF(Deployments!M398="","",Deployments!M398)</f>
        <v/>
      </c>
      <c r="M397" s="22"/>
      <c r="N397" s="21" t="str">
        <f>IF(Deployments!N398="","",Deployments!N398)</f>
        <v/>
      </c>
      <c r="O397" s="21" t="str">
        <f>IF(Deployments!O398="","",Deployments!O398)</f>
        <v/>
      </c>
      <c r="P397" s="21" t="str">
        <f>IF(Deployments!P398="","",Deployments!P398)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IF(Deployments!T398="","",Deployments!T398)</f>
        <v/>
      </c>
      <c r="AA397" s="21" t="str">
        <f>IF(Deployments!L398="","",Deployments!L398)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IF(Deployments!AH399="","",Deployments!AH399)</f>
        <v/>
      </c>
      <c r="E398" s="21" t="str">
        <f>IF(Deployments!I399="","",Deployments!I399)</f>
        <v/>
      </c>
      <c r="F398" s="21" t="str">
        <f>IF(Deployments!J399="","",Deployments!J399)</f>
        <v/>
      </c>
      <c r="G398" s="21" t="str">
        <f>IF(Deployments!K399="","",Deployments!K399)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IF(Deployments!AD399="","",Deployments!AD399)</f>
        <v/>
      </c>
      <c r="L398" s="21" t="str">
        <f>IF(Deployments!M399="","",Deployments!M399)</f>
        <v/>
      </c>
      <c r="M398" s="22"/>
      <c r="N398" s="21" t="str">
        <f>IF(Deployments!N399="","",Deployments!N399)</f>
        <v/>
      </c>
      <c r="O398" s="21" t="str">
        <f>IF(Deployments!O399="","",Deployments!O399)</f>
        <v/>
      </c>
      <c r="P398" s="21" t="str">
        <f>IF(Deployments!P399="","",Deployments!P399)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IF(Deployments!T399="","",Deployments!T399)</f>
        <v/>
      </c>
      <c r="AA398" s="21" t="str">
        <f>IF(Deployments!L399="","",Deployments!L399)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IF(Deployments!AH400="","",Deployments!AH400)</f>
        <v/>
      </c>
      <c r="E399" s="21" t="str">
        <f>IF(Deployments!I400="","",Deployments!I400)</f>
        <v/>
      </c>
      <c r="F399" s="21" t="str">
        <f>IF(Deployments!J400="","",Deployments!J400)</f>
        <v/>
      </c>
      <c r="G399" s="21" t="str">
        <f>IF(Deployments!K400="","",Deployments!K400)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IF(Deployments!AD400="","",Deployments!AD400)</f>
        <v/>
      </c>
      <c r="L399" s="21" t="str">
        <f>IF(Deployments!M400="","",Deployments!M400)</f>
        <v/>
      </c>
      <c r="M399" s="22"/>
      <c r="N399" s="21" t="str">
        <f>IF(Deployments!N400="","",Deployments!N400)</f>
        <v/>
      </c>
      <c r="O399" s="21" t="str">
        <f>IF(Deployments!O400="","",Deployments!O400)</f>
        <v/>
      </c>
      <c r="P399" s="21" t="str">
        <f>IF(Deployments!P400="","",Deployments!P400)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IF(Deployments!T400="","",Deployments!T400)</f>
        <v/>
      </c>
      <c r="AA399" s="21" t="str">
        <f>IF(Deployments!L400="","",Deployments!L400)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IF(Deployments!AH401="","",Deployments!AH401)</f>
        <v/>
      </c>
      <c r="E400" s="21" t="str">
        <f>IF(Deployments!I401="","",Deployments!I401)</f>
        <v/>
      </c>
      <c r="F400" s="21" t="str">
        <f>IF(Deployments!J401="","",Deployments!J401)</f>
        <v/>
      </c>
      <c r="G400" s="21" t="str">
        <f>IF(Deployments!K401="","",Deployments!K401)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IF(Deployments!AD401="","",Deployments!AD401)</f>
        <v/>
      </c>
      <c r="L400" s="21" t="str">
        <f>IF(Deployments!M401="","",Deployments!M401)</f>
        <v/>
      </c>
      <c r="M400" s="22"/>
      <c r="N400" s="21" t="str">
        <f>IF(Deployments!N401="","",Deployments!N401)</f>
        <v/>
      </c>
      <c r="O400" s="21" t="str">
        <f>IF(Deployments!O401="","",Deployments!O401)</f>
        <v/>
      </c>
      <c r="P400" s="21" t="str">
        <f>IF(Deployments!P401="","",Deployments!P401)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IF(Deployments!T401="","",Deployments!T401)</f>
        <v/>
      </c>
      <c r="AA400" s="21" t="str">
        <f>IF(Deployments!L401="","",Deployments!L401)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IF(Deployments!AH402="","",Deployments!AH402)</f>
        <v/>
      </c>
      <c r="E401" s="21" t="str">
        <f>IF(Deployments!I402="","",Deployments!I402)</f>
        <v/>
      </c>
      <c r="F401" s="21" t="str">
        <f>IF(Deployments!J402="","",Deployments!J402)</f>
        <v/>
      </c>
      <c r="G401" s="21" t="str">
        <f>IF(Deployments!K402="","",Deployments!K402)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IF(Deployments!AD402="","",Deployments!AD402)</f>
        <v/>
      </c>
      <c r="L401" s="21" t="str">
        <f>IF(Deployments!M402="","",Deployments!M402)</f>
        <v/>
      </c>
      <c r="M401" s="22"/>
      <c r="N401" s="21" t="str">
        <f>IF(Deployments!N402="","",Deployments!N402)</f>
        <v/>
      </c>
      <c r="O401" s="21" t="str">
        <f>IF(Deployments!O402="","",Deployments!O402)</f>
        <v/>
      </c>
      <c r="P401" s="21" t="str">
        <f>IF(Deployments!P402="","",Deployments!P402)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IF(Deployments!T402="","",Deployments!T402)</f>
        <v/>
      </c>
      <c r="AA401" s="21" t="str">
        <f>IF(Deployments!L402="","",Deployments!L402)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IF(Deployments!AH403="","",Deployments!AH403)</f>
        <v/>
      </c>
      <c r="E402" s="21" t="str">
        <f>IF(Deployments!I403="","",Deployments!I403)</f>
        <v/>
      </c>
      <c r="F402" s="21" t="str">
        <f>IF(Deployments!J403="","",Deployments!J403)</f>
        <v/>
      </c>
      <c r="G402" s="21" t="str">
        <f>IF(Deployments!K403="","",Deployments!K403)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IF(Deployments!AD403="","",Deployments!AD403)</f>
        <v/>
      </c>
      <c r="L402" s="21" t="str">
        <f>IF(Deployments!M403="","",Deployments!M403)</f>
        <v/>
      </c>
      <c r="M402" s="22"/>
      <c r="N402" s="21" t="str">
        <f>IF(Deployments!N403="","",Deployments!N403)</f>
        <v/>
      </c>
      <c r="O402" s="21" t="str">
        <f>IF(Deployments!O403="","",Deployments!O403)</f>
        <v/>
      </c>
      <c r="P402" s="21" t="str">
        <f>IF(Deployments!P403="","",Deployments!P403)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IF(Deployments!T403="","",Deployments!T403)</f>
        <v/>
      </c>
      <c r="AA402" s="21" t="str">
        <f>IF(Deployments!L403="","",Deployments!L403)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IF(Deployments!AH404="","",Deployments!AH404)</f>
        <v/>
      </c>
      <c r="E403" s="21" t="str">
        <f>IF(Deployments!I404="","",Deployments!I404)</f>
        <v/>
      </c>
      <c r="F403" s="21" t="str">
        <f>IF(Deployments!J404="","",Deployments!J404)</f>
        <v/>
      </c>
      <c r="G403" s="21" t="str">
        <f>IF(Deployments!K404="","",Deployments!K404)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IF(Deployments!AD404="","",Deployments!AD404)</f>
        <v/>
      </c>
      <c r="L403" s="21" t="str">
        <f>IF(Deployments!M404="","",Deployments!M404)</f>
        <v/>
      </c>
      <c r="M403" s="22"/>
      <c r="N403" s="21" t="str">
        <f>IF(Deployments!N404="","",Deployments!N404)</f>
        <v/>
      </c>
      <c r="O403" s="21" t="str">
        <f>IF(Deployments!O404="","",Deployments!O404)</f>
        <v/>
      </c>
      <c r="P403" s="21" t="str">
        <f>IF(Deployments!P404="","",Deployments!P404)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IF(Deployments!T404="","",Deployments!T404)</f>
        <v/>
      </c>
      <c r="AA403" s="21" t="str">
        <f>IF(Deployments!L404="","",Deployments!L404)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IF(Deployments!AH405="","",Deployments!AH405)</f>
        <v/>
      </c>
      <c r="E404" s="21" t="str">
        <f>IF(Deployments!I405="","",Deployments!I405)</f>
        <v/>
      </c>
      <c r="F404" s="21" t="str">
        <f>IF(Deployments!J405="","",Deployments!J405)</f>
        <v/>
      </c>
      <c r="G404" s="21" t="str">
        <f>IF(Deployments!K405="","",Deployments!K405)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IF(Deployments!AD405="","",Deployments!AD405)</f>
        <v/>
      </c>
      <c r="L404" s="21" t="str">
        <f>IF(Deployments!M405="","",Deployments!M405)</f>
        <v/>
      </c>
      <c r="M404" s="22"/>
      <c r="N404" s="21" t="str">
        <f>IF(Deployments!N405="","",Deployments!N405)</f>
        <v/>
      </c>
      <c r="O404" s="21" t="str">
        <f>IF(Deployments!O405="","",Deployments!O405)</f>
        <v/>
      </c>
      <c r="P404" s="21" t="str">
        <f>IF(Deployments!P405="","",Deployments!P405)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IF(Deployments!T405="","",Deployments!T405)</f>
        <v/>
      </c>
      <c r="AA404" s="21" t="str">
        <f>IF(Deployments!L405="","",Deployments!L405)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IF(Deployments!AH406="","",Deployments!AH406)</f>
        <v/>
      </c>
      <c r="E405" s="21" t="str">
        <f>IF(Deployments!I406="","",Deployments!I406)</f>
        <v/>
      </c>
      <c r="F405" s="21" t="str">
        <f>IF(Deployments!J406="","",Deployments!J406)</f>
        <v/>
      </c>
      <c r="G405" s="21" t="str">
        <f>IF(Deployments!K406="","",Deployments!K406)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IF(Deployments!AD406="","",Deployments!AD406)</f>
        <v/>
      </c>
      <c r="L405" s="21" t="str">
        <f>IF(Deployments!M406="","",Deployments!M406)</f>
        <v/>
      </c>
      <c r="M405" s="22"/>
      <c r="N405" s="21" t="str">
        <f>IF(Deployments!N406="","",Deployments!N406)</f>
        <v/>
      </c>
      <c r="O405" s="21" t="str">
        <f>IF(Deployments!O406="","",Deployments!O406)</f>
        <v/>
      </c>
      <c r="P405" s="21" t="str">
        <f>IF(Deployments!P406="","",Deployments!P406)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IF(Deployments!T406="","",Deployments!T406)</f>
        <v/>
      </c>
      <c r="AA405" s="21" t="str">
        <f>IF(Deployments!L406="","",Deployments!L406)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IF(Deployments!AH407="","",Deployments!AH407)</f>
        <v/>
      </c>
      <c r="E406" s="21" t="str">
        <f>IF(Deployments!I407="","",Deployments!I407)</f>
        <v/>
      </c>
      <c r="F406" s="21" t="str">
        <f>IF(Deployments!J407="","",Deployments!J407)</f>
        <v/>
      </c>
      <c r="G406" s="21" t="str">
        <f>IF(Deployments!K407="","",Deployments!K407)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IF(Deployments!AD407="","",Deployments!AD407)</f>
        <v/>
      </c>
      <c r="L406" s="21" t="str">
        <f>IF(Deployments!M407="","",Deployments!M407)</f>
        <v/>
      </c>
      <c r="M406" s="22"/>
      <c r="N406" s="21" t="str">
        <f>IF(Deployments!N407="","",Deployments!N407)</f>
        <v/>
      </c>
      <c r="O406" s="21" t="str">
        <f>IF(Deployments!O407="","",Deployments!O407)</f>
        <v/>
      </c>
      <c r="P406" s="21" t="str">
        <f>IF(Deployments!P407="","",Deployments!P407)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IF(Deployments!T407="","",Deployments!T407)</f>
        <v/>
      </c>
      <c r="AA406" s="21" t="str">
        <f>IF(Deployments!L407="","",Deployments!L407)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IF(Deployments!AH408="","",Deployments!AH408)</f>
        <v/>
      </c>
      <c r="E407" s="21" t="str">
        <f>IF(Deployments!I408="","",Deployments!I408)</f>
        <v/>
      </c>
      <c r="F407" s="21" t="str">
        <f>IF(Deployments!J408="","",Deployments!J408)</f>
        <v/>
      </c>
      <c r="G407" s="21" t="str">
        <f>IF(Deployments!K408="","",Deployments!K408)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IF(Deployments!AD408="","",Deployments!AD408)</f>
        <v/>
      </c>
      <c r="L407" s="21" t="str">
        <f>IF(Deployments!M408="","",Deployments!M408)</f>
        <v/>
      </c>
      <c r="M407" s="22"/>
      <c r="N407" s="21" t="str">
        <f>IF(Deployments!N408="","",Deployments!N408)</f>
        <v/>
      </c>
      <c r="O407" s="21" t="str">
        <f>IF(Deployments!O408="","",Deployments!O408)</f>
        <v/>
      </c>
      <c r="P407" s="21" t="str">
        <f>IF(Deployments!P408="","",Deployments!P408)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IF(Deployments!T408="","",Deployments!T408)</f>
        <v/>
      </c>
      <c r="AA407" s="21" t="str">
        <f>IF(Deployments!L408="","",Deployments!L408)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IF(Deployments!AH409="","",Deployments!AH409)</f>
        <v/>
      </c>
      <c r="E408" s="21" t="str">
        <f>IF(Deployments!I409="","",Deployments!I409)</f>
        <v/>
      </c>
      <c r="F408" s="21" t="str">
        <f>IF(Deployments!J409="","",Deployments!J409)</f>
        <v/>
      </c>
      <c r="G408" s="21" t="str">
        <f>IF(Deployments!K409="","",Deployments!K409)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IF(Deployments!AD409="","",Deployments!AD409)</f>
        <v/>
      </c>
      <c r="L408" s="21" t="str">
        <f>IF(Deployments!M409="","",Deployments!M409)</f>
        <v/>
      </c>
      <c r="M408" s="22"/>
      <c r="N408" s="21" t="str">
        <f>IF(Deployments!N409="","",Deployments!N409)</f>
        <v/>
      </c>
      <c r="O408" s="21" t="str">
        <f>IF(Deployments!O409="","",Deployments!O409)</f>
        <v/>
      </c>
      <c r="P408" s="21" t="str">
        <f>IF(Deployments!P409="","",Deployments!P409)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IF(Deployments!T409="","",Deployments!T409)</f>
        <v/>
      </c>
      <c r="AA408" s="21" t="str">
        <f>IF(Deployments!L409="","",Deployments!L409)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IF(Deployments!AH410="","",Deployments!AH410)</f>
        <v/>
      </c>
      <c r="E409" s="21" t="str">
        <f>IF(Deployments!I410="","",Deployments!I410)</f>
        <v/>
      </c>
      <c r="F409" s="21" t="str">
        <f>IF(Deployments!J410="","",Deployments!J410)</f>
        <v/>
      </c>
      <c r="G409" s="21" t="str">
        <f>IF(Deployments!K410="","",Deployments!K410)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IF(Deployments!AD410="","",Deployments!AD410)</f>
        <v/>
      </c>
      <c r="L409" s="21" t="str">
        <f>IF(Deployments!M410="","",Deployments!M410)</f>
        <v/>
      </c>
      <c r="M409" s="22"/>
      <c r="N409" s="21" t="str">
        <f>IF(Deployments!N410="","",Deployments!N410)</f>
        <v/>
      </c>
      <c r="O409" s="21" t="str">
        <f>IF(Deployments!O410="","",Deployments!O410)</f>
        <v/>
      </c>
      <c r="P409" s="21" t="str">
        <f>IF(Deployments!P410="","",Deployments!P410)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IF(Deployments!T410="","",Deployments!T410)</f>
        <v/>
      </c>
      <c r="AA409" s="21" t="str">
        <f>IF(Deployments!L410="","",Deployments!L410)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IF(Deployments!AH411="","",Deployments!AH411)</f>
        <v/>
      </c>
      <c r="E410" s="21" t="str">
        <f>IF(Deployments!I411="","",Deployments!I411)</f>
        <v/>
      </c>
      <c r="F410" s="21" t="str">
        <f>IF(Deployments!J411="","",Deployments!J411)</f>
        <v/>
      </c>
      <c r="G410" s="21" t="str">
        <f>IF(Deployments!K411="","",Deployments!K411)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IF(Deployments!AD411="","",Deployments!AD411)</f>
        <v/>
      </c>
      <c r="L410" s="21" t="str">
        <f>IF(Deployments!M411="","",Deployments!M411)</f>
        <v/>
      </c>
      <c r="M410" s="22"/>
      <c r="N410" s="21" t="str">
        <f>IF(Deployments!N411="","",Deployments!N411)</f>
        <v/>
      </c>
      <c r="O410" s="21" t="str">
        <f>IF(Deployments!O411="","",Deployments!O411)</f>
        <v/>
      </c>
      <c r="P410" s="21" t="str">
        <f>IF(Deployments!P411="","",Deployments!P411)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IF(Deployments!T411="","",Deployments!T411)</f>
        <v/>
      </c>
      <c r="AA410" s="21" t="str">
        <f>IF(Deployments!L411="","",Deployments!L411)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IF(Deployments!AH412="","",Deployments!AH412)</f>
        <v/>
      </c>
      <c r="E411" s="21" t="str">
        <f>IF(Deployments!I412="","",Deployments!I412)</f>
        <v/>
      </c>
      <c r="F411" s="21" t="str">
        <f>IF(Deployments!J412="","",Deployments!J412)</f>
        <v/>
      </c>
      <c r="G411" s="21" t="str">
        <f>IF(Deployments!K412="","",Deployments!K412)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IF(Deployments!AD412="","",Deployments!AD412)</f>
        <v/>
      </c>
      <c r="L411" s="21" t="str">
        <f>IF(Deployments!M412="","",Deployments!M412)</f>
        <v/>
      </c>
      <c r="M411" s="22"/>
      <c r="N411" s="21" t="str">
        <f>IF(Deployments!N412="","",Deployments!N412)</f>
        <v/>
      </c>
      <c r="O411" s="21" t="str">
        <f>IF(Deployments!O412="","",Deployments!O412)</f>
        <v/>
      </c>
      <c r="P411" s="21" t="str">
        <f>IF(Deployments!P412="","",Deployments!P412)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IF(Deployments!T412="","",Deployments!T412)</f>
        <v/>
      </c>
      <c r="AA411" s="21" t="str">
        <f>IF(Deployments!L412="","",Deployments!L412)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IF(Deployments!AH413="","",Deployments!AH413)</f>
        <v/>
      </c>
      <c r="E412" s="21" t="str">
        <f>IF(Deployments!I413="","",Deployments!I413)</f>
        <v/>
      </c>
      <c r="F412" s="21" t="str">
        <f>IF(Deployments!J413="","",Deployments!J413)</f>
        <v/>
      </c>
      <c r="G412" s="21" t="str">
        <f>IF(Deployments!K413="","",Deployments!K413)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IF(Deployments!AD413="","",Deployments!AD413)</f>
        <v/>
      </c>
      <c r="L412" s="21" t="str">
        <f>IF(Deployments!M413="","",Deployments!M413)</f>
        <v/>
      </c>
      <c r="M412" s="22"/>
      <c r="N412" s="21" t="str">
        <f>IF(Deployments!N413="","",Deployments!N413)</f>
        <v/>
      </c>
      <c r="O412" s="21" t="str">
        <f>IF(Deployments!O413="","",Deployments!O413)</f>
        <v/>
      </c>
      <c r="P412" s="21" t="str">
        <f>IF(Deployments!P413="","",Deployments!P413)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IF(Deployments!T413="","",Deployments!T413)</f>
        <v/>
      </c>
      <c r="AA412" s="21" t="str">
        <f>IF(Deployments!L413="","",Deployments!L413)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IF(Deployments!AH414="","",Deployments!AH414)</f>
        <v/>
      </c>
      <c r="E413" s="21" t="str">
        <f>IF(Deployments!I414="","",Deployments!I414)</f>
        <v/>
      </c>
      <c r="F413" s="21" t="str">
        <f>IF(Deployments!J414="","",Deployments!J414)</f>
        <v/>
      </c>
      <c r="G413" s="21" t="str">
        <f>IF(Deployments!K414="","",Deployments!K414)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IF(Deployments!AD414="","",Deployments!AD414)</f>
        <v/>
      </c>
      <c r="L413" s="21" t="str">
        <f>IF(Deployments!M414="","",Deployments!M414)</f>
        <v/>
      </c>
      <c r="M413" s="22"/>
      <c r="N413" s="21" t="str">
        <f>IF(Deployments!N414="","",Deployments!N414)</f>
        <v/>
      </c>
      <c r="O413" s="21" t="str">
        <f>IF(Deployments!O414="","",Deployments!O414)</f>
        <v/>
      </c>
      <c r="P413" s="21" t="str">
        <f>IF(Deployments!P414="","",Deployments!P414)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IF(Deployments!T414="","",Deployments!T414)</f>
        <v/>
      </c>
      <c r="AA413" s="21" t="str">
        <f>IF(Deployments!L414="","",Deployments!L414)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IF(Deployments!AH415="","",Deployments!AH415)</f>
        <v/>
      </c>
      <c r="E414" s="21" t="str">
        <f>IF(Deployments!I415="","",Deployments!I415)</f>
        <v/>
      </c>
      <c r="F414" s="21" t="str">
        <f>IF(Deployments!J415="","",Deployments!J415)</f>
        <v/>
      </c>
      <c r="G414" s="21" t="str">
        <f>IF(Deployments!K415="","",Deployments!K415)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IF(Deployments!AD415="","",Deployments!AD415)</f>
        <v/>
      </c>
      <c r="L414" s="21" t="str">
        <f>IF(Deployments!M415="","",Deployments!M415)</f>
        <v/>
      </c>
      <c r="M414" s="22"/>
      <c r="N414" s="21" t="str">
        <f>IF(Deployments!N415="","",Deployments!N415)</f>
        <v/>
      </c>
      <c r="O414" s="21" t="str">
        <f>IF(Deployments!O415="","",Deployments!O415)</f>
        <v/>
      </c>
      <c r="P414" s="21" t="str">
        <f>IF(Deployments!P415="","",Deployments!P415)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IF(Deployments!T415="","",Deployments!T415)</f>
        <v/>
      </c>
      <c r="AA414" s="21" t="str">
        <f>IF(Deployments!L415="","",Deployments!L415)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IF(Deployments!AH416="","",Deployments!AH416)</f>
        <v/>
      </c>
      <c r="E415" s="21" t="str">
        <f>IF(Deployments!I416="","",Deployments!I416)</f>
        <v/>
      </c>
      <c r="F415" s="21" t="str">
        <f>IF(Deployments!J416="","",Deployments!J416)</f>
        <v/>
      </c>
      <c r="G415" s="21" t="str">
        <f>IF(Deployments!K416="","",Deployments!K416)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IF(Deployments!AD416="","",Deployments!AD416)</f>
        <v/>
      </c>
      <c r="L415" s="21" t="str">
        <f>IF(Deployments!M416="","",Deployments!M416)</f>
        <v/>
      </c>
      <c r="M415" s="22"/>
      <c r="N415" s="21" t="str">
        <f>IF(Deployments!N416="","",Deployments!N416)</f>
        <v/>
      </c>
      <c r="O415" s="21" t="str">
        <f>IF(Deployments!O416="","",Deployments!O416)</f>
        <v/>
      </c>
      <c r="P415" s="21" t="str">
        <f>IF(Deployments!P416="","",Deployments!P416)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IF(Deployments!T416="","",Deployments!T416)</f>
        <v/>
      </c>
      <c r="AA415" s="21" t="str">
        <f>IF(Deployments!L416="","",Deployments!L416)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IF(Deployments!AH417="","",Deployments!AH417)</f>
        <v/>
      </c>
      <c r="E416" s="21" t="str">
        <f>IF(Deployments!I417="","",Deployments!I417)</f>
        <v/>
      </c>
      <c r="F416" s="21" t="str">
        <f>IF(Deployments!J417="","",Deployments!J417)</f>
        <v/>
      </c>
      <c r="G416" s="21" t="str">
        <f>IF(Deployments!K417="","",Deployments!K417)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IF(Deployments!AD417="","",Deployments!AD417)</f>
        <v/>
      </c>
      <c r="L416" s="21" t="str">
        <f>IF(Deployments!M417="","",Deployments!M417)</f>
        <v/>
      </c>
      <c r="M416" s="22"/>
      <c r="N416" s="21" t="str">
        <f>IF(Deployments!N417="","",Deployments!N417)</f>
        <v/>
      </c>
      <c r="O416" s="21" t="str">
        <f>IF(Deployments!O417="","",Deployments!O417)</f>
        <v/>
      </c>
      <c r="P416" s="21" t="str">
        <f>IF(Deployments!P417="","",Deployments!P417)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IF(Deployments!T417="","",Deployments!T417)</f>
        <v/>
      </c>
      <c r="AA416" s="21" t="str">
        <f>IF(Deployments!L417="","",Deployments!L417)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IF(Deployments!AH418="","",Deployments!AH418)</f>
        <v/>
      </c>
      <c r="E417" s="21" t="str">
        <f>IF(Deployments!I418="","",Deployments!I418)</f>
        <v/>
      </c>
      <c r="F417" s="21" t="str">
        <f>IF(Deployments!J418="","",Deployments!J418)</f>
        <v/>
      </c>
      <c r="G417" s="21" t="str">
        <f>IF(Deployments!K418="","",Deployments!K418)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IF(Deployments!AD418="","",Deployments!AD418)</f>
        <v/>
      </c>
      <c r="L417" s="21" t="str">
        <f>IF(Deployments!M418="","",Deployments!M418)</f>
        <v/>
      </c>
      <c r="M417" s="22"/>
      <c r="N417" s="21" t="str">
        <f>IF(Deployments!N418="","",Deployments!N418)</f>
        <v/>
      </c>
      <c r="O417" s="21" t="str">
        <f>IF(Deployments!O418="","",Deployments!O418)</f>
        <v/>
      </c>
      <c r="P417" s="21" t="str">
        <f>IF(Deployments!P418="","",Deployments!P418)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IF(Deployments!T418="","",Deployments!T418)</f>
        <v/>
      </c>
      <c r="AA417" s="21" t="str">
        <f>IF(Deployments!L418="","",Deployments!L418)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IF(Deployments!AH419="","",Deployments!AH419)</f>
        <v/>
      </c>
      <c r="E418" s="21" t="str">
        <f>IF(Deployments!I419="","",Deployments!I419)</f>
        <v/>
      </c>
      <c r="F418" s="21" t="str">
        <f>IF(Deployments!J419="","",Deployments!J419)</f>
        <v/>
      </c>
      <c r="G418" s="21" t="str">
        <f>IF(Deployments!K419="","",Deployments!K419)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IF(Deployments!AD419="","",Deployments!AD419)</f>
        <v/>
      </c>
      <c r="L418" s="21" t="str">
        <f>IF(Deployments!M419="","",Deployments!M419)</f>
        <v/>
      </c>
      <c r="M418" s="22"/>
      <c r="N418" s="21" t="str">
        <f>IF(Deployments!N419="","",Deployments!N419)</f>
        <v/>
      </c>
      <c r="O418" s="21" t="str">
        <f>IF(Deployments!O419="","",Deployments!O419)</f>
        <v/>
      </c>
      <c r="P418" s="21" t="str">
        <f>IF(Deployments!P419="","",Deployments!P419)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IF(Deployments!T419="","",Deployments!T419)</f>
        <v/>
      </c>
      <c r="AA418" s="21" t="str">
        <f>IF(Deployments!L419="","",Deployments!L419)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IF(Deployments!AH420="","",Deployments!AH420)</f>
        <v/>
      </c>
      <c r="E419" s="21" t="str">
        <f>IF(Deployments!I420="","",Deployments!I420)</f>
        <v/>
      </c>
      <c r="F419" s="21" t="str">
        <f>IF(Deployments!J420="","",Deployments!J420)</f>
        <v/>
      </c>
      <c r="G419" s="21" t="str">
        <f>IF(Deployments!K420="","",Deployments!K420)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IF(Deployments!AD420="","",Deployments!AD420)</f>
        <v/>
      </c>
      <c r="L419" s="21" t="str">
        <f>IF(Deployments!M420="","",Deployments!M420)</f>
        <v/>
      </c>
      <c r="M419" s="22"/>
      <c r="N419" s="21" t="str">
        <f>IF(Deployments!N420="","",Deployments!N420)</f>
        <v/>
      </c>
      <c r="O419" s="21" t="str">
        <f>IF(Deployments!O420="","",Deployments!O420)</f>
        <v/>
      </c>
      <c r="P419" s="21" t="str">
        <f>IF(Deployments!P420="","",Deployments!P420)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IF(Deployments!T420="","",Deployments!T420)</f>
        <v/>
      </c>
      <c r="AA419" s="21" t="str">
        <f>IF(Deployments!L420="","",Deployments!L420)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IF(Deployments!AH421="","",Deployments!AH421)</f>
        <v/>
      </c>
      <c r="E420" s="21" t="str">
        <f>IF(Deployments!I421="","",Deployments!I421)</f>
        <v/>
      </c>
      <c r="F420" s="21" t="str">
        <f>IF(Deployments!J421="","",Deployments!J421)</f>
        <v/>
      </c>
      <c r="G420" s="21" t="str">
        <f>IF(Deployments!K421="","",Deployments!K421)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IF(Deployments!AD421="","",Deployments!AD421)</f>
        <v/>
      </c>
      <c r="L420" s="21" t="str">
        <f>IF(Deployments!M421="","",Deployments!M421)</f>
        <v/>
      </c>
      <c r="M420" s="22"/>
      <c r="N420" s="21" t="str">
        <f>IF(Deployments!N421="","",Deployments!N421)</f>
        <v/>
      </c>
      <c r="O420" s="21" t="str">
        <f>IF(Deployments!O421="","",Deployments!O421)</f>
        <v/>
      </c>
      <c r="P420" s="21" t="str">
        <f>IF(Deployments!P421="","",Deployments!P421)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IF(Deployments!T421="","",Deployments!T421)</f>
        <v/>
      </c>
      <c r="AA420" s="21" t="str">
        <f>IF(Deployments!L421="","",Deployments!L421)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IF(Deployments!AH422="","",Deployments!AH422)</f>
        <v/>
      </c>
      <c r="E421" s="21" t="str">
        <f>IF(Deployments!I422="","",Deployments!I422)</f>
        <v/>
      </c>
      <c r="F421" s="21" t="str">
        <f>IF(Deployments!J422="","",Deployments!J422)</f>
        <v/>
      </c>
      <c r="G421" s="21" t="str">
        <f>IF(Deployments!K422="","",Deployments!K422)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IF(Deployments!AD422="","",Deployments!AD422)</f>
        <v/>
      </c>
      <c r="L421" s="21" t="str">
        <f>IF(Deployments!M422="","",Deployments!M422)</f>
        <v/>
      </c>
      <c r="M421" s="22"/>
      <c r="N421" s="21" t="str">
        <f>IF(Deployments!N422="","",Deployments!N422)</f>
        <v/>
      </c>
      <c r="O421" s="21" t="str">
        <f>IF(Deployments!O422="","",Deployments!O422)</f>
        <v/>
      </c>
      <c r="P421" s="21" t="str">
        <f>IF(Deployments!P422="","",Deployments!P422)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IF(Deployments!T422="","",Deployments!T422)</f>
        <v/>
      </c>
      <c r="AA421" s="21" t="str">
        <f>IF(Deployments!L422="","",Deployments!L422)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IF(Deployments!AH423="","",Deployments!AH423)</f>
        <v/>
      </c>
      <c r="E422" s="21" t="str">
        <f>IF(Deployments!I423="","",Deployments!I423)</f>
        <v/>
      </c>
      <c r="F422" s="21" t="str">
        <f>IF(Deployments!J423="","",Deployments!J423)</f>
        <v/>
      </c>
      <c r="G422" s="21" t="str">
        <f>IF(Deployments!K423="","",Deployments!K423)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IF(Deployments!AD423="","",Deployments!AD423)</f>
        <v/>
      </c>
      <c r="L422" s="21" t="str">
        <f>IF(Deployments!M423="","",Deployments!M423)</f>
        <v/>
      </c>
      <c r="M422" s="22"/>
      <c r="N422" s="21" t="str">
        <f>IF(Deployments!N423="","",Deployments!N423)</f>
        <v/>
      </c>
      <c r="O422" s="21" t="str">
        <f>IF(Deployments!O423="","",Deployments!O423)</f>
        <v/>
      </c>
      <c r="P422" s="21" t="str">
        <f>IF(Deployments!P423="","",Deployments!P423)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IF(Deployments!T423="","",Deployments!T423)</f>
        <v/>
      </c>
      <c r="AA422" s="21" t="str">
        <f>IF(Deployments!L423="","",Deployments!L423)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IF(Deployments!AH424="","",Deployments!AH424)</f>
        <v/>
      </c>
      <c r="E423" s="21" t="str">
        <f>IF(Deployments!I424="","",Deployments!I424)</f>
        <v/>
      </c>
      <c r="F423" s="21" t="str">
        <f>IF(Deployments!J424="","",Deployments!J424)</f>
        <v/>
      </c>
      <c r="G423" s="21" t="str">
        <f>IF(Deployments!K424="","",Deployments!K424)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IF(Deployments!AD424="","",Deployments!AD424)</f>
        <v/>
      </c>
      <c r="L423" s="21" t="str">
        <f>IF(Deployments!M424="","",Deployments!M424)</f>
        <v/>
      </c>
      <c r="M423" s="22"/>
      <c r="N423" s="21" t="str">
        <f>IF(Deployments!N424="","",Deployments!N424)</f>
        <v/>
      </c>
      <c r="O423" s="21" t="str">
        <f>IF(Deployments!O424="","",Deployments!O424)</f>
        <v/>
      </c>
      <c r="P423" s="21" t="str">
        <f>IF(Deployments!P424="","",Deployments!P424)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IF(Deployments!T424="","",Deployments!T424)</f>
        <v/>
      </c>
      <c r="AA423" s="21" t="str">
        <f>IF(Deployments!L424="","",Deployments!L424)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IF(Deployments!AH425="","",Deployments!AH425)</f>
        <v/>
      </c>
      <c r="E424" s="21" t="str">
        <f>IF(Deployments!I425="","",Deployments!I425)</f>
        <v/>
      </c>
      <c r="F424" s="21" t="str">
        <f>IF(Deployments!J425="","",Deployments!J425)</f>
        <v/>
      </c>
      <c r="G424" s="21" t="str">
        <f>IF(Deployments!K425="","",Deployments!K425)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IF(Deployments!AD425="","",Deployments!AD425)</f>
        <v/>
      </c>
      <c r="L424" s="21" t="str">
        <f>IF(Deployments!M425="","",Deployments!M425)</f>
        <v/>
      </c>
      <c r="M424" s="22"/>
      <c r="N424" s="21" t="str">
        <f>IF(Deployments!N425="","",Deployments!N425)</f>
        <v/>
      </c>
      <c r="O424" s="21" t="str">
        <f>IF(Deployments!O425="","",Deployments!O425)</f>
        <v/>
      </c>
      <c r="P424" s="21" t="str">
        <f>IF(Deployments!P425="","",Deployments!P425)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IF(Deployments!T425="","",Deployments!T425)</f>
        <v/>
      </c>
      <c r="AA424" s="21" t="str">
        <f>IF(Deployments!L425="","",Deployments!L425)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IF(Deployments!AH426="","",Deployments!AH426)</f>
        <v/>
      </c>
      <c r="E425" s="21" t="str">
        <f>IF(Deployments!I426="","",Deployments!I426)</f>
        <v/>
      </c>
      <c r="F425" s="21" t="str">
        <f>IF(Deployments!J426="","",Deployments!J426)</f>
        <v/>
      </c>
      <c r="G425" s="21" t="str">
        <f>IF(Deployments!K426="","",Deployments!K426)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IF(Deployments!AD426="","",Deployments!AD426)</f>
        <v/>
      </c>
      <c r="L425" s="21" t="str">
        <f>IF(Deployments!M426="","",Deployments!M426)</f>
        <v/>
      </c>
      <c r="M425" s="22"/>
      <c r="N425" s="21" t="str">
        <f>IF(Deployments!N426="","",Deployments!N426)</f>
        <v/>
      </c>
      <c r="O425" s="21" t="str">
        <f>IF(Deployments!O426="","",Deployments!O426)</f>
        <v/>
      </c>
      <c r="P425" s="21" t="str">
        <f>IF(Deployments!P426="","",Deployments!P426)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IF(Deployments!T426="","",Deployments!T426)</f>
        <v/>
      </c>
      <c r="AA425" s="21" t="str">
        <f>IF(Deployments!L426="","",Deployments!L426)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IF(Deployments!AH427="","",Deployments!AH427)</f>
        <v/>
      </c>
      <c r="E426" s="21" t="str">
        <f>IF(Deployments!I427="","",Deployments!I427)</f>
        <v/>
      </c>
      <c r="F426" s="21" t="str">
        <f>IF(Deployments!J427="","",Deployments!J427)</f>
        <v/>
      </c>
      <c r="G426" s="21" t="str">
        <f>IF(Deployments!K427="","",Deployments!K427)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IF(Deployments!AD427="","",Deployments!AD427)</f>
        <v/>
      </c>
      <c r="L426" s="21" t="str">
        <f>IF(Deployments!M427="","",Deployments!M427)</f>
        <v/>
      </c>
      <c r="M426" s="22"/>
      <c r="N426" s="21" t="str">
        <f>IF(Deployments!N427="","",Deployments!N427)</f>
        <v/>
      </c>
      <c r="O426" s="21" t="str">
        <f>IF(Deployments!O427="","",Deployments!O427)</f>
        <v/>
      </c>
      <c r="P426" s="21" t="str">
        <f>IF(Deployments!P427="","",Deployments!P427)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IF(Deployments!T427="","",Deployments!T427)</f>
        <v/>
      </c>
      <c r="AA426" s="21" t="str">
        <f>IF(Deployments!L427="","",Deployments!L427)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IF(Deployments!AH428="","",Deployments!AH428)</f>
        <v/>
      </c>
      <c r="E427" s="21" t="str">
        <f>IF(Deployments!I428="","",Deployments!I428)</f>
        <v/>
      </c>
      <c r="F427" s="21" t="str">
        <f>IF(Deployments!J428="","",Deployments!J428)</f>
        <v/>
      </c>
      <c r="G427" s="21" t="str">
        <f>IF(Deployments!K428="","",Deployments!K428)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IF(Deployments!AD428="","",Deployments!AD428)</f>
        <v/>
      </c>
      <c r="L427" s="21" t="str">
        <f>IF(Deployments!M428="","",Deployments!M428)</f>
        <v/>
      </c>
      <c r="M427" s="22"/>
      <c r="N427" s="21" t="str">
        <f>IF(Deployments!N428="","",Deployments!N428)</f>
        <v/>
      </c>
      <c r="O427" s="21" t="str">
        <f>IF(Deployments!O428="","",Deployments!O428)</f>
        <v/>
      </c>
      <c r="P427" s="21" t="str">
        <f>IF(Deployments!P428="","",Deployments!P428)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IF(Deployments!T428="","",Deployments!T428)</f>
        <v/>
      </c>
      <c r="AA427" s="21" t="str">
        <f>IF(Deployments!L428="","",Deployments!L428)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IF(Deployments!AH429="","",Deployments!AH429)</f>
        <v/>
      </c>
      <c r="E428" s="21" t="str">
        <f>IF(Deployments!I429="","",Deployments!I429)</f>
        <v/>
      </c>
      <c r="F428" s="21" t="str">
        <f>IF(Deployments!J429="","",Deployments!J429)</f>
        <v/>
      </c>
      <c r="G428" s="21" t="str">
        <f>IF(Deployments!K429="","",Deployments!K429)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IF(Deployments!AD429="","",Deployments!AD429)</f>
        <v/>
      </c>
      <c r="L428" s="21" t="str">
        <f>IF(Deployments!M429="","",Deployments!M429)</f>
        <v/>
      </c>
      <c r="M428" s="22"/>
      <c r="N428" s="21" t="str">
        <f>IF(Deployments!N429="","",Deployments!N429)</f>
        <v/>
      </c>
      <c r="O428" s="21" t="str">
        <f>IF(Deployments!O429="","",Deployments!O429)</f>
        <v/>
      </c>
      <c r="P428" s="21" t="str">
        <f>IF(Deployments!P429="","",Deployments!P429)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IF(Deployments!T429="","",Deployments!T429)</f>
        <v/>
      </c>
      <c r="AA428" s="21" t="str">
        <f>IF(Deployments!L429="","",Deployments!L429)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IF(Deployments!AH430="","",Deployments!AH430)</f>
        <v/>
      </c>
      <c r="E429" s="21" t="str">
        <f>IF(Deployments!I430="","",Deployments!I430)</f>
        <v/>
      </c>
      <c r="F429" s="21" t="str">
        <f>IF(Deployments!J430="","",Deployments!J430)</f>
        <v/>
      </c>
      <c r="G429" s="21" t="str">
        <f>IF(Deployments!K430="","",Deployments!K430)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IF(Deployments!AD430="","",Deployments!AD430)</f>
        <v/>
      </c>
      <c r="L429" s="21" t="str">
        <f>IF(Deployments!M430="","",Deployments!M430)</f>
        <v/>
      </c>
      <c r="M429" s="22"/>
      <c r="N429" s="21" t="str">
        <f>IF(Deployments!N430="","",Deployments!N430)</f>
        <v/>
      </c>
      <c r="O429" s="21" t="str">
        <f>IF(Deployments!O430="","",Deployments!O430)</f>
        <v/>
      </c>
      <c r="P429" s="21" t="str">
        <f>IF(Deployments!P430="","",Deployments!P430)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IF(Deployments!T430="","",Deployments!T430)</f>
        <v/>
      </c>
      <c r="AA429" s="21" t="str">
        <f>IF(Deployments!L430="","",Deployments!L430)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IF(Deployments!AH431="","",Deployments!AH431)</f>
        <v/>
      </c>
      <c r="E430" s="21" t="str">
        <f>IF(Deployments!I431="","",Deployments!I431)</f>
        <v/>
      </c>
      <c r="F430" s="21" t="str">
        <f>IF(Deployments!J431="","",Deployments!J431)</f>
        <v/>
      </c>
      <c r="G430" s="21" t="str">
        <f>IF(Deployments!K431="","",Deployments!K431)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IF(Deployments!AD431="","",Deployments!AD431)</f>
        <v/>
      </c>
      <c r="L430" s="21" t="str">
        <f>IF(Deployments!M431="","",Deployments!M431)</f>
        <v/>
      </c>
      <c r="M430" s="22"/>
      <c r="N430" s="21" t="str">
        <f>IF(Deployments!N431="","",Deployments!N431)</f>
        <v/>
      </c>
      <c r="O430" s="21" t="str">
        <f>IF(Deployments!O431="","",Deployments!O431)</f>
        <v/>
      </c>
      <c r="P430" s="21" t="str">
        <f>IF(Deployments!P431="","",Deployments!P431)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IF(Deployments!T431="","",Deployments!T431)</f>
        <v/>
      </c>
      <c r="AA430" s="21" t="str">
        <f>IF(Deployments!L431="","",Deployments!L431)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IF(Deployments!AH432="","",Deployments!AH432)</f>
        <v/>
      </c>
      <c r="E431" s="21" t="str">
        <f>IF(Deployments!I432="","",Deployments!I432)</f>
        <v/>
      </c>
      <c r="F431" s="21" t="str">
        <f>IF(Deployments!J432="","",Deployments!J432)</f>
        <v/>
      </c>
      <c r="G431" s="21" t="str">
        <f>IF(Deployments!K432="","",Deployments!K432)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IF(Deployments!AD432="","",Deployments!AD432)</f>
        <v/>
      </c>
      <c r="L431" s="21" t="str">
        <f>IF(Deployments!M432="","",Deployments!M432)</f>
        <v/>
      </c>
      <c r="M431" s="22"/>
      <c r="N431" s="21" t="str">
        <f>IF(Deployments!N432="","",Deployments!N432)</f>
        <v/>
      </c>
      <c r="O431" s="21" t="str">
        <f>IF(Deployments!O432="","",Deployments!O432)</f>
        <v/>
      </c>
      <c r="P431" s="21" t="str">
        <f>IF(Deployments!P432="","",Deployments!P432)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IF(Deployments!T432="","",Deployments!T432)</f>
        <v/>
      </c>
      <c r="AA431" s="21" t="str">
        <f>IF(Deployments!L432="","",Deployments!L432)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IF(Deployments!AH433="","",Deployments!AH433)</f>
        <v/>
      </c>
      <c r="E432" s="21" t="str">
        <f>IF(Deployments!I433="","",Deployments!I433)</f>
        <v/>
      </c>
      <c r="F432" s="21" t="str">
        <f>IF(Deployments!J433="","",Deployments!J433)</f>
        <v/>
      </c>
      <c r="G432" s="21" t="str">
        <f>IF(Deployments!K433="","",Deployments!K433)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IF(Deployments!AD433="","",Deployments!AD433)</f>
        <v/>
      </c>
      <c r="L432" s="21" t="str">
        <f>IF(Deployments!M433="","",Deployments!M433)</f>
        <v/>
      </c>
      <c r="M432" s="22"/>
      <c r="N432" s="21" t="str">
        <f>IF(Deployments!N433="","",Deployments!N433)</f>
        <v/>
      </c>
      <c r="O432" s="21" t="str">
        <f>IF(Deployments!O433="","",Deployments!O433)</f>
        <v/>
      </c>
      <c r="P432" s="21" t="str">
        <f>IF(Deployments!P433="","",Deployments!P433)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IF(Deployments!T433="","",Deployments!T433)</f>
        <v/>
      </c>
      <c r="AA432" s="21" t="str">
        <f>IF(Deployments!L433="","",Deployments!L433)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IF(Deployments!AH434="","",Deployments!AH434)</f>
        <v/>
      </c>
      <c r="E433" s="21" t="str">
        <f>IF(Deployments!I434="","",Deployments!I434)</f>
        <v/>
      </c>
      <c r="F433" s="21" t="str">
        <f>IF(Deployments!J434="","",Deployments!J434)</f>
        <v/>
      </c>
      <c r="G433" s="21" t="str">
        <f>IF(Deployments!K434="","",Deployments!K434)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IF(Deployments!AD434="","",Deployments!AD434)</f>
        <v/>
      </c>
      <c r="L433" s="21" t="str">
        <f>IF(Deployments!M434="","",Deployments!M434)</f>
        <v/>
      </c>
      <c r="M433" s="22"/>
      <c r="N433" s="21" t="str">
        <f>IF(Deployments!N434="","",Deployments!N434)</f>
        <v/>
      </c>
      <c r="O433" s="21" t="str">
        <f>IF(Deployments!O434="","",Deployments!O434)</f>
        <v/>
      </c>
      <c r="P433" s="21" t="str">
        <f>IF(Deployments!P434="","",Deployments!P434)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IF(Deployments!T434="","",Deployments!T434)</f>
        <v/>
      </c>
      <c r="AA433" s="21" t="str">
        <f>IF(Deployments!L434="","",Deployments!L434)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IF(Deployments!AH435="","",Deployments!AH435)</f>
        <v/>
      </c>
      <c r="E434" s="21" t="str">
        <f>IF(Deployments!I435="","",Deployments!I435)</f>
        <v/>
      </c>
      <c r="F434" s="21" t="str">
        <f>IF(Deployments!J435="","",Deployments!J435)</f>
        <v/>
      </c>
      <c r="G434" s="21" t="str">
        <f>IF(Deployments!K435="","",Deployments!K435)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IF(Deployments!AD435="","",Deployments!AD435)</f>
        <v/>
      </c>
      <c r="L434" s="21" t="str">
        <f>IF(Deployments!M435="","",Deployments!M435)</f>
        <v/>
      </c>
      <c r="M434" s="22"/>
      <c r="N434" s="21" t="str">
        <f>IF(Deployments!N435="","",Deployments!N435)</f>
        <v/>
      </c>
      <c r="O434" s="21" t="str">
        <f>IF(Deployments!O435="","",Deployments!O435)</f>
        <v/>
      </c>
      <c r="P434" s="21" t="str">
        <f>IF(Deployments!P435="","",Deployments!P435)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IF(Deployments!T435="","",Deployments!T435)</f>
        <v/>
      </c>
      <c r="AA434" s="21" t="str">
        <f>IF(Deployments!L435="","",Deployments!L435)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IF(Deployments!AH436="","",Deployments!AH436)</f>
        <v/>
      </c>
      <c r="E435" s="21" t="str">
        <f>IF(Deployments!I436="","",Deployments!I436)</f>
        <v/>
      </c>
      <c r="F435" s="21" t="str">
        <f>IF(Deployments!J436="","",Deployments!J436)</f>
        <v/>
      </c>
      <c r="G435" s="21" t="str">
        <f>IF(Deployments!K436="","",Deployments!K436)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IF(Deployments!AD436="","",Deployments!AD436)</f>
        <v/>
      </c>
      <c r="L435" s="21" t="str">
        <f>IF(Deployments!M436="","",Deployments!M436)</f>
        <v/>
      </c>
      <c r="M435" s="22"/>
      <c r="N435" s="21" t="str">
        <f>IF(Deployments!N436="","",Deployments!N436)</f>
        <v/>
      </c>
      <c r="O435" s="21" t="str">
        <f>IF(Deployments!O436="","",Deployments!O436)</f>
        <v/>
      </c>
      <c r="P435" s="21" t="str">
        <f>IF(Deployments!P436="","",Deployments!P436)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IF(Deployments!T436="","",Deployments!T436)</f>
        <v/>
      </c>
      <c r="AA435" s="21" t="str">
        <f>IF(Deployments!L436="","",Deployments!L436)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IF(Deployments!AH437="","",Deployments!AH437)</f>
        <v/>
      </c>
      <c r="E436" s="21" t="str">
        <f>IF(Deployments!I437="","",Deployments!I437)</f>
        <v/>
      </c>
      <c r="F436" s="21" t="str">
        <f>IF(Deployments!J437="","",Deployments!J437)</f>
        <v/>
      </c>
      <c r="G436" s="21" t="str">
        <f>IF(Deployments!K437="","",Deployments!K437)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IF(Deployments!AD437="","",Deployments!AD437)</f>
        <v/>
      </c>
      <c r="L436" s="21" t="str">
        <f>IF(Deployments!M437="","",Deployments!M437)</f>
        <v/>
      </c>
      <c r="M436" s="22"/>
      <c r="N436" s="21" t="str">
        <f>IF(Deployments!N437="","",Deployments!N437)</f>
        <v/>
      </c>
      <c r="O436" s="21" t="str">
        <f>IF(Deployments!O437="","",Deployments!O437)</f>
        <v/>
      </c>
      <c r="P436" s="21" t="str">
        <f>IF(Deployments!P437="","",Deployments!P437)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IF(Deployments!T437="","",Deployments!T437)</f>
        <v/>
      </c>
      <c r="AA436" s="21" t="str">
        <f>IF(Deployments!L437="","",Deployments!L437)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IF(Deployments!AH438="","",Deployments!AH438)</f>
        <v/>
      </c>
      <c r="E437" s="21" t="str">
        <f>IF(Deployments!I438="","",Deployments!I438)</f>
        <v/>
      </c>
      <c r="F437" s="21" t="str">
        <f>IF(Deployments!J438="","",Deployments!J438)</f>
        <v/>
      </c>
      <c r="G437" s="21" t="str">
        <f>IF(Deployments!K438="","",Deployments!K438)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IF(Deployments!AD438="","",Deployments!AD438)</f>
        <v/>
      </c>
      <c r="L437" s="21" t="str">
        <f>IF(Deployments!M438="","",Deployments!M438)</f>
        <v/>
      </c>
      <c r="M437" s="22"/>
      <c r="N437" s="21" t="str">
        <f>IF(Deployments!N438="","",Deployments!N438)</f>
        <v/>
      </c>
      <c r="O437" s="21" t="str">
        <f>IF(Deployments!O438="","",Deployments!O438)</f>
        <v/>
      </c>
      <c r="P437" s="21" t="str">
        <f>IF(Deployments!P438="","",Deployments!P438)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IF(Deployments!T438="","",Deployments!T438)</f>
        <v/>
      </c>
      <c r="AA437" s="21" t="str">
        <f>IF(Deployments!L438="","",Deployments!L438)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IF(Deployments!AH439="","",Deployments!AH439)</f>
        <v/>
      </c>
      <c r="E438" s="21" t="str">
        <f>IF(Deployments!I439="","",Deployments!I439)</f>
        <v/>
      </c>
      <c r="F438" s="21" t="str">
        <f>IF(Deployments!J439="","",Deployments!J439)</f>
        <v/>
      </c>
      <c r="G438" s="21" t="str">
        <f>IF(Deployments!K439="","",Deployments!K439)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IF(Deployments!AD439="","",Deployments!AD439)</f>
        <v/>
      </c>
      <c r="L438" s="21" t="str">
        <f>IF(Deployments!M439="","",Deployments!M439)</f>
        <v/>
      </c>
      <c r="M438" s="22"/>
      <c r="N438" s="21" t="str">
        <f>IF(Deployments!N439="","",Deployments!N439)</f>
        <v/>
      </c>
      <c r="O438" s="21" t="str">
        <f>IF(Deployments!O439="","",Deployments!O439)</f>
        <v/>
      </c>
      <c r="P438" s="21" t="str">
        <f>IF(Deployments!P439="","",Deployments!P439)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IF(Deployments!T439="","",Deployments!T439)</f>
        <v/>
      </c>
      <c r="AA438" s="21" t="str">
        <f>IF(Deployments!L439="","",Deployments!L439)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IF(Deployments!AH440="","",Deployments!AH440)</f>
        <v/>
      </c>
      <c r="E439" s="21" t="str">
        <f>IF(Deployments!I440="","",Deployments!I440)</f>
        <v/>
      </c>
      <c r="F439" s="21" t="str">
        <f>IF(Deployments!J440="","",Deployments!J440)</f>
        <v/>
      </c>
      <c r="G439" s="21" t="str">
        <f>IF(Deployments!K440="","",Deployments!K440)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IF(Deployments!AD440="","",Deployments!AD440)</f>
        <v/>
      </c>
      <c r="L439" s="21" t="str">
        <f>IF(Deployments!M440="","",Deployments!M440)</f>
        <v/>
      </c>
      <c r="M439" s="22"/>
      <c r="N439" s="21" t="str">
        <f>IF(Deployments!N440="","",Deployments!N440)</f>
        <v/>
      </c>
      <c r="O439" s="21" t="str">
        <f>IF(Deployments!O440="","",Deployments!O440)</f>
        <v/>
      </c>
      <c r="P439" s="21" t="str">
        <f>IF(Deployments!P440="","",Deployments!P440)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IF(Deployments!T440="","",Deployments!T440)</f>
        <v/>
      </c>
      <c r="AA439" s="21" t="str">
        <f>IF(Deployments!L440="","",Deployments!L440)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IF(Deployments!AH441="","",Deployments!AH441)</f>
        <v/>
      </c>
      <c r="E440" s="21" t="str">
        <f>IF(Deployments!I441="","",Deployments!I441)</f>
        <v/>
      </c>
      <c r="F440" s="21" t="str">
        <f>IF(Deployments!J441="","",Deployments!J441)</f>
        <v/>
      </c>
      <c r="G440" s="21" t="str">
        <f>IF(Deployments!K441="","",Deployments!K441)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IF(Deployments!AD441="","",Deployments!AD441)</f>
        <v/>
      </c>
      <c r="L440" s="21" t="str">
        <f>IF(Deployments!M441="","",Deployments!M441)</f>
        <v/>
      </c>
      <c r="M440" s="22"/>
      <c r="N440" s="21" t="str">
        <f>IF(Deployments!N441="","",Deployments!N441)</f>
        <v/>
      </c>
      <c r="O440" s="21" t="str">
        <f>IF(Deployments!O441="","",Deployments!O441)</f>
        <v/>
      </c>
      <c r="P440" s="21" t="str">
        <f>IF(Deployments!P441="","",Deployments!P441)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IF(Deployments!T441="","",Deployments!T441)</f>
        <v/>
      </c>
      <c r="AA440" s="21" t="str">
        <f>IF(Deployments!L441="","",Deployments!L441)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IF(Deployments!AH442="","",Deployments!AH442)</f>
        <v/>
      </c>
      <c r="E441" s="21" t="str">
        <f>IF(Deployments!I442="","",Deployments!I442)</f>
        <v/>
      </c>
      <c r="F441" s="21" t="str">
        <f>IF(Deployments!J442="","",Deployments!J442)</f>
        <v/>
      </c>
      <c r="G441" s="21" t="str">
        <f>IF(Deployments!K442="","",Deployments!K442)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IF(Deployments!AD442="","",Deployments!AD442)</f>
        <v/>
      </c>
      <c r="L441" s="21" t="str">
        <f>IF(Deployments!M442="","",Deployments!M442)</f>
        <v/>
      </c>
      <c r="M441" s="22"/>
      <c r="N441" s="21" t="str">
        <f>IF(Deployments!N442="","",Deployments!N442)</f>
        <v/>
      </c>
      <c r="O441" s="21" t="str">
        <f>IF(Deployments!O442="","",Deployments!O442)</f>
        <v/>
      </c>
      <c r="P441" s="21" t="str">
        <f>IF(Deployments!P442="","",Deployments!P442)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IF(Deployments!T442="","",Deployments!T442)</f>
        <v/>
      </c>
      <c r="AA441" s="21" t="str">
        <f>IF(Deployments!L442="","",Deployments!L442)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IF(Deployments!AH443="","",Deployments!AH443)</f>
        <v/>
      </c>
      <c r="E442" s="21" t="str">
        <f>IF(Deployments!I443="","",Deployments!I443)</f>
        <v/>
      </c>
      <c r="F442" s="21" t="str">
        <f>IF(Deployments!J443="","",Deployments!J443)</f>
        <v/>
      </c>
      <c r="G442" s="21" t="str">
        <f>IF(Deployments!K443="","",Deployments!K443)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IF(Deployments!AD443="","",Deployments!AD443)</f>
        <v/>
      </c>
      <c r="L442" s="21" t="str">
        <f>IF(Deployments!M443="","",Deployments!M443)</f>
        <v/>
      </c>
      <c r="M442" s="22"/>
      <c r="N442" s="21" t="str">
        <f>IF(Deployments!N443="","",Deployments!N443)</f>
        <v/>
      </c>
      <c r="O442" s="21" t="str">
        <f>IF(Deployments!O443="","",Deployments!O443)</f>
        <v/>
      </c>
      <c r="P442" s="21" t="str">
        <f>IF(Deployments!P443="","",Deployments!P443)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IF(Deployments!T443="","",Deployments!T443)</f>
        <v/>
      </c>
      <c r="AA442" s="21" t="str">
        <f>IF(Deployments!L443="","",Deployments!L443)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IF(Deployments!AH444="","",Deployments!AH444)</f>
        <v/>
      </c>
      <c r="E443" s="21" t="str">
        <f>IF(Deployments!I444="","",Deployments!I444)</f>
        <v/>
      </c>
      <c r="F443" s="21" t="str">
        <f>IF(Deployments!J444="","",Deployments!J444)</f>
        <v/>
      </c>
      <c r="G443" s="21" t="str">
        <f>IF(Deployments!K444="","",Deployments!K444)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IF(Deployments!AD444="","",Deployments!AD444)</f>
        <v/>
      </c>
      <c r="L443" s="21" t="str">
        <f>IF(Deployments!M444="","",Deployments!M444)</f>
        <v/>
      </c>
      <c r="M443" s="22"/>
      <c r="N443" s="21" t="str">
        <f>IF(Deployments!N444="","",Deployments!N444)</f>
        <v/>
      </c>
      <c r="O443" s="21" t="str">
        <f>IF(Deployments!O444="","",Deployments!O444)</f>
        <v/>
      </c>
      <c r="P443" s="21" t="str">
        <f>IF(Deployments!P444="","",Deployments!P444)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IF(Deployments!T444="","",Deployments!T444)</f>
        <v/>
      </c>
      <c r="AA443" s="21" t="str">
        <f>IF(Deployments!L444="","",Deployments!L444)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IF(Deployments!AH445="","",Deployments!AH445)</f>
        <v/>
      </c>
      <c r="E444" s="21" t="str">
        <f>IF(Deployments!I445="","",Deployments!I445)</f>
        <v/>
      </c>
      <c r="F444" s="21" t="str">
        <f>IF(Deployments!J445="","",Deployments!J445)</f>
        <v/>
      </c>
      <c r="G444" s="21" t="str">
        <f>IF(Deployments!K445="","",Deployments!K445)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IF(Deployments!AD445="","",Deployments!AD445)</f>
        <v/>
      </c>
      <c r="L444" s="21" t="str">
        <f>IF(Deployments!M445="","",Deployments!M445)</f>
        <v/>
      </c>
      <c r="M444" s="22"/>
      <c r="N444" s="21" t="str">
        <f>IF(Deployments!N445="","",Deployments!N445)</f>
        <v/>
      </c>
      <c r="O444" s="21" t="str">
        <f>IF(Deployments!O445="","",Deployments!O445)</f>
        <v/>
      </c>
      <c r="P444" s="21" t="str">
        <f>IF(Deployments!P445="","",Deployments!P445)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IF(Deployments!T445="","",Deployments!T445)</f>
        <v/>
      </c>
      <c r="AA444" s="21" t="str">
        <f>IF(Deployments!L445="","",Deployments!L445)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IF(Deployments!AH446="","",Deployments!AH446)</f>
        <v/>
      </c>
      <c r="E445" s="21" t="str">
        <f>IF(Deployments!I446="","",Deployments!I446)</f>
        <v/>
      </c>
      <c r="F445" s="21" t="str">
        <f>IF(Deployments!J446="","",Deployments!J446)</f>
        <v/>
      </c>
      <c r="G445" s="21" t="str">
        <f>IF(Deployments!K446="","",Deployments!K446)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IF(Deployments!AD446="","",Deployments!AD446)</f>
        <v/>
      </c>
      <c r="L445" s="21" t="str">
        <f>IF(Deployments!M446="","",Deployments!M446)</f>
        <v/>
      </c>
      <c r="M445" s="22"/>
      <c r="N445" s="21" t="str">
        <f>IF(Deployments!N446="","",Deployments!N446)</f>
        <v/>
      </c>
      <c r="O445" s="21" t="str">
        <f>IF(Deployments!O446="","",Deployments!O446)</f>
        <v/>
      </c>
      <c r="P445" s="21" t="str">
        <f>IF(Deployments!P446="","",Deployments!P446)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IF(Deployments!T446="","",Deployments!T446)</f>
        <v/>
      </c>
      <c r="AA445" s="21" t="str">
        <f>IF(Deployments!L446="","",Deployments!L446)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IF(Deployments!AH447="","",Deployments!AH447)</f>
        <v/>
      </c>
      <c r="E446" s="21" t="str">
        <f>IF(Deployments!I447="","",Deployments!I447)</f>
        <v/>
      </c>
      <c r="F446" s="21" t="str">
        <f>IF(Deployments!J447="","",Deployments!J447)</f>
        <v/>
      </c>
      <c r="G446" s="21" t="str">
        <f>IF(Deployments!K447="","",Deployments!K447)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IF(Deployments!AD447="","",Deployments!AD447)</f>
        <v/>
      </c>
      <c r="L446" s="21" t="str">
        <f>IF(Deployments!M447="","",Deployments!M447)</f>
        <v/>
      </c>
      <c r="M446" s="22"/>
      <c r="N446" s="21" t="str">
        <f>IF(Deployments!N447="","",Deployments!N447)</f>
        <v/>
      </c>
      <c r="O446" s="21" t="str">
        <f>IF(Deployments!O447="","",Deployments!O447)</f>
        <v/>
      </c>
      <c r="P446" s="21" t="str">
        <f>IF(Deployments!P447="","",Deployments!P447)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IF(Deployments!T447="","",Deployments!T447)</f>
        <v/>
      </c>
      <c r="AA446" s="21" t="str">
        <f>IF(Deployments!L447="","",Deployments!L447)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IF(Deployments!AH448="","",Deployments!AH448)</f>
        <v/>
      </c>
      <c r="E447" s="21" t="str">
        <f>IF(Deployments!I448="","",Deployments!I448)</f>
        <v/>
      </c>
      <c r="F447" s="21" t="str">
        <f>IF(Deployments!J448="","",Deployments!J448)</f>
        <v/>
      </c>
      <c r="G447" s="21" t="str">
        <f>IF(Deployments!K448="","",Deployments!K448)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IF(Deployments!AD448="","",Deployments!AD448)</f>
        <v/>
      </c>
      <c r="L447" s="21" t="str">
        <f>IF(Deployments!M448="","",Deployments!M448)</f>
        <v/>
      </c>
      <c r="M447" s="22"/>
      <c r="N447" s="21" t="str">
        <f>IF(Deployments!N448="","",Deployments!N448)</f>
        <v/>
      </c>
      <c r="O447" s="21" t="str">
        <f>IF(Deployments!O448="","",Deployments!O448)</f>
        <v/>
      </c>
      <c r="P447" s="21" t="str">
        <f>IF(Deployments!P448="","",Deployments!P448)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IF(Deployments!T448="","",Deployments!T448)</f>
        <v/>
      </c>
      <c r="AA447" s="21" t="str">
        <f>IF(Deployments!L448="","",Deployments!L448)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IF(Deployments!AH449="","",Deployments!AH449)</f>
        <v/>
      </c>
      <c r="E448" s="21" t="str">
        <f>IF(Deployments!I449="","",Deployments!I449)</f>
        <v/>
      </c>
      <c r="F448" s="21" t="str">
        <f>IF(Deployments!J449="","",Deployments!J449)</f>
        <v/>
      </c>
      <c r="G448" s="21" t="str">
        <f>IF(Deployments!K449="","",Deployments!K449)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IF(Deployments!AD449="","",Deployments!AD449)</f>
        <v/>
      </c>
      <c r="L448" s="21" t="str">
        <f>IF(Deployments!M449="","",Deployments!M449)</f>
        <v/>
      </c>
      <c r="M448" s="22"/>
      <c r="N448" s="21" t="str">
        <f>IF(Deployments!N449="","",Deployments!N449)</f>
        <v/>
      </c>
      <c r="O448" s="21" t="str">
        <f>IF(Deployments!O449="","",Deployments!O449)</f>
        <v/>
      </c>
      <c r="P448" s="21" t="str">
        <f>IF(Deployments!P449="","",Deployments!P449)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IF(Deployments!T449="","",Deployments!T449)</f>
        <v/>
      </c>
      <c r="AA448" s="21" t="str">
        <f>IF(Deployments!L449="","",Deployments!L449)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IF(Deployments!AH450="","",Deployments!AH450)</f>
        <v/>
      </c>
      <c r="E449" s="21" t="str">
        <f>IF(Deployments!I450="","",Deployments!I450)</f>
        <v/>
      </c>
      <c r="F449" s="21" t="str">
        <f>IF(Deployments!J450="","",Deployments!J450)</f>
        <v/>
      </c>
      <c r="G449" s="21" t="str">
        <f>IF(Deployments!K450="","",Deployments!K450)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IF(Deployments!AD450="","",Deployments!AD450)</f>
        <v/>
      </c>
      <c r="L449" s="21" t="str">
        <f>IF(Deployments!M450="","",Deployments!M450)</f>
        <v/>
      </c>
      <c r="M449" s="22"/>
      <c r="N449" s="21" t="str">
        <f>IF(Deployments!N450="","",Deployments!N450)</f>
        <v/>
      </c>
      <c r="O449" s="21" t="str">
        <f>IF(Deployments!O450="","",Deployments!O450)</f>
        <v/>
      </c>
      <c r="P449" s="21" t="str">
        <f>IF(Deployments!P450="","",Deployments!P450)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IF(Deployments!T450="","",Deployments!T450)</f>
        <v/>
      </c>
      <c r="AA449" s="21" t="str">
        <f>IF(Deployments!L450="","",Deployments!L450)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IF(Deployments!AH451="","",Deployments!AH451)</f>
        <v/>
      </c>
      <c r="E450" s="21" t="str">
        <f>IF(Deployments!I451="","",Deployments!I451)</f>
        <v/>
      </c>
      <c r="F450" s="21" t="str">
        <f>IF(Deployments!J451="","",Deployments!J451)</f>
        <v/>
      </c>
      <c r="G450" s="21" t="str">
        <f>IF(Deployments!K451="","",Deployments!K451)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IF(Deployments!AD451="","",Deployments!AD451)</f>
        <v/>
      </c>
      <c r="L450" s="21" t="str">
        <f>IF(Deployments!M451="","",Deployments!M451)</f>
        <v/>
      </c>
      <c r="M450" s="22"/>
      <c r="N450" s="21" t="str">
        <f>IF(Deployments!N451="","",Deployments!N451)</f>
        <v/>
      </c>
      <c r="O450" s="21" t="str">
        <f>IF(Deployments!O451="","",Deployments!O451)</f>
        <v/>
      </c>
      <c r="P450" s="21" t="str">
        <f>IF(Deployments!P451="","",Deployments!P451)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IF(Deployments!T451="","",Deployments!T451)</f>
        <v/>
      </c>
      <c r="AA450" s="21" t="str">
        <f>IF(Deployments!L451="","",Deployments!L451)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IF(Deployments!AH452="","",Deployments!AH452)</f>
        <v/>
      </c>
      <c r="E451" s="21" t="str">
        <f>IF(Deployments!I452="","",Deployments!I452)</f>
        <v/>
      </c>
      <c r="F451" s="21" t="str">
        <f>IF(Deployments!J452="","",Deployments!J452)</f>
        <v/>
      </c>
      <c r="G451" s="21" t="str">
        <f>IF(Deployments!K452="","",Deployments!K452)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IF(Deployments!AD452="","",Deployments!AD452)</f>
        <v/>
      </c>
      <c r="L451" s="21" t="str">
        <f>IF(Deployments!M452="","",Deployments!M452)</f>
        <v/>
      </c>
      <c r="M451" s="22"/>
      <c r="N451" s="21" t="str">
        <f>IF(Deployments!N452="","",Deployments!N452)</f>
        <v/>
      </c>
      <c r="O451" s="21" t="str">
        <f>IF(Deployments!O452="","",Deployments!O452)</f>
        <v/>
      </c>
      <c r="P451" s="21" t="str">
        <f>IF(Deployments!P452="","",Deployments!P452)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IF(Deployments!T452="","",Deployments!T452)</f>
        <v/>
      </c>
      <c r="AA451" s="21" t="str">
        <f>IF(Deployments!L452="","",Deployments!L452)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IF(Deployments!AH453="","",Deployments!AH453)</f>
        <v/>
      </c>
      <c r="E452" s="21" t="str">
        <f>IF(Deployments!I453="","",Deployments!I453)</f>
        <v/>
      </c>
      <c r="F452" s="21" t="str">
        <f>IF(Deployments!J453="","",Deployments!J453)</f>
        <v/>
      </c>
      <c r="G452" s="21" t="str">
        <f>IF(Deployments!K453="","",Deployments!K453)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IF(Deployments!AD453="","",Deployments!AD453)</f>
        <v/>
      </c>
      <c r="L452" s="21" t="str">
        <f>IF(Deployments!M453="","",Deployments!M453)</f>
        <v/>
      </c>
      <c r="M452" s="22"/>
      <c r="N452" s="21" t="str">
        <f>IF(Deployments!N453="","",Deployments!N453)</f>
        <v/>
      </c>
      <c r="O452" s="21" t="str">
        <f>IF(Deployments!O453="","",Deployments!O453)</f>
        <v/>
      </c>
      <c r="P452" s="21" t="str">
        <f>IF(Deployments!P453="","",Deployments!P453)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IF(Deployments!T453="","",Deployments!T453)</f>
        <v/>
      </c>
      <c r="AA452" s="21" t="str">
        <f>IF(Deployments!L453="","",Deployments!L453)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IF(Deployments!AH454="","",Deployments!AH454)</f>
        <v/>
      </c>
      <c r="E453" s="21" t="str">
        <f>IF(Deployments!I454="","",Deployments!I454)</f>
        <v/>
      </c>
      <c r="F453" s="21" t="str">
        <f>IF(Deployments!J454="","",Deployments!J454)</f>
        <v/>
      </c>
      <c r="G453" s="21" t="str">
        <f>IF(Deployments!K454="","",Deployments!K454)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IF(Deployments!AD454="","",Deployments!AD454)</f>
        <v/>
      </c>
      <c r="L453" s="21" t="str">
        <f>IF(Deployments!M454="","",Deployments!M454)</f>
        <v/>
      </c>
      <c r="M453" s="22"/>
      <c r="N453" s="21" t="str">
        <f>IF(Deployments!N454="","",Deployments!N454)</f>
        <v/>
      </c>
      <c r="O453" s="21" t="str">
        <f>IF(Deployments!O454="","",Deployments!O454)</f>
        <v/>
      </c>
      <c r="P453" s="21" t="str">
        <f>IF(Deployments!P454="","",Deployments!P454)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IF(Deployments!T454="","",Deployments!T454)</f>
        <v/>
      </c>
      <c r="AA453" s="21" t="str">
        <f>IF(Deployments!L454="","",Deployments!L454)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IF(Deployments!AH455="","",Deployments!AH455)</f>
        <v/>
      </c>
      <c r="E454" s="21" t="str">
        <f>IF(Deployments!I455="","",Deployments!I455)</f>
        <v/>
      </c>
      <c r="F454" s="21" t="str">
        <f>IF(Deployments!J455="","",Deployments!J455)</f>
        <v/>
      </c>
      <c r="G454" s="21" t="str">
        <f>IF(Deployments!K455="","",Deployments!K455)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IF(Deployments!AD455="","",Deployments!AD455)</f>
        <v/>
      </c>
      <c r="L454" s="21" t="str">
        <f>IF(Deployments!M455="","",Deployments!M455)</f>
        <v/>
      </c>
      <c r="M454" s="22"/>
      <c r="N454" s="21" t="str">
        <f>IF(Deployments!N455="","",Deployments!N455)</f>
        <v/>
      </c>
      <c r="O454" s="21" t="str">
        <f>IF(Deployments!O455="","",Deployments!O455)</f>
        <v/>
      </c>
      <c r="P454" s="21" t="str">
        <f>IF(Deployments!P455="","",Deployments!P455)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IF(Deployments!T455="","",Deployments!T455)</f>
        <v/>
      </c>
      <c r="AA454" s="21" t="str">
        <f>IF(Deployments!L455="","",Deployments!L455)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IF(Deployments!AH456="","",Deployments!AH456)</f>
        <v/>
      </c>
      <c r="E455" s="21" t="str">
        <f>IF(Deployments!I456="","",Deployments!I456)</f>
        <v/>
      </c>
      <c r="F455" s="21" t="str">
        <f>IF(Deployments!J456="","",Deployments!J456)</f>
        <v/>
      </c>
      <c r="G455" s="21" t="str">
        <f>IF(Deployments!K456="","",Deployments!K456)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IF(Deployments!AD456="","",Deployments!AD456)</f>
        <v/>
      </c>
      <c r="L455" s="21" t="str">
        <f>IF(Deployments!M456="","",Deployments!M456)</f>
        <v/>
      </c>
      <c r="M455" s="22"/>
      <c r="N455" s="21" t="str">
        <f>IF(Deployments!N456="","",Deployments!N456)</f>
        <v/>
      </c>
      <c r="O455" s="21" t="str">
        <f>IF(Deployments!O456="","",Deployments!O456)</f>
        <v/>
      </c>
      <c r="P455" s="21" t="str">
        <f>IF(Deployments!P456="","",Deployments!P456)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IF(Deployments!T456="","",Deployments!T456)</f>
        <v/>
      </c>
      <c r="AA455" s="21" t="str">
        <f>IF(Deployments!L456="","",Deployments!L456)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IF(Deployments!AH457="","",Deployments!AH457)</f>
        <v/>
      </c>
      <c r="E456" s="21" t="str">
        <f>IF(Deployments!I457="","",Deployments!I457)</f>
        <v/>
      </c>
      <c r="F456" s="21" t="str">
        <f>IF(Deployments!J457="","",Deployments!J457)</f>
        <v/>
      </c>
      <c r="G456" s="21" t="str">
        <f>IF(Deployments!K457="","",Deployments!K457)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IF(Deployments!AD457="","",Deployments!AD457)</f>
        <v/>
      </c>
      <c r="L456" s="21" t="str">
        <f>IF(Deployments!M457="","",Deployments!M457)</f>
        <v/>
      </c>
      <c r="M456" s="22"/>
      <c r="N456" s="21" t="str">
        <f>IF(Deployments!N457="","",Deployments!N457)</f>
        <v/>
      </c>
      <c r="O456" s="21" t="str">
        <f>IF(Deployments!O457="","",Deployments!O457)</f>
        <v/>
      </c>
      <c r="P456" s="21" t="str">
        <f>IF(Deployments!P457="","",Deployments!P457)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IF(Deployments!T457="","",Deployments!T457)</f>
        <v/>
      </c>
      <c r="AA456" s="21" t="str">
        <f>IF(Deployments!L457="","",Deployments!L457)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IF(Deployments!AH458="","",Deployments!AH458)</f>
        <v/>
      </c>
      <c r="E457" s="21" t="str">
        <f>IF(Deployments!I458="","",Deployments!I458)</f>
        <v/>
      </c>
      <c r="F457" s="21" t="str">
        <f>IF(Deployments!J458="","",Deployments!J458)</f>
        <v/>
      </c>
      <c r="G457" s="21" t="str">
        <f>IF(Deployments!K458="","",Deployments!K458)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IF(Deployments!AD458="","",Deployments!AD458)</f>
        <v/>
      </c>
      <c r="L457" s="21" t="str">
        <f>IF(Deployments!M458="","",Deployments!M458)</f>
        <v/>
      </c>
      <c r="M457" s="22"/>
      <c r="N457" s="21" t="str">
        <f>IF(Deployments!N458="","",Deployments!N458)</f>
        <v/>
      </c>
      <c r="O457" s="21" t="str">
        <f>IF(Deployments!O458="","",Deployments!O458)</f>
        <v/>
      </c>
      <c r="P457" s="21" t="str">
        <f>IF(Deployments!P458="","",Deployments!P458)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IF(Deployments!T458="","",Deployments!T458)</f>
        <v/>
      </c>
      <c r="AA457" s="21" t="str">
        <f>IF(Deployments!L458="","",Deployments!L458)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IF(Deployments!AH459="","",Deployments!AH459)</f>
        <v/>
      </c>
      <c r="E458" s="21" t="str">
        <f>IF(Deployments!I459="","",Deployments!I459)</f>
        <v/>
      </c>
      <c r="F458" s="21" t="str">
        <f>IF(Deployments!J459="","",Deployments!J459)</f>
        <v/>
      </c>
      <c r="G458" s="21" t="str">
        <f>IF(Deployments!K459="","",Deployments!K459)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IF(Deployments!AD459="","",Deployments!AD459)</f>
        <v/>
      </c>
      <c r="L458" s="21" t="str">
        <f>IF(Deployments!M459="","",Deployments!M459)</f>
        <v/>
      </c>
      <c r="M458" s="22"/>
      <c r="N458" s="21" t="str">
        <f>IF(Deployments!N459="","",Deployments!N459)</f>
        <v/>
      </c>
      <c r="O458" s="21" t="str">
        <f>IF(Deployments!O459="","",Deployments!O459)</f>
        <v/>
      </c>
      <c r="P458" s="21" t="str">
        <f>IF(Deployments!P459="","",Deployments!P459)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IF(Deployments!T459="","",Deployments!T459)</f>
        <v/>
      </c>
      <c r="AA458" s="21" t="str">
        <f>IF(Deployments!L459="","",Deployments!L459)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IF(Deployments!AH460="","",Deployments!AH460)</f>
        <v/>
      </c>
      <c r="E459" s="21" t="str">
        <f>IF(Deployments!I460="","",Deployments!I460)</f>
        <v/>
      </c>
      <c r="F459" s="21" t="str">
        <f>IF(Deployments!J460="","",Deployments!J460)</f>
        <v/>
      </c>
      <c r="G459" s="21" t="str">
        <f>IF(Deployments!K460="","",Deployments!K460)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IF(Deployments!AD460="","",Deployments!AD460)</f>
        <v/>
      </c>
      <c r="L459" s="21" t="str">
        <f>IF(Deployments!M460="","",Deployments!M460)</f>
        <v/>
      </c>
      <c r="M459" s="22"/>
      <c r="N459" s="21" t="str">
        <f>IF(Deployments!N460="","",Deployments!N460)</f>
        <v/>
      </c>
      <c r="O459" s="21" t="str">
        <f>IF(Deployments!O460="","",Deployments!O460)</f>
        <v/>
      </c>
      <c r="P459" s="21" t="str">
        <f>IF(Deployments!P460="","",Deployments!P460)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IF(Deployments!T460="","",Deployments!T460)</f>
        <v/>
      </c>
      <c r="AA459" s="21" t="str">
        <f>IF(Deployments!L460="","",Deployments!L460)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IF(Deployments!AH461="","",Deployments!AH461)</f>
        <v/>
      </c>
      <c r="E460" s="21" t="str">
        <f>IF(Deployments!I461="","",Deployments!I461)</f>
        <v/>
      </c>
      <c r="F460" s="21" t="str">
        <f>IF(Deployments!J461="","",Deployments!J461)</f>
        <v/>
      </c>
      <c r="G460" s="21" t="str">
        <f>IF(Deployments!K461="","",Deployments!K461)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IF(Deployments!AD461="","",Deployments!AD461)</f>
        <v/>
      </c>
      <c r="L460" s="21" t="str">
        <f>IF(Deployments!M461="","",Deployments!M461)</f>
        <v/>
      </c>
      <c r="M460" s="22"/>
      <c r="N460" s="21" t="str">
        <f>IF(Deployments!N461="","",Deployments!N461)</f>
        <v/>
      </c>
      <c r="O460" s="21" t="str">
        <f>IF(Deployments!O461="","",Deployments!O461)</f>
        <v/>
      </c>
      <c r="P460" s="21" t="str">
        <f>IF(Deployments!P461="","",Deployments!P461)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IF(Deployments!T461="","",Deployments!T461)</f>
        <v/>
      </c>
      <c r="AA460" s="21" t="str">
        <f>IF(Deployments!L461="","",Deployments!L461)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IF(Deployments!AH462="","",Deployments!AH462)</f>
        <v/>
      </c>
      <c r="E461" s="21" t="str">
        <f>IF(Deployments!I462="","",Deployments!I462)</f>
        <v/>
      </c>
      <c r="F461" s="21" t="str">
        <f>IF(Deployments!J462="","",Deployments!J462)</f>
        <v/>
      </c>
      <c r="G461" s="21" t="str">
        <f>IF(Deployments!K462="","",Deployments!K462)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IF(Deployments!AD462="","",Deployments!AD462)</f>
        <v/>
      </c>
      <c r="L461" s="21" t="str">
        <f>IF(Deployments!M462="","",Deployments!M462)</f>
        <v/>
      </c>
      <c r="M461" s="22"/>
      <c r="N461" s="21" t="str">
        <f>IF(Deployments!N462="","",Deployments!N462)</f>
        <v/>
      </c>
      <c r="O461" s="21" t="str">
        <f>IF(Deployments!O462="","",Deployments!O462)</f>
        <v/>
      </c>
      <c r="P461" s="21" t="str">
        <f>IF(Deployments!P462="","",Deployments!P462)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IF(Deployments!T462="","",Deployments!T462)</f>
        <v/>
      </c>
      <c r="AA461" s="21" t="str">
        <f>IF(Deployments!L462="","",Deployments!L462)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IF(Deployments!AH463="","",Deployments!AH463)</f>
        <v/>
      </c>
      <c r="E462" s="21" t="str">
        <f>IF(Deployments!I463="","",Deployments!I463)</f>
        <v/>
      </c>
      <c r="F462" s="21" t="str">
        <f>IF(Deployments!J463="","",Deployments!J463)</f>
        <v/>
      </c>
      <c r="G462" s="21" t="str">
        <f>IF(Deployments!K463="","",Deployments!K463)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IF(Deployments!AD463="","",Deployments!AD463)</f>
        <v/>
      </c>
      <c r="L462" s="21" t="str">
        <f>IF(Deployments!M463="","",Deployments!M463)</f>
        <v/>
      </c>
      <c r="M462" s="22"/>
      <c r="N462" s="21" t="str">
        <f>IF(Deployments!N463="","",Deployments!N463)</f>
        <v/>
      </c>
      <c r="O462" s="21" t="str">
        <f>IF(Deployments!O463="","",Deployments!O463)</f>
        <v/>
      </c>
      <c r="P462" s="21" t="str">
        <f>IF(Deployments!P463="","",Deployments!P463)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IF(Deployments!T463="","",Deployments!T463)</f>
        <v/>
      </c>
      <c r="AA462" s="21" t="str">
        <f>IF(Deployments!L463="","",Deployments!L463)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IF(Deployments!AH464="","",Deployments!AH464)</f>
        <v/>
      </c>
      <c r="E463" s="21" t="str">
        <f>IF(Deployments!I464="","",Deployments!I464)</f>
        <v/>
      </c>
      <c r="F463" s="21" t="str">
        <f>IF(Deployments!J464="","",Deployments!J464)</f>
        <v/>
      </c>
      <c r="G463" s="21" t="str">
        <f>IF(Deployments!K464="","",Deployments!K464)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IF(Deployments!AD464="","",Deployments!AD464)</f>
        <v/>
      </c>
      <c r="L463" s="21" t="str">
        <f>IF(Deployments!M464="","",Deployments!M464)</f>
        <v/>
      </c>
      <c r="M463" s="22"/>
      <c r="N463" s="21" t="str">
        <f>IF(Deployments!N464="","",Deployments!N464)</f>
        <v/>
      </c>
      <c r="O463" s="21" t="str">
        <f>IF(Deployments!O464="","",Deployments!O464)</f>
        <v/>
      </c>
      <c r="P463" s="21" t="str">
        <f>IF(Deployments!P464="","",Deployments!P464)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IF(Deployments!T464="","",Deployments!T464)</f>
        <v/>
      </c>
      <c r="AA463" s="21" t="str">
        <f>IF(Deployments!L464="","",Deployments!L464)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IF(Deployments!AH465="","",Deployments!AH465)</f>
        <v/>
      </c>
      <c r="E464" s="21" t="str">
        <f>IF(Deployments!I465="","",Deployments!I465)</f>
        <v/>
      </c>
      <c r="F464" s="21" t="str">
        <f>IF(Deployments!J465="","",Deployments!J465)</f>
        <v/>
      </c>
      <c r="G464" s="21" t="str">
        <f>IF(Deployments!K465="","",Deployments!K465)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IF(Deployments!AD465="","",Deployments!AD465)</f>
        <v/>
      </c>
      <c r="L464" s="21" t="str">
        <f>IF(Deployments!M465="","",Deployments!M465)</f>
        <v/>
      </c>
      <c r="M464" s="22"/>
      <c r="N464" s="21" t="str">
        <f>IF(Deployments!N465="","",Deployments!N465)</f>
        <v/>
      </c>
      <c r="O464" s="21" t="str">
        <f>IF(Deployments!O465="","",Deployments!O465)</f>
        <v/>
      </c>
      <c r="P464" s="21" t="str">
        <f>IF(Deployments!P465="","",Deployments!P465)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IF(Deployments!T465="","",Deployments!T465)</f>
        <v/>
      </c>
      <c r="AA464" s="21" t="str">
        <f>IF(Deployments!L465="","",Deployments!L465)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IF(Deployments!AH466="","",Deployments!AH466)</f>
        <v/>
      </c>
      <c r="E465" s="21" t="str">
        <f>IF(Deployments!I466="","",Deployments!I466)</f>
        <v/>
      </c>
      <c r="F465" s="21" t="str">
        <f>IF(Deployments!J466="","",Deployments!J466)</f>
        <v/>
      </c>
      <c r="G465" s="21" t="str">
        <f>IF(Deployments!K466="","",Deployments!K466)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IF(Deployments!AD466="","",Deployments!AD466)</f>
        <v/>
      </c>
      <c r="L465" s="21" t="str">
        <f>IF(Deployments!M466="","",Deployments!M466)</f>
        <v/>
      </c>
      <c r="M465" s="22"/>
      <c r="N465" s="21" t="str">
        <f>IF(Deployments!N466="","",Deployments!N466)</f>
        <v/>
      </c>
      <c r="O465" s="21" t="str">
        <f>IF(Deployments!O466="","",Deployments!O466)</f>
        <v/>
      </c>
      <c r="P465" s="21" t="str">
        <f>IF(Deployments!P466="","",Deployments!P466)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IF(Deployments!T466="","",Deployments!T466)</f>
        <v/>
      </c>
      <c r="AA465" s="21" t="str">
        <f>IF(Deployments!L466="","",Deployments!L466)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IF(Deployments!AH467="","",Deployments!AH467)</f>
        <v/>
      </c>
      <c r="E466" s="21" t="str">
        <f>IF(Deployments!I467="","",Deployments!I467)</f>
        <v/>
      </c>
      <c r="F466" s="21" t="str">
        <f>IF(Deployments!J467="","",Deployments!J467)</f>
        <v/>
      </c>
      <c r="G466" s="21" t="str">
        <f>IF(Deployments!K467="","",Deployments!K467)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IF(Deployments!AD467="","",Deployments!AD467)</f>
        <v/>
      </c>
      <c r="L466" s="21" t="str">
        <f>IF(Deployments!M467="","",Deployments!M467)</f>
        <v/>
      </c>
      <c r="M466" s="22"/>
      <c r="N466" s="21" t="str">
        <f>IF(Deployments!N467="","",Deployments!N467)</f>
        <v/>
      </c>
      <c r="O466" s="21" t="str">
        <f>IF(Deployments!O467="","",Deployments!O467)</f>
        <v/>
      </c>
      <c r="P466" s="21" t="str">
        <f>IF(Deployments!P467="","",Deployments!P467)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IF(Deployments!T467="","",Deployments!T467)</f>
        <v/>
      </c>
      <c r="AA466" s="21" t="str">
        <f>IF(Deployments!L467="","",Deployments!L467)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IF(Deployments!AH468="","",Deployments!AH468)</f>
        <v/>
      </c>
      <c r="E467" s="21" t="str">
        <f>IF(Deployments!I468="","",Deployments!I468)</f>
        <v/>
      </c>
      <c r="F467" s="21" t="str">
        <f>IF(Deployments!J468="","",Deployments!J468)</f>
        <v/>
      </c>
      <c r="G467" s="21" t="str">
        <f>IF(Deployments!K468="","",Deployments!K468)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IF(Deployments!AD468="","",Deployments!AD468)</f>
        <v/>
      </c>
      <c r="L467" s="21" t="str">
        <f>IF(Deployments!M468="","",Deployments!M468)</f>
        <v/>
      </c>
      <c r="M467" s="22"/>
      <c r="N467" s="21" t="str">
        <f>IF(Deployments!N468="","",Deployments!N468)</f>
        <v/>
      </c>
      <c r="O467" s="21" t="str">
        <f>IF(Deployments!O468="","",Deployments!O468)</f>
        <v/>
      </c>
      <c r="P467" s="21" t="str">
        <f>IF(Deployments!P468="","",Deployments!P468)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IF(Deployments!T468="","",Deployments!T468)</f>
        <v/>
      </c>
      <c r="AA467" s="21" t="str">
        <f>IF(Deployments!L468="","",Deployments!L468)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IF(Deployments!AH469="","",Deployments!AH469)</f>
        <v/>
      </c>
      <c r="E468" s="21" t="str">
        <f>IF(Deployments!I469="","",Deployments!I469)</f>
        <v/>
      </c>
      <c r="F468" s="21" t="str">
        <f>IF(Deployments!J469="","",Deployments!J469)</f>
        <v/>
      </c>
      <c r="G468" s="21" t="str">
        <f>IF(Deployments!K469="","",Deployments!K469)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IF(Deployments!AD469="","",Deployments!AD469)</f>
        <v/>
      </c>
      <c r="L468" s="21" t="str">
        <f>IF(Deployments!M469="","",Deployments!M469)</f>
        <v/>
      </c>
      <c r="M468" s="22"/>
      <c r="N468" s="21" t="str">
        <f>IF(Deployments!N469="","",Deployments!N469)</f>
        <v/>
      </c>
      <c r="O468" s="21" t="str">
        <f>IF(Deployments!O469="","",Deployments!O469)</f>
        <v/>
      </c>
      <c r="P468" s="21" t="str">
        <f>IF(Deployments!P469="","",Deployments!P469)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IF(Deployments!T469="","",Deployments!T469)</f>
        <v/>
      </c>
      <c r="AA468" s="21" t="str">
        <f>IF(Deployments!L469="","",Deployments!L469)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IF(Deployments!AH470="","",Deployments!AH470)</f>
        <v/>
      </c>
      <c r="E469" s="21" t="str">
        <f>IF(Deployments!I470="","",Deployments!I470)</f>
        <v/>
      </c>
      <c r="F469" s="21" t="str">
        <f>IF(Deployments!J470="","",Deployments!J470)</f>
        <v/>
      </c>
      <c r="G469" s="21" t="str">
        <f>IF(Deployments!K470="","",Deployments!K470)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IF(Deployments!AD470="","",Deployments!AD470)</f>
        <v/>
      </c>
      <c r="L469" s="21" t="str">
        <f>IF(Deployments!M470="","",Deployments!M470)</f>
        <v/>
      </c>
      <c r="M469" s="22"/>
      <c r="N469" s="21" t="str">
        <f>IF(Deployments!N470="","",Deployments!N470)</f>
        <v/>
      </c>
      <c r="O469" s="21" t="str">
        <f>IF(Deployments!O470="","",Deployments!O470)</f>
        <v/>
      </c>
      <c r="P469" s="21" t="str">
        <f>IF(Deployments!P470="","",Deployments!P470)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IF(Deployments!T470="","",Deployments!T470)</f>
        <v/>
      </c>
      <c r="AA469" s="21" t="str">
        <f>IF(Deployments!L470="","",Deployments!L470)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IF(Deployments!AH471="","",Deployments!AH471)</f>
        <v/>
      </c>
      <c r="E470" s="21" t="str">
        <f>IF(Deployments!I471="","",Deployments!I471)</f>
        <v/>
      </c>
      <c r="F470" s="21" t="str">
        <f>IF(Deployments!J471="","",Deployments!J471)</f>
        <v/>
      </c>
      <c r="G470" s="21" t="str">
        <f>IF(Deployments!K471="","",Deployments!K471)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IF(Deployments!AD471="","",Deployments!AD471)</f>
        <v/>
      </c>
      <c r="L470" s="21" t="str">
        <f>IF(Deployments!M471="","",Deployments!M471)</f>
        <v/>
      </c>
      <c r="M470" s="22"/>
      <c r="N470" s="21" t="str">
        <f>IF(Deployments!N471="","",Deployments!N471)</f>
        <v/>
      </c>
      <c r="O470" s="21" t="str">
        <f>IF(Deployments!O471="","",Deployments!O471)</f>
        <v/>
      </c>
      <c r="P470" s="21" t="str">
        <f>IF(Deployments!P471="","",Deployments!P471)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IF(Deployments!T471="","",Deployments!T471)</f>
        <v/>
      </c>
      <c r="AA470" s="21" t="str">
        <f>IF(Deployments!L471="","",Deployments!L471)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IF(Deployments!AH472="","",Deployments!AH472)</f>
        <v/>
      </c>
      <c r="E471" s="21" t="str">
        <f>IF(Deployments!I472="","",Deployments!I472)</f>
        <v/>
      </c>
      <c r="F471" s="21" t="str">
        <f>IF(Deployments!J472="","",Deployments!J472)</f>
        <v/>
      </c>
      <c r="G471" s="21" t="str">
        <f>IF(Deployments!K472="","",Deployments!K472)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IF(Deployments!AD472="","",Deployments!AD472)</f>
        <v/>
      </c>
      <c r="L471" s="21" t="str">
        <f>IF(Deployments!M472="","",Deployments!M472)</f>
        <v/>
      </c>
      <c r="M471" s="22"/>
      <c r="N471" s="21" t="str">
        <f>IF(Deployments!N472="","",Deployments!N472)</f>
        <v/>
      </c>
      <c r="O471" s="21" t="str">
        <f>IF(Deployments!O472="","",Deployments!O472)</f>
        <v/>
      </c>
      <c r="P471" s="21" t="str">
        <f>IF(Deployments!P472="","",Deployments!P472)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IF(Deployments!T472="","",Deployments!T472)</f>
        <v/>
      </c>
      <c r="AA471" s="21" t="str">
        <f>IF(Deployments!L472="","",Deployments!L472)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IF(Deployments!AH473="","",Deployments!AH473)</f>
        <v/>
      </c>
      <c r="E472" s="21" t="str">
        <f>IF(Deployments!I473="","",Deployments!I473)</f>
        <v/>
      </c>
      <c r="F472" s="21" t="str">
        <f>IF(Deployments!J473="","",Deployments!J473)</f>
        <v/>
      </c>
      <c r="G472" s="21" t="str">
        <f>IF(Deployments!K473="","",Deployments!K473)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IF(Deployments!AD473="","",Deployments!AD473)</f>
        <v/>
      </c>
      <c r="L472" s="21" t="str">
        <f>IF(Deployments!M473="","",Deployments!M473)</f>
        <v/>
      </c>
      <c r="M472" s="22"/>
      <c r="N472" s="21" t="str">
        <f>IF(Deployments!N473="","",Deployments!N473)</f>
        <v/>
      </c>
      <c r="O472" s="21" t="str">
        <f>IF(Deployments!O473="","",Deployments!O473)</f>
        <v/>
      </c>
      <c r="P472" s="21" t="str">
        <f>IF(Deployments!P473="","",Deployments!P473)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IF(Deployments!T473="","",Deployments!T473)</f>
        <v/>
      </c>
      <c r="AA472" s="21" t="str">
        <f>IF(Deployments!L473="","",Deployments!L473)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IF(Deployments!AH474="","",Deployments!AH474)</f>
        <v/>
      </c>
      <c r="E473" s="21" t="str">
        <f>IF(Deployments!I474="","",Deployments!I474)</f>
        <v/>
      </c>
      <c r="F473" s="21" t="str">
        <f>IF(Deployments!J474="","",Deployments!J474)</f>
        <v/>
      </c>
      <c r="G473" s="21" t="str">
        <f>IF(Deployments!K474="","",Deployments!K474)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IF(Deployments!AD474="","",Deployments!AD474)</f>
        <v/>
      </c>
      <c r="L473" s="21" t="str">
        <f>IF(Deployments!M474="","",Deployments!M474)</f>
        <v/>
      </c>
      <c r="M473" s="22"/>
      <c r="N473" s="21" t="str">
        <f>IF(Deployments!N474="","",Deployments!N474)</f>
        <v/>
      </c>
      <c r="O473" s="21" t="str">
        <f>IF(Deployments!O474="","",Deployments!O474)</f>
        <v/>
      </c>
      <c r="P473" s="21" t="str">
        <f>IF(Deployments!P474="","",Deployments!P474)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IF(Deployments!T474="","",Deployments!T474)</f>
        <v/>
      </c>
      <c r="AA473" s="21" t="str">
        <f>IF(Deployments!L474="","",Deployments!L474)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IF(Deployments!AH475="","",Deployments!AH475)</f>
        <v/>
      </c>
      <c r="E474" s="21" t="str">
        <f>IF(Deployments!I475="","",Deployments!I475)</f>
        <v/>
      </c>
      <c r="F474" s="21" t="str">
        <f>IF(Deployments!J475="","",Deployments!J475)</f>
        <v/>
      </c>
      <c r="G474" s="21" t="str">
        <f>IF(Deployments!K475="","",Deployments!K475)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IF(Deployments!AD475="","",Deployments!AD475)</f>
        <v/>
      </c>
      <c r="L474" s="21" t="str">
        <f>IF(Deployments!M475="","",Deployments!M475)</f>
        <v/>
      </c>
      <c r="M474" s="22"/>
      <c r="N474" s="21" t="str">
        <f>IF(Deployments!N475="","",Deployments!N475)</f>
        <v/>
      </c>
      <c r="O474" s="21" t="str">
        <f>IF(Deployments!O475="","",Deployments!O475)</f>
        <v/>
      </c>
      <c r="P474" s="21" t="str">
        <f>IF(Deployments!P475="","",Deployments!P475)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IF(Deployments!T475="","",Deployments!T475)</f>
        <v/>
      </c>
      <c r="AA474" s="21" t="str">
        <f>IF(Deployments!L475="","",Deployments!L475)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IF(Deployments!AH476="","",Deployments!AH476)</f>
        <v/>
      </c>
      <c r="E475" s="21" t="str">
        <f>IF(Deployments!I476="","",Deployments!I476)</f>
        <v/>
      </c>
      <c r="F475" s="21" t="str">
        <f>IF(Deployments!J476="","",Deployments!J476)</f>
        <v/>
      </c>
      <c r="G475" s="21" t="str">
        <f>IF(Deployments!K476="","",Deployments!K476)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IF(Deployments!AD476="","",Deployments!AD476)</f>
        <v/>
      </c>
      <c r="L475" s="21" t="str">
        <f>IF(Deployments!M476="","",Deployments!M476)</f>
        <v/>
      </c>
      <c r="M475" s="22"/>
      <c r="N475" s="21" t="str">
        <f>IF(Deployments!N476="","",Deployments!N476)</f>
        <v/>
      </c>
      <c r="O475" s="21" t="str">
        <f>IF(Deployments!O476="","",Deployments!O476)</f>
        <v/>
      </c>
      <c r="P475" s="21" t="str">
        <f>IF(Deployments!P476="","",Deployments!P476)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IF(Deployments!T476="","",Deployments!T476)</f>
        <v/>
      </c>
      <c r="AA475" s="21" t="str">
        <f>IF(Deployments!L476="","",Deployments!L476)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IF(Deployments!AH477="","",Deployments!AH477)</f>
        <v/>
      </c>
      <c r="E476" s="21" t="str">
        <f>IF(Deployments!I477="","",Deployments!I477)</f>
        <v/>
      </c>
      <c r="F476" s="21" t="str">
        <f>IF(Deployments!J477="","",Deployments!J477)</f>
        <v/>
      </c>
      <c r="G476" s="21" t="str">
        <f>IF(Deployments!K477="","",Deployments!K477)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IF(Deployments!AD477="","",Deployments!AD477)</f>
        <v/>
      </c>
      <c r="L476" s="21" t="str">
        <f>IF(Deployments!M477="","",Deployments!M477)</f>
        <v/>
      </c>
      <c r="M476" s="22"/>
      <c r="N476" s="21" t="str">
        <f>IF(Deployments!N477="","",Deployments!N477)</f>
        <v/>
      </c>
      <c r="O476" s="21" t="str">
        <f>IF(Deployments!O477="","",Deployments!O477)</f>
        <v/>
      </c>
      <c r="P476" s="21" t="str">
        <f>IF(Deployments!P477="","",Deployments!P477)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IF(Deployments!T477="","",Deployments!T477)</f>
        <v/>
      </c>
      <c r="AA476" s="21" t="str">
        <f>IF(Deployments!L477="","",Deployments!L477)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IF(Deployments!AH478="","",Deployments!AH478)</f>
        <v/>
      </c>
      <c r="E477" s="21" t="str">
        <f>IF(Deployments!I478="","",Deployments!I478)</f>
        <v/>
      </c>
      <c r="F477" s="21" t="str">
        <f>IF(Deployments!J478="","",Deployments!J478)</f>
        <v/>
      </c>
      <c r="G477" s="21" t="str">
        <f>IF(Deployments!K478="","",Deployments!K478)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IF(Deployments!AD478="","",Deployments!AD478)</f>
        <v/>
      </c>
      <c r="L477" s="21" t="str">
        <f>IF(Deployments!M478="","",Deployments!M478)</f>
        <v/>
      </c>
      <c r="M477" s="22"/>
      <c r="N477" s="21" t="str">
        <f>IF(Deployments!N478="","",Deployments!N478)</f>
        <v/>
      </c>
      <c r="O477" s="21" t="str">
        <f>IF(Deployments!O478="","",Deployments!O478)</f>
        <v/>
      </c>
      <c r="P477" s="21" t="str">
        <f>IF(Deployments!P478="","",Deployments!P478)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IF(Deployments!T478="","",Deployments!T478)</f>
        <v/>
      </c>
      <c r="AA477" s="21" t="str">
        <f>IF(Deployments!L478="","",Deployments!L478)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IF(Deployments!AH479="","",Deployments!AH479)</f>
        <v/>
      </c>
      <c r="E478" s="21" t="str">
        <f>IF(Deployments!I479="","",Deployments!I479)</f>
        <v/>
      </c>
      <c r="F478" s="21" t="str">
        <f>IF(Deployments!J479="","",Deployments!J479)</f>
        <v/>
      </c>
      <c r="G478" s="21" t="str">
        <f>IF(Deployments!K479="","",Deployments!K479)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IF(Deployments!AD479="","",Deployments!AD479)</f>
        <v/>
      </c>
      <c r="L478" s="21" t="str">
        <f>IF(Deployments!M479="","",Deployments!M479)</f>
        <v/>
      </c>
      <c r="M478" s="22"/>
      <c r="N478" s="21" t="str">
        <f>IF(Deployments!N479="","",Deployments!N479)</f>
        <v/>
      </c>
      <c r="O478" s="21" t="str">
        <f>IF(Deployments!O479="","",Deployments!O479)</f>
        <v/>
      </c>
      <c r="P478" s="21" t="str">
        <f>IF(Deployments!P479="","",Deployments!P479)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IF(Deployments!T479="","",Deployments!T479)</f>
        <v/>
      </c>
      <c r="AA478" s="21" t="str">
        <f>IF(Deployments!L479="","",Deployments!L479)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IF(Deployments!AH480="","",Deployments!AH480)</f>
        <v/>
      </c>
      <c r="E479" s="21" t="str">
        <f>IF(Deployments!I480="","",Deployments!I480)</f>
        <v/>
      </c>
      <c r="F479" s="21" t="str">
        <f>IF(Deployments!J480="","",Deployments!J480)</f>
        <v/>
      </c>
      <c r="G479" s="21" t="str">
        <f>IF(Deployments!K480="","",Deployments!K480)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IF(Deployments!AD480="","",Deployments!AD480)</f>
        <v/>
      </c>
      <c r="L479" s="21" t="str">
        <f>IF(Deployments!M480="","",Deployments!M480)</f>
        <v/>
      </c>
      <c r="M479" s="22"/>
      <c r="N479" s="21" t="str">
        <f>IF(Deployments!N480="","",Deployments!N480)</f>
        <v/>
      </c>
      <c r="O479" s="21" t="str">
        <f>IF(Deployments!O480="","",Deployments!O480)</f>
        <v/>
      </c>
      <c r="P479" s="21" t="str">
        <f>IF(Deployments!P480="","",Deployments!P480)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IF(Deployments!T480="","",Deployments!T480)</f>
        <v/>
      </c>
      <c r="AA479" s="21" t="str">
        <f>IF(Deployments!L480="","",Deployments!L480)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IF(Deployments!AH481="","",Deployments!AH481)</f>
        <v/>
      </c>
      <c r="E480" s="21" t="str">
        <f>IF(Deployments!I481="","",Deployments!I481)</f>
        <v/>
      </c>
      <c r="F480" s="21" t="str">
        <f>IF(Deployments!J481="","",Deployments!J481)</f>
        <v/>
      </c>
      <c r="G480" s="21" t="str">
        <f>IF(Deployments!K481="","",Deployments!K481)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IF(Deployments!AD481="","",Deployments!AD481)</f>
        <v/>
      </c>
      <c r="L480" s="21" t="str">
        <f>IF(Deployments!M481="","",Deployments!M481)</f>
        <v/>
      </c>
      <c r="M480" s="22"/>
      <c r="N480" s="21" t="str">
        <f>IF(Deployments!N481="","",Deployments!N481)</f>
        <v/>
      </c>
      <c r="O480" s="21" t="str">
        <f>IF(Deployments!O481="","",Deployments!O481)</f>
        <v/>
      </c>
      <c r="P480" s="21" t="str">
        <f>IF(Deployments!P481="","",Deployments!P481)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IF(Deployments!T481="","",Deployments!T481)</f>
        <v/>
      </c>
      <c r="AA480" s="21" t="str">
        <f>IF(Deployments!L481="","",Deployments!L481)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IF(Deployments!AH482="","",Deployments!AH482)</f>
        <v/>
      </c>
      <c r="E481" s="21" t="str">
        <f>IF(Deployments!I482="","",Deployments!I482)</f>
        <v/>
      </c>
      <c r="F481" s="21" t="str">
        <f>IF(Deployments!J482="","",Deployments!J482)</f>
        <v/>
      </c>
      <c r="G481" s="21" t="str">
        <f>IF(Deployments!K482="","",Deployments!K482)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IF(Deployments!AD482="","",Deployments!AD482)</f>
        <v/>
      </c>
      <c r="L481" s="21" t="str">
        <f>IF(Deployments!M482="","",Deployments!M482)</f>
        <v/>
      </c>
      <c r="M481" s="22"/>
      <c r="N481" s="21" t="str">
        <f>IF(Deployments!N482="","",Deployments!N482)</f>
        <v/>
      </c>
      <c r="O481" s="21" t="str">
        <f>IF(Deployments!O482="","",Deployments!O482)</f>
        <v/>
      </c>
      <c r="P481" s="21" t="str">
        <f>IF(Deployments!P482="","",Deployments!P482)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IF(Deployments!T482="","",Deployments!T482)</f>
        <v/>
      </c>
      <c r="AA481" s="21" t="str">
        <f>IF(Deployments!L482="","",Deployments!L482)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IF(Deployments!AH483="","",Deployments!AH483)</f>
        <v/>
      </c>
      <c r="E482" s="21" t="str">
        <f>IF(Deployments!I483="","",Deployments!I483)</f>
        <v/>
      </c>
      <c r="F482" s="21" t="str">
        <f>IF(Deployments!J483="","",Deployments!J483)</f>
        <v/>
      </c>
      <c r="G482" s="21" t="str">
        <f>IF(Deployments!K483="","",Deployments!K483)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IF(Deployments!AD483="","",Deployments!AD483)</f>
        <v/>
      </c>
      <c r="L482" s="21" t="str">
        <f>IF(Deployments!M483="","",Deployments!M483)</f>
        <v/>
      </c>
      <c r="M482" s="22"/>
      <c r="N482" s="21" t="str">
        <f>IF(Deployments!N483="","",Deployments!N483)</f>
        <v/>
      </c>
      <c r="O482" s="21" t="str">
        <f>IF(Deployments!O483="","",Deployments!O483)</f>
        <v/>
      </c>
      <c r="P482" s="21" t="str">
        <f>IF(Deployments!P483="","",Deployments!P483)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IF(Deployments!T483="","",Deployments!T483)</f>
        <v/>
      </c>
      <c r="AA482" s="21" t="str">
        <f>IF(Deployments!L483="","",Deployments!L483)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IF(Deployments!AH484="","",Deployments!AH484)</f>
        <v/>
      </c>
      <c r="E483" s="21" t="str">
        <f>IF(Deployments!I484="","",Deployments!I484)</f>
        <v/>
      </c>
      <c r="F483" s="21" t="str">
        <f>IF(Deployments!J484="","",Deployments!J484)</f>
        <v/>
      </c>
      <c r="G483" s="21" t="str">
        <f>IF(Deployments!K484="","",Deployments!K484)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IF(Deployments!AD484="","",Deployments!AD484)</f>
        <v/>
      </c>
      <c r="L483" s="21" t="str">
        <f>IF(Deployments!M484="","",Deployments!M484)</f>
        <v/>
      </c>
      <c r="M483" s="22"/>
      <c r="N483" s="21" t="str">
        <f>IF(Deployments!N484="","",Deployments!N484)</f>
        <v/>
      </c>
      <c r="O483" s="21" t="str">
        <f>IF(Deployments!O484="","",Deployments!O484)</f>
        <v/>
      </c>
      <c r="P483" s="21" t="str">
        <f>IF(Deployments!P484="","",Deployments!P484)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IF(Deployments!T484="","",Deployments!T484)</f>
        <v/>
      </c>
      <c r="AA483" s="21" t="str">
        <f>IF(Deployments!L484="","",Deployments!L484)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IF(Deployments!AH485="","",Deployments!AH485)</f>
        <v/>
      </c>
      <c r="E484" s="21" t="str">
        <f>IF(Deployments!I485="","",Deployments!I485)</f>
        <v/>
      </c>
      <c r="F484" s="21" t="str">
        <f>IF(Deployments!J485="","",Deployments!J485)</f>
        <v/>
      </c>
      <c r="G484" s="21" t="str">
        <f>IF(Deployments!K485="","",Deployments!K485)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IF(Deployments!AD485="","",Deployments!AD485)</f>
        <v/>
      </c>
      <c r="L484" s="21" t="str">
        <f>IF(Deployments!M485="","",Deployments!M485)</f>
        <v/>
      </c>
      <c r="M484" s="22"/>
      <c r="N484" s="21" t="str">
        <f>IF(Deployments!N485="","",Deployments!N485)</f>
        <v/>
      </c>
      <c r="O484" s="21" t="str">
        <f>IF(Deployments!O485="","",Deployments!O485)</f>
        <v/>
      </c>
      <c r="P484" s="21" t="str">
        <f>IF(Deployments!P485="","",Deployments!P485)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IF(Deployments!T485="","",Deployments!T485)</f>
        <v/>
      </c>
      <c r="AA484" s="21" t="str">
        <f>IF(Deployments!L485="","",Deployments!L485)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IF(Deployments!AH486="","",Deployments!AH486)</f>
        <v/>
      </c>
      <c r="E485" s="21" t="str">
        <f>IF(Deployments!I486="","",Deployments!I486)</f>
        <v/>
      </c>
      <c r="F485" s="21" t="str">
        <f>IF(Deployments!J486="","",Deployments!J486)</f>
        <v/>
      </c>
      <c r="G485" s="21" t="str">
        <f>IF(Deployments!K486="","",Deployments!K486)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IF(Deployments!AD486="","",Deployments!AD486)</f>
        <v/>
      </c>
      <c r="L485" s="21" t="str">
        <f>IF(Deployments!M486="","",Deployments!M486)</f>
        <v/>
      </c>
      <c r="M485" s="22"/>
      <c r="N485" s="21" t="str">
        <f>IF(Deployments!N486="","",Deployments!N486)</f>
        <v/>
      </c>
      <c r="O485" s="21" t="str">
        <f>IF(Deployments!O486="","",Deployments!O486)</f>
        <v/>
      </c>
      <c r="P485" s="21" t="str">
        <f>IF(Deployments!P486="","",Deployments!P486)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IF(Deployments!T486="","",Deployments!T486)</f>
        <v/>
      </c>
      <c r="AA485" s="21" t="str">
        <f>IF(Deployments!L486="","",Deployments!L486)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IF(Deployments!AH487="","",Deployments!AH487)</f>
        <v/>
      </c>
      <c r="E486" s="21" t="str">
        <f>IF(Deployments!I487="","",Deployments!I487)</f>
        <v/>
      </c>
      <c r="F486" s="21" t="str">
        <f>IF(Deployments!J487="","",Deployments!J487)</f>
        <v/>
      </c>
      <c r="G486" s="21" t="str">
        <f>IF(Deployments!K487="","",Deployments!K487)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IF(Deployments!AD487="","",Deployments!AD487)</f>
        <v/>
      </c>
      <c r="L486" s="21" t="str">
        <f>IF(Deployments!M487="","",Deployments!M487)</f>
        <v/>
      </c>
      <c r="M486" s="22"/>
      <c r="N486" s="21" t="str">
        <f>IF(Deployments!N487="","",Deployments!N487)</f>
        <v/>
      </c>
      <c r="O486" s="21" t="str">
        <f>IF(Deployments!O487="","",Deployments!O487)</f>
        <v/>
      </c>
      <c r="P486" s="21" t="str">
        <f>IF(Deployments!P487="","",Deployments!P487)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IF(Deployments!T487="","",Deployments!T487)</f>
        <v/>
      </c>
      <c r="AA486" s="21" t="str">
        <f>IF(Deployments!L487="","",Deployments!L487)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IF(Deployments!AH488="","",Deployments!AH488)</f>
        <v/>
      </c>
      <c r="E487" s="21" t="str">
        <f>IF(Deployments!I488="","",Deployments!I488)</f>
        <v/>
      </c>
      <c r="F487" s="21" t="str">
        <f>IF(Deployments!J488="","",Deployments!J488)</f>
        <v/>
      </c>
      <c r="G487" s="21" t="str">
        <f>IF(Deployments!K488="","",Deployments!K488)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IF(Deployments!AD488="","",Deployments!AD488)</f>
        <v/>
      </c>
      <c r="L487" s="21" t="str">
        <f>IF(Deployments!M488="","",Deployments!M488)</f>
        <v/>
      </c>
      <c r="M487" s="22"/>
      <c r="N487" s="21" t="str">
        <f>IF(Deployments!N488="","",Deployments!N488)</f>
        <v/>
      </c>
      <c r="O487" s="21" t="str">
        <f>IF(Deployments!O488="","",Deployments!O488)</f>
        <v/>
      </c>
      <c r="P487" s="21" t="str">
        <f>IF(Deployments!P488="","",Deployments!P488)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IF(Deployments!T488="","",Deployments!T488)</f>
        <v/>
      </c>
      <c r="AA487" s="21" t="str">
        <f>IF(Deployments!L488="","",Deployments!L488)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IF(Deployments!AH489="","",Deployments!AH489)</f>
        <v/>
      </c>
      <c r="E488" s="21" t="str">
        <f>IF(Deployments!I489="","",Deployments!I489)</f>
        <v/>
      </c>
      <c r="F488" s="21" t="str">
        <f>IF(Deployments!J489="","",Deployments!J489)</f>
        <v/>
      </c>
      <c r="G488" s="21" t="str">
        <f>IF(Deployments!K489="","",Deployments!K489)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IF(Deployments!AD489="","",Deployments!AD489)</f>
        <v/>
      </c>
      <c r="L488" s="21" t="str">
        <f>IF(Deployments!M489="","",Deployments!M489)</f>
        <v/>
      </c>
      <c r="M488" s="22"/>
      <c r="N488" s="21" t="str">
        <f>IF(Deployments!N489="","",Deployments!N489)</f>
        <v/>
      </c>
      <c r="O488" s="21" t="str">
        <f>IF(Deployments!O489="","",Deployments!O489)</f>
        <v/>
      </c>
      <c r="P488" s="21" t="str">
        <f>IF(Deployments!P489="","",Deployments!P489)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IF(Deployments!T489="","",Deployments!T489)</f>
        <v/>
      </c>
      <c r="AA488" s="21" t="str">
        <f>IF(Deployments!L489="","",Deployments!L489)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IF(Deployments!AH490="","",Deployments!AH490)</f>
        <v/>
      </c>
      <c r="E489" s="21" t="str">
        <f>IF(Deployments!I490="","",Deployments!I490)</f>
        <v/>
      </c>
      <c r="F489" s="21" t="str">
        <f>IF(Deployments!J490="","",Deployments!J490)</f>
        <v/>
      </c>
      <c r="G489" s="21" t="str">
        <f>IF(Deployments!K490="","",Deployments!K490)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IF(Deployments!AD490="","",Deployments!AD490)</f>
        <v/>
      </c>
      <c r="L489" s="21" t="str">
        <f>IF(Deployments!M490="","",Deployments!M490)</f>
        <v/>
      </c>
      <c r="M489" s="22"/>
      <c r="N489" s="21" t="str">
        <f>IF(Deployments!N490="","",Deployments!N490)</f>
        <v/>
      </c>
      <c r="O489" s="21" t="str">
        <f>IF(Deployments!O490="","",Deployments!O490)</f>
        <v/>
      </c>
      <c r="P489" s="21" t="str">
        <f>IF(Deployments!P490="","",Deployments!P490)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IF(Deployments!T490="","",Deployments!T490)</f>
        <v/>
      </c>
      <c r="AA489" s="21" t="str">
        <f>IF(Deployments!L490="","",Deployments!L490)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IF(Deployments!AH491="","",Deployments!AH491)</f>
        <v/>
      </c>
      <c r="E490" s="21" t="str">
        <f>IF(Deployments!I491="","",Deployments!I491)</f>
        <v/>
      </c>
      <c r="F490" s="21" t="str">
        <f>IF(Deployments!J491="","",Deployments!J491)</f>
        <v/>
      </c>
      <c r="G490" s="21" t="str">
        <f>IF(Deployments!K491="","",Deployments!K491)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IF(Deployments!AD491="","",Deployments!AD491)</f>
        <v/>
      </c>
      <c r="L490" s="21" t="str">
        <f>IF(Deployments!M491="","",Deployments!M491)</f>
        <v/>
      </c>
      <c r="M490" s="22"/>
      <c r="N490" s="21" t="str">
        <f>IF(Deployments!N491="","",Deployments!N491)</f>
        <v/>
      </c>
      <c r="O490" s="21" t="str">
        <f>IF(Deployments!O491="","",Deployments!O491)</f>
        <v/>
      </c>
      <c r="P490" s="21" t="str">
        <f>IF(Deployments!P491="","",Deployments!P491)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IF(Deployments!T491="","",Deployments!T491)</f>
        <v/>
      </c>
      <c r="AA490" s="21" t="str">
        <f>IF(Deployments!L491="","",Deployments!L491)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IF(Deployments!AH492="","",Deployments!AH492)</f>
        <v/>
      </c>
      <c r="E491" s="21" t="str">
        <f>IF(Deployments!I492="","",Deployments!I492)</f>
        <v/>
      </c>
      <c r="F491" s="21" t="str">
        <f>IF(Deployments!J492="","",Deployments!J492)</f>
        <v/>
      </c>
      <c r="G491" s="21" t="str">
        <f>IF(Deployments!K492="","",Deployments!K492)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IF(Deployments!AD492="","",Deployments!AD492)</f>
        <v/>
      </c>
      <c r="L491" s="21" t="str">
        <f>IF(Deployments!M492="","",Deployments!M492)</f>
        <v/>
      </c>
      <c r="M491" s="22"/>
      <c r="N491" s="21" t="str">
        <f>IF(Deployments!N492="","",Deployments!N492)</f>
        <v/>
      </c>
      <c r="O491" s="21" t="str">
        <f>IF(Deployments!O492="","",Deployments!O492)</f>
        <v/>
      </c>
      <c r="P491" s="21" t="str">
        <f>IF(Deployments!P492="","",Deployments!P492)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IF(Deployments!T492="","",Deployments!T492)</f>
        <v/>
      </c>
      <c r="AA491" s="21" t="str">
        <f>IF(Deployments!L492="","",Deployments!L492)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IF(Deployments!AH493="","",Deployments!AH493)</f>
        <v/>
      </c>
      <c r="E492" s="21" t="str">
        <f>IF(Deployments!I493="","",Deployments!I493)</f>
        <v/>
      </c>
      <c r="F492" s="21" t="str">
        <f>IF(Deployments!J493="","",Deployments!J493)</f>
        <v/>
      </c>
      <c r="G492" s="21" t="str">
        <f>IF(Deployments!K493="","",Deployments!K493)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IF(Deployments!AD493="","",Deployments!AD493)</f>
        <v/>
      </c>
      <c r="L492" s="21" t="str">
        <f>IF(Deployments!M493="","",Deployments!M493)</f>
        <v/>
      </c>
      <c r="M492" s="22"/>
      <c r="N492" s="21" t="str">
        <f>IF(Deployments!N493="","",Deployments!N493)</f>
        <v/>
      </c>
      <c r="O492" s="21" t="str">
        <f>IF(Deployments!O493="","",Deployments!O493)</f>
        <v/>
      </c>
      <c r="P492" s="21" t="str">
        <f>IF(Deployments!P493="","",Deployments!P493)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IF(Deployments!T493="","",Deployments!T493)</f>
        <v/>
      </c>
      <c r="AA492" s="21" t="str">
        <f>IF(Deployments!L493="","",Deployments!L493)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IF(Deployments!AH494="","",Deployments!AH494)</f>
        <v/>
      </c>
      <c r="E493" s="21" t="str">
        <f>IF(Deployments!I494="","",Deployments!I494)</f>
        <v/>
      </c>
      <c r="F493" s="21" t="str">
        <f>IF(Deployments!J494="","",Deployments!J494)</f>
        <v/>
      </c>
      <c r="G493" s="21" t="str">
        <f>IF(Deployments!K494="","",Deployments!K494)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IF(Deployments!AD494="","",Deployments!AD494)</f>
        <v/>
      </c>
      <c r="L493" s="21" t="str">
        <f>IF(Deployments!M494="","",Deployments!M494)</f>
        <v/>
      </c>
      <c r="M493" s="22"/>
      <c r="N493" s="21" t="str">
        <f>IF(Deployments!N494="","",Deployments!N494)</f>
        <v/>
      </c>
      <c r="O493" s="21" t="str">
        <f>IF(Deployments!O494="","",Deployments!O494)</f>
        <v/>
      </c>
      <c r="P493" s="21" t="str">
        <f>IF(Deployments!P494="","",Deployments!P494)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IF(Deployments!T494="","",Deployments!T494)</f>
        <v/>
      </c>
      <c r="AA493" s="21" t="str">
        <f>IF(Deployments!L494="","",Deployments!L494)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IF(Deployments!AH495="","",Deployments!AH495)</f>
        <v/>
      </c>
      <c r="E494" s="21" t="str">
        <f>IF(Deployments!I495="","",Deployments!I495)</f>
        <v/>
      </c>
      <c r="F494" s="21" t="str">
        <f>IF(Deployments!J495="","",Deployments!J495)</f>
        <v/>
      </c>
      <c r="G494" s="21" t="str">
        <f>IF(Deployments!K495="","",Deployments!K495)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IF(Deployments!AD495="","",Deployments!AD495)</f>
        <v/>
      </c>
      <c r="L494" s="21" t="str">
        <f>IF(Deployments!M495="","",Deployments!M495)</f>
        <v/>
      </c>
      <c r="M494" s="22"/>
      <c r="N494" s="21" t="str">
        <f>IF(Deployments!N495="","",Deployments!N495)</f>
        <v/>
      </c>
      <c r="O494" s="21" t="str">
        <f>IF(Deployments!O495="","",Deployments!O495)</f>
        <v/>
      </c>
      <c r="P494" s="21" t="str">
        <f>IF(Deployments!P495="","",Deployments!P495)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IF(Deployments!T495="","",Deployments!T495)</f>
        <v/>
      </c>
      <c r="AA494" s="21" t="str">
        <f>IF(Deployments!L495="","",Deployments!L495)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IF(Deployments!AH496="","",Deployments!AH496)</f>
        <v/>
      </c>
      <c r="E495" s="21" t="str">
        <f>IF(Deployments!I496="","",Deployments!I496)</f>
        <v/>
      </c>
      <c r="F495" s="21" t="str">
        <f>IF(Deployments!J496="","",Deployments!J496)</f>
        <v/>
      </c>
      <c r="G495" s="21" t="str">
        <f>IF(Deployments!K496="","",Deployments!K496)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IF(Deployments!AD496="","",Deployments!AD496)</f>
        <v/>
      </c>
      <c r="L495" s="21" t="str">
        <f>IF(Deployments!M496="","",Deployments!M496)</f>
        <v/>
      </c>
      <c r="M495" s="22"/>
      <c r="N495" s="21" t="str">
        <f>IF(Deployments!N496="","",Deployments!N496)</f>
        <v/>
      </c>
      <c r="O495" s="21" t="str">
        <f>IF(Deployments!O496="","",Deployments!O496)</f>
        <v/>
      </c>
      <c r="P495" s="21" t="str">
        <f>IF(Deployments!P496="","",Deployments!P496)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IF(Deployments!T496="","",Deployments!T496)</f>
        <v/>
      </c>
      <c r="AA495" s="21" t="str">
        <f>IF(Deployments!L496="","",Deployments!L496)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IF(Deployments!AH497="","",Deployments!AH497)</f>
        <v/>
      </c>
      <c r="E496" s="21" t="str">
        <f>IF(Deployments!I497="","",Deployments!I497)</f>
        <v/>
      </c>
      <c r="F496" s="21" t="str">
        <f>IF(Deployments!J497="","",Deployments!J497)</f>
        <v/>
      </c>
      <c r="G496" s="21" t="str">
        <f>IF(Deployments!K497="","",Deployments!K497)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IF(Deployments!AD497="","",Deployments!AD497)</f>
        <v/>
      </c>
      <c r="L496" s="21" t="str">
        <f>IF(Deployments!M497="","",Deployments!M497)</f>
        <v/>
      </c>
      <c r="M496" s="22"/>
      <c r="N496" s="21" t="str">
        <f>IF(Deployments!N497="","",Deployments!N497)</f>
        <v/>
      </c>
      <c r="O496" s="21" t="str">
        <f>IF(Deployments!O497="","",Deployments!O497)</f>
        <v/>
      </c>
      <c r="P496" s="21" t="str">
        <f>IF(Deployments!P497="","",Deployments!P497)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IF(Deployments!T497="","",Deployments!T497)</f>
        <v/>
      </c>
      <c r="AA496" s="21" t="str">
        <f>IF(Deployments!L497="","",Deployments!L497)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IF(Deployments!AH498="","",Deployments!AH498)</f>
        <v/>
      </c>
      <c r="E497" s="21" t="str">
        <f>IF(Deployments!I498="","",Deployments!I498)</f>
        <v/>
      </c>
      <c r="F497" s="21" t="str">
        <f>IF(Deployments!J498="","",Deployments!J498)</f>
        <v/>
      </c>
      <c r="G497" s="21" t="str">
        <f>IF(Deployments!K498="","",Deployments!K498)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IF(Deployments!AD498="","",Deployments!AD498)</f>
        <v/>
      </c>
      <c r="L497" s="21" t="str">
        <f>IF(Deployments!M498="","",Deployments!M498)</f>
        <v/>
      </c>
      <c r="M497" s="22"/>
      <c r="N497" s="21" t="str">
        <f>IF(Deployments!N498="","",Deployments!N498)</f>
        <v/>
      </c>
      <c r="O497" s="21" t="str">
        <f>IF(Deployments!O498="","",Deployments!O498)</f>
        <v/>
      </c>
      <c r="P497" s="21" t="str">
        <f>IF(Deployments!P498="","",Deployments!P498)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IF(Deployments!T498="","",Deployments!T498)</f>
        <v/>
      </c>
      <c r="AA497" s="21" t="str">
        <f>IF(Deployments!L498="","",Deployments!L498)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IF(Deployments!AH499="","",Deployments!AH499)</f>
        <v/>
      </c>
      <c r="E498" s="21" t="str">
        <f>IF(Deployments!I499="","",Deployments!I499)</f>
        <v/>
      </c>
      <c r="F498" s="21" t="str">
        <f>IF(Deployments!J499="","",Deployments!J499)</f>
        <v/>
      </c>
      <c r="G498" s="21" t="str">
        <f>IF(Deployments!K499="","",Deployments!K499)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IF(Deployments!AD499="","",Deployments!AD499)</f>
        <v/>
      </c>
      <c r="L498" s="21" t="str">
        <f>IF(Deployments!M499="","",Deployments!M499)</f>
        <v/>
      </c>
      <c r="M498" s="22"/>
      <c r="N498" s="21" t="str">
        <f>IF(Deployments!N499="","",Deployments!N499)</f>
        <v/>
      </c>
      <c r="O498" s="21" t="str">
        <f>IF(Deployments!O499="","",Deployments!O499)</f>
        <v/>
      </c>
      <c r="P498" s="21" t="str">
        <f>IF(Deployments!P499="","",Deployments!P499)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IF(Deployments!T499="","",Deployments!T499)</f>
        <v/>
      </c>
      <c r="AA498" s="21" t="str">
        <f>IF(Deployments!L499="","",Deployments!L499)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IF(Deployments!AH500="","",Deployments!AH500)</f>
        <v/>
      </c>
      <c r="E499" s="21" t="str">
        <f>IF(Deployments!I500="","",Deployments!I500)</f>
        <v/>
      </c>
      <c r="F499" s="21" t="str">
        <f>IF(Deployments!J500="","",Deployments!J500)</f>
        <v/>
      </c>
      <c r="G499" s="21" t="str">
        <f>IF(Deployments!K500="","",Deployments!K500)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IF(Deployments!AD500="","",Deployments!AD500)</f>
        <v/>
      </c>
      <c r="L499" s="21" t="str">
        <f>IF(Deployments!M500="","",Deployments!M500)</f>
        <v/>
      </c>
      <c r="M499" s="22"/>
      <c r="N499" s="21" t="str">
        <f>IF(Deployments!N500="","",Deployments!N500)</f>
        <v/>
      </c>
      <c r="O499" s="21" t="str">
        <f>IF(Deployments!O500="","",Deployments!O500)</f>
        <v/>
      </c>
      <c r="P499" s="21" t="str">
        <f>IF(Deployments!P500="","",Deployments!P500)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IF(Deployments!T500="","",Deployments!T500)</f>
        <v/>
      </c>
      <c r="AA499" s="21" t="str">
        <f>IF(Deployments!L500="","",Deployments!L500)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IF(Deployments!AH501="","",Deployments!AH501)</f>
        <v/>
      </c>
      <c r="E500" s="21" t="str">
        <f>IF(Deployments!I501="","",Deployments!I501)</f>
        <v/>
      </c>
      <c r="F500" s="21" t="str">
        <f>IF(Deployments!J501="","",Deployments!J501)</f>
        <v/>
      </c>
      <c r="G500" s="21" t="str">
        <f>IF(Deployments!K501="","",Deployments!K501)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IF(Deployments!AD501="","",Deployments!AD501)</f>
        <v/>
      </c>
      <c r="L500" s="21" t="str">
        <f>IF(Deployments!M501="","",Deployments!M501)</f>
        <v/>
      </c>
      <c r="M500" s="22"/>
      <c r="N500" s="21" t="str">
        <f>IF(Deployments!N501="","",Deployments!N501)</f>
        <v/>
      </c>
      <c r="O500" s="21" t="str">
        <f>IF(Deployments!O501="","",Deployments!O501)</f>
        <v/>
      </c>
      <c r="P500" s="21" t="str">
        <f>IF(Deployments!P501="","",Deployments!P501)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IF(Deployments!T501="","",Deployments!T501)</f>
        <v/>
      </c>
      <c r="AA500" s="21" t="str">
        <f>IF(Deployments!L501="","",Deployments!L501)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IF(Deployments!AH502="","",Deployments!AH502)</f>
        <v/>
      </c>
      <c r="E501" s="21" t="str">
        <f>IF(Deployments!I502="","",Deployments!I502)</f>
        <v/>
      </c>
      <c r="F501" s="21" t="str">
        <f>IF(Deployments!J502="","",Deployments!J502)</f>
        <v/>
      </c>
      <c r="G501" s="21" t="str">
        <f>IF(Deployments!K502="","",Deployments!K502)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IF(Deployments!AD502="","",Deployments!AD502)</f>
        <v/>
      </c>
      <c r="L501" s="21" t="str">
        <f>IF(Deployments!M502="","",Deployments!M502)</f>
        <v/>
      </c>
      <c r="M501" s="22"/>
      <c r="N501" s="21" t="str">
        <f>IF(Deployments!N502="","",Deployments!N502)</f>
        <v/>
      </c>
      <c r="O501" s="21" t="str">
        <f>IF(Deployments!O502="","",Deployments!O502)</f>
        <v/>
      </c>
      <c r="P501" s="21" t="str">
        <f>IF(Deployments!P502="","",Deployments!P502)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IF(Deployments!T502="","",Deployments!T502)</f>
        <v/>
      </c>
      <c r="AA501" s="21" t="str">
        <f>IF(Deployments!L502="","",Deployments!L502)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IF(Deployments!AH503="","",Deployments!AH503)</f>
        <v/>
      </c>
      <c r="E502" s="21" t="str">
        <f>IF(Deployments!I503="","",Deployments!I503)</f>
        <v/>
      </c>
      <c r="F502" s="21" t="str">
        <f>IF(Deployments!J503="","",Deployments!J503)</f>
        <v/>
      </c>
      <c r="G502" s="21" t="str">
        <f>IF(Deployments!K503="","",Deployments!K503)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IF(Deployments!AD503="","",Deployments!AD503)</f>
        <v/>
      </c>
      <c r="L502" s="21" t="str">
        <f>IF(Deployments!M503="","",Deployments!M503)</f>
        <v/>
      </c>
      <c r="M502" s="22"/>
      <c r="N502" s="21" t="str">
        <f>IF(Deployments!N503="","",Deployments!N503)</f>
        <v/>
      </c>
      <c r="O502" s="21" t="str">
        <f>IF(Deployments!O503="","",Deployments!O503)</f>
        <v/>
      </c>
      <c r="P502" s="21" t="str">
        <f>IF(Deployments!P503="","",Deployments!P503)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IF(Deployments!T503="","",Deployments!T503)</f>
        <v/>
      </c>
      <c r="AA502" s="21" t="str">
        <f>IF(Deployments!L503="","",Deployments!L503)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IF(Deployments!AH504="","",Deployments!AH504)</f>
        <v/>
      </c>
      <c r="E503" s="21" t="str">
        <f>IF(Deployments!I504="","",Deployments!I504)</f>
        <v/>
      </c>
      <c r="F503" s="21" t="str">
        <f>IF(Deployments!J504="","",Deployments!J504)</f>
        <v/>
      </c>
      <c r="G503" s="21" t="str">
        <f>IF(Deployments!K504="","",Deployments!K504)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IF(Deployments!AD504="","",Deployments!AD504)</f>
        <v/>
      </c>
      <c r="L503" s="21" t="str">
        <f>IF(Deployments!M504="","",Deployments!M504)</f>
        <v/>
      </c>
      <c r="M503" s="22"/>
      <c r="N503" s="21" t="str">
        <f>IF(Deployments!N504="","",Deployments!N504)</f>
        <v/>
      </c>
      <c r="O503" s="21" t="str">
        <f>IF(Deployments!O504="","",Deployments!O504)</f>
        <v/>
      </c>
      <c r="P503" s="21" t="str">
        <f>IF(Deployments!P504="","",Deployments!P504)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IF(Deployments!T504="","",Deployments!T504)</f>
        <v/>
      </c>
      <c r="AA503" s="21" t="str">
        <f>IF(Deployments!L504="","",Deployments!L504)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1570</v>
      </c>
      <c r="B1" s="42" t="s">
        <v>2404</v>
      </c>
      <c r="C1" s="42" t="s">
        <v>1583</v>
      </c>
      <c r="D1" s="42" t="s">
        <v>1597</v>
      </c>
      <c r="E1" s="42" t="s">
        <v>1576</v>
      </c>
      <c r="F1" s="42" t="s">
        <v>1577</v>
      </c>
      <c r="G1" s="42" t="s">
        <v>1578</v>
      </c>
      <c r="H1" s="42" t="s">
        <v>2400</v>
      </c>
      <c r="I1" s="42" t="s">
        <v>2405</v>
      </c>
      <c r="J1" s="42" t="s">
        <v>2406</v>
      </c>
      <c r="K1" s="42" t="s">
        <v>1619</v>
      </c>
      <c r="L1" s="42" t="s">
        <v>1582</v>
      </c>
      <c r="M1" s="42" t="s">
        <v>2403</v>
      </c>
      <c r="N1" s="42" t="s">
        <v>1622</v>
      </c>
      <c r="O1" s="42" t="s">
        <v>1623</v>
      </c>
      <c r="P1" s="42" t="s">
        <v>1614</v>
      </c>
      <c r="Q1" s="42" t="s">
        <v>2407</v>
      </c>
      <c r="R1" s="42" t="s">
        <v>2408</v>
      </c>
      <c r="S1" s="42" t="s">
        <v>2409</v>
      </c>
      <c r="T1" s="42" t="s">
        <v>2410</v>
      </c>
    </row>
    <row r="2" spans="1:20">
      <c r="A2" s="23" t="str">
        <f>Deployments!H2</f>
        <v>LIJ SDF</v>
      </c>
      <c r="B2" s="23" t="str">
        <f>Deployments!V2</f>
        <v>LIJ-SDF-MACH-A</v>
      </c>
      <c r="C2" s="23" t="str">
        <f>Deployments!W2</f>
        <v>A0F5097FEC20</v>
      </c>
      <c r="D2" s="15" t="str">
        <f>Deployments!AJ2</f>
        <v>2008T</v>
      </c>
      <c r="E2" s="15" t="str">
        <f>Deployments!N2</f>
        <v>NA</v>
      </c>
      <c r="F2" s="23" t="str">
        <f>Deployments!O2</f>
        <v>NA</v>
      </c>
      <c r="G2" s="15" t="str">
        <f>Deployments!P2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Deployments!T2</f>
        <v>0</v>
      </c>
      <c r="M2" s="15">
        <f>Deployments!L2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Deployments!V3</f>
        <v>LIJ-SDF-MACH-B</v>
      </c>
      <c r="C3" s="23" t="str">
        <f>Deployments!W3</f>
        <v>A0F5097FEEFA</v>
      </c>
      <c r="D3" s="15" t="str">
        <f>Deployments!AJ3</f>
        <v>2008T</v>
      </c>
      <c r="E3" s="15" t="str">
        <f>Deployments!N3</f>
        <v>NA</v>
      </c>
      <c r="F3" s="23" t="str">
        <f>Deployments!O3</f>
        <v>NA</v>
      </c>
      <c r="G3" s="15" t="str">
        <f>Deployments!P3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Deployments!T3</f>
        <v>0</v>
      </c>
      <c r="M3" s="15">
        <f>Deployments!L3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Deployments!V4</f>
        <v>LIJ-SDF-MACH-C</v>
      </c>
      <c r="C4" s="23" t="str">
        <f>Deployments!W4</f>
        <v>A0F5097B89E1</v>
      </c>
      <c r="D4" s="15" t="str">
        <f>Deployments!AJ4</f>
        <v>2008T</v>
      </c>
      <c r="E4" s="15" t="str">
        <f>Deployments!N4</f>
        <v>NA</v>
      </c>
      <c r="F4" s="23" t="str">
        <f>Deployments!O4</f>
        <v>NA</v>
      </c>
      <c r="G4" s="15" t="str">
        <f>Deployments!P4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Deployments!T4</f>
        <v>0</v>
      </c>
      <c r="M4" s="15">
        <f>Deployments!L4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Deployments!V5</f>
        <v>LIJ-SDF-MACH-D</v>
      </c>
      <c r="C5" s="23" t="str">
        <f>Deployments!W5</f>
        <v>A0F5097FE484</v>
      </c>
      <c r="D5" s="15" t="str">
        <f>Deployments!AJ5</f>
        <v>2008T</v>
      </c>
      <c r="E5" s="15" t="str">
        <f>Deployments!N5</f>
        <v>NA</v>
      </c>
      <c r="F5" s="23" t="str">
        <f>Deployments!O5</f>
        <v>NA</v>
      </c>
      <c r="G5" s="15" t="str">
        <f>Deployments!P5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Deployments!T5</f>
        <v>0</v>
      </c>
      <c r="M5" s="15">
        <f>Deployments!L5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Deployments!V6</f>
        <v>LIJ-SDF-MACH-E</v>
      </c>
      <c r="C6" s="23" t="str">
        <f>Deployments!W6</f>
        <v>A0F5097FF05E</v>
      </c>
      <c r="D6" s="15" t="str">
        <f>Deployments!AJ6</f>
        <v>2008T</v>
      </c>
      <c r="E6" s="15" t="str">
        <f>Deployments!N6</f>
        <v>NA</v>
      </c>
      <c r="F6" s="23" t="str">
        <f>Deployments!O6</f>
        <v>NA</v>
      </c>
      <c r="G6" s="15" t="str">
        <f>Deployments!P6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Deployments!T6</f>
        <v>0</v>
      </c>
      <c r="M6" s="15">
        <f>Deployments!L6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Deployments!V7</f>
        <v>LIJ-SDF-MACH-F</v>
      </c>
      <c r="C7" s="23" t="str">
        <f>Deployments!W7</f>
        <v>A0F5097FE3A5</v>
      </c>
      <c r="D7" s="15" t="str">
        <f>Deployments!AJ7</f>
        <v>2008T</v>
      </c>
      <c r="E7" s="15" t="str">
        <f>Deployments!N7</f>
        <v>NA</v>
      </c>
      <c r="F7" s="23" t="str">
        <f>Deployments!O7</f>
        <v>NA</v>
      </c>
      <c r="G7" s="15" t="str">
        <f>Deployments!P7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Deployments!T7</f>
        <v>0</v>
      </c>
      <c r="M7" s="15">
        <f>Deployments!L7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Deployments!V8</f>
        <v>LIJ-SDF-MACH-G</v>
      </c>
      <c r="C8" s="23" t="str">
        <f>Deployments!W8</f>
        <v>A0F5097FE012</v>
      </c>
      <c r="D8" s="15" t="str">
        <f>Deployments!AJ8</f>
        <v>2008T</v>
      </c>
      <c r="E8" s="15" t="str">
        <f>Deployments!N8</f>
        <v>NA</v>
      </c>
      <c r="F8" s="23" t="str">
        <f>Deployments!O8</f>
        <v>NA</v>
      </c>
      <c r="G8" s="15" t="str">
        <f>Deployments!P8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Deployments!T8</f>
        <v>0</v>
      </c>
      <c r="M8" s="15">
        <f>Deployments!L8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Deployments!V9</f>
        <v>LIJ-SDF-MACH-H</v>
      </c>
      <c r="C9" s="23" t="str">
        <f>Deployments!W9</f>
        <v>A0F5097FEB57</v>
      </c>
      <c r="D9" s="15" t="str">
        <f>Deployments!AJ9</f>
        <v>2008T</v>
      </c>
      <c r="E9" s="15" t="str">
        <f>Deployments!N9</f>
        <v>NA</v>
      </c>
      <c r="F9" s="23" t="str">
        <f>Deployments!O9</f>
        <v>NA</v>
      </c>
      <c r="G9" s="15" t="str">
        <f>Deployments!P9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Deployments!T9</f>
        <v>0</v>
      </c>
      <c r="M9" s="15">
        <f>Deployments!L9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Deployments!V10</f>
        <v>LIJ-SDF-MACH-I</v>
      </c>
      <c r="C10" s="23" t="str">
        <f>Deployments!W10</f>
        <v>A0F5097FDF60</v>
      </c>
      <c r="D10" s="15" t="str">
        <f>Deployments!AJ10</f>
        <v>2008T</v>
      </c>
      <c r="E10" s="15" t="str">
        <f>Deployments!N10</f>
        <v>NA</v>
      </c>
      <c r="F10" s="23" t="str">
        <f>Deployments!O10</f>
        <v>NA</v>
      </c>
      <c r="G10" s="15" t="str">
        <f>Deployments!P10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Deployments!T10</f>
        <v>0</v>
      </c>
      <c r="M10" s="15">
        <f>Deployments!L10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Deployments!V11</f>
        <v>LIJ-SDF-MACH-J</v>
      </c>
      <c r="C11" s="23" t="str">
        <f>Deployments!W11</f>
        <v>A0F5097FF17E</v>
      </c>
      <c r="D11" s="15" t="str">
        <f>Deployments!AJ11</f>
        <v>2008T</v>
      </c>
      <c r="E11" s="15" t="str">
        <f>Deployments!N11</f>
        <v>NA</v>
      </c>
      <c r="F11" s="23" t="str">
        <f>Deployments!O11</f>
        <v>NA</v>
      </c>
      <c r="G11" s="15" t="str">
        <f>Deployments!P11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Deployments!T11</f>
        <v>0</v>
      </c>
      <c r="M11" s="15">
        <f>Deployments!L11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Deployments!V12</f>
        <v>LIJ-SDF-MACH-K</v>
      </c>
      <c r="C12" s="23" t="str">
        <f>Deployments!W12</f>
        <v>A0F5097FDE6F</v>
      </c>
      <c r="D12" s="15" t="str">
        <f>Deployments!AJ12</f>
        <v>2008T</v>
      </c>
      <c r="E12" s="15" t="str">
        <f>Deployments!N12</f>
        <v>NA</v>
      </c>
      <c r="F12" s="23" t="str">
        <f>Deployments!O12</f>
        <v>NA</v>
      </c>
      <c r="G12" s="15" t="str">
        <f>Deployments!P12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Deployments!T12</f>
        <v>0</v>
      </c>
      <c r="M12" s="15">
        <f>Deployments!L12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Deployments!V13</f>
        <v>LIJ-SDF-MACH-L</v>
      </c>
      <c r="C13" s="23" t="str">
        <f>Deployments!W13</f>
        <v>A0F5097FEFFB</v>
      </c>
      <c r="D13" s="15" t="str">
        <f>Deployments!AJ13</f>
        <v>2008T</v>
      </c>
      <c r="E13" s="15" t="str">
        <f>Deployments!N13</f>
        <v>NA</v>
      </c>
      <c r="F13" s="23" t="str">
        <f>Deployments!O13</f>
        <v>NA</v>
      </c>
      <c r="G13" s="15" t="str">
        <f>Deployments!P13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Deployments!T13</f>
        <v>0</v>
      </c>
      <c r="M13" s="15">
        <f>Deployments!L13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Deployments!V14</f>
        <v>LIJ-SDF-MACH-M</v>
      </c>
      <c r="C14" s="23" t="str">
        <f>Deployments!W14</f>
        <v>A0F5097FEF3A</v>
      </c>
      <c r="D14" s="15" t="str">
        <f>Deployments!AJ14</f>
        <v>2008T</v>
      </c>
      <c r="E14" s="15" t="str">
        <f>Deployments!N14</f>
        <v>NA</v>
      </c>
      <c r="F14" s="23" t="str">
        <f>Deployments!O14</f>
        <v>NA</v>
      </c>
      <c r="G14" s="15" t="str">
        <f>Deployments!P14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Deployments!T14</f>
        <v>0</v>
      </c>
      <c r="M14" s="15">
        <f>Deployments!L14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Deployments!V15</f>
        <v>LIJ-SDF-MACH-N</v>
      </c>
      <c r="C15" s="23" t="str">
        <f>Deployments!W15</f>
        <v>A0F5097B98D9</v>
      </c>
      <c r="D15" s="15" t="str">
        <f>Deployments!AJ15</f>
        <v>2008T</v>
      </c>
      <c r="E15" s="15" t="str">
        <f>Deployments!N15</f>
        <v>NA</v>
      </c>
      <c r="F15" s="23" t="str">
        <f>Deployments!O15</f>
        <v>NA</v>
      </c>
      <c r="G15" s="15" t="str">
        <f>Deployments!P15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Deployments!T15</f>
        <v>0</v>
      </c>
      <c r="M15" s="15">
        <f>Deployments!L15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Deployments!V16</f>
        <v>LIJ-SDF-MACH-O</v>
      </c>
      <c r="C16" s="23" t="str">
        <f>Deployments!W16</f>
        <v>A0F5097BA0A3</v>
      </c>
      <c r="D16" s="15" t="str">
        <f>Deployments!AJ16</f>
        <v>2008T</v>
      </c>
      <c r="E16" s="15" t="str">
        <f>Deployments!N16</f>
        <v>NA</v>
      </c>
      <c r="F16" s="23" t="str">
        <f>Deployments!O16</f>
        <v>NA</v>
      </c>
      <c r="G16" s="15" t="str">
        <f>Deployments!P16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Deployments!T16</f>
        <v>0</v>
      </c>
      <c r="M16" s="15">
        <f>Deployments!L16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Deployments!V17</f>
        <v>LIJ-SDF-MACH-P</v>
      </c>
      <c r="C17" s="23" t="str">
        <f>Deployments!W17</f>
        <v>A0F5097FE29D</v>
      </c>
      <c r="D17" s="15" t="str">
        <f>Deployments!AJ17</f>
        <v>2008T</v>
      </c>
      <c r="E17" s="15" t="str">
        <f>Deployments!N17</f>
        <v>NA</v>
      </c>
      <c r="F17" s="23" t="str">
        <f>Deployments!O17</f>
        <v>NA</v>
      </c>
      <c r="G17" s="15" t="str">
        <f>Deployments!P17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Deployments!T17</f>
        <v>0</v>
      </c>
      <c r="M17" s="15">
        <f>Deployments!L17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Deployments!V18</f>
        <v>LIJ-SDF-MACH-Q</v>
      </c>
      <c r="C18" s="23" t="str">
        <f>Deployments!W18</f>
        <v>A0F5097FDF52</v>
      </c>
      <c r="D18" s="15" t="str">
        <f>Deployments!AJ18</f>
        <v>2008T</v>
      </c>
      <c r="E18" s="15" t="str">
        <f>Deployments!N18</f>
        <v>NA</v>
      </c>
      <c r="F18" s="23" t="str">
        <f>Deployments!O18</f>
        <v>NA</v>
      </c>
      <c r="G18" s="15" t="str">
        <f>Deployments!P18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Deployments!T18</f>
        <v>0</v>
      </c>
      <c r="M18" s="15">
        <f>Deployments!L18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Deployments!V19</f>
        <v>LIJ-SDF-MACH-R</v>
      </c>
      <c r="C19" s="23" t="str">
        <f>Deployments!W19</f>
        <v>A0F5097B99F8</v>
      </c>
      <c r="D19" s="15" t="str">
        <f>Deployments!AJ19</f>
        <v>2008T</v>
      </c>
      <c r="E19" s="15" t="str">
        <f>Deployments!N19</f>
        <v>NA</v>
      </c>
      <c r="F19" s="23" t="str">
        <f>Deployments!O19</f>
        <v>NA</v>
      </c>
      <c r="G19" s="15" t="str">
        <f>Deployments!P19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Deployments!T19</f>
        <v>0</v>
      </c>
      <c r="M19" s="15">
        <f>Deployments!L19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Deployments!V20</f>
        <v>LIJ-SDF-MACH-S</v>
      </c>
      <c r="C20" s="23" t="str">
        <f>Deployments!W20</f>
        <v>A0F5097B975D</v>
      </c>
      <c r="D20" s="15" t="str">
        <f>Deployments!AJ20</f>
        <v>2008T</v>
      </c>
      <c r="E20" s="15" t="str">
        <f>Deployments!N20</f>
        <v>NA</v>
      </c>
      <c r="F20" s="23" t="str">
        <f>Deployments!O20</f>
        <v>NA</v>
      </c>
      <c r="G20" s="15" t="str">
        <f>Deployments!P20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Deployments!T20</f>
        <v>0</v>
      </c>
      <c r="M20" s="15">
        <f>Deployments!L20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Deployments!V21</f>
        <v>LIJ-SDF-MACH-T</v>
      </c>
      <c r="C21" s="23" t="str">
        <f>Deployments!W21</f>
        <v>A0F5097BA007</v>
      </c>
      <c r="D21" s="15" t="str">
        <f>Deployments!AJ21</f>
        <v>2008T</v>
      </c>
      <c r="E21" s="15" t="str">
        <f>Deployments!N21</f>
        <v>NA</v>
      </c>
      <c r="F21" s="23" t="str">
        <f>Deployments!O21</f>
        <v>NA</v>
      </c>
      <c r="G21" s="15" t="str">
        <f>Deployments!P21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Deployments!T21</f>
        <v>0</v>
      </c>
      <c r="M21" s="15">
        <f>Deployments!L21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Deployments!V22</f>
        <v>LIJ-SDF-MACH-U</v>
      </c>
      <c r="C22" s="23" t="str">
        <f>Deployments!W22</f>
        <v>A0F5097B9629</v>
      </c>
      <c r="D22" s="15" t="str">
        <f>Deployments!AJ22</f>
        <v>2008T</v>
      </c>
      <c r="E22" s="15" t="str">
        <f>Deployments!N22</f>
        <v>NA</v>
      </c>
      <c r="F22" s="23" t="str">
        <f>Deployments!O22</f>
        <v>NA</v>
      </c>
      <c r="G22" s="15" t="str">
        <f>Deployments!P22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Deployments!T22</f>
        <v>0</v>
      </c>
      <c r="M22" s="15">
        <f>Deployments!L22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Deployments!V23</f>
        <v>LIJ-SDF-MACH-V</v>
      </c>
      <c r="C23" s="23" t="str">
        <f>Deployments!W23</f>
        <v>A0F5097B9C84</v>
      </c>
      <c r="D23" s="15" t="str">
        <f>Deployments!AJ23</f>
        <v>2008T</v>
      </c>
      <c r="E23" s="15" t="str">
        <f>Deployments!N23</f>
        <v>NA</v>
      </c>
      <c r="F23" s="23" t="str">
        <f>Deployments!O23</f>
        <v>NA</v>
      </c>
      <c r="G23" s="15" t="str">
        <f>Deployments!P23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Deployments!T23</f>
        <v>0</v>
      </c>
      <c r="M23" s="15">
        <f>Deployments!L23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Deployments!V24</f>
        <v>LIJ-SDF-MACH-W</v>
      </c>
      <c r="C24" s="23" t="str">
        <f>Deployments!W24</f>
        <v>A0F5097FDD3F</v>
      </c>
      <c r="D24" s="15" t="str">
        <f>Deployments!AJ24</f>
        <v>2008T</v>
      </c>
      <c r="E24" s="15" t="str">
        <f>Deployments!N24</f>
        <v>NA</v>
      </c>
      <c r="F24" s="23" t="str">
        <f>Deployments!O24</f>
        <v>NA</v>
      </c>
      <c r="G24" s="15" t="str">
        <f>Deployments!P24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Deployments!T24</f>
        <v>0</v>
      </c>
      <c r="M24" s="15">
        <f>Deployments!L24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Deployments!V25</f>
        <v>LIJ-SDF-MACH-X</v>
      </c>
      <c r="C25" s="23" t="str">
        <f>Deployments!W25</f>
        <v>A0F5097FEBFE</v>
      </c>
      <c r="D25" s="15" t="str">
        <f>Deployments!AJ25</f>
        <v>2008T</v>
      </c>
      <c r="E25" s="15" t="str">
        <f>Deployments!N25</f>
        <v>NA</v>
      </c>
      <c r="F25" s="23" t="str">
        <f>Deployments!O25</f>
        <v>NA</v>
      </c>
      <c r="G25" s="15" t="str">
        <f>Deployments!P25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Deployments!T25</f>
        <v>0</v>
      </c>
      <c r="M25" s="15">
        <f>Deployments!L25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Deployments!V26</f>
        <v>LIJ-SDF-MACH-Y</v>
      </c>
      <c r="C26" s="23" t="str">
        <f>Deployments!W26</f>
        <v>A0F5097B9FA6</v>
      </c>
      <c r="D26" s="15" t="str">
        <f>Deployments!AJ26</f>
        <v>2008T</v>
      </c>
      <c r="E26" s="15" t="str">
        <f>Deployments!N26</f>
        <v>NA</v>
      </c>
      <c r="F26" s="23" t="str">
        <f>Deployments!O26</f>
        <v>NA</v>
      </c>
      <c r="G26" s="15" t="str">
        <f>Deployments!P26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Deployments!T26</f>
        <v>0</v>
      </c>
      <c r="M26" s="15">
        <f>Deployments!L26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Deployments!V27</f>
        <v>LIJ-SDF-MACH-Z</v>
      </c>
      <c r="C27" s="23" t="str">
        <f>Deployments!W27</f>
        <v>A0F5097B9FB3</v>
      </c>
      <c r="D27" s="15">
        <f>Deployments!AJ27</f>
        <v>0</v>
      </c>
      <c r="E27" s="15" t="str">
        <f>Deployments!N27</f>
        <v>NA</v>
      </c>
      <c r="F27" s="23" t="str">
        <f>Deployments!O27</f>
        <v>NA</v>
      </c>
      <c r="G27" s="15" t="str">
        <f>Deployments!P27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Deployments!T27</f>
        <v>0</v>
      </c>
      <c r="M27" s="15">
        <f>Deployments!L27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Deployments!V28</f>
        <v>LIJ-SDF-MACH-AA</v>
      </c>
      <c r="C28" s="23" t="str">
        <f>Deployments!W28</f>
        <v>A0F5097BA00D</v>
      </c>
      <c r="D28" s="15">
        <f>Deployments!AJ28</f>
        <v>0</v>
      </c>
      <c r="E28" s="15" t="str">
        <f>Deployments!N28</f>
        <v>NA</v>
      </c>
      <c r="F28" s="23" t="str">
        <f>Deployments!O28</f>
        <v>NA</v>
      </c>
      <c r="G28" s="15" t="str">
        <f>Deployments!P28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Deployments!T28</f>
        <v>0</v>
      </c>
      <c r="M28" s="15">
        <f>Deployments!L28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Deployments!V29</f>
        <v>LIJ-SDF-MACH-AB</v>
      </c>
      <c r="C29" s="23" t="str">
        <f>Deployments!W29</f>
        <v>A0F5097B8E58</v>
      </c>
      <c r="D29" s="15">
        <f>Deployments!AJ29</f>
        <v>0</v>
      </c>
      <c r="E29" s="15" t="str">
        <f>Deployments!N29</f>
        <v>NA</v>
      </c>
      <c r="F29" s="23" t="str">
        <f>Deployments!O29</f>
        <v>NA</v>
      </c>
      <c r="G29" s="15" t="str">
        <f>Deployments!P29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Deployments!T29</f>
        <v>0</v>
      </c>
      <c r="M29" s="15">
        <f>Deployments!L29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Deployments!V30</f>
        <v>LIJ-SDF-MACH-AC</v>
      </c>
      <c r="C30" s="23" t="str">
        <f>Deployments!W30</f>
        <v>A0F5097B8B74</v>
      </c>
      <c r="D30" s="15">
        <f>Deployments!AJ30</f>
        <v>0</v>
      </c>
      <c r="E30" s="15">
        <f>Deployments!N30</f>
        <v>0</v>
      </c>
      <c r="F30" s="23">
        <f>Deployments!O30</f>
        <v>0</v>
      </c>
      <c r="G30" s="15">
        <f>Deployments!P30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Deployments!T30</f>
        <v>0</v>
      </c>
      <c r="M30" s="15">
        <f>Deployments!L30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Deployments!V31</f>
        <v>LIJ-SDF-MACH-AD</v>
      </c>
      <c r="C31" s="23" t="str">
        <f>Deployments!W31</f>
        <v>A0F5097BA067</v>
      </c>
      <c r="D31" s="15">
        <f>Deployments!AJ31</f>
        <v>0</v>
      </c>
      <c r="E31" s="15">
        <f>Deployments!N31</f>
        <v>0</v>
      </c>
      <c r="F31" s="23">
        <f>Deployments!O31</f>
        <v>0</v>
      </c>
      <c r="G31" s="15">
        <f>Deployments!P31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Deployments!T31</f>
        <v>0</v>
      </c>
      <c r="M31" s="15">
        <f>Deployments!L31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Deployments!V32</f>
        <v>LIJ-SDF-MACH-AE</v>
      </c>
      <c r="C32" s="23" t="str">
        <f>Deployments!W32</f>
        <v>A0F5097B8AFD</v>
      </c>
      <c r="D32" s="15">
        <f>Deployments!AJ32</f>
        <v>0</v>
      </c>
      <c r="E32" s="15">
        <f>Deployments!N32</f>
        <v>0</v>
      </c>
      <c r="F32" s="23">
        <f>Deployments!O32</f>
        <v>0</v>
      </c>
      <c r="G32" s="15">
        <f>Deployments!P32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Deployments!T32</f>
        <v>0</v>
      </c>
      <c r="M32" s="15">
        <f>Deployments!L32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Deployments!V33</f>
        <v>LIJ-SDF-MACH-AF</v>
      </c>
      <c r="C33" s="23" t="str">
        <f>Deployments!W33</f>
        <v>A0F5097B8ADC</v>
      </c>
      <c r="D33" s="15">
        <f>Deployments!AJ33</f>
        <v>0</v>
      </c>
      <c r="E33" s="15">
        <f>Deployments!N33</f>
        <v>0</v>
      </c>
      <c r="F33" s="23">
        <f>Deployments!O33</f>
        <v>0</v>
      </c>
      <c r="G33" s="15">
        <f>Deployments!P33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Deployments!T33</f>
        <v>0</v>
      </c>
      <c r="M33" s="15">
        <f>Deployments!L33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Deployments!V34</f>
        <v>PBMC-MACH-N</v>
      </c>
      <c r="C34" s="23" t="str">
        <f>Deployments!W34</f>
        <v>A0F5097BA02C</v>
      </c>
      <c r="D34" s="15" t="str">
        <f>Deployments!AJ34</f>
        <v>Atlan A350</v>
      </c>
      <c r="E34" s="15" t="str">
        <f>Deployments!N34</f>
        <v>NA</v>
      </c>
      <c r="F34" s="23" t="str">
        <f>Deployments!O34</f>
        <v>NA</v>
      </c>
      <c r="G34" s="15" t="str">
        <f>Deployments!P34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Deployments!T34</f>
        <v>0</v>
      </c>
      <c r="M34" s="15">
        <f>Deployments!L34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Deployments!V35</f>
        <v>n/a</v>
      </c>
      <c r="C35" s="23" t="str">
        <f>Deployments!W35</f>
        <v>n/a</v>
      </c>
      <c r="D35" s="15" t="str">
        <f>Deployments!AJ35</f>
        <v>Atlan A350</v>
      </c>
      <c r="E35" s="15">
        <f>Deployments!N35</f>
        <v>0</v>
      </c>
      <c r="F35" s="23">
        <f>Deployments!O35</f>
        <v>0</v>
      </c>
      <c r="G35" s="15">
        <f>Deployments!P35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Deployments!T35</f>
        <v>0</v>
      </c>
      <c r="M35" s="15">
        <f>Deployments!L35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Deployments!V36</f>
        <v>MEETH-MACH-U</v>
      </c>
      <c r="C36" s="23" t="str">
        <f>Deployments!W36</f>
        <v>A0F5097BA067</v>
      </c>
      <c r="D36" s="15">
        <f>Deployments!AJ36</f>
        <v>0</v>
      </c>
      <c r="E36" s="15" t="str">
        <f>Deployments!N36</f>
        <v>NA</v>
      </c>
      <c r="F36" s="23" t="str">
        <f>Deployments!O36</f>
        <v>NA</v>
      </c>
      <c r="G36" s="15" t="str">
        <f>Deployments!P36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Deployments!T36</f>
        <v>0</v>
      </c>
      <c r="M36" s="15">
        <f>Deployments!L36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Deployments!V37</f>
        <v>MEETH-MACH-V</v>
      </c>
      <c r="C37" s="23" t="str">
        <f>Deployments!W37</f>
        <v>A0F5097BA08B</v>
      </c>
      <c r="D37" s="15">
        <f>Deployments!AJ37</f>
        <v>0</v>
      </c>
      <c r="E37" s="15" t="str">
        <f>Deployments!N37</f>
        <v>NA</v>
      </c>
      <c r="F37" s="23" t="str">
        <f>Deployments!O37</f>
        <v>NA</v>
      </c>
      <c r="G37" s="15" t="str">
        <f>Deployments!P37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Deployments!T37</f>
        <v>0</v>
      </c>
      <c r="M37" s="15">
        <f>Deployments!L37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Deployments!V38</f>
        <v>MEETH-MACH-W</v>
      </c>
      <c r="C38" s="23" t="str">
        <f>Deployments!W38</f>
        <v>A0F5097B969A</v>
      </c>
      <c r="D38" s="15">
        <f>Deployments!AJ38</f>
        <v>0</v>
      </c>
      <c r="E38" s="15" t="str">
        <f>Deployments!N38</f>
        <v>NA</v>
      </c>
      <c r="F38" s="23" t="str">
        <f>Deployments!O38</f>
        <v>NA</v>
      </c>
      <c r="G38" s="15" t="str">
        <f>Deployments!P38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Deployments!T38</f>
        <v>0</v>
      </c>
      <c r="M38" s="15">
        <f>Deployments!L38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Deployments!V39</f>
        <v>ZHH-MACH-A</v>
      </c>
      <c r="C39" s="23" t="str">
        <f>Deployments!W39</f>
        <v>A0F5097B961B</v>
      </c>
      <c r="D39" s="15">
        <f>Deployments!AJ39</f>
        <v>0</v>
      </c>
      <c r="E39" s="15" t="str">
        <f>Deployments!N39</f>
        <v>NA</v>
      </c>
      <c r="F39" s="23" t="str">
        <f>Deployments!O39</f>
        <v>NA</v>
      </c>
      <c r="G39" s="15" t="str">
        <f>Deployments!P39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Deployments!T39</f>
        <v>0</v>
      </c>
      <c r="M39" s="15">
        <f>Deployments!L39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Deployments!V40</f>
        <v>ZHH-MACH-B</v>
      </c>
      <c r="C40" s="23" t="str">
        <f>Deployments!W40</f>
        <v>A0F5097B8D8E</v>
      </c>
      <c r="D40" s="15">
        <f>Deployments!AJ40</f>
        <v>0</v>
      </c>
      <c r="E40" s="15" t="str">
        <f>Deployments!N40</f>
        <v>NA</v>
      </c>
      <c r="F40" s="23" t="str">
        <f>Deployments!O40</f>
        <v>NA</v>
      </c>
      <c r="G40" s="15" t="str">
        <f>Deployments!P40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Deployments!T40</f>
        <v>0</v>
      </c>
      <c r="M40" s="15">
        <f>Deployments!L40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Deployments!V41</f>
        <v>ZHH-MACH-C</v>
      </c>
      <c r="C41" s="23" t="str">
        <f>Deployments!W41</f>
        <v>A0F5097B9BB8</v>
      </c>
      <c r="D41" s="15">
        <f>Deployments!AJ41</f>
        <v>0</v>
      </c>
      <c r="E41" s="15" t="str">
        <f>Deployments!N41</f>
        <v>NA</v>
      </c>
      <c r="F41" s="23" t="str">
        <f>Deployments!O41</f>
        <v>NA</v>
      </c>
      <c r="G41" s="15" t="str">
        <f>Deployments!P41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Deployments!T41</f>
        <v>0</v>
      </c>
      <c r="M41" s="15">
        <f>Deployments!L41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Deployments!V42</f>
        <v>CCMC-MACH-A</v>
      </c>
      <c r="C42" s="23" t="str">
        <f>Deployments!W42</f>
        <v>A0F5097B8C9F</v>
      </c>
      <c r="D42" s="15">
        <f>Deployments!AJ42</f>
        <v>0</v>
      </c>
      <c r="E42" s="15" t="str">
        <f>Deployments!N42</f>
        <v>NA</v>
      </c>
      <c r="F42" s="23" t="str">
        <f>Deployments!O42</f>
        <v>NA</v>
      </c>
      <c r="G42" s="15" t="str">
        <f>Deployments!P42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Deployments!T42</f>
        <v>0</v>
      </c>
      <c r="M42" s="15">
        <f>Deployments!L42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Deployments!V43</f>
        <v>GCH-MACH-E</v>
      </c>
      <c r="C43" s="23" t="str">
        <f>Deployments!W43</f>
        <v>A0F5097B8E02</v>
      </c>
      <c r="D43" s="15">
        <f>Deployments!AJ43</f>
        <v>0</v>
      </c>
      <c r="E43" s="15" t="str">
        <f>Deployments!N43</f>
        <v>NA</v>
      </c>
      <c r="F43" s="23" t="str">
        <f>Deployments!O43</f>
        <v>NA</v>
      </c>
      <c r="G43" s="15" t="str">
        <f>Deployments!P43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Deployments!T43</f>
        <v>0</v>
      </c>
      <c r="M43" s="15">
        <f>Deployments!L43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Deployments!V44</f>
        <v>GCH-MACH-F</v>
      </c>
      <c r="C44" s="23" t="str">
        <f>Deployments!W44</f>
        <v>A0F5097B8BC2</v>
      </c>
      <c r="D44" s="15">
        <f>Deployments!AJ44</f>
        <v>0</v>
      </c>
      <c r="E44" s="15" t="str">
        <f>Deployments!N44</f>
        <v>NA</v>
      </c>
      <c r="F44" s="23" t="str">
        <f>Deployments!O44</f>
        <v>NA</v>
      </c>
      <c r="G44" s="15" t="str">
        <f>Deployments!P44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Deployments!T44</f>
        <v>0</v>
      </c>
      <c r="M44" s="15">
        <f>Deployments!L44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Deployments!V45</f>
        <v>GCH-MACH-G</v>
      </c>
      <c r="C45" s="23" t="str">
        <f>Deployments!W45</f>
        <v>A0F5097B8E6F</v>
      </c>
      <c r="D45" s="15">
        <f>Deployments!AJ45</f>
        <v>0</v>
      </c>
      <c r="E45" s="15" t="str">
        <f>Deployments!N45</f>
        <v>NA</v>
      </c>
      <c r="F45" s="23" t="str">
        <f>Deployments!O45</f>
        <v>NA</v>
      </c>
      <c r="G45" s="15" t="str">
        <f>Deployments!P45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Deployments!T45</f>
        <v>0</v>
      </c>
      <c r="M45" s="15">
        <f>Deployments!L45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Deployments!V46</f>
        <v>GCH-MACH-H</v>
      </c>
      <c r="C46" s="23" t="str">
        <f>Deployments!W46</f>
        <v>A0F5097B8CD0</v>
      </c>
      <c r="D46" s="15">
        <f>Deployments!AJ46</f>
        <v>0</v>
      </c>
      <c r="E46" s="15">
        <f>Deployments!N46</f>
        <v>0</v>
      </c>
      <c r="F46" s="23">
        <f>Deployments!O46</f>
        <v>0</v>
      </c>
      <c r="G46" s="15">
        <f>Deployments!P46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Deployments!T46</f>
        <v>0</v>
      </c>
      <c r="M46" s="15">
        <f>Deployments!L46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Deployments!V47</f>
        <v>GCH-MACH-I</v>
      </c>
      <c r="C47" s="23" t="str">
        <f>Deployments!W47</f>
        <v>A0F5097B8B9A</v>
      </c>
      <c r="D47" s="15">
        <f>Deployments!AJ47</f>
        <v>0</v>
      </c>
      <c r="E47" s="15" t="str">
        <f>Deployments!N47</f>
        <v>NA</v>
      </c>
      <c r="F47" s="23" t="str">
        <f>Deployments!O47</f>
        <v>NA</v>
      </c>
      <c r="G47" s="15" t="str">
        <f>Deployments!P47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Deployments!T47</f>
        <v>0</v>
      </c>
      <c r="M47" s="15">
        <f>Deployments!L47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Deployments!V48</f>
        <v>GCH-MACH-J</v>
      </c>
      <c r="C48" s="23" t="str">
        <f>Deployments!W48</f>
        <v>A0F5097B8CF9</v>
      </c>
      <c r="D48" s="15">
        <f>Deployments!AJ48</f>
        <v>0</v>
      </c>
      <c r="E48" s="15" t="str">
        <f>Deployments!N48</f>
        <v>NA</v>
      </c>
      <c r="F48" s="23" t="str">
        <f>Deployments!O48</f>
        <v>NA</v>
      </c>
      <c r="G48" s="15" t="str">
        <f>Deployments!P48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Deployments!T48</f>
        <v>0</v>
      </c>
      <c r="M48" s="15">
        <f>Deployments!L48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Deployments!V49</f>
        <v>GCH-MACH-K</v>
      </c>
      <c r="C49" s="23" t="str">
        <f>Deployments!W49</f>
        <v>A0F5097B8B74</v>
      </c>
      <c r="D49" s="15">
        <f>Deployments!AJ49</f>
        <v>0</v>
      </c>
      <c r="E49" s="15" t="str">
        <f>Deployments!N49</f>
        <v>NA</v>
      </c>
      <c r="F49" s="23" t="str">
        <f>Deployments!O49</f>
        <v>NA</v>
      </c>
      <c r="G49" s="15" t="str">
        <f>Deployments!P49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Deployments!T49</f>
        <v>0</v>
      </c>
      <c r="M49" s="15">
        <f>Deployments!L49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Deployments!V50</f>
        <v>WNH270INR001</v>
      </c>
      <c r="C50" s="23">
        <f>Deployments!W50</f>
        <v>0</v>
      </c>
      <c r="D50" s="15" t="str">
        <f>Deployments!AJ50</f>
        <v>CyberMed-S24 TGL</v>
      </c>
      <c r="E50" s="15" t="str">
        <f>Deployments!N50</f>
        <v>Yes</v>
      </c>
      <c r="F50" s="23" t="str">
        <f>Deployments!O50</f>
        <v>No</v>
      </c>
      <c r="G50" s="15" t="str">
        <f>Deployments!P50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Deployments!T50</f>
        <v>0</v>
      </c>
      <c r="M50" s="15">
        <f>Deployments!L50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Deployments!V51</f>
        <v>WNH270INR002</v>
      </c>
      <c r="C51" s="23">
        <f>Deployments!W51</f>
        <v>0</v>
      </c>
      <c r="D51" s="15" t="str">
        <f>Deployments!AJ51</f>
        <v>CyberMed-S24 TGL</v>
      </c>
      <c r="E51" s="15" t="str">
        <f>Deployments!N51</f>
        <v>Yes</v>
      </c>
      <c r="F51" s="23" t="str">
        <f>Deployments!O51</f>
        <v>No</v>
      </c>
      <c r="G51" s="15" t="str">
        <f>Deployments!P51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Deployments!T51</f>
        <v>0</v>
      </c>
      <c r="M51" s="15">
        <f>Deployments!L51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Deployments!V52</f>
        <v>WNY210OPR053</v>
      </c>
      <c r="C52" s="23">
        <f>Deployments!W52</f>
        <v>0</v>
      </c>
      <c r="D52" s="15">
        <f>Deployments!AJ52</f>
        <v>0</v>
      </c>
      <c r="E52" s="15" t="str">
        <f>Deployments!N52</f>
        <v>Yes</v>
      </c>
      <c r="F52" s="23" t="str">
        <f>Deployments!O52</f>
        <v>No</v>
      </c>
      <c r="G52" s="15" t="str">
        <f>Deployments!P52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Deployments!T52</f>
        <v>0</v>
      </c>
      <c r="M52" s="15">
        <f>Deployments!L52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Deployments!V53</f>
        <v>WNY210OPR054</v>
      </c>
      <c r="C53" s="23">
        <f>Deployments!W53</f>
        <v>0</v>
      </c>
      <c r="D53" s="15">
        <f>Deployments!AJ53</f>
        <v>0</v>
      </c>
      <c r="E53" s="15" t="str">
        <f>Deployments!N53</f>
        <v>Yes</v>
      </c>
      <c r="F53" s="23" t="str">
        <f>Deployments!O53</f>
        <v>No</v>
      </c>
      <c r="G53" s="15" t="str">
        <f>Deployments!P53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Deployments!T53</f>
        <v>0</v>
      </c>
      <c r="M53" s="15">
        <f>Deployments!L53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Deployments!V54</f>
        <v>WMH300OPR336</v>
      </c>
      <c r="C54" s="23">
        <f>Deployments!W54</f>
        <v>0</v>
      </c>
      <c r="D54" s="15" t="str">
        <f>Deployments!AJ54</f>
        <v>CyberMed-S24 TGL</v>
      </c>
      <c r="E54" s="15" t="str">
        <f>Deployments!N54</f>
        <v>Yes</v>
      </c>
      <c r="F54" s="23" t="str">
        <f>Deployments!O54</f>
        <v>No</v>
      </c>
      <c r="G54" s="15" t="str">
        <f>Deployments!P54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Deployments!T54</f>
        <v>0</v>
      </c>
      <c r="M54" s="15">
        <f>Deployments!L54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Deployments!V55</f>
        <v>WMH300OPR337</v>
      </c>
      <c r="C55" s="23">
        <f>Deployments!W55</f>
        <v>0</v>
      </c>
      <c r="D55" s="15" t="str">
        <f>Deployments!AJ55</f>
        <v>CyberMed-S24 TGL</v>
      </c>
      <c r="E55" s="15" t="str">
        <f>Deployments!N55</f>
        <v>Yes</v>
      </c>
      <c r="F55" s="23" t="str">
        <f>Deployments!O55</f>
        <v>No</v>
      </c>
      <c r="G55" s="15" t="str">
        <f>Deployments!P55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Deployments!T55</f>
        <v>0</v>
      </c>
      <c r="M55" s="15">
        <f>Deployments!L55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Deployments!V56</f>
        <v>WMH300OPR338</v>
      </c>
      <c r="C56" s="23">
        <f>Deployments!W56</f>
        <v>0</v>
      </c>
      <c r="D56" s="15">
        <f>Deployments!AJ56</f>
        <v>0</v>
      </c>
      <c r="E56" s="15" t="str">
        <f>Deployments!N56</f>
        <v>Yes</v>
      </c>
      <c r="F56" s="23" t="str">
        <f>Deployments!O56</f>
        <v>No</v>
      </c>
      <c r="G56" s="15" t="str">
        <f>Deployments!P56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Deployments!T56</f>
        <v>0</v>
      </c>
      <c r="M56" s="15">
        <f>Deployments!L56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Deployments!V57</f>
        <v>WMH300OPR339</v>
      </c>
      <c r="C57" s="23">
        <f>Deployments!W57</f>
        <v>0</v>
      </c>
      <c r="D57" s="15">
        <f>Deployments!AJ57</f>
        <v>0</v>
      </c>
      <c r="E57" s="15" t="str">
        <f>Deployments!N57</f>
        <v>Yes</v>
      </c>
      <c r="F57" s="23" t="str">
        <f>Deployments!O57</f>
        <v>No</v>
      </c>
      <c r="G57" s="15" t="str">
        <f>Deployments!P57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Deployments!T57</f>
        <v>0</v>
      </c>
      <c r="M57" s="15">
        <f>Deployments!L57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Deployments!V58</f>
        <v>WMH300OPR340</v>
      </c>
      <c r="C58" s="23">
        <f>Deployments!W58</f>
        <v>0</v>
      </c>
      <c r="D58" s="15">
        <f>Deployments!AJ58</f>
        <v>0</v>
      </c>
      <c r="E58" s="15" t="str">
        <f>Deployments!N58</f>
        <v>Yes</v>
      </c>
      <c r="F58" s="23" t="str">
        <f>Deployments!O58</f>
        <v>No</v>
      </c>
      <c r="G58" s="15" t="str">
        <f>Deployments!P58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Deployments!T58</f>
        <v>0</v>
      </c>
      <c r="M58" s="15">
        <f>Deployments!L58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Deployments!V59</f>
        <v>WMH300OPR341</v>
      </c>
      <c r="C59" s="23">
        <f>Deployments!W59</f>
        <v>0</v>
      </c>
      <c r="D59" s="15">
        <f>Deployments!AJ59</f>
        <v>0</v>
      </c>
      <c r="E59" s="15" t="str">
        <f>Deployments!N59</f>
        <v>Yes</v>
      </c>
      <c r="F59" s="23" t="str">
        <f>Deployments!O59</f>
        <v>No</v>
      </c>
      <c r="G59" s="15" t="str">
        <f>Deployments!P59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Deployments!T59</f>
        <v>0</v>
      </c>
      <c r="M59" s="15">
        <f>Deployments!L59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Deployments!V60</f>
        <v>WMH300OPR342</v>
      </c>
      <c r="C60" s="23">
        <f>Deployments!W60</f>
        <v>0</v>
      </c>
      <c r="D60" s="15">
        <f>Deployments!AJ60</f>
        <v>0</v>
      </c>
      <c r="E60" s="15" t="str">
        <f>Deployments!N60</f>
        <v>Yes</v>
      </c>
      <c r="F60" s="23" t="str">
        <f>Deployments!O60</f>
        <v>No</v>
      </c>
      <c r="G60" s="15" t="str">
        <f>Deployments!P60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Deployments!T60</f>
        <v>0</v>
      </c>
      <c r="M60" s="15">
        <f>Deployments!L60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Deployments!V61</f>
        <v>WMH300OPR343</v>
      </c>
      <c r="C61" s="23">
        <f>Deployments!W61</f>
        <v>0</v>
      </c>
      <c r="D61" s="15">
        <f>Deployments!AJ61</f>
        <v>0</v>
      </c>
      <c r="E61" s="15" t="str">
        <f>Deployments!N61</f>
        <v>Yes</v>
      </c>
      <c r="F61" s="23" t="str">
        <f>Deployments!O61</f>
        <v>No</v>
      </c>
      <c r="G61" s="15" t="str">
        <f>Deployments!P61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Deployments!T61</f>
        <v>0</v>
      </c>
      <c r="M61" s="15">
        <f>Deployments!L61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Deployments!V62</f>
        <v>WMH300OPR344</v>
      </c>
      <c r="C62" s="23">
        <f>Deployments!W62</f>
        <v>0</v>
      </c>
      <c r="D62" s="15">
        <f>Deployments!AJ62</f>
        <v>0</v>
      </c>
      <c r="E62" s="15" t="str">
        <f>Deployments!N62</f>
        <v>Yes</v>
      </c>
      <c r="F62" s="23" t="str">
        <f>Deployments!O62</f>
        <v>No</v>
      </c>
      <c r="G62" s="15" t="str">
        <f>Deployments!P62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Deployments!T62</f>
        <v>0</v>
      </c>
      <c r="M62" s="15">
        <f>Deployments!L62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Deployments!V63</f>
        <v>WMH300OPR345</v>
      </c>
      <c r="C63" s="23">
        <f>Deployments!W63</f>
        <v>0</v>
      </c>
      <c r="D63" s="15">
        <f>Deployments!AJ63</f>
        <v>0</v>
      </c>
      <c r="E63" s="15" t="str">
        <f>Deployments!N63</f>
        <v>Yes</v>
      </c>
      <c r="F63" s="23" t="str">
        <f>Deployments!O63</f>
        <v>No</v>
      </c>
      <c r="G63" s="15" t="str">
        <f>Deployments!P63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Deployments!T63</f>
        <v>0</v>
      </c>
      <c r="M63" s="15">
        <f>Deployments!L63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Deployments!V64</f>
        <v>WMH300OPR346</v>
      </c>
      <c r="C64" s="23">
        <f>Deployments!W64</f>
        <v>0</v>
      </c>
      <c r="D64" s="15">
        <f>Deployments!AJ64</f>
        <v>0</v>
      </c>
      <c r="E64" s="15" t="str">
        <f>Deployments!N64</f>
        <v>Yes</v>
      </c>
      <c r="F64" s="23" t="str">
        <f>Deployments!O64</f>
        <v>No</v>
      </c>
      <c r="G64" s="15" t="str">
        <f>Deployments!P64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Deployments!T64</f>
        <v>0</v>
      </c>
      <c r="M64" s="15">
        <f>Deployments!L64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Deployments!V65</f>
        <v>WMH300OPR347</v>
      </c>
      <c r="C65" s="23">
        <f>Deployments!W65</f>
        <v>0</v>
      </c>
      <c r="D65" s="15">
        <f>Deployments!AJ65</f>
        <v>0</v>
      </c>
      <c r="E65" s="15" t="str">
        <f>Deployments!N65</f>
        <v>Yes</v>
      </c>
      <c r="F65" s="23" t="str">
        <f>Deployments!O65</f>
        <v>No</v>
      </c>
      <c r="G65" s="15" t="str">
        <f>Deployments!P65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Deployments!T65</f>
        <v>0</v>
      </c>
      <c r="M65" s="15">
        <f>Deployments!L65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Deployments!V66</f>
        <v>WMH300OPR348</v>
      </c>
      <c r="C66" s="23">
        <f>Deployments!W66</f>
        <v>0</v>
      </c>
      <c r="D66" s="15">
        <f>Deployments!AJ66</f>
        <v>0</v>
      </c>
      <c r="E66" s="15" t="str">
        <f>Deployments!N66</f>
        <v>Yes</v>
      </c>
      <c r="F66" s="23" t="str">
        <f>Deployments!O66</f>
        <v>No</v>
      </c>
      <c r="G66" s="15" t="str">
        <f>Deployments!P66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Deployments!T66</f>
        <v>0</v>
      </c>
      <c r="M66" s="15">
        <f>Deployments!L66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Deployments!V67</f>
        <v>WMH300OPR349</v>
      </c>
      <c r="C67" s="23">
        <f>Deployments!W67</f>
        <v>0</v>
      </c>
      <c r="D67" s="15">
        <f>Deployments!AJ67</f>
        <v>0</v>
      </c>
      <c r="E67" s="15" t="str">
        <f>Deployments!N67</f>
        <v>Yes</v>
      </c>
      <c r="F67" s="23" t="str">
        <f>Deployments!O67</f>
        <v>No</v>
      </c>
      <c r="G67" s="15" t="str">
        <f>Deployments!P67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Deployments!T67</f>
        <v>0</v>
      </c>
      <c r="M67" s="15">
        <f>Deployments!L67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Deployments!V68</f>
        <v>WMH300OPR350</v>
      </c>
      <c r="C68" s="23">
        <f>Deployments!W68</f>
        <v>0</v>
      </c>
      <c r="D68" s="15">
        <f>Deployments!AJ68</f>
        <v>0</v>
      </c>
      <c r="E68" s="15" t="str">
        <f>Deployments!N68</f>
        <v>Yes</v>
      </c>
      <c r="F68" s="23" t="str">
        <f>Deployments!O68</f>
        <v>No</v>
      </c>
      <c r="G68" s="15" t="str">
        <f>Deployments!P68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Deployments!T68</f>
        <v>0</v>
      </c>
      <c r="M68" s="15">
        <f>Deployments!L68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Deployments!V69</f>
        <v>WNH269OPR013</v>
      </c>
      <c r="C69" s="23">
        <f>Deployments!W69</f>
        <v>0</v>
      </c>
      <c r="D69" s="15">
        <f>Deployments!AJ69</f>
        <v>0</v>
      </c>
      <c r="E69" s="15" t="str">
        <f>Deployments!N69</f>
        <v>Yes</v>
      </c>
      <c r="F69" s="23" t="str">
        <f>Deployments!O69</f>
        <v>No</v>
      </c>
      <c r="G69" s="15" t="str">
        <f>Deployments!P69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Deployments!T69</f>
        <v>0</v>
      </c>
      <c r="M69" s="15">
        <f>Deployments!L69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Deployments!V70</f>
        <v>WNH269OPR014</v>
      </c>
      <c r="C70" s="23">
        <f>Deployments!W70</f>
        <v>0</v>
      </c>
      <c r="D70" s="15">
        <f>Deployments!AJ70</f>
        <v>0</v>
      </c>
      <c r="E70" s="15" t="str">
        <f>Deployments!N70</f>
        <v>Yes</v>
      </c>
      <c r="F70" s="23" t="str">
        <f>Deployments!O70</f>
        <v>No</v>
      </c>
      <c r="G70" s="15" t="str">
        <f>Deployments!P70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Deployments!T70</f>
        <v>0</v>
      </c>
      <c r="M70" s="15">
        <f>Deployments!L70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Deployments!V71</f>
        <v>WNH269OPR015</v>
      </c>
      <c r="C71" s="23">
        <f>Deployments!W71</f>
        <v>0</v>
      </c>
      <c r="D71" s="15">
        <f>Deployments!AJ71</f>
        <v>0</v>
      </c>
      <c r="E71" s="15" t="str">
        <f>Deployments!N71</f>
        <v>Yes</v>
      </c>
      <c r="F71" s="23" t="str">
        <f>Deployments!O71</f>
        <v>No</v>
      </c>
      <c r="G71" s="15" t="str">
        <f>Deployments!P71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Deployments!T71</f>
        <v>0</v>
      </c>
      <c r="M71" s="15">
        <f>Deployments!L71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Deployments!V72</f>
        <v>WNH269OPR016</v>
      </c>
      <c r="C72" s="23">
        <f>Deployments!W72</f>
        <v>0</v>
      </c>
      <c r="D72" s="15">
        <f>Deployments!AJ72</f>
        <v>0</v>
      </c>
      <c r="E72" s="15" t="str">
        <f>Deployments!N72</f>
        <v>Yes</v>
      </c>
      <c r="F72" s="23" t="str">
        <f>Deployments!O72</f>
        <v>No</v>
      </c>
      <c r="G72" s="15" t="str">
        <f>Deployments!P72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Deployments!T72</f>
        <v>0</v>
      </c>
      <c r="M72" s="15">
        <f>Deployments!L72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Deployments!V73</f>
        <v>WNH269OPR017</v>
      </c>
      <c r="C73" s="23">
        <f>Deployments!W73</f>
        <v>0</v>
      </c>
      <c r="D73" s="15">
        <f>Deployments!AJ73</f>
        <v>0</v>
      </c>
      <c r="E73" s="15" t="str">
        <f>Deployments!N73</f>
        <v>Yes</v>
      </c>
      <c r="F73" s="23" t="str">
        <f>Deployments!O73</f>
        <v>No</v>
      </c>
      <c r="G73" s="15" t="str">
        <f>Deployments!P73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Deployments!T73</f>
        <v>0</v>
      </c>
      <c r="M73" s="15">
        <f>Deployments!L73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Deployments!V74</f>
        <v>WNH269OPR018</v>
      </c>
      <c r="C74" s="23">
        <f>Deployments!W74</f>
        <v>0</v>
      </c>
      <c r="D74" s="15">
        <f>Deployments!AJ74</f>
        <v>0</v>
      </c>
      <c r="E74" s="15" t="str">
        <f>Deployments!N74</f>
        <v>Yes</v>
      </c>
      <c r="F74" s="23" t="str">
        <f>Deployments!O74</f>
        <v>No</v>
      </c>
      <c r="G74" s="15" t="str">
        <f>Deployments!P74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Deployments!T74</f>
        <v>0</v>
      </c>
      <c r="M74" s="15">
        <f>Deployments!L74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Deployments!V75</f>
        <v>WNH269OPR019</v>
      </c>
      <c r="C75" s="23">
        <f>Deployments!W75</f>
        <v>0</v>
      </c>
      <c r="D75" s="15">
        <f>Deployments!AJ75</f>
        <v>0</v>
      </c>
      <c r="E75" s="15" t="str">
        <f>Deployments!N75</f>
        <v>Yes</v>
      </c>
      <c r="F75" s="23" t="str">
        <f>Deployments!O75</f>
        <v>No</v>
      </c>
      <c r="G75" s="15" t="str">
        <f>Deployments!P75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Deployments!T75</f>
        <v>0</v>
      </c>
      <c r="M75" s="15">
        <f>Deployments!L75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Deployments!V76</f>
        <v>WNH269OPR020</v>
      </c>
      <c r="C76" s="23">
        <f>Deployments!W76</f>
        <v>0</v>
      </c>
      <c r="D76" s="15">
        <f>Deployments!AJ76</f>
        <v>0</v>
      </c>
      <c r="E76" s="15" t="str">
        <f>Deployments!N76</f>
        <v>Yes</v>
      </c>
      <c r="F76" s="23" t="str">
        <f>Deployments!O76</f>
        <v>No</v>
      </c>
      <c r="G76" s="15" t="str">
        <f>Deployments!P76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Deployments!T76</f>
        <v>0</v>
      </c>
      <c r="M76" s="15">
        <f>Deployments!L76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Deployments!V77</f>
        <v>WNH269OPR021</v>
      </c>
      <c r="C77" s="23">
        <f>Deployments!W77</f>
        <v>0</v>
      </c>
      <c r="D77" s="15">
        <f>Deployments!AJ77</f>
        <v>0</v>
      </c>
      <c r="E77" s="15" t="str">
        <f>Deployments!N77</f>
        <v>Yes</v>
      </c>
      <c r="F77" s="23" t="str">
        <f>Deployments!O77</f>
        <v>No</v>
      </c>
      <c r="G77" s="15" t="str">
        <f>Deployments!P77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Deployments!T77</f>
        <v>0</v>
      </c>
      <c r="M77" s="15">
        <f>Deployments!L77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Deployments!V78</f>
        <v>WLS450OPR001</v>
      </c>
      <c r="C78" s="23">
        <f>Deployments!W78</f>
        <v>0</v>
      </c>
      <c r="D78" s="15">
        <f>Deployments!AJ78</f>
        <v>0</v>
      </c>
      <c r="E78" s="15" t="str">
        <f>Deployments!N78</f>
        <v>Yes</v>
      </c>
      <c r="F78" s="23" t="str">
        <f>Deployments!O78</f>
        <v>No</v>
      </c>
      <c r="G78" s="15" t="str">
        <f>Deployments!P78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Deployments!T78</f>
        <v>0</v>
      </c>
      <c r="M78" s="15">
        <f>Deployments!L78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Deployments!V79</f>
        <v>WLS450OPR002</v>
      </c>
      <c r="C79" s="23">
        <f>Deployments!W79</f>
        <v>0</v>
      </c>
      <c r="D79" s="15">
        <f>Deployments!AJ79</f>
        <v>0</v>
      </c>
      <c r="E79" s="15" t="str">
        <f>Deployments!N79</f>
        <v>Yes</v>
      </c>
      <c r="F79" s="23" t="str">
        <f>Deployments!O79</f>
        <v>No</v>
      </c>
      <c r="G79" s="15" t="str">
        <f>Deployments!P79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Deployments!T79</f>
        <v>0</v>
      </c>
      <c r="M79" s="15">
        <f>Deployments!L79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Deployments!V80</f>
        <v>WLS450OPR003</v>
      </c>
      <c r="C80" s="23">
        <f>Deployments!W80</f>
        <v>0</v>
      </c>
      <c r="D80" s="15">
        <f>Deployments!AJ80</f>
        <v>0</v>
      </c>
      <c r="E80" s="15" t="str">
        <f>Deployments!N80</f>
        <v>Yes</v>
      </c>
      <c r="F80" s="23" t="str">
        <f>Deployments!O80</f>
        <v>No</v>
      </c>
      <c r="G80" s="15" t="str">
        <f>Deployments!P80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Deployments!T80</f>
        <v>0</v>
      </c>
      <c r="M80" s="15">
        <f>Deployments!L80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Deployments!V81</f>
        <v>WLS450OPR004</v>
      </c>
      <c r="C81" s="23">
        <f>Deployments!W81</f>
        <v>0</v>
      </c>
      <c r="D81" s="15">
        <f>Deployments!AJ81</f>
        <v>0</v>
      </c>
      <c r="E81" s="15" t="str">
        <f>Deployments!N81</f>
        <v>Yes</v>
      </c>
      <c r="F81" s="23" t="str">
        <f>Deployments!O81</f>
        <v>No</v>
      </c>
      <c r="G81" s="15" t="str">
        <f>Deployments!P81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Deployments!T81</f>
        <v>0</v>
      </c>
      <c r="M81" s="15">
        <f>Deployments!L81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Deployments!V82</f>
        <v>WLS450OPR005</v>
      </c>
      <c r="C82" s="23">
        <f>Deployments!W82</f>
        <v>0</v>
      </c>
      <c r="D82" s="15">
        <f>Deployments!AJ82</f>
        <v>0</v>
      </c>
      <c r="E82" s="15" t="str">
        <f>Deployments!N82</f>
        <v>Yes</v>
      </c>
      <c r="F82" s="23" t="str">
        <f>Deployments!O82</f>
        <v>No</v>
      </c>
      <c r="G82" s="15" t="str">
        <f>Deployments!P82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Deployments!T82</f>
        <v>0</v>
      </c>
      <c r="M82" s="15">
        <f>Deployments!L82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Deployments!V83</f>
        <v>WLS450OPR006</v>
      </c>
      <c r="C83" s="23">
        <f>Deployments!W83</f>
        <v>0</v>
      </c>
      <c r="D83" s="15">
        <f>Deployments!AJ83</f>
        <v>0</v>
      </c>
      <c r="E83" s="15" t="str">
        <f>Deployments!N83</f>
        <v>Yes</v>
      </c>
      <c r="F83" s="23" t="str">
        <f>Deployments!O83</f>
        <v>No</v>
      </c>
      <c r="G83" s="15" t="str">
        <f>Deployments!P83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Deployments!T83</f>
        <v>0</v>
      </c>
      <c r="M83" s="15">
        <f>Deployments!L83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Deployments!V84</f>
        <v>WLS450OPR007</v>
      </c>
      <c r="C84" s="23">
        <f>Deployments!W84</f>
        <v>0</v>
      </c>
      <c r="D84" s="15">
        <f>Deployments!AJ84</f>
        <v>0</v>
      </c>
      <c r="E84" s="15" t="str">
        <f>Deployments!N84</f>
        <v>Yes</v>
      </c>
      <c r="F84" s="23" t="str">
        <f>Deployments!O84</f>
        <v>No</v>
      </c>
      <c r="G84" s="15" t="str">
        <f>Deployments!P84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Deployments!T84</f>
        <v>0</v>
      </c>
      <c r="M84" s="15">
        <f>Deployments!L84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Deployments!V85</f>
        <v>WNH269OPR022</v>
      </c>
      <c r="C85" s="23">
        <f>Deployments!W85</f>
        <v>0</v>
      </c>
      <c r="D85" s="15">
        <f>Deployments!AJ85</f>
        <v>0</v>
      </c>
      <c r="E85" s="15" t="str">
        <f>Deployments!N85</f>
        <v>Yes</v>
      </c>
      <c r="F85" s="23" t="str">
        <f>Deployments!O85</f>
        <v>No</v>
      </c>
      <c r="G85" s="15" t="str">
        <f>Deployments!P85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Deployments!T85</f>
        <v>0</v>
      </c>
      <c r="M85" s="15">
        <f>Deployments!L85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Deployments!V86</f>
        <v>WNH269OPR023</v>
      </c>
      <c r="C86" s="23">
        <f>Deployments!W86</f>
        <v>0</v>
      </c>
      <c r="D86" s="15">
        <f>Deployments!AJ86</f>
        <v>0</v>
      </c>
      <c r="E86" s="15" t="str">
        <f>Deployments!N86</f>
        <v>Yes</v>
      </c>
      <c r="F86" s="23" t="str">
        <f>Deployments!O86</f>
        <v>No</v>
      </c>
      <c r="G86" s="15" t="str">
        <f>Deployments!P86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Deployments!T86</f>
        <v>0</v>
      </c>
      <c r="M86" s="15">
        <f>Deployments!L86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Deployments!V87</f>
        <v>WNH269OPR024</v>
      </c>
      <c r="C87" s="23">
        <f>Deployments!W87</f>
        <v>0</v>
      </c>
      <c r="D87" s="15">
        <f>Deployments!AJ87</f>
        <v>0</v>
      </c>
      <c r="E87" s="15" t="str">
        <f>Deployments!N87</f>
        <v>Yes</v>
      </c>
      <c r="F87" s="23" t="str">
        <f>Deployments!O87</f>
        <v>No</v>
      </c>
      <c r="G87" s="15" t="str">
        <f>Deployments!P87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Deployments!T87</f>
        <v>0</v>
      </c>
      <c r="M87" s="15">
        <f>Deployments!L87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Deployments!V88</f>
        <v>WNH269OPR025</v>
      </c>
      <c r="C88" s="23">
        <f>Deployments!W88</f>
        <v>0</v>
      </c>
      <c r="D88" s="15">
        <f>Deployments!AJ88</f>
        <v>0</v>
      </c>
      <c r="E88" s="15" t="str">
        <f>Deployments!N88</f>
        <v>Yes</v>
      </c>
      <c r="F88" s="23" t="str">
        <f>Deployments!O88</f>
        <v>No</v>
      </c>
      <c r="G88" s="15" t="str">
        <f>Deployments!P88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Deployments!T88</f>
        <v>0</v>
      </c>
      <c r="M88" s="15">
        <f>Deployments!L88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Deployments!V89</f>
        <v>WNH269OPR026</v>
      </c>
      <c r="C89" s="23">
        <f>Deployments!W89</f>
        <v>0</v>
      </c>
      <c r="D89" s="15">
        <f>Deployments!AJ89</f>
        <v>0</v>
      </c>
      <c r="E89" s="15" t="str">
        <f>Deployments!N89</f>
        <v>Yes</v>
      </c>
      <c r="F89" s="23" t="str">
        <f>Deployments!O89</f>
        <v>No</v>
      </c>
      <c r="G89" s="15" t="str">
        <f>Deployments!P89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Deployments!T89</f>
        <v>0</v>
      </c>
      <c r="M89" s="15">
        <f>Deployments!L89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Deployments!V90</f>
        <v>WNH270OPR403</v>
      </c>
      <c r="C90" s="23">
        <f>Deployments!W90</f>
        <v>0</v>
      </c>
      <c r="D90" s="15">
        <f>Deployments!AJ90</f>
        <v>0</v>
      </c>
      <c r="E90" s="15" t="str">
        <f>Deployments!N90</f>
        <v>Yes</v>
      </c>
      <c r="F90" s="23" t="str">
        <f>Deployments!O90</f>
        <v>No</v>
      </c>
      <c r="G90" s="15" t="str">
        <f>Deployments!P90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Deployments!T90</f>
        <v>0</v>
      </c>
      <c r="M90" s="15">
        <f>Deployments!L90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Deployments!V91</f>
        <v>WNH270OPR404</v>
      </c>
      <c r="C91" s="23">
        <f>Deployments!W91</f>
        <v>0</v>
      </c>
      <c r="D91" s="15">
        <f>Deployments!AJ91</f>
        <v>0</v>
      </c>
      <c r="E91" s="15" t="str">
        <f>Deployments!N91</f>
        <v>Yes</v>
      </c>
      <c r="F91" s="23" t="str">
        <f>Deployments!O91</f>
        <v>No</v>
      </c>
      <c r="G91" s="15" t="str">
        <f>Deployments!P91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Deployments!T91</f>
        <v>0</v>
      </c>
      <c r="M91" s="15">
        <f>Deployments!L91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Deployments!V92</f>
        <v>WNH270OPR405</v>
      </c>
      <c r="C92" s="23">
        <f>Deployments!W92</f>
        <v>0</v>
      </c>
      <c r="D92" s="15">
        <f>Deployments!AJ92</f>
        <v>0</v>
      </c>
      <c r="E92" s="15" t="str">
        <f>Deployments!N92</f>
        <v>Yes</v>
      </c>
      <c r="F92" s="23" t="str">
        <f>Deployments!O92</f>
        <v>No</v>
      </c>
      <c r="G92" s="15" t="str">
        <f>Deployments!P92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Deployments!T92</f>
        <v>0</v>
      </c>
      <c r="M92" s="15">
        <f>Deployments!L92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Deployments!V93</f>
        <v>WNH270OPR406</v>
      </c>
      <c r="C93" s="23">
        <f>Deployments!W93</f>
        <v>0</v>
      </c>
      <c r="D93" s="15">
        <f>Deployments!AJ93</f>
        <v>0</v>
      </c>
      <c r="E93" s="15" t="str">
        <f>Deployments!N93</f>
        <v>Yes</v>
      </c>
      <c r="F93" s="23" t="str">
        <f>Deployments!O93</f>
        <v>No</v>
      </c>
      <c r="G93" s="15" t="str">
        <f>Deployments!P93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Deployments!T93</f>
        <v>0</v>
      </c>
      <c r="M93" s="15">
        <f>Deployments!L93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Deployments!V94</f>
        <v>WNH270OPR407</v>
      </c>
      <c r="C94" s="23">
        <f>Deployments!W94</f>
        <v>0</v>
      </c>
      <c r="D94" s="15">
        <f>Deployments!AJ94</f>
        <v>0</v>
      </c>
      <c r="E94" s="15" t="str">
        <f>Deployments!N94</f>
        <v>Yes</v>
      </c>
      <c r="F94" s="23" t="str">
        <f>Deployments!O94</f>
        <v>No</v>
      </c>
      <c r="G94" s="15" t="str">
        <f>Deployments!P94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Deployments!T94</f>
        <v>0</v>
      </c>
      <c r="M94" s="15">
        <f>Deployments!L94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Deployments!V95</f>
        <v>WNH270OPR408</v>
      </c>
      <c r="C95" s="23">
        <f>Deployments!W95</f>
        <v>0</v>
      </c>
      <c r="D95" s="15">
        <f>Deployments!AJ95</f>
        <v>0</v>
      </c>
      <c r="E95" s="15" t="str">
        <f>Deployments!N95</f>
        <v>Yes</v>
      </c>
      <c r="F95" s="23" t="str">
        <f>Deployments!O95</f>
        <v>No</v>
      </c>
      <c r="G95" s="15" t="str">
        <f>Deployments!P95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Deployments!T95</f>
        <v>0</v>
      </c>
      <c r="M95" s="15">
        <f>Deployments!L95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Deployments!V96</f>
        <v>WNH270OPR409</v>
      </c>
      <c r="C96" s="23">
        <f>Deployments!W96</f>
        <v>0</v>
      </c>
      <c r="D96" s="15">
        <f>Deployments!AJ96</f>
        <v>0</v>
      </c>
      <c r="E96" s="15" t="str">
        <f>Deployments!N96</f>
        <v>Yes</v>
      </c>
      <c r="F96" s="23" t="str">
        <f>Deployments!O96</f>
        <v>No</v>
      </c>
      <c r="G96" s="15" t="str">
        <f>Deployments!P96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Deployments!T96</f>
        <v>0</v>
      </c>
      <c r="M96" s="15">
        <f>Deployments!L96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Deployments!V97</f>
        <v>WNH270OPR410</v>
      </c>
      <c r="C97" s="23">
        <f>Deployments!W97</f>
        <v>0</v>
      </c>
      <c r="D97" s="15">
        <f>Deployments!AJ97</f>
        <v>0</v>
      </c>
      <c r="E97" s="15" t="str">
        <f>Deployments!N97</f>
        <v>Yes</v>
      </c>
      <c r="F97" s="23" t="str">
        <f>Deployments!O97</f>
        <v>No</v>
      </c>
      <c r="G97" s="15" t="str">
        <f>Deployments!P97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Deployments!T97</f>
        <v>0</v>
      </c>
      <c r="M97" s="15">
        <f>Deployments!L97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Deployments!V98</f>
        <v>WNH270OPR411</v>
      </c>
      <c r="C98" s="23">
        <f>Deployments!W98</f>
        <v>0</v>
      </c>
      <c r="D98" s="15">
        <f>Deployments!AJ98</f>
        <v>0</v>
      </c>
      <c r="E98" s="15" t="str">
        <f>Deployments!N98</f>
        <v>Yes</v>
      </c>
      <c r="F98" s="23" t="str">
        <f>Deployments!O98</f>
        <v>No</v>
      </c>
      <c r="G98" s="15" t="str">
        <f>Deployments!P98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Deployments!T98</f>
        <v>0</v>
      </c>
      <c r="M98" s="15">
        <f>Deployments!L98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Deployments!V99</f>
        <v>WNH270OPR412</v>
      </c>
      <c r="C99" s="23">
        <f>Deployments!W99</f>
        <v>0</v>
      </c>
      <c r="D99" s="15">
        <f>Deployments!AJ99</f>
        <v>0</v>
      </c>
      <c r="E99" s="15" t="str">
        <f>Deployments!N99</f>
        <v>Yes</v>
      </c>
      <c r="F99" s="23" t="str">
        <f>Deployments!O99</f>
        <v>No</v>
      </c>
      <c r="G99" s="15" t="str">
        <f>Deployments!P99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Deployments!T99</f>
        <v>0</v>
      </c>
      <c r="M99" s="15">
        <f>Deployments!L99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Deployments!V100</f>
        <v>BROKEN - Bluescreen@boot</v>
      </c>
      <c r="C100" s="23">
        <f>Deployments!W100</f>
        <v>0</v>
      </c>
      <c r="D100" s="15">
        <f>Deployments!AJ100</f>
        <v>0</v>
      </c>
      <c r="E100" s="15" t="str">
        <f>Deployments!N100</f>
        <v>Yes</v>
      </c>
      <c r="F100" s="23" t="str">
        <f>Deployments!O100</f>
        <v>No</v>
      </c>
      <c r="G100" s="15" t="str">
        <f>Deployments!P100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Deployments!T100</f>
        <v>0</v>
      </c>
      <c r="M100" s="15">
        <f>Deployments!L100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Deployments!V101</f>
        <v>WNH270OPR413</v>
      </c>
      <c r="C101" s="23">
        <f>Deployments!W101</f>
        <v>0</v>
      </c>
      <c r="D101" s="15">
        <f>Deployments!AJ101</f>
        <v>0</v>
      </c>
      <c r="E101" s="15" t="str">
        <f>Deployments!N101</f>
        <v>Yes</v>
      </c>
      <c r="F101" s="23" t="str">
        <f>Deployments!O101</f>
        <v>No</v>
      </c>
      <c r="G101" s="15" t="str">
        <f>Deployments!P101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Deployments!T101</f>
        <v>0</v>
      </c>
      <c r="M101" s="15">
        <f>Deployments!L101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Deployments!V102</f>
        <v>WNH270OPR414</v>
      </c>
      <c r="C102" s="23">
        <f>Deployments!W102</f>
        <v>0</v>
      </c>
      <c r="D102" s="15">
        <f>Deployments!AJ102</f>
        <v>0</v>
      </c>
      <c r="E102" s="15" t="str">
        <f>Deployments!N102</f>
        <v>Yes</v>
      </c>
      <c r="F102" s="23" t="str">
        <f>Deployments!O102</f>
        <v>No</v>
      </c>
      <c r="G102" s="15" t="str">
        <f>Deployments!P102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Deployments!T102</f>
        <v>0</v>
      </c>
      <c r="M102" s="15">
        <f>Deployments!L102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Deployments!V103</f>
        <v>WNH270OPR415</v>
      </c>
      <c r="C103" s="23">
        <f>Deployments!W103</f>
        <v>0</v>
      </c>
      <c r="D103" s="15">
        <f>Deployments!AJ103</f>
        <v>0</v>
      </c>
      <c r="E103" s="15" t="str">
        <f>Deployments!N103</f>
        <v>Yes</v>
      </c>
      <c r="F103" s="23" t="str">
        <f>Deployments!O103</f>
        <v>No</v>
      </c>
      <c r="G103" s="15" t="str">
        <f>Deployments!P103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Deployments!T103</f>
        <v>0</v>
      </c>
      <c r="M103" s="15">
        <f>Deployments!L103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Deployments!V104</f>
        <v>WNH270OPR416</v>
      </c>
      <c r="C104" s="23">
        <f>Deployments!W104</f>
        <v>0</v>
      </c>
      <c r="D104" s="15">
        <f>Deployments!AJ104</f>
        <v>0</v>
      </c>
      <c r="E104" s="15" t="str">
        <f>Deployments!N104</f>
        <v>Yes</v>
      </c>
      <c r="F104" s="23" t="str">
        <f>Deployments!O104</f>
        <v>No</v>
      </c>
      <c r="G104" s="15" t="str">
        <f>Deployments!P104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Deployments!T104</f>
        <v>0</v>
      </c>
      <c r="M104" s="15">
        <f>Deployments!L104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Deployments!V105</f>
        <v>WNH270OPR417</v>
      </c>
      <c r="C105" s="23">
        <f>Deployments!W105</f>
        <v>0</v>
      </c>
      <c r="D105" s="15">
        <f>Deployments!AJ105</f>
        <v>0</v>
      </c>
      <c r="E105" s="15" t="str">
        <f>Deployments!N105</f>
        <v>Yes</v>
      </c>
      <c r="F105" s="23" t="str">
        <f>Deployments!O105</f>
        <v>No</v>
      </c>
      <c r="G105" s="15" t="str">
        <f>Deployments!P105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Deployments!T105</f>
        <v>0</v>
      </c>
      <c r="M105" s="15">
        <f>Deployments!L105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Deployments!V106</f>
        <v>WNH270OPR418</v>
      </c>
      <c r="C106" s="23">
        <f>Deployments!W106</f>
        <v>0</v>
      </c>
      <c r="D106" s="15">
        <f>Deployments!AJ106</f>
        <v>0</v>
      </c>
      <c r="E106" s="15" t="str">
        <f>Deployments!N106</f>
        <v>Yes</v>
      </c>
      <c r="F106" s="23" t="str">
        <f>Deployments!O106</f>
        <v>No</v>
      </c>
      <c r="G106" s="15" t="str">
        <f>Deployments!P106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Deployments!T106</f>
        <v>0</v>
      </c>
      <c r="M106" s="15">
        <f>Deployments!L106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Deployments!V107</f>
        <v>WNH270OPR419</v>
      </c>
      <c r="C107" s="23">
        <f>Deployments!W107</f>
        <v>0</v>
      </c>
      <c r="D107" s="15">
        <f>Deployments!AJ107</f>
        <v>0</v>
      </c>
      <c r="E107" s="15" t="str">
        <f>Deployments!N107</f>
        <v>Yes</v>
      </c>
      <c r="F107" s="23" t="str">
        <f>Deployments!O107</f>
        <v>No</v>
      </c>
      <c r="G107" s="15" t="str">
        <f>Deployments!P107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Deployments!T107</f>
        <v>0</v>
      </c>
      <c r="M107" s="15">
        <f>Deployments!L107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Deployments!V108</f>
        <v>WNH270OPR420</v>
      </c>
      <c r="C108" s="23">
        <f>Deployments!W108</f>
        <v>0</v>
      </c>
      <c r="D108" s="15">
        <f>Deployments!AJ108</f>
        <v>0</v>
      </c>
      <c r="E108" s="15" t="str">
        <f>Deployments!N108</f>
        <v>Yes</v>
      </c>
      <c r="F108" s="23" t="str">
        <f>Deployments!O108</f>
        <v>No</v>
      </c>
      <c r="G108" s="15" t="str">
        <f>Deployments!P108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Deployments!T108</f>
        <v>0</v>
      </c>
      <c r="M108" s="15">
        <f>Deployments!L108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Deployments!V109</f>
        <v>WNH270OPR421</v>
      </c>
      <c r="C109" s="23">
        <f>Deployments!W109</f>
        <v>0</v>
      </c>
      <c r="D109" s="15">
        <f>Deployments!AJ109</f>
        <v>0</v>
      </c>
      <c r="E109" s="15" t="str">
        <f>Deployments!N109</f>
        <v>Yes</v>
      </c>
      <c r="F109" s="23" t="str">
        <f>Deployments!O109</f>
        <v>No</v>
      </c>
      <c r="G109" s="15" t="str">
        <f>Deployments!P109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Deployments!T109</f>
        <v>0</v>
      </c>
      <c r="M109" s="15">
        <f>Deployments!L109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Deployments!V110</f>
        <v>WNH270OPR422</v>
      </c>
      <c r="C110" s="23">
        <f>Deployments!W110</f>
        <v>0</v>
      </c>
      <c r="D110" s="15">
        <f>Deployments!AJ110</f>
        <v>0</v>
      </c>
      <c r="E110" s="15" t="str">
        <f>Deployments!N110</f>
        <v>Yes</v>
      </c>
      <c r="F110" s="23" t="str">
        <f>Deployments!O110</f>
        <v>No</v>
      </c>
      <c r="G110" s="15" t="str">
        <f>Deployments!P110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Deployments!T110</f>
        <v>0</v>
      </c>
      <c r="M110" s="15">
        <f>Deployments!L110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Deployments!V111</f>
        <v>WNH270OPR423</v>
      </c>
      <c r="C111" s="23">
        <f>Deployments!W111</f>
        <v>0</v>
      </c>
      <c r="D111" s="15">
        <f>Deployments!AJ111</f>
        <v>0</v>
      </c>
      <c r="E111" s="15" t="str">
        <f>Deployments!N111</f>
        <v>Yes</v>
      </c>
      <c r="F111" s="23" t="str">
        <f>Deployments!O111</f>
        <v>No</v>
      </c>
      <c r="G111" s="15" t="str">
        <f>Deployments!P111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Deployments!T111</f>
        <v>0</v>
      </c>
      <c r="M111" s="15">
        <f>Deployments!L111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Deployments!V112</f>
        <v>WNH270OPR424</v>
      </c>
      <c r="C112" s="23">
        <f>Deployments!W112</f>
        <v>0</v>
      </c>
      <c r="D112" s="15">
        <f>Deployments!AJ112</f>
        <v>0</v>
      </c>
      <c r="E112" s="15" t="str">
        <f>Deployments!N112</f>
        <v>Yes</v>
      </c>
      <c r="F112" s="23" t="str">
        <f>Deployments!O112</f>
        <v>No</v>
      </c>
      <c r="G112" s="15" t="str">
        <f>Deployments!P112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Deployments!T112</f>
        <v>0</v>
      </c>
      <c r="M112" s="15">
        <f>Deployments!L112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Deployments!V113</f>
        <v>WNH270OPR425</v>
      </c>
      <c r="C113" s="23">
        <f>Deployments!W113</f>
        <v>0</v>
      </c>
      <c r="D113" s="15">
        <f>Deployments!AJ113</f>
        <v>0</v>
      </c>
      <c r="E113" s="15" t="str">
        <f>Deployments!N113</f>
        <v>Yes</v>
      </c>
      <c r="F113" s="23" t="str">
        <f>Deployments!O113</f>
        <v>No</v>
      </c>
      <c r="G113" s="15" t="str">
        <f>Deployments!P113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Deployments!T113</f>
        <v>0</v>
      </c>
      <c r="M113" s="15">
        <f>Deployments!L113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Deployments!V114</f>
        <v>WNH270OPR426</v>
      </c>
      <c r="C114" s="23">
        <f>Deployments!W114</f>
        <v>0</v>
      </c>
      <c r="D114" s="15">
        <f>Deployments!AJ114</f>
        <v>0</v>
      </c>
      <c r="E114" s="15" t="str">
        <f>Deployments!N114</f>
        <v>Yes</v>
      </c>
      <c r="F114" s="23" t="str">
        <f>Deployments!O114</f>
        <v>No</v>
      </c>
      <c r="G114" s="15" t="str">
        <f>Deployments!P114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Deployments!T114</f>
        <v>0</v>
      </c>
      <c r="M114" s="15">
        <f>Deployments!L114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Deployments!V115</f>
        <v>WNH270OPR427</v>
      </c>
      <c r="C115" s="23">
        <f>Deployments!W115</f>
        <v>0</v>
      </c>
      <c r="D115" s="15">
        <f>Deployments!AJ115</f>
        <v>0</v>
      </c>
      <c r="E115" s="15" t="str">
        <f>Deployments!N115</f>
        <v>Yes</v>
      </c>
      <c r="F115" s="23" t="str">
        <f>Deployments!O115</f>
        <v>No</v>
      </c>
      <c r="G115" s="15" t="str">
        <f>Deployments!P115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Deployments!T115</f>
        <v>0</v>
      </c>
      <c r="M115" s="15">
        <f>Deployments!L115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Deployments!V116</f>
        <v>WNH270OPR428</v>
      </c>
      <c r="C116" s="23">
        <f>Deployments!W116</f>
        <v>0</v>
      </c>
      <c r="D116" s="15">
        <f>Deployments!AJ116</f>
        <v>0</v>
      </c>
      <c r="E116" s="15" t="str">
        <f>Deployments!N116</f>
        <v>Yes</v>
      </c>
      <c r="F116" s="23" t="str">
        <f>Deployments!O116</f>
        <v>No</v>
      </c>
      <c r="G116" s="15" t="str">
        <f>Deployments!P116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Deployments!T116</f>
        <v>0</v>
      </c>
      <c r="M116" s="15">
        <f>Deployments!L116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Deployments!V117</f>
        <v>WNH270OPR429</v>
      </c>
      <c r="C117" s="23">
        <f>Deployments!W117</f>
        <v>0</v>
      </c>
      <c r="D117" s="15">
        <f>Deployments!AJ117</f>
        <v>0</v>
      </c>
      <c r="E117" s="15" t="str">
        <f>Deployments!N117</f>
        <v>Yes</v>
      </c>
      <c r="F117" s="23" t="str">
        <f>Deployments!O117</f>
        <v>No</v>
      </c>
      <c r="G117" s="15" t="str">
        <f>Deployments!P117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Deployments!T117</f>
        <v>0</v>
      </c>
      <c r="M117" s="15">
        <f>Deployments!L117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Deployments!V118</f>
        <v>WNH270OPR430</v>
      </c>
      <c r="C118" s="23">
        <f>Deployments!W118</f>
        <v>0</v>
      </c>
      <c r="D118" s="15">
        <f>Deployments!AJ118</f>
        <v>0</v>
      </c>
      <c r="E118" s="15" t="str">
        <f>Deployments!N118</f>
        <v>Yes</v>
      </c>
      <c r="F118" s="23" t="str">
        <f>Deployments!O118</f>
        <v>No</v>
      </c>
      <c r="G118" s="15" t="str">
        <f>Deployments!P118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Deployments!T118</f>
        <v>0</v>
      </c>
      <c r="M118" s="15">
        <f>Deployments!L118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Deployments!V119</f>
        <v>WNH270OPR431</v>
      </c>
      <c r="C119" s="23">
        <f>Deployments!W119</f>
        <v>0</v>
      </c>
      <c r="D119" s="15">
        <f>Deployments!AJ119</f>
        <v>0</v>
      </c>
      <c r="E119" s="15" t="str">
        <f>Deployments!N119</f>
        <v>Yes</v>
      </c>
      <c r="F119" s="23" t="str">
        <f>Deployments!O119</f>
        <v>No</v>
      </c>
      <c r="G119" s="15" t="str">
        <f>Deployments!P119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Deployments!T119</f>
        <v>0</v>
      </c>
      <c r="M119" s="15">
        <f>Deployments!L119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Deployments!V120</f>
        <v>WNH270OPR432</v>
      </c>
      <c r="C120" s="23">
        <f>Deployments!W120</f>
        <v>0</v>
      </c>
      <c r="D120" s="15">
        <f>Deployments!AJ120</f>
        <v>0</v>
      </c>
      <c r="E120" s="15" t="str">
        <f>Deployments!N120</f>
        <v>Yes</v>
      </c>
      <c r="F120" s="23" t="str">
        <f>Deployments!O120</f>
        <v>No</v>
      </c>
      <c r="G120" s="15" t="str">
        <f>Deployments!P120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Deployments!T120</f>
        <v>0</v>
      </c>
      <c r="M120" s="15">
        <f>Deployments!L120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Deployments!V121</f>
        <v>WNH270OPR433</v>
      </c>
      <c r="C121" s="23">
        <f>Deployments!W121</f>
        <v>0</v>
      </c>
      <c r="D121" s="15">
        <f>Deployments!AJ121</f>
        <v>0</v>
      </c>
      <c r="E121" s="15" t="str">
        <f>Deployments!N121</f>
        <v>Yes</v>
      </c>
      <c r="F121" s="23" t="str">
        <f>Deployments!O121</f>
        <v>No</v>
      </c>
      <c r="G121" s="15" t="str">
        <f>Deployments!P121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Deployments!T121</f>
        <v>0</v>
      </c>
      <c r="M121" s="15">
        <f>Deployments!L121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Deployments!V122</f>
        <v>WNH270OPR434</v>
      </c>
      <c r="C122" s="23">
        <f>Deployments!W122</f>
        <v>0</v>
      </c>
      <c r="D122" s="15">
        <f>Deployments!AJ122</f>
        <v>0</v>
      </c>
      <c r="E122" s="15" t="str">
        <f>Deployments!N122</f>
        <v>Yes</v>
      </c>
      <c r="F122" s="23" t="str">
        <f>Deployments!O122</f>
        <v>No</v>
      </c>
      <c r="G122" s="15" t="str">
        <f>Deployments!P122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Deployments!T122</f>
        <v>0</v>
      </c>
      <c r="M122" s="15">
        <f>Deployments!L122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Deployments!V123</f>
        <v>WNH270OPR435</v>
      </c>
      <c r="C123" s="23">
        <f>Deployments!W123</f>
        <v>0</v>
      </c>
      <c r="D123" s="15">
        <f>Deployments!AJ123</f>
        <v>0</v>
      </c>
      <c r="E123" s="15" t="str">
        <f>Deployments!N123</f>
        <v>Yes</v>
      </c>
      <c r="F123" s="23" t="str">
        <f>Deployments!O123</f>
        <v>No</v>
      </c>
      <c r="G123" s="15" t="str">
        <f>Deployments!P123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Deployments!T123</f>
        <v>0</v>
      </c>
      <c r="M123" s="15">
        <f>Deployments!L123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Deployments!V124</f>
        <v>WNH270OPR436</v>
      </c>
      <c r="C124" s="23">
        <f>Deployments!W124</f>
        <v>0</v>
      </c>
      <c r="D124" s="15">
        <f>Deployments!AJ124</f>
        <v>0</v>
      </c>
      <c r="E124" s="15" t="str">
        <f>Deployments!N124</f>
        <v>Yes</v>
      </c>
      <c r="F124" s="23" t="str">
        <f>Deployments!O124</f>
        <v>No</v>
      </c>
      <c r="G124" s="15" t="str">
        <f>Deployments!P124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Deployments!T124</f>
        <v>0</v>
      </c>
      <c r="M124" s="15">
        <f>Deployments!L124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Deployments!V125</f>
        <v>WNH270OPR437</v>
      </c>
      <c r="C125" s="23">
        <f>Deployments!W125</f>
        <v>0</v>
      </c>
      <c r="D125" s="15">
        <f>Deployments!AJ125</f>
        <v>0</v>
      </c>
      <c r="E125" s="15" t="str">
        <f>Deployments!N125</f>
        <v>Yes</v>
      </c>
      <c r="F125" s="23" t="str">
        <f>Deployments!O125</f>
        <v>No</v>
      </c>
      <c r="G125" s="15" t="str">
        <f>Deployments!P125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Deployments!T125</f>
        <v>0</v>
      </c>
      <c r="M125" s="15">
        <f>Deployments!L125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Deployments!V126</f>
        <v>WNH270OPR438</v>
      </c>
      <c r="C126" s="23">
        <f>Deployments!W126</f>
        <v>0</v>
      </c>
      <c r="D126" s="15">
        <f>Deployments!AJ126</f>
        <v>0</v>
      </c>
      <c r="E126" s="15" t="str">
        <f>Deployments!N126</f>
        <v>Yes</v>
      </c>
      <c r="F126" s="23" t="str">
        <f>Deployments!O126</f>
        <v>No</v>
      </c>
      <c r="G126" s="15" t="str">
        <f>Deployments!P126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Deployments!T126</f>
        <v>0</v>
      </c>
      <c r="M126" s="15">
        <f>Deployments!L126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Deployments!V127</f>
        <v>WNH270OPR439</v>
      </c>
      <c r="C127" s="23">
        <f>Deployments!W127</f>
        <v>0</v>
      </c>
      <c r="D127" s="15">
        <f>Deployments!AJ127</f>
        <v>0</v>
      </c>
      <c r="E127" s="15" t="str">
        <f>Deployments!N127</f>
        <v>Yes</v>
      </c>
      <c r="F127" s="23" t="str">
        <f>Deployments!O127</f>
        <v>No</v>
      </c>
      <c r="G127" s="15" t="str">
        <f>Deployments!P127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Deployments!T127</f>
        <v>0</v>
      </c>
      <c r="M127" s="15">
        <f>Deployments!L127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Deployments!V128</f>
        <v>WNH270OPR440</v>
      </c>
      <c r="C128" s="23">
        <f>Deployments!W128</f>
        <v>0</v>
      </c>
      <c r="D128" s="15">
        <f>Deployments!AJ128</f>
        <v>0</v>
      </c>
      <c r="E128" s="15" t="str">
        <f>Deployments!N128</f>
        <v>Yes</v>
      </c>
      <c r="F128" s="23" t="str">
        <f>Deployments!O128</f>
        <v>No</v>
      </c>
      <c r="G128" s="15" t="str">
        <f>Deployments!P128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Deployments!T128</f>
        <v>0</v>
      </c>
      <c r="M128" s="15">
        <f>Deployments!L128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Deployments!V129</f>
        <v>WNH270OPR441</v>
      </c>
      <c r="C129" s="23">
        <f>Deployments!W129</f>
        <v>0</v>
      </c>
      <c r="D129" s="15">
        <f>Deployments!AJ129</f>
        <v>0</v>
      </c>
      <c r="E129" s="15" t="str">
        <f>Deployments!N129</f>
        <v>Yes</v>
      </c>
      <c r="F129" s="23" t="str">
        <f>Deployments!O129</f>
        <v>No</v>
      </c>
      <c r="G129" s="15" t="str">
        <f>Deployments!P129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Deployments!T129</f>
        <v>0</v>
      </c>
      <c r="M129" s="15">
        <f>Deployments!L129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Deployments!V130</f>
        <v>WNH270OPR442</v>
      </c>
      <c r="C130" s="23">
        <f>Deployments!W130</f>
        <v>0</v>
      </c>
      <c r="D130" s="15">
        <f>Deployments!AJ130</f>
        <v>0</v>
      </c>
      <c r="E130" s="15" t="str">
        <f>Deployments!N130</f>
        <v>Yes</v>
      </c>
      <c r="F130" s="23" t="str">
        <f>Deployments!O130</f>
        <v>No</v>
      </c>
      <c r="G130" s="15" t="str">
        <f>Deployments!P130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Deployments!T130</f>
        <v>0</v>
      </c>
      <c r="M130" s="15">
        <f>Deployments!L130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Deployments!V131</f>
        <v>WNH270OPR443</v>
      </c>
      <c r="C131" s="23">
        <f>Deployments!W131</f>
        <v>0</v>
      </c>
      <c r="D131" s="15">
        <f>Deployments!AJ131</f>
        <v>0</v>
      </c>
      <c r="E131" s="15" t="str">
        <f>Deployments!N131</f>
        <v>Yes</v>
      </c>
      <c r="F131" s="23" t="str">
        <f>Deployments!O131</f>
        <v>No</v>
      </c>
      <c r="G131" s="15" t="str">
        <f>Deployments!P131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Deployments!T131</f>
        <v>0</v>
      </c>
      <c r="M131" s="15">
        <f>Deployments!L131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Deployments!V132</f>
        <v>WNH270OPR444</v>
      </c>
      <c r="C132" s="23">
        <f>Deployments!W132</f>
        <v>0</v>
      </c>
      <c r="D132" s="15">
        <f>Deployments!AJ132</f>
        <v>0</v>
      </c>
      <c r="E132" s="15" t="str">
        <f>Deployments!N132</f>
        <v>Yes</v>
      </c>
      <c r="F132" s="23" t="str">
        <f>Deployments!O132</f>
        <v>No</v>
      </c>
      <c r="G132" s="15" t="str">
        <f>Deployments!P132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Deployments!T132</f>
        <v>0</v>
      </c>
      <c r="M132" s="15">
        <f>Deployments!L132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Deployments!V133</f>
        <v>WNH270OPR445</v>
      </c>
      <c r="C133" s="23">
        <f>Deployments!W133</f>
        <v>0</v>
      </c>
      <c r="D133" s="15">
        <f>Deployments!AJ133</f>
        <v>0</v>
      </c>
      <c r="E133" s="15" t="str">
        <f>Deployments!N133</f>
        <v>Yes</v>
      </c>
      <c r="F133" s="23" t="str">
        <f>Deployments!O133</f>
        <v>No</v>
      </c>
      <c r="G133" s="15" t="str">
        <f>Deployments!P133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Deployments!T133</f>
        <v>0</v>
      </c>
      <c r="M133" s="15">
        <f>Deployments!L133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Deployments!V134</f>
        <v>WNH270OPR446</v>
      </c>
      <c r="C134" s="23">
        <f>Deployments!W134</f>
        <v>0</v>
      </c>
      <c r="D134" s="15">
        <f>Deployments!AJ134</f>
        <v>0</v>
      </c>
      <c r="E134" s="15" t="str">
        <f>Deployments!N134</f>
        <v>Yes</v>
      </c>
      <c r="F134" s="23" t="str">
        <f>Deployments!O134</f>
        <v>No</v>
      </c>
      <c r="G134" s="15" t="str">
        <f>Deployments!P134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Deployments!T134</f>
        <v>0</v>
      </c>
      <c r="M134" s="15">
        <f>Deployments!L134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Deployments!V135</f>
        <v>WNH270OPR447</v>
      </c>
      <c r="C135" s="23">
        <f>Deployments!W135</f>
        <v>0</v>
      </c>
      <c r="D135" s="15">
        <f>Deployments!AJ135</f>
        <v>0</v>
      </c>
      <c r="E135" s="15" t="str">
        <f>Deployments!N135</f>
        <v>Yes</v>
      </c>
      <c r="F135" s="23" t="str">
        <f>Deployments!O135</f>
        <v>No</v>
      </c>
      <c r="G135" s="15" t="str">
        <f>Deployments!P135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Deployments!T135</f>
        <v>0</v>
      </c>
      <c r="M135" s="15">
        <f>Deployments!L135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Deployments!V136</f>
        <v>WNH270OPR448</v>
      </c>
      <c r="C136" s="23">
        <f>Deployments!W136</f>
        <v>0</v>
      </c>
      <c r="D136" s="15">
        <f>Deployments!AJ136</f>
        <v>0</v>
      </c>
      <c r="E136" s="15" t="str">
        <f>Deployments!N136</f>
        <v>Yes</v>
      </c>
      <c r="F136" s="23" t="str">
        <f>Deployments!O136</f>
        <v>No</v>
      </c>
      <c r="G136" s="15" t="str">
        <f>Deployments!P136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Deployments!T136</f>
        <v>0</v>
      </c>
      <c r="M136" s="15">
        <f>Deployments!L136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Deployments!V137</f>
        <v>WNH270OPR449</v>
      </c>
      <c r="C137" s="23">
        <f>Deployments!W137</f>
        <v>0</v>
      </c>
      <c r="D137" s="15">
        <f>Deployments!AJ137</f>
        <v>0</v>
      </c>
      <c r="E137" s="15" t="str">
        <f>Deployments!N137</f>
        <v>Yes</v>
      </c>
      <c r="F137" s="23" t="str">
        <f>Deployments!O137</f>
        <v>No</v>
      </c>
      <c r="G137" s="15" t="str">
        <f>Deployments!P137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Deployments!T137</f>
        <v>0</v>
      </c>
      <c r="M137" s="15">
        <f>Deployments!L137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Deployments!V139</f>
        <v>WVS900OPR028</v>
      </c>
      <c r="C138" s="23" t="str">
        <f>Deployments!W139</f>
        <v>A0F5097FA59B</v>
      </c>
      <c r="D138" s="15">
        <f>Deployments!AJ139</f>
        <v>0</v>
      </c>
      <c r="E138" s="15">
        <f>Deployments!N139</f>
        <v>0</v>
      </c>
      <c r="F138" s="23">
        <f>Deployments!O139</f>
        <v>0</v>
      </c>
      <c r="G138" s="15">
        <f>Deployments!P139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Deployments!T139</f>
        <v>0</v>
      </c>
      <c r="M138" s="15">
        <f>Deployments!L139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Deployments!V140</f>
        <v>WVS900OPR023</v>
      </c>
      <c r="C139" s="23" t="str">
        <f>Deployments!W140</f>
        <v>A0F5097FA526</v>
      </c>
      <c r="D139" s="15">
        <f>Deployments!AJ140</f>
        <v>0</v>
      </c>
      <c r="E139" s="15">
        <f>Deployments!N140</f>
        <v>0</v>
      </c>
      <c r="F139" s="23">
        <f>Deployments!O140</f>
        <v>0</v>
      </c>
      <c r="G139" s="15">
        <f>Deployments!P140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Deployments!T140</f>
        <v>0</v>
      </c>
      <c r="M139" s="15">
        <f>Deployments!L140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Deployments!V141</f>
        <v>WVS900OPR026</v>
      </c>
      <c r="C140" s="23" t="str">
        <f>Deployments!W141</f>
        <v>A0F5097FA52B</v>
      </c>
      <c r="D140" s="15">
        <f>Deployments!AJ141</f>
        <v>0</v>
      </c>
      <c r="E140" s="15">
        <f>Deployments!N141</f>
        <v>0</v>
      </c>
      <c r="F140" s="23">
        <f>Deployments!O141</f>
        <v>0</v>
      </c>
      <c r="G140" s="15">
        <f>Deployments!P141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Deployments!T141</f>
        <v>0</v>
      </c>
      <c r="M140" s="15">
        <f>Deployments!L141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Deployments!V142</f>
        <v>WVS900OPR030</v>
      </c>
      <c r="C141" s="23" t="str">
        <f>Deployments!W142</f>
        <v>A0F5097FA5C5</v>
      </c>
      <c r="D141" s="15">
        <f>Deployments!AJ142</f>
        <v>0</v>
      </c>
      <c r="E141" s="15">
        <f>Deployments!N142</f>
        <v>0</v>
      </c>
      <c r="F141" s="23">
        <f>Deployments!O142</f>
        <v>0</v>
      </c>
      <c r="G141" s="15">
        <f>Deployments!P142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Deployments!T142</f>
        <v>0</v>
      </c>
      <c r="M141" s="15">
        <f>Deployments!L142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Deployments!V143</f>
        <v>WVS900OPR029</v>
      </c>
      <c r="C142" s="23" t="str">
        <f>Deployments!W143</f>
        <v>A0F5097FA3F3</v>
      </c>
      <c r="D142" s="15">
        <f>Deployments!AJ143</f>
        <v>0</v>
      </c>
      <c r="E142" s="15">
        <f>Deployments!N143</f>
        <v>0</v>
      </c>
      <c r="F142" s="23">
        <f>Deployments!O143</f>
        <v>0</v>
      </c>
      <c r="G142" s="15">
        <f>Deployments!P143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Deployments!T143</f>
        <v>0</v>
      </c>
      <c r="M142" s="15">
        <f>Deployments!L143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Deployments!V144</f>
        <v>WVS900OPR024</v>
      </c>
      <c r="C143" s="23" t="str">
        <f>Deployments!W144</f>
        <v>A0F5097FA58A</v>
      </c>
      <c r="D143" s="15">
        <f>Deployments!AJ144</f>
        <v>0</v>
      </c>
      <c r="E143" s="15">
        <f>Deployments!N144</f>
        <v>0</v>
      </c>
      <c r="F143" s="23">
        <f>Deployments!O144</f>
        <v>0</v>
      </c>
      <c r="G143" s="15">
        <f>Deployments!P144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Deployments!T144</f>
        <v>0</v>
      </c>
      <c r="M143" s="15">
        <f>Deployments!L144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Deployments!V145</f>
        <v>WVS900OPR025</v>
      </c>
      <c r="C144" s="23" t="str">
        <f>Deployments!W145</f>
        <v>A0F5097F9550</v>
      </c>
      <c r="D144" s="15">
        <f>Deployments!AJ145</f>
        <v>0</v>
      </c>
      <c r="E144" s="15">
        <f>Deployments!N145</f>
        <v>0</v>
      </c>
      <c r="F144" s="23">
        <f>Deployments!O145</f>
        <v>0</v>
      </c>
      <c r="G144" s="15">
        <f>Deployments!P145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Deployments!T145</f>
        <v>0</v>
      </c>
      <c r="M144" s="15">
        <f>Deployments!L145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Deployments!V146</f>
        <v>0</v>
      </c>
      <c r="C145" s="23">
        <f>Deployments!W146</f>
        <v>0</v>
      </c>
      <c r="D145" s="15">
        <f>Deployments!AJ146</f>
        <v>0</v>
      </c>
      <c r="E145" s="15">
        <f>Deployments!N146</f>
        <v>0</v>
      </c>
      <c r="F145" s="23">
        <f>Deployments!O146</f>
        <v>0</v>
      </c>
      <c r="G145" s="15">
        <f>Deployments!P146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Deployments!T146</f>
        <v>0</v>
      </c>
      <c r="M145" s="15">
        <f>Deployments!L146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Deployments!V147</f>
        <v>0</v>
      </c>
      <c r="C146" s="23">
        <f>Deployments!W147</f>
        <v>0</v>
      </c>
      <c r="D146" s="15">
        <f>Deployments!AJ147</f>
        <v>0</v>
      </c>
      <c r="E146" s="15">
        <f>Deployments!N147</f>
        <v>0</v>
      </c>
      <c r="F146" s="23">
        <f>Deployments!O147</f>
        <v>0</v>
      </c>
      <c r="G146" s="15">
        <f>Deployments!P147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Deployments!T147</f>
        <v>0</v>
      </c>
      <c r="M146" s="15">
        <f>Deployments!L147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Deployments!V148</f>
        <v>0</v>
      </c>
      <c r="C147" s="23">
        <f>Deployments!W148</f>
        <v>0</v>
      </c>
      <c r="D147" s="15">
        <f>Deployments!AJ148</f>
        <v>0</v>
      </c>
      <c r="E147" s="15">
        <f>Deployments!N148</f>
        <v>0</v>
      </c>
      <c r="F147" s="23">
        <f>Deployments!O148</f>
        <v>0</v>
      </c>
      <c r="G147" s="15">
        <f>Deployments!P148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Deployments!T148</f>
        <v>0</v>
      </c>
      <c r="M147" s="15">
        <f>Deployments!L148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Deployments!V149</f>
        <v>0</v>
      </c>
      <c r="C148" s="23">
        <f>Deployments!W149</f>
        <v>0</v>
      </c>
      <c r="D148" s="15">
        <f>Deployments!AJ149</f>
        <v>0</v>
      </c>
      <c r="E148" s="15">
        <f>Deployments!N149</f>
        <v>0</v>
      </c>
      <c r="F148" s="23">
        <f>Deployments!O149</f>
        <v>0</v>
      </c>
      <c r="G148" s="15">
        <f>Deployments!P149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Deployments!T149</f>
        <v>0</v>
      </c>
      <c r="M148" s="15">
        <f>Deployments!L149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Deployments!V150</f>
        <v>0</v>
      </c>
      <c r="C149" s="23">
        <f>Deployments!W150</f>
        <v>0</v>
      </c>
      <c r="D149" s="15">
        <f>Deployments!AJ150</f>
        <v>0</v>
      </c>
      <c r="E149" s="15">
        <f>Deployments!N150</f>
        <v>0</v>
      </c>
      <c r="F149" s="23">
        <f>Deployments!O150</f>
        <v>0</v>
      </c>
      <c r="G149" s="15">
        <f>Deployments!P150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Deployments!T150</f>
        <v>0</v>
      </c>
      <c r="M149" s="15">
        <f>Deployments!L150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Deployments!V151</f>
        <v>0</v>
      </c>
      <c r="C150" s="23">
        <f>Deployments!W151</f>
        <v>0</v>
      </c>
      <c r="D150" s="15">
        <f>Deployments!AJ151</f>
        <v>0</v>
      </c>
      <c r="E150" s="15">
        <f>Deployments!N151</f>
        <v>0</v>
      </c>
      <c r="F150" s="23">
        <f>Deployments!O151</f>
        <v>0</v>
      </c>
      <c r="G150" s="15">
        <f>Deployments!P151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Deployments!T151</f>
        <v>0</v>
      </c>
      <c r="M150" s="15">
        <f>Deployments!L151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Deployments!V152</f>
        <v>0</v>
      </c>
      <c r="C151" s="23">
        <f>Deployments!W152</f>
        <v>0</v>
      </c>
      <c r="D151" s="15">
        <f>Deployments!AJ152</f>
        <v>0</v>
      </c>
      <c r="E151" s="15">
        <f>Deployments!N152</f>
        <v>0</v>
      </c>
      <c r="F151" s="23">
        <f>Deployments!O152</f>
        <v>0</v>
      </c>
      <c r="G151" s="15">
        <f>Deployments!P152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Deployments!T152</f>
        <v>0</v>
      </c>
      <c r="M151" s="15">
        <f>Deployments!L152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Deployments!V153</f>
        <v>0</v>
      </c>
      <c r="C152" s="23">
        <f>Deployments!W153</f>
        <v>0</v>
      </c>
      <c r="D152" s="15">
        <f>Deployments!AJ153</f>
        <v>0</v>
      </c>
      <c r="E152" s="15">
        <f>Deployments!N153</f>
        <v>0</v>
      </c>
      <c r="F152" s="23">
        <f>Deployments!O153</f>
        <v>0</v>
      </c>
      <c r="G152" s="15">
        <f>Deployments!P153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Deployments!T153</f>
        <v>0</v>
      </c>
      <c r="M152" s="15">
        <f>Deployments!L153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Deployments!V154</f>
        <v>0</v>
      </c>
      <c r="C153" s="23">
        <f>Deployments!W154</f>
        <v>0</v>
      </c>
      <c r="D153" s="15">
        <f>Deployments!AJ154</f>
        <v>0</v>
      </c>
      <c r="E153" s="15">
        <f>Deployments!N154</f>
        <v>0</v>
      </c>
      <c r="F153" s="23">
        <f>Deployments!O154</f>
        <v>0</v>
      </c>
      <c r="G153" s="15">
        <f>Deployments!P154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Deployments!T154</f>
        <v>0</v>
      </c>
      <c r="M153" s="15">
        <f>Deployments!L154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Deployments!V155</f>
        <v>0</v>
      </c>
      <c r="C154" s="23">
        <f>Deployments!W155</f>
        <v>0</v>
      </c>
      <c r="D154" s="15">
        <f>Deployments!AJ155</f>
        <v>0</v>
      </c>
      <c r="E154" s="15">
        <f>Deployments!N155</f>
        <v>0</v>
      </c>
      <c r="F154" s="23">
        <f>Deployments!O155</f>
        <v>0</v>
      </c>
      <c r="G154" s="15">
        <f>Deployments!P155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Deployments!T155</f>
        <v>0</v>
      </c>
      <c r="M154" s="15">
        <f>Deployments!L155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Deployments!V156</f>
        <v>0</v>
      </c>
      <c r="C155" s="23">
        <f>Deployments!W156</f>
        <v>0</v>
      </c>
      <c r="D155" s="15">
        <f>Deployments!AJ156</f>
        <v>0</v>
      </c>
      <c r="E155" s="15">
        <f>Deployments!N156</f>
        <v>0</v>
      </c>
      <c r="F155" s="23">
        <f>Deployments!O156</f>
        <v>0</v>
      </c>
      <c r="G155" s="15">
        <f>Deployments!P156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Deployments!T156</f>
        <v>0</v>
      </c>
      <c r="M155" s="15">
        <f>Deployments!L156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Deployments!V157</f>
        <v>0</v>
      </c>
      <c r="C156" s="23">
        <f>Deployments!W157</f>
        <v>0</v>
      </c>
      <c r="D156" s="15">
        <f>Deployments!AJ157</f>
        <v>0</v>
      </c>
      <c r="E156" s="15">
        <f>Deployments!N157</f>
        <v>0</v>
      </c>
      <c r="F156" s="23">
        <f>Deployments!O157</f>
        <v>0</v>
      </c>
      <c r="G156" s="15">
        <f>Deployments!P157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Deployments!T157</f>
        <v>0</v>
      </c>
      <c r="M156" s="15">
        <f>Deployments!L157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Deployments!V158</f>
        <v>0</v>
      </c>
      <c r="C157" s="23">
        <f>Deployments!W158</f>
        <v>0</v>
      </c>
      <c r="D157" s="15">
        <f>Deployments!AJ158</f>
        <v>0</v>
      </c>
      <c r="E157" s="15">
        <f>Deployments!N158</f>
        <v>0</v>
      </c>
      <c r="F157" s="23">
        <f>Deployments!O158</f>
        <v>0</v>
      </c>
      <c r="G157" s="15">
        <f>Deployments!P158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Deployments!T158</f>
        <v>0</v>
      </c>
      <c r="M157" s="15">
        <f>Deployments!L158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Deployments!V159</f>
        <v>0</v>
      </c>
      <c r="C158" s="23">
        <f>Deployments!W159</f>
        <v>0</v>
      </c>
      <c r="D158" s="15">
        <f>Deployments!AJ159</f>
        <v>0</v>
      </c>
      <c r="E158" s="15">
        <f>Deployments!N159</f>
        <v>0</v>
      </c>
      <c r="F158" s="23">
        <f>Deployments!O159</f>
        <v>0</v>
      </c>
      <c r="G158" s="15">
        <f>Deployments!P159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Deployments!T159</f>
        <v>0</v>
      </c>
      <c r="M158" s="15">
        <f>Deployments!L159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Deployments!V160</f>
        <v>0</v>
      </c>
      <c r="C159" s="23">
        <f>Deployments!W160</f>
        <v>0</v>
      </c>
      <c r="D159" s="15">
        <f>Deployments!AJ160</f>
        <v>0</v>
      </c>
      <c r="E159" s="15">
        <f>Deployments!N160</f>
        <v>0</v>
      </c>
      <c r="F159" s="23">
        <f>Deployments!O160</f>
        <v>0</v>
      </c>
      <c r="G159" s="15">
        <f>Deployments!P160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Deployments!T160</f>
        <v>0</v>
      </c>
      <c r="M159" s="15">
        <f>Deployments!L160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Deployments!V161</f>
        <v>0</v>
      </c>
      <c r="C160" s="23">
        <f>Deployments!W161</f>
        <v>0</v>
      </c>
      <c r="D160" s="15">
        <f>Deployments!AJ161</f>
        <v>0</v>
      </c>
      <c r="E160" s="15">
        <f>Deployments!N161</f>
        <v>0</v>
      </c>
      <c r="F160" s="23">
        <f>Deployments!O161</f>
        <v>0</v>
      </c>
      <c r="G160" s="15">
        <f>Deployments!P161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Deployments!T161</f>
        <v>0</v>
      </c>
      <c r="M160" s="15">
        <f>Deployments!L161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Deployments!V162</f>
        <v>0</v>
      </c>
      <c r="C161" s="23">
        <f>Deployments!W162</f>
        <v>0</v>
      </c>
      <c r="D161" s="15">
        <f>Deployments!AJ162</f>
        <v>0</v>
      </c>
      <c r="E161" s="15">
        <f>Deployments!N162</f>
        <v>0</v>
      </c>
      <c r="F161" s="23">
        <f>Deployments!O162</f>
        <v>0</v>
      </c>
      <c r="G161" s="15">
        <f>Deployments!P162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Deployments!T162</f>
        <v>0</v>
      </c>
      <c r="M161" s="15">
        <f>Deployments!L162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Deployments!V163</f>
        <v>0</v>
      </c>
      <c r="C162" s="23">
        <f>Deployments!W163</f>
        <v>0</v>
      </c>
      <c r="D162" s="15">
        <f>Deployments!AJ163</f>
        <v>0</v>
      </c>
      <c r="E162" s="15">
        <f>Deployments!N163</f>
        <v>0</v>
      </c>
      <c r="F162" s="23">
        <f>Deployments!O163</f>
        <v>0</v>
      </c>
      <c r="G162" s="15">
        <f>Deployments!P163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Deployments!T163</f>
        <v>0</v>
      </c>
      <c r="M162" s="15">
        <f>Deployments!L163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Deployments!V164</f>
        <v>0</v>
      </c>
      <c r="C163" s="23">
        <f>Deployments!W164</f>
        <v>0</v>
      </c>
      <c r="D163" s="15">
        <f>Deployments!AJ164</f>
        <v>0</v>
      </c>
      <c r="E163" s="15">
        <f>Deployments!N164</f>
        <v>0</v>
      </c>
      <c r="F163" s="23">
        <f>Deployments!O164</f>
        <v>0</v>
      </c>
      <c r="G163" s="15">
        <f>Deployments!P164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Deployments!T164</f>
        <v>0</v>
      </c>
      <c r="M163" s="15">
        <f>Deployments!L164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Deployments!V165</f>
        <v>0</v>
      </c>
      <c r="C164" s="23">
        <f>Deployments!W165</f>
        <v>0</v>
      </c>
      <c r="D164" s="15">
        <f>Deployments!AJ165</f>
        <v>0</v>
      </c>
      <c r="E164" s="15">
        <f>Deployments!N165</f>
        <v>0</v>
      </c>
      <c r="F164" s="23">
        <f>Deployments!O165</f>
        <v>0</v>
      </c>
      <c r="G164" s="15">
        <f>Deployments!P165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Deployments!T165</f>
        <v>0</v>
      </c>
      <c r="M164" s="15">
        <f>Deployments!L165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Deployments!V166</f>
        <v>0</v>
      </c>
      <c r="C165" s="23">
        <f>Deployments!W166</f>
        <v>0</v>
      </c>
      <c r="D165" s="15">
        <f>Deployments!AJ166</f>
        <v>0</v>
      </c>
      <c r="E165" s="15">
        <f>Deployments!N166</f>
        <v>0</v>
      </c>
      <c r="F165" s="23">
        <f>Deployments!O166</f>
        <v>0</v>
      </c>
      <c r="G165" s="15">
        <f>Deployments!P166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Deployments!T166</f>
        <v>0</v>
      </c>
      <c r="M165" s="15">
        <f>Deployments!L166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Deployments!V167</f>
        <v>0</v>
      </c>
      <c r="C166" s="23">
        <f>Deployments!W167</f>
        <v>0</v>
      </c>
      <c r="D166" s="15">
        <f>Deployments!AJ167</f>
        <v>0</v>
      </c>
      <c r="E166" s="15">
        <f>Deployments!N167</f>
        <v>0</v>
      </c>
      <c r="F166" s="23">
        <f>Deployments!O167</f>
        <v>0</v>
      </c>
      <c r="G166" s="15">
        <f>Deployments!P167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Deployments!T167</f>
        <v>0</v>
      </c>
      <c r="M166" s="15">
        <f>Deployments!L167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Deployments!V168</f>
        <v>0</v>
      </c>
      <c r="C167" s="23">
        <f>Deployments!W168</f>
        <v>0</v>
      </c>
      <c r="D167" s="15">
        <f>Deployments!AJ168</f>
        <v>0</v>
      </c>
      <c r="E167" s="15">
        <f>Deployments!N168</f>
        <v>0</v>
      </c>
      <c r="F167" s="23">
        <f>Deployments!O168</f>
        <v>0</v>
      </c>
      <c r="G167" s="15">
        <f>Deployments!P168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Deployments!T168</f>
        <v>0</v>
      </c>
      <c r="M167" s="15">
        <f>Deployments!L168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Deployments!V169</f>
        <v>0</v>
      </c>
      <c r="C168" s="23">
        <f>Deployments!W169</f>
        <v>0</v>
      </c>
      <c r="D168" s="15">
        <f>Deployments!AJ169</f>
        <v>0</v>
      </c>
      <c r="E168" s="15">
        <f>Deployments!N169</f>
        <v>0</v>
      </c>
      <c r="F168" s="23">
        <f>Deployments!O169</f>
        <v>0</v>
      </c>
      <c r="G168" s="15">
        <f>Deployments!P169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Deployments!T169</f>
        <v>0</v>
      </c>
      <c r="M168" s="15">
        <f>Deployments!L169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Deployments!V170</f>
        <v>0</v>
      </c>
      <c r="C169" s="23">
        <f>Deployments!W170</f>
        <v>0</v>
      </c>
      <c r="D169" s="15">
        <f>Deployments!AJ170</f>
        <v>0</v>
      </c>
      <c r="E169" s="15">
        <f>Deployments!N170</f>
        <v>0</v>
      </c>
      <c r="F169" s="23">
        <f>Deployments!O170</f>
        <v>0</v>
      </c>
      <c r="G169" s="15">
        <f>Deployments!P170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Deployments!T170</f>
        <v>0</v>
      </c>
      <c r="M169" s="15">
        <f>Deployments!L170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Deployments!V171</f>
        <v>0</v>
      </c>
      <c r="C170" s="23">
        <f>Deployments!W171</f>
        <v>0</v>
      </c>
      <c r="D170" s="15">
        <f>Deployments!AJ171</f>
        <v>0</v>
      </c>
      <c r="E170" s="15">
        <f>Deployments!N171</f>
        <v>0</v>
      </c>
      <c r="F170" s="23">
        <f>Deployments!O171</f>
        <v>0</v>
      </c>
      <c r="G170" s="15">
        <f>Deployments!P171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Deployments!T171</f>
        <v>0</v>
      </c>
      <c r="M170" s="15">
        <f>Deployments!L171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Deployments!V172</f>
        <v>0</v>
      </c>
      <c r="C171" s="23">
        <f>Deployments!W172</f>
        <v>0</v>
      </c>
      <c r="D171" s="15">
        <f>Deployments!AJ172</f>
        <v>0</v>
      </c>
      <c r="E171" s="15">
        <f>Deployments!N172</f>
        <v>0</v>
      </c>
      <c r="F171" s="23">
        <f>Deployments!O172</f>
        <v>0</v>
      </c>
      <c r="G171" s="15">
        <f>Deployments!P172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Deployments!T172</f>
        <v>0</v>
      </c>
      <c r="M171" s="15">
        <f>Deployments!L172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Deployments!V173</f>
        <v>0</v>
      </c>
      <c r="C172" s="23">
        <f>Deployments!W173</f>
        <v>0</v>
      </c>
      <c r="D172" s="15">
        <f>Deployments!AJ173</f>
        <v>0</v>
      </c>
      <c r="E172" s="15">
        <f>Deployments!N173</f>
        <v>0</v>
      </c>
      <c r="F172" s="23">
        <f>Deployments!O173</f>
        <v>0</v>
      </c>
      <c r="G172" s="15">
        <f>Deployments!P173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Deployments!T173</f>
        <v>0</v>
      </c>
      <c r="M172" s="15">
        <f>Deployments!L173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Deployments!V174</f>
        <v>0</v>
      </c>
      <c r="C173" s="23">
        <f>Deployments!W174</f>
        <v>0</v>
      </c>
      <c r="D173" s="15">
        <f>Deployments!AJ174</f>
        <v>0</v>
      </c>
      <c r="E173" s="15">
        <f>Deployments!N174</f>
        <v>0</v>
      </c>
      <c r="F173" s="23">
        <f>Deployments!O174</f>
        <v>0</v>
      </c>
      <c r="G173" s="15">
        <f>Deployments!P174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Deployments!T174</f>
        <v>0</v>
      </c>
      <c r="M173" s="15">
        <f>Deployments!L174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Deployments!V175</f>
        <v>0</v>
      </c>
      <c r="C174" s="23">
        <f>Deployments!W175</f>
        <v>0</v>
      </c>
      <c r="D174" s="15">
        <f>Deployments!AJ175</f>
        <v>0</v>
      </c>
      <c r="E174" s="15">
        <f>Deployments!N175</f>
        <v>0</v>
      </c>
      <c r="F174" s="23">
        <f>Deployments!O175</f>
        <v>0</v>
      </c>
      <c r="G174" s="15">
        <f>Deployments!P175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Deployments!T175</f>
        <v>0</v>
      </c>
      <c r="M174" s="15">
        <f>Deployments!L175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Deployments!V176</f>
        <v>0</v>
      </c>
      <c r="C175" s="23">
        <f>Deployments!W176</f>
        <v>0</v>
      </c>
      <c r="D175" s="15">
        <f>Deployments!AJ176</f>
        <v>0</v>
      </c>
      <c r="E175" s="15">
        <f>Deployments!N176</f>
        <v>0</v>
      </c>
      <c r="F175" s="23">
        <f>Deployments!O176</f>
        <v>0</v>
      </c>
      <c r="G175" s="15">
        <f>Deployments!P176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Deployments!T176</f>
        <v>0</v>
      </c>
      <c r="M175" s="15">
        <f>Deployments!L176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Deployments!V177</f>
        <v>0</v>
      </c>
      <c r="C176" s="23">
        <f>Deployments!W177</f>
        <v>0</v>
      </c>
      <c r="D176" s="15">
        <f>Deployments!AJ177</f>
        <v>0</v>
      </c>
      <c r="E176" s="15">
        <f>Deployments!N177</f>
        <v>0</v>
      </c>
      <c r="F176" s="23">
        <f>Deployments!O177</f>
        <v>0</v>
      </c>
      <c r="G176" s="15">
        <f>Deployments!P177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Deployments!T177</f>
        <v>0</v>
      </c>
      <c r="M176" s="15">
        <f>Deployments!L177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Deployments!V178</f>
        <v>0</v>
      </c>
      <c r="C177" s="23">
        <f>Deployments!W178</f>
        <v>0</v>
      </c>
      <c r="D177" s="15">
        <f>Deployments!AJ178</f>
        <v>0</v>
      </c>
      <c r="E177" s="15">
        <f>Deployments!N178</f>
        <v>0</v>
      </c>
      <c r="F177" s="23">
        <f>Deployments!O178</f>
        <v>0</v>
      </c>
      <c r="G177" s="15">
        <f>Deployments!P178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Deployments!T178</f>
        <v>0</v>
      </c>
      <c r="M177" s="15">
        <f>Deployments!L178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Deployments!V179</f>
        <v>0</v>
      </c>
      <c r="C178" s="23">
        <f>Deployments!W179</f>
        <v>0</v>
      </c>
      <c r="D178" s="15">
        <f>Deployments!AJ179</f>
        <v>0</v>
      </c>
      <c r="E178" s="15">
        <f>Deployments!N179</f>
        <v>0</v>
      </c>
      <c r="F178" s="23">
        <f>Deployments!O179</f>
        <v>0</v>
      </c>
      <c r="G178" s="15">
        <f>Deployments!P179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Deployments!T179</f>
        <v>0</v>
      </c>
      <c r="M178" s="15">
        <f>Deployments!L179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Deployments!V180</f>
        <v>0</v>
      </c>
      <c r="C179" s="23">
        <f>Deployments!W180</f>
        <v>0</v>
      </c>
      <c r="D179" s="15">
        <f>Deployments!AJ180</f>
        <v>0</v>
      </c>
      <c r="E179" s="15">
        <f>Deployments!N180</f>
        <v>0</v>
      </c>
      <c r="F179" s="23">
        <f>Deployments!O180</f>
        <v>0</v>
      </c>
      <c r="G179" s="15">
        <f>Deployments!P180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Deployments!T180</f>
        <v>0</v>
      </c>
      <c r="M179" s="15">
        <f>Deployments!L180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Deployments!V181</f>
        <v>0</v>
      </c>
      <c r="C180" s="23">
        <f>Deployments!W181</f>
        <v>0</v>
      </c>
      <c r="D180" s="15">
        <f>Deployments!AJ181</f>
        <v>0</v>
      </c>
      <c r="E180" s="15">
        <f>Deployments!N181</f>
        <v>0</v>
      </c>
      <c r="F180" s="23">
        <f>Deployments!O181</f>
        <v>0</v>
      </c>
      <c r="G180" s="15">
        <f>Deployments!P181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Deployments!T181</f>
        <v>0</v>
      </c>
      <c r="M180" s="15">
        <f>Deployments!L181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Deployments!V182</f>
        <v>0</v>
      </c>
      <c r="C181" s="23">
        <f>Deployments!W182</f>
        <v>0</v>
      </c>
      <c r="D181" s="15">
        <f>Deployments!AJ182</f>
        <v>0</v>
      </c>
      <c r="E181" s="15">
        <f>Deployments!N182</f>
        <v>0</v>
      </c>
      <c r="F181" s="23">
        <f>Deployments!O182</f>
        <v>0</v>
      </c>
      <c r="G181" s="15">
        <f>Deployments!P182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Deployments!T182</f>
        <v>0</v>
      </c>
      <c r="M181" s="15">
        <f>Deployments!L182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Deployments!V183</f>
        <v>0</v>
      </c>
      <c r="C182" s="23">
        <f>Deployments!W183</f>
        <v>0</v>
      </c>
      <c r="D182" s="15">
        <f>Deployments!AJ183</f>
        <v>0</v>
      </c>
      <c r="E182" s="15">
        <f>Deployments!N183</f>
        <v>0</v>
      </c>
      <c r="F182" s="23">
        <f>Deployments!O183</f>
        <v>0</v>
      </c>
      <c r="G182" s="15">
        <f>Deployments!P183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Deployments!T183</f>
        <v>0</v>
      </c>
      <c r="M182" s="15">
        <f>Deployments!L183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Deployments!V184</f>
        <v>0</v>
      </c>
      <c r="C183" s="23">
        <f>Deployments!W184</f>
        <v>0</v>
      </c>
      <c r="D183" s="15">
        <f>Deployments!AJ184</f>
        <v>0</v>
      </c>
      <c r="E183" s="15">
        <f>Deployments!N184</f>
        <v>0</v>
      </c>
      <c r="F183" s="23">
        <f>Deployments!O184</f>
        <v>0</v>
      </c>
      <c r="G183" s="15">
        <f>Deployments!P184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Deployments!T184</f>
        <v>0</v>
      </c>
      <c r="M183" s="15">
        <f>Deployments!L184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Deployments!V185</f>
        <v>0</v>
      </c>
      <c r="C184" s="23">
        <f>Deployments!W185</f>
        <v>0</v>
      </c>
      <c r="D184" s="15">
        <f>Deployments!AJ185</f>
        <v>0</v>
      </c>
      <c r="E184" s="15">
        <f>Deployments!N185</f>
        <v>0</v>
      </c>
      <c r="F184" s="23">
        <f>Deployments!O185</f>
        <v>0</v>
      </c>
      <c r="G184" s="15">
        <f>Deployments!P185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Deployments!T185</f>
        <v>0</v>
      </c>
      <c r="M184" s="15">
        <f>Deployments!L185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Deployments!V186</f>
        <v>0</v>
      </c>
      <c r="C185" s="23">
        <f>Deployments!W186</f>
        <v>0</v>
      </c>
      <c r="D185" s="15">
        <f>Deployments!AJ186</f>
        <v>0</v>
      </c>
      <c r="E185" s="15">
        <f>Deployments!N186</f>
        <v>0</v>
      </c>
      <c r="F185" s="23">
        <f>Deployments!O186</f>
        <v>0</v>
      </c>
      <c r="G185" s="15">
        <f>Deployments!P186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Deployments!T186</f>
        <v>0</v>
      </c>
      <c r="M185" s="15">
        <f>Deployments!L186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Deployments!V187</f>
        <v>0</v>
      </c>
      <c r="C186" s="23">
        <f>Deployments!W187</f>
        <v>0</v>
      </c>
      <c r="D186" s="15">
        <f>Deployments!AJ187</f>
        <v>0</v>
      </c>
      <c r="E186" s="15">
        <f>Deployments!N187</f>
        <v>0</v>
      </c>
      <c r="F186" s="23">
        <f>Deployments!O187</f>
        <v>0</v>
      </c>
      <c r="G186" s="15">
        <f>Deployments!P187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Deployments!T187</f>
        <v>0</v>
      </c>
      <c r="M186" s="15">
        <f>Deployments!L187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Deployments!V188</f>
        <v>0</v>
      </c>
      <c r="C187" s="23">
        <f>Deployments!W188</f>
        <v>0</v>
      </c>
      <c r="D187" s="15">
        <f>Deployments!AJ188</f>
        <v>0</v>
      </c>
      <c r="E187" s="15">
        <f>Deployments!N188</f>
        <v>0</v>
      </c>
      <c r="F187" s="23">
        <f>Deployments!O188</f>
        <v>0</v>
      </c>
      <c r="G187" s="15">
        <f>Deployments!P188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Deployments!T188</f>
        <v>0</v>
      </c>
      <c r="M187" s="15">
        <f>Deployments!L188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Deployments!V189</f>
        <v>0</v>
      </c>
      <c r="C188" s="23">
        <f>Deployments!W189</f>
        <v>0</v>
      </c>
      <c r="D188" s="15">
        <f>Deployments!AJ189</f>
        <v>0</v>
      </c>
      <c r="E188" s="15">
        <f>Deployments!N189</f>
        <v>0</v>
      </c>
      <c r="F188" s="23">
        <f>Deployments!O189</f>
        <v>0</v>
      </c>
      <c r="G188" s="15">
        <f>Deployments!P189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Deployments!T189</f>
        <v>0</v>
      </c>
      <c r="M188" s="15">
        <f>Deployments!L189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Deployments!V190</f>
        <v>0</v>
      </c>
      <c r="C189" s="23">
        <f>Deployments!W190</f>
        <v>0</v>
      </c>
      <c r="D189" s="15">
        <f>Deployments!AJ190</f>
        <v>0</v>
      </c>
      <c r="E189" s="15">
        <f>Deployments!N190</f>
        <v>0</v>
      </c>
      <c r="F189" s="23">
        <f>Deployments!O190</f>
        <v>0</v>
      </c>
      <c r="G189" s="15">
        <f>Deployments!P190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Deployments!T190</f>
        <v>0</v>
      </c>
      <c r="M189" s="15">
        <f>Deployments!L190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Deployments!V191</f>
        <v>0</v>
      </c>
      <c r="C190" s="23">
        <f>Deployments!W191</f>
        <v>0</v>
      </c>
      <c r="D190" s="15">
        <f>Deployments!AJ191</f>
        <v>0</v>
      </c>
      <c r="E190" s="15">
        <f>Deployments!N191</f>
        <v>0</v>
      </c>
      <c r="F190" s="23">
        <f>Deployments!O191</f>
        <v>0</v>
      </c>
      <c r="G190" s="15">
        <f>Deployments!P191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Deployments!T191</f>
        <v>0</v>
      </c>
      <c r="M190" s="15">
        <f>Deployments!L191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Deployments!V192</f>
        <v>0</v>
      </c>
      <c r="C191" s="23">
        <f>Deployments!W192</f>
        <v>0</v>
      </c>
      <c r="D191" s="15">
        <f>Deployments!AJ192</f>
        <v>0</v>
      </c>
      <c r="E191" s="15">
        <f>Deployments!N192</f>
        <v>0</v>
      </c>
      <c r="F191" s="23">
        <f>Deployments!O192</f>
        <v>0</v>
      </c>
      <c r="G191" s="15">
        <f>Deployments!P192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Deployments!T192</f>
        <v>0</v>
      </c>
      <c r="M191" s="15">
        <f>Deployments!L192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Deployments!V193</f>
        <v>0</v>
      </c>
      <c r="C192" s="23">
        <f>Deployments!W193</f>
        <v>0</v>
      </c>
      <c r="D192" s="15">
        <f>Deployments!AJ193</f>
        <v>0</v>
      </c>
      <c r="E192" s="15">
        <f>Deployments!N193</f>
        <v>0</v>
      </c>
      <c r="F192" s="23">
        <f>Deployments!O193</f>
        <v>0</v>
      </c>
      <c r="G192" s="15">
        <f>Deployments!P193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Deployments!T193</f>
        <v>0</v>
      </c>
      <c r="M192" s="15">
        <f>Deployments!L193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Deployments!V194</f>
        <v>0</v>
      </c>
      <c r="C193" s="23">
        <f>Deployments!W194</f>
        <v>0</v>
      </c>
      <c r="D193" s="15">
        <f>Deployments!AJ194</f>
        <v>0</v>
      </c>
      <c r="E193" s="15">
        <f>Deployments!N194</f>
        <v>0</v>
      </c>
      <c r="F193" s="23">
        <f>Deployments!O194</f>
        <v>0</v>
      </c>
      <c r="G193" s="15">
        <f>Deployments!P194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Deployments!T194</f>
        <v>0</v>
      </c>
      <c r="M193" s="15">
        <f>Deployments!L194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Deployments!V195</f>
        <v>0</v>
      </c>
      <c r="C194" s="23">
        <f>Deployments!W195</f>
        <v>0</v>
      </c>
      <c r="D194" s="15">
        <f>Deployments!AJ195</f>
        <v>0</v>
      </c>
      <c r="E194" s="15">
        <f>Deployments!N195</f>
        <v>0</v>
      </c>
      <c r="F194" s="23">
        <f>Deployments!O195</f>
        <v>0</v>
      </c>
      <c r="G194" s="15">
        <f>Deployments!P195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Deployments!T195</f>
        <v>0</v>
      </c>
      <c r="M194" s="15">
        <f>Deployments!L195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Deployments!V196</f>
        <v>0</v>
      </c>
      <c r="C195" s="23">
        <f>Deployments!W196</f>
        <v>0</v>
      </c>
      <c r="D195" s="15">
        <f>Deployments!AJ196</f>
        <v>0</v>
      </c>
      <c r="E195" s="15">
        <f>Deployments!N196</f>
        <v>0</v>
      </c>
      <c r="F195" s="23">
        <f>Deployments!O196</f>
        <v>0</v>
      </c>
      <c r="G195" s="15">
        <f>Deployments!P196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Deployments!T196</f>
        <v>0</v>
      </c>
      <c r="M195" s="15">
        <f>Deployments!L196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Deployments!V197</f>
        <v>0</v>
      </c>
      <c r="C196" s="23">
        <f>Deployments!W197</f>
        <v>0</v>
      </c>
      <c r="D196" s="15">
        <f>Deployments!AJ197</f>
        <v>0</v>
      </c>
      <c r="E196" s="15">
        <f>Deployments!N197</f>
        <v>0</v>
      </c>
      <c r="F196" s="23">
        <f>Deployments!O197</f>
        <v>0</v>
      </c>
      <c r="G196" s="15">
        <f>Deployments!P197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Deployments!T197</f>
        <v>0</v>
      </c>
      <c r="M196" s="15">
        <f>Deployments!L197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Deployments!V198</f>
        <v>0</v>
      </c>
      <c r="C197" s="23">
        <f>Deployments!W198</f>
        <v>0</v>
      </c>
      <c r="D197" s="15">
        <f>Deployments!AJ198</f>
        <v>0</v>
      </c>
      <c r="E197" s="15">
        <f>Deployments!N198</f>
        <v>0</v>
      </c>
      <c r="F197" s="23">
        <f>Deployments!O198</f>
        <v>0</v>
      </c>
      <c r="G197" s="15">
        <f>Deployments!P198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Deployments!T198</f>
        <v>0</v>
      </c>
      <c r="M197" s="15">
        <f>Deployments!L198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Deployments!V199</f>
        <v>0</v>
      </c>
      <c r="C198" s="23">
        <f>Deployments!W199</f>
        <v>0</v>
      </c>
      <c r="D198" s="15">
        <f>Deployments!AJ199</f>
        <v>0</v>
      </c>
      <c r="E198" s="15">
        <f>Deployments!N199</f>
        <v>0</v>
      </c>
      <c r="F198" s="23">
        <f>Deployments!O199</f>
        <v>0</v>
      </c>
      <c r="G198" s="15">
        <f>Deployments!P199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Deployments!T199</f>
        <v>0</v>
      </c>
      <c r="M198" s="15">
        <f>Deployments!L199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Deployments!V200</f>
        <v>0</v>
      </c>
      <c r="C199" s="23">
        <f>Deployments!W200</f>
        <v>0</v>
      </c>
      <c r="D199" s="15">
        <f>Deployments!AJ200</f>
        <v>0</v>
      </c>
      <c r="E199" s="15">
        <f>Deployments!N200</f>
        <v>0</v>
      </c>
      <c r="F199" s="23">
        <f>Deployments!O200</f>
        <v>0</v>
      </c>
      <c r="G199" s="15">
        <f>Deployments!P200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Deployments!T200</f>
        <v>0</v>
      </c>
      <c r="M199" s="15">
        <f>Deployments!L200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Deployments!V201</f>
        <v>0</v>
      </c>
      <c r="C200" s="23">
        <f>Deployments!W201</f>
        <v>0</v>
      </c>
      <c r="D200" s="15">
        <f>Deployments!AJ201</f>
        <v>0</v>
      </c>
      <c r="E200" s="15">
        <f>Deployments!N201</f>
        <v>0</v>
      </c>
      <c r="F200" s="23">
        <f>Deployments!O201</f>
        <v>0</v>
      </c>
      <c r="G200" s="15">
        <f>Deployments!P201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Deployments!T201</f>
        <v>0</v>
      </c>
      <c r="M200" s="15">
        <f>Deployments!L201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Deployments!V202</f>
        <v>0</v>
      </c>
      <c r="C201" s="23">
        <f>Deployments!W202</f>
        <v>0</v>
      </c>
      <c r="D201" s="15">
        <f>Deployments!AJ202</f>
        <v>0</v>
      </c>
      <c r="E201" s="15">
        <f>Deployments!N202</f>
        <v>0</v>
      </c>
      <c r="F201" s="23">
        <f>Deployments!O202</f>
        <v>0</v>
      </c>
      <c r="G201" s="15">
        <f>Deployments!P202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Deployments!T202</f>
        <v>0</v>
      </c>
      <c r="M201" s="15">
        <f>Deployments!L202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Deployments!V203</f>
        <v>0</v>
      </c>
      <c r="C202" s="23">
        <f>Deployments!W203</f>
        <v>0</v>
      </c>
      <c r="D202" s="15">
        <f>Deployments!AJ203</f>
        <v>0</v>
      </c>
      <c r="E202" s="15">
        <f>Deployments!N203</f>
        <v>0</v>
      </c>
      <c r="F202" s="23">
        <f>Deployments!O203</f>
        <v>0</v>
      </c>
      <c r="G202" s="15">
        <f>Deployments!P203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Deployments!T203</f>
        <v>0</v>
      </c>
      <c r="M202" s="15">
        <f>Deployments!L203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Deployments!V204</f>
        <v>0</v>
      </c>
      <c r="C203" s="23">
        <f>Deployments!W204</f>
        <v>0</v>
      </c>
      <c r="D203" s="15">
        <f>Deployments!AJ204</f>
        <v>0</v>
      </c>
      <c r="E203" s="15">
        <f>Deployments!N204</f>
        <v>0</v>
      </c>
      <c r="F203" s="23">
        <f>Deployments!O204</f>
        <v>0</v>
      </c>
      <c r="G203" s="15">
        <f>Deployments!P204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Deployments!T204</f>
        <v>0</v>
      </c>
      <c r="M203" s="15">
        <f>Deployments!L204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Deployments!V205</f>
        <v>0</v>
      </c>
      <c r="C204" s="23">
        <f>Deployments!W205</f>
        <v>0</v>
      </c>
      <c r="D204" s="15">
        <f>Deployments!AJ205</f>
        <v>0</v>
      </c>
      <c r="E204" s="15">
        <f>Deployments!N205</f>
        <v>0</v>
      </c>
      <c r="F204" s="23">
        <f>Deployments!O205</f>
        <v>0</v>
      </c>
      <c r="G204" s="15">
        <f>Deployments!P205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Deployments!T205</f>
        <v>0</v>
      </c>
      <c r="M204" s="15">
        <f>Deployments!L205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Deployments!V206</f>
        <v>0</v>
      </c>
      <c r="C205" s="23">
        <f>Deployments!W206</f>
        <v>0</v>
      </c>
      <c r="D205" s="15">
        <f>Deployments!AJ206</f>
        <v>0</v>
      </c>
      <c r="E205" s="15">
        <f>Deployments!N206</f>
        <v>0</v>
      </c>
      <c r="F205" s="23">
        <f>Deployments!O206</f>
        <v>0</v>
      </c>
      <c r="G205" s="15">
        <f>Deployments!P206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Deployments!T206</f>
        <v>0</v>
      </c>
      <c r="M205" s="15">
        <f>Deployments!L206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Deployments!V207</f>
        <v>0</v>
      </c>
      <c r="C206" s="23">
        <f>Deployments!W207</f>
        <v>0</v>
      </c>
      <c r="D206" s="15">
        <f>Deployments!AJ207</f>
        <v>0</v>
      </c>
      <c r="E206" s="15">
        <f>Deployments!N207</f>
        <v>0</v>
      </c>
      <c r="F206" s="23">
        <f>Deployments!O207</f>
        <v>0</v>
      </c>
      <c r="G206" s="15">
        <f>Deployments!P207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Deployments!T207</f>
        <v>0</v>
      </c>
      <c r="M206" s="15">
        <f>Deployments!L207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Deployments!V208</f>
        <v>0</v>
      </c>
      <c r="C207" s="23">
        <f>Deployments!W208</f>
        <v>0</v>
      </c>
      <c r="D207" s="15">
        <f>Deployments!AJ208</f>
        <v>0</v>
      </c>
      <c r="E207" s="15">
        <f>Deployments!N208</f>
        <v>0</v>
      </c>
      <c r="F207" s="23">
        <f>Deployments!O208</f>
        <v>0</v>
      </c>
      <c r="G207" s="15">
        <f>Deployments!P208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Deployments!T208</f>
        <v>0</v>
      </c>
      <c r="M207" s="15">
        <f>Deployments!L208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Deployments!V209</f>
        <v>0</v>
      </c>
      <c r="C208" s="23">
        <f>Deployments!W209</f>
        <v>0</v>
      </c>
      <c r="D208" s="15">
        <f>Deployments!AJ209</f>
        <v>0</v>
      </c>
      <c r="E208" s="15">
        <f>Deployments!N209</f>
        <v>0</v>
      </c>
      <c r="F208" s="23">
        <f>Deployments!O209</f>
        <v>0</v>
      </c>
      <c r="G208" s="15">
        <f>Deployments!P209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Deployments!T209</f>
        <v>0</v>
      </c>
      <c r="M208" s="15">
        <f>Deployments!L209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Deployments!V210</f>
        <v>0</v>
      </c>
      <c r="C209" s="23">
        <f>Deployments!W210</f>
        <v>0</v>
      </c>
      <c r="D209" s="15">
        <f>Deployments!AJ210</f>
        <v>0</v>
      </c>
      <c r="E209" s="15">
        <f>Deployments!N210</f>
        <v>0</v>
      </c>
      <c r="F209" s="23">
        <f>Deployments!O210</f>
        <v>0</v>
      </c>
      <c r="G209" s="15">
        <f>Deployments!P210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Deployments!T210</f>
        <v>0</v>
      </c>
      <c r="M209" s="15">
        <f>Deployments!L210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Deployments!V211</f>
        <v>0</v>
      </c>
      <c r="C210" s="23">
        <f>Deployments!W211</f>
        <v>0</v>
      </c>
      <c r="D210" s="15">
        <f>Deployments!AJ211</f>
        <v>0</v>
      </c>
      <c r="E210" s="15">
        <f>Deployments!N211</f>
        <v>0</v>
      </c>
      <c r="F210" s="23">
        <f>Deployments!O211</f>
        <v>0</v>
      </c>
      <c r="G210" s="15">
        <f>Deployments!P211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Deployments!T211</f>
        <v>0</v>
      </c>
      <c r="M210" s="15">
        <f>Deployments!L211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Deployments!V212</f>
        <v>0</v>
      </c>
      <c r="C211" s="23">
        <f>Deployments!W212</f>
        <v>0</v>
      </c>
      <c r="D211" s="15">
        <f>Deployments!AJ212</f>
        <v>0</v>
      </c>
      <c r="E211" s="15">
        <f>Deployments!N212</f>
        <v>0</v>
      </c>
      <c r="F211" s="23">
        <f>Deployments!O212</f>
        <v>0</v>
      </c>
      <c r="G211" s="15">
        <f>Deployments!P212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Deployments!T212</f>
        <v>0</v>
      </c>
      <c r="M211" s="15">
        <f>Deployments!L212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Deployments!V213</f>
        <v>0</v>
      </c>
      <c r="C212" s="23">
        <f>Deployments!W213</f>
        <v>0</v>
      </c>
      <c r="D212" s="15">
        <f>Deployments!AJ213</f>
        <v>0</v>
      </c>
      <c r="E212" s="15">
        <f>Deployments!N213</f>
        <v>0</v>
      </c>
      <c r="F212" s="23">
        <f>Deployments!O213</f>
        <v>0</v>
      </c>
      <c r="G212" s="15">
        <f>Deployments!P213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Deployments!T213</f>
        <v>0</v>
      </c>
      <c r="M212" s="15">
        <f>Deployments!L213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Deployments!V214</f>
        <v>0</v>
      </c>
      <c r="C213" s="23">
        <f>Deployments!W214</f>
        <v>0</v>
      </c>
      <c r="D213" s="15">
        <f>Deployments!AJ214</f>
        <v>0</v>
      </c>
      <c r="E213" s="15">
        <f>Deployments!N214</f>
        <v>0</v>
      </c>
      <c r="F213" s="23">
        <f>Deployments!O214</f>
        <v>0</v>
      </c>
      <c r="G213" s="15">
        <f>Deployments!P214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Deployments!T214</f>
        <v>0</v>
      </c>
      <c r="M213" s="15">
        <f>Deployments!L214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Deployments!V215</f>
        <v>0</v>
      </c>
      <c r="C214" s="23">
        <f>Deployments!W215</f>
        <v>0</v>
      </c>
      <c r="D214" s="15">
        <f>Deployments!AJ215</f>
        <v>0</v>
      </c>
      <c r="E214" s="15">
        <f>Deployments!N215</f>
        <v>0</v>
      </c>
      <c r="F214" s="23">
        <f>Deployments!O215</f>
        <v>0</v>
      </c>
      <c r="G214" s="15">
        <f>Deployments!P215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Deployments!T215</f>
        <v>0</v>
      </c>
      <c r="M214" s="15">
        <f>Deployments!L215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Deployments!V216</f>
        <v>0</v>
      </c>
      <c r="C215" s="23">
        <f>Deployments!W216</f>
        <v>0</v>
      </c>
      <c r="D215" s="15">
        <f>Deployments!AJ216</f>
        <v>0</v>
      </c>
      <c r="E215" s="15">
        <f>Deployments!N216</f>
        <v>0</v>
      </c>
      <c r="F215" s="23">
        <f>Deployments!O216</f>
        <v>0</v>
      </c>
      <c r="G215" s="15">
        <f>Deployments!P216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Deployments!T216</f>
        <v>0</v>
      </c>
      <c r="M215" s="15">
        <f>Deployments!L216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Deployments!V217</f>
        <v>0</v>
      </c>
      <c r="C216" s="23">
        <f>Deployments!W217</f>
        <v>0</v>
      </c>
      <c r="D216" s="15">
        <f>Deployments!AJ217</f>
        <v>0</v>
      </c>
      <c r="E216" s="15">
        <f>Deployments!N217</f>
        <v>0</v>
      </c>
      <c r="F216" s="23">
        <f>Deployments!O217</f>
        <v>0</v>
      </c>
      <c r="G216" s="15">
        <f>Deployments!P217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Deployments!T217</f>
        <v>0</v>
      </c>
      <c r="M216" s="15">
        <f>Deployments!L217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Deployments!V218</f>
        <v>0</v>
      </c>
      <c r="C217" s="23">
        <f>Deployments!W218</f>
        <v>0</v>
      </c>
      <c r="D217" s="15">
        <f>Deployments!AJ218</f>
        <v>0</v>
      </c>
      <c r="E217" s="15">
        <f>Deployments!N218</f>
        <v>0</v>
      </c>
      <c r="F217" s="23">
        <f>Deployments!O218</f>
        <v>0</v>
      </c>
      <c r="G217" s="15">
        <f>Deployments!P218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Deployments!T218</f>
        <v>0</v>
      </c>
      <c r="M217" s="15">
        <f>Deployments!L218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Deployments!V219</f>
        <v>0</v>
      </c>
      <c r="C218" s="23">
        <f>Deployments!W219</f>
        <v>0</v>
      </c>
      <c r="D218" s="15">
        <f>Deployments!AJ219</f>
        <v>0</v>
      </c>
      <c r="E218" s="15">
        <f>Deployments!N219</f>
        <v>0</v>
      </c>
      <c r="F218" s="23">
        <f>Deployments!O219</f>
        <v>0</v>
      </c>
      <c r="G218" s="15">
        <f>Deployments!P219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Deployments!T219</f>
        <v>0</v>
      </c>
      <c r="M218" s="15">
        <f>Deployments!L219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Deployments!V220</f>
        <v>0</v>
      </c>
      <c r="C219" s="23">
        <f>Deployments!W220</f>
        <v>0</v>
      </c>
      <c r="D219" s="15">
        <f>Deployments!AJ220</f>
        <v>0</v>
      </c>
      <c r="E219" s="15">
        <f>Deployments!N220</f>
        <v>0</v>
      </c>
      <c r="F219" s="23">
        <f>Deployments!O220</f>
        <v>0</v>
      </c>
      <c r="G219" s="15">
        <f>Deployments!P220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Deployments!T220</f>
        <v>0</v>
      </c>
      <c r="M219" s="15">
        <f>Deployments!L220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Deployments!V221</f>
        <v>0</v>
      </c>
      <c r="C220" s="23">
        <f>Deployments!W221</f>
        <v>0</v>
      </c>
      <c r="D220" s="15">
        <f>Deployments!AJ221</f>
        <v>0</v>
      </c>
      <c r="E220" s="15">
        <f>Deployments!N221</f>
        <v>0</v>
      </c>
      <c r="F220" s="23">
        <f>Deployments!O221</f>
        <v>0</v>
      </c>
      <c r="G220" s="15">
        <f>Deployments!P221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Deployments!T221</f>
        <v>0</v>
      </c>
      <c r="M220" s="15">
        <f>Deployments!L221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Deployments!V222</f>
        <v>0</v>
      </c>
      <c r="C221" s="23">
        <f>Deployments!W222</f>
        <v>0</v>
      </c>
      <c r="D221" s="15">
        <f>Deployments!AJ222</f>
        <v>0</v>
      </c>
      <c r="E221" s="15">
        <f>Deployments!N222</f>
        <v>0</v>
      </c>
      <c r="F221" s="23">
        <f>Deployments!O222</f>
        <v>0</v>
      </c>
      <c r="G221" s="15">
        <f>Deployments!P222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Deployments!T222</f>
        <v>0</v>
      </c>
      <c r="M221" s="15">
        <f>Deployments!L222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Deployments!V223</f>
        <v>0</v>
      </c>
      <c r="C222" s="23">
        <f>Deployments!W223</f>
        <v>0</v>
      </c>
      <c r="D222" s="15">
        <f>Deployments!AJ223</f>
        <v>0</v>
      </c>
      <c r="E222" s="15">
        <f>Deployments!N223</f>
        <v>0</v>
      </c>
      <c r="F222" s="23">
        <f>Deployments!O223</f>
        <v>0</v>
      </c>
      <c r="G222" s="15">
        <f>Deployments!P223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Deployments!T223</f>
        <v>0</v>
      </c>
      <c r="M222" s="15">
        <f>Deployments!L223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Deployments!V224</f>
        <v>0</v>
      </c>
      <c r="C223" s="23">
        <f>Deployments!W224</f>
        <v>0</v>
      </c>
      <c r="D223" s="15">
        <f>Deployments!AJ224</f>
        <v>0</v>
      </c>
      <c r="E223" s="15">
        <f>Deployments!N224</f>
        <v>0</v>
      </c>
      <c r="F223" s="23">
        <f>Deployments!O224</f>
        <v>0</v>
      </c>
      <c r="G223" s="15">
        <f>Deployments!P224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Deployments!T224</f>
        <v>0</v>
      </c>
      <c r="M223" s="15">
        <f>Deployments!L224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Deployments!V225</f>
        <v>0</v>
      </c>
      <c r="C224" s="23">
        <f>Deployments!W225</f>
        <v>0</v>
      </c>
      <c r="D224" s="15">
        <f>Deployments!AJ225</f>
        <v>0</v>
      </c>
      <c r="E224" s="15">
        <f>Deployments!N225</f>
        <v>0</v>
      </c>
      <c r="F224" s="23">
        <f>Deployments!O225</f>
        <v>0</v>
      </c>
      <c r="G224" s="15">
        <f>Deployments!P225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Deployments!T225</f>
        <v>0</v>
      </c>
      <c r="M224" s="15">
        <f>Deployments!L225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Deployments!V226</f>
        <v>0</v>
      </c>
      <c r="C225" s="23">
        <f>Deployments!W226</f>
        <v>0</v>
      </c>
      <c r="D225" s="15">
        <f>Deployments!AJ226</f>
        <v>0</v>
      </c>
      <c r="E225" s="15">
        <f>Deployments!N226</f>
        <v>0</v>
      </c>
      <c r="F225" s="23">
        <f>Deployments!O226</f>
        <v>0</v>
      </c>
      <c r="G225" s="15">
        <f>Deployments!P226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Deployments!T226</f>
        <v>0</v>
      </c>
      <c r="M225" s="15">
        <f>Deployments!L226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Deployments!V227</f>
        <v>0</v>
      </c>
      <c r="C226" s="23">
        <f>Deployments!W227</f>
        <v>0</v>
      </c>
      <c r="D226" s="15">
        <f>Deployments!AJ227</f>
        <v>0</v>
      </c>
      <c r="E226" s="15">
        <f>Deployments!N227</f>
        <v>0</v>
      </c>
      <c r="F226" s="23">
        <f>Deployments!O227</f>
        <v>0</v>
      </c>
      <c r="G226" s="15">
        <f>Deployments!P227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Deployments!T227</f>
        <v>0</v>
      </c>
      <c r="M226" s="15">
        <f>Deployments!L227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Deployments!V228</f>
        <v>0</v>
      </c>
      <c r="C227" s="23">
        <f>Deployments!W228</f>
        <v>0</v>
      </c>
      <c r="D227" s="15">
        <f>Deployments!AJ228</f>
        <v>0</v>
      </c>
      <c r="E227" s="15">
        <f>Deployments!N228</f>
        <v>0</v>
      </c>
      <c r="F227" s="23">
        <f>Deployments!O228</f>
        <v>0</v>
      </c>
      <c r="G227" s="15">
        <f>Deployments!P228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Deployments!T228</f>
        <v>0</v>
      </c>
      <c r="M227" s="15">
        <f>Deployments!L228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Deployments!V229</f>
        <v>0</v>
      </c>
      <c r="C228" s="23">
        <f>Deployments!W229</f>
        <v>0</v>
      </c>
      <c r="D228" s="15">
        <f>Deployments!AJ229</f>
        <v>0</v>
      </c>
      <c r="E228" s="15">
        <f>Deployments!N229</f>
        <v>0</v>
      </c>
      <c r="F228" s="23">
        <f>Deployments!O229</f>
        <v>0</v>
      </c>
      <c r="G228" s="15">
        <f>Deployments!P229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Deployments!T229</f>
        <v>0</v>
      </c>
      <c r="M228" s="15">
        <f>Deployments!L229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Deployments!V230</f>
        <v>0</v>
      </c>
      <c r="C229" s="23">
        <f>Deployments!W230</f>
        <v>0</v>
      </c>
      <c r="D229" s="15">
        <f>Deployments!AJ230</f>
        <v>0</v>
      </c>
      <c r="E229" s="15">
        <f>Deployments!N230</f>
        <v>0</v>
      </c>
      <c r="F229" s="23">
        <f>Deployments!O230</f>
        <v>0</v>
      </c>
      <c r="G229" s="15">
        <f>Deployments!P230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Deployments!T230</f>
        <v>0</v>
      </c>
      <c r="M229" s="15">
        <f>Deployments!L230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Deployments!V231</f>
        <v>0</v>
      </c>
      <c r="C230" s="23">
        <f>Deployments!W231</f>
        <v>0</v>
      </c>
      <c r="D230" s="15">
        <f>Deployments!AJ231</f>
        <v>0</v>
      </c>
      <c r="E230" s="15">
        <f>Deployments!N231</f>
        <v>0</v>
      </c>
      <c r="F230" s="23">
        <f>Deployments!O231</f>
        <v>0</v>
      </c>
      <c r="G230" s="15">
        <f>Deployments!P231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Deployments!T231</f>
        <v>0</v>
      </c>
      <c r="M230" s="15">
        <f>Deployments!L231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Deployments!V232</f>
        <v>0</v>
      </c>
      <c r="C231" s="23">
        <f>Deployments!W232</f>
        <v>0</v>
      </c>
      <c r="D231" s="15">
        <f>Deployments!AJ232</f>
        <v>0</v>
      </c>
      <c r="E231" s="15">
        <f>Deployments!N232</f>
        <v>0</v>
      </c>
      <c r="F231" s="23">
        <f>Deployments!O232</f>
        <v>0</v>
      </c>
      <c r="G231" s="15">
        <f>Deployments!P232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Deployments!T232</f>
        <v>0</v>
      </c>
      <c r="M231" s="15">
        <f>Deployments!L232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Deployments!V233</f>
        <v>0</v>
      </c>
      <c r="C232" s="23">
        <f>Deployments!W233</f>
        <v>0</v>
      </c>
      <c r="D232" s="15">
        <f>Deployments!AJ233</f>
        <v>0</v>
      </c>
      <c r="E232" s="15">
        <f>Deployments!N233</f>
        <v>0</v>
      </c>
      <c r="F232" s="23">
        <f>Deployments!O233</f>
        <v>0</v>
      </c>
      <c r="G232" s="15">
        <f>Deployments!P233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Deployments!T233</f>
        <v>0</v>
      </c>
      <c r="M232" s="15">
        <f>Deployments!L233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Deployments!V234</f>
        <v>0</v>
      </c>
      <c r="C233" s="23">
        <f>Deployments!W234</f>
        <v>0</v>
      </c>
      <c r="D233" s="15">
        <f>Deployments!AJ234</f>
        <v>0</v>
      </c>
      <c r="E233" s="15">
        <f>Deployments!N234</f>
        <v>0</v>
      </c>
      <c r="F233" s="23">
        <f>Deployments!O234</f>
        <v>0</v>
      </c>
      <c r="G233" s="15">
        <f>Deployments!P234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Deployments!T234</f>
        <v>0</v>
      </c>
      <c r="M233" s="15">
        <f>Deployments!L234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Deployments!V235</f>
        <v>0</v>
      </c>
      <c r="C234" s="23">
        <f>Deployments!W235</f>
        <v>0</v>
      </c>
      <c r="D234" s="15">
        <f>Deployments!AJ235</f>
        <v>0</v>
      </c>
      <c r="E234" s="15">
        <f>Deployments!N235</f>
        <v>0</v>
      </c>
      <c r="F234" s="23">
        <f>Deployments!O235</f>
        <v>0</v>
      </c>
      <c r="G234" s="15">
        <f>Deployments!P235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Deployments!T235</f>
        <v>0</v>
      </c>
      <c r="M234" s="15">
        <f>Deployments!L235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Deployments!V236</f>
        <v>0</v>
      </c>
      <c r="C235" s="23">
        <f>Deployments!W236</f>
        <v>0</v>
      </c>
      <c r="D235" s="15">
        <f>Deployments!AJ236</f>
        <v>0</v>
      </c>
      <c r="E235" s="15">
        <f>Deployments!N236</f>
        <v>0</v>
      </c>
      <c r="F235" s="23">
        <f>Deployments!O236</f>
        <v>0</v>
      </c>
      <c r="G235" s="15">
        <f>Deployments!P236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Deployments!T236</f>
        <v>0</v>
      </c>
      <c r="M235" s="15">
        <f>Deployments!L236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Deployments!V237</f>
        <v>0</v>
      </c>
      <c r="C236" s="23">
        <f>Deployments!W237</f>
        <v>0</v>
      </c>
      <c r="D236" s="15">
        <f>Deployments!AJ237</f>
        <v>0</v>
      </c>
      <c r="E236" s="15">
        <f>Deployments!N237</f>
        <v>0</v>
      </c>
      <c r="F236" s="23">
        <f>Deployments!O237</f>
        <v>0</v>
      </c>
      <c r="G236" s="15">
        <f>Deployments!P237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Deployments!T237</f>
        <v>0</v>
      </c>
      <c r="M236" s="15">
        <f>Deployments!L237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Deployments!V238</f>
        <v>0</v>
      </c>
      <c r="C237" s="23">
        <f>Deployments!W238</f>
        <v>0</v>
      </c>
      <c r="D237" s="15">
        <f>Deployments!AJ238</f>
        <v>0</v>
      </c>
      <c r="E237" s="15">
        <f>Deployments!N238</f>
        <v>0</v>
      </c>
      <c r="F237" s="23">
        <f>Deployments!O238</f>
        <v>0</v>
      </c>
      <c r="G237" s="15">
        <f>Deployments!P238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Deployments!T238</f>
        <v>0</v>
      </c>
      <c r="M237" s="15">
        <f>Deployments!L238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Deployments!V239</f>
        <v>0</v>
      </c>
      <c r="C238" s="23">
        <f>Deployments!W239</f>
        <v>0</v>
      </c>
      <c r="D238" s="15">
        <f>Deployments!AJ239</f>
        <v>0</v>
      </c>
      <c r="E238" s="15">
        <f>Deployments!N239</f>
        <v>0</v>
      </c>
      <c r="F238" s="23">
        <f>Deployments!O239</f>
        <v>0</v>
      </c>
      <c r="G238" s="15">
        <f>Deployments!P239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Deployments!T239</f>
        <v>0</v>
      </c>
      <c r="M238" s="15">
        <f>Deployments!L239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Deployments!V240</f>
        <v>0</v>
      </c>
      <c r="C239" s="23">
        <f>Deployments!W240</f>
        <v>0</v>
      </c>
      <c r="D239" s="15">
        <f>Deployments!AJ240</f>
        <v>0</v>
      </c>
      <c r="E239" s="15">
        <f>Deployments!N240</f>
        <v>0</v>
      </c>
      <c r="F239" s="23">
        <f>Deployments!O240</f>
        <v>0</v>
      </c>
      <c r="G239" s="15">
        <f>Deployments!P240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Deployments!T240</f>
        <v>0</v>
      </c>
      <c r="M239" s="15">
        <f>Deployments!L240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Deployments!V241</f>
        <v>0</v>
      </c>
      <c r="C240" s="23">
        <f>Deployments!W241</f>
        <v>0</v>
      </c>
      <c r="D240" s="15">
        <f>Deployments!AJ241</f>
        <v>0</v>
      </c>
      <c r="E240" s="15">
        <f>Deployments!N241</f>
        <v>0</v>
      </c>
      <c r="F240" s="23">
        <f>Deployments!O241</f>
        <v>0</v>
      </c>
      <c r="G240" s="15">
        <f>Deployments!P241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Deployments!T241</f>
        <v>0</v>
      </c>
      <c r="M240" s="15">
        <f>Deployments!L241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Deployments!V242</f>
        <v>0</v>
      </c>
      <c r="C241" s="23">
        <f>Deployments!W242</f>
        <v>0</v>
      </c>
      <c r="D241" s="15">
        <f>Deployments!AJ242</f>
        <v>0</v>
      </c>
      <c r="E241" s="15">
        <f>Deployments!N242</f>
        <v>0</v>
      </c>
      <c r="F241" s="23">
        <f>Deployments!O242</f>
        <v>0</v>
      </c>
      <c r="G241" s="15">
        <f>Deployments!P242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Deployments!T242</f>
        <v>0</v>
      </c>
      <c r="M241" s="15">
        <f>Deployments!L242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Deployments!V243</f>
        <v>0</v>
      </c>
      <c r="C242" s="23">
        <f>Deployments!W243</f>
        <v>0</v>
      </c>
      <c r="D242" s="15">
        <f>Deployments!AJ243</f>
        <v>0</v>
      </c>
      <c r="E242" s="15">
        <f>Deployments!N243</f>
        <v>0</v>
      </c>
      <c r="F242" s="23">
        <f>Deployments!O243</f>
        <v>0</v>
      </c>
      <c r="G242" s="15">
        <f>Deployments!P243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Deployments!T243</f>
        <v>0</v>
      </c>
      <c r="M242" s="15">
        <f>Deployments!L243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Deployments!V244</f>
        <v>0</v>
      </c>
      <c r="C243" s="23">
        <f>Deployments!W244</f>
        <v>0</v>
      </c>
      <c r="D243" s="15">
        <f>Deployments!AJ244</f>
        <v>0</v>
      </c>
      <c r="E243" s="15">
        <f>Deployments!N244</f>
        <v>0</v>
      </c>
      <c r="F243" s="23">
        <f>Deployments!O244</f>
        <v>0</v>
      </c>
      <c r="G243" s="15">
        <f>Deployments!P244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Deployments!T244</f>
        <v>0</v>
      </c>
      <c r="M243" s="15">
        <f>Deployments!L244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Deployments!V245</f>
        <v>0</v>
      </c>
      <c r="C244" s="23">
        <f>Deployments!W245</f>
        <v>0</v>
      </c>
      <c r="D244" s="15">
        <f>Deployments!AJ245</f>
        <v>0</v>
      </c>
      <c r="E244" s="15">
        <f>Deployments!N245</f>
        <v>0</v>
      </c>
      <c r="F244" s="23">
        <f>Deployments!O245</f>
        <v>0</v>
      </c>
      <c r="G244" s="15">
        <f>Deployments!P245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Deployments!T245</f>
        <v>0</v>
      </c>
      <c r="M244" s="15">
        <f>Deployments!L245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Deployments!V246</f>
        <v>0</v>
      </c>
      <c r="C245" s="23">
        <f>Deployments!W246</f>
        <v>0</v>
      </c>
      <c r="D245" s="15">
        <f>Deployments!AJ246</f>
        <v>0</v>
      </c>
      <c r="E245" s="15">
        <f>Deployments!N246</f>
        <v>0</v>
      </c>
      <c r="F245" s="23">
        <f>Deployments!O246</f>
        <v>0</v>
      </c>
      <c r="G245" s="15">
        <f>Deployments!P246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Deployments!T246</f>
        <v>0</v>
      </c>
      <c r="M245" s="15">
        <f>Deployments!L246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Deployments!V247</f>
        <v>0</v>
      </c>
      <c r="C246" s="23">
        <f>Deployments!W247</f>
        <v>0</v>
      </c>
      <c r="D246" s="15">
        <f>Deployments!AJ247</f>
        <v>0</v>
      </c>
      <c r="E246" s="15">
        <f>Deployments!N247</f>
        <v>0</v>
      </c>
      <c r="F246" s="23">
        <f>Deployments!O247</f>
        <v>0</v>
      </c>
      <c r="G246" s="15">
        <f>Deployments!P247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Deployments!T247</f>
        <v>0</v>
      </c>
      <c r="M246" s="15">
        <f>Deployments!L247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Deployments!V248</f>
        <v>0</v>
      </c>
      <c r="C247" s="23">
        <f>Deployments!W248</f>
        <v>0</v>
      </c>
      <c r="D247" s="15">
        <f>Deployments!AJ248</f>
        <v>0</v>
      </c>
      <c r="E247" s="15">
        <f>Deployments!N248</f>
        <v>0</v>
      </c>
      <c r="F247" s="23">
        <f>Deployments!O248</f>
        <v>0</v>
      </c>
      <c r="G247" s="15">
        <f>Deployments!P248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Deployments!T248</f>
        <v>0</v>
      </c>
      <c r="M247" s="15">
        <f>Deployments!L248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Deployments!V249</f>
        <v>0</v>
      </c>
      <c r="C248" s="23">
        <f>Deployments!W249</f>
        <v>0</v>
      </c>
      <c r="D248" s="15">
        <f>Deployments!AJ249</f>
        <v>0</v>
      </c>
      <c r="E248" s="15">
        <f>Deployments!N249</f>
        <v>0</v>
      </c>
      <c r="F248" s="23">
        <f>Deployments!O249</f>
        <v>0</v>
      </c>
      <c r="G248" s="15">
        <f>Deployments!P249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Deployments!T249</f>
        <v>0</v>
      </c>
      <c r="M248" s="15">
        <f>Deployments!L249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Deployments!V250</f>
        <v>0</v>
      </c>
      <c r="C249" s="23">
        <f>Deployments!W250</f>
        <v>0</v>
      </c>
      <c r="D249" s="15">
        <f>Deployments!AJ250</f>
        <v>0</v>
      </c>
      <c r="E249" s="15">
        <f>Deployments!N250</f>
        <v>0</v>
      </c>
      <c r="F249" s="23">
        <f>Deployments!O250</f>
        <v>0</v>
      </c>
      <c r="G249" s="15">
        <f>Deployments!P250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Deployments!T250</f>
        <v>0</v>
      </c>
      <c r="M249" s="15">
        <f>Deployments!L250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Deployments!V251</f>
        <v>0</v>
      </c>
      <c r="C250" s="23">
        <f>Deployments!W251</f>
        <v>0</v>
      </c>
      <c r="D250" s="15">
        <f>Deployments!AJ251</f>
        <v>0</v>
      </c>
      <c r="E250" s="15">
        <f>Deployments!N251</f>
        <v>0</v>
      </c>
      <c r="F250" s="23">
        <f>Deployments!O251</f>
        <v>0</v>
      </c>
      <c r="G250" s="15">
        <f>Deployments!P251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Deployments!T251</f>
        <v>0</v>
      </c>
      <c r="M250" s="15">
        <f>Deployments!L251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Deployments!V252</f>
        <v>0</v>
      </c>
      <c r="C251" s="23">
        <f>Deployments!W252</f>
        <v>0</v>
      </c>
      <c r="D251" s="15">
        <f>Deployments!AJ252</f>
        <v>0</v>
      </c>
      <c r="E251" s="15">
        <f>Deployments!N252</f>
        <v>0</v>
      </c>
      <c r="F251" s="23">
        <f>Deployments!O252</f>
        <v>0</v>
      </c>
      <c r="G251" s="15">
        <f>Deployments!P252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Deployments!T252</f>
        <v>0</v>
      </c>
      <c r="M251" s="15">
        <f>Deployments!L252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Deployments!V253</f>
        <v>0</v>
      </c>
      <c r="C252" s="23">
        <f>Deployments!W253</f>
        <v>0</v>
      </c>
      <c r="D252" s="15">
        <f>Deployments!AJ253</f>
        <v>0</v>
      </c>
      <c r="E252" s="15">
        <f>Deployments!N253</f>
        <v>0</v>
      </c>
      <c r="F252" s="23">
        <f>Deployments!O253</f>
        <v>0</v>
      </c>
      <c r="G252" s="15">
        <f>Deployments!P253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Deployments!T253</f>
        <v>0</v>
      </c>
      <c r="M252" s="15">
        <f>Deployments!L253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Deployments!V254</f>
        <v>0</v>
      </c>
      <c r="C253" s="23">
        <f>Deployments!W254</f>
        <v>0</v>
      </c>
      <c r="D253" s="15">
        <f>Deployments!AJ254</f>
        <v>0</v>
      </c>
      <c r="E253" s="15">
        <f>Deployments!N254</f>
        <v>0</v>
      </c>
      <c r="F253" s="23">
        <f>Deployments!O254</f>
        <v>0</v>
      </c>
      <c r="G253" s="15">
        <f>Deployments!P254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Deployments!T254</f>
        <v>0</v>
      </c>
      <c r="M253" s="15">
        <f>Deployments!L254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Deployments!V255</f>
        <v>0</v>
      </c>
      <c r="C254" s="23">
        <f>Deployments!W255</f>
        <v>0</v>
      </c>
      <c r="D254" s="15">
        <f>Deployments!AJ255</f>
        <v>0</v>
      </c>
      <c r="E254" s="15">
        <f>Deployments!N255</f>
        <v>0</v>
      </c>
      <c r="F254" s="23">
        <f>Deployments!O255</f>
        <v>0</v>
      </c>
      <c r="G254" s="15">
        <f>Deployments!P255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Deployments!T255</f>
        <v>0</v>
      </c>
      <c r="M254" s="15">
        <f>Deployments!L255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Deployments!V256</f>
        <v>0</v>
      </c>
      <c r="C255" s="23">
        <f>Deployments!W256</f>
        <v>0</v>
      </c>
      <c r="D255" s="15">
        <f>Deployments!AJ256</f>
        <v>0</v>
      </c>
      <c r="E255" s="15">
        <f>Deployments!N256</f>
        <v>0</v>
      </c>
      <c r="F255" s="23">
        <f>Deployments!O256</f>
        <v>0</v>
      </c>
      <c r="G255" s="15">
        <f>Deployments!P256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Deployments!T256</f>
        <v>0</v>
      </c>
      <c r="M255" s="15">
        <f>Deployments!L256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Deployments!V257</f>
        <v>0</v>
      </c>
      <c r="C256" s="23">
        <f>Deployments!W257</f>
        <v>0</v>
      </c>
      <c r="D256" s="15">
        <f>Deployments!AJ257</f>
        <v>0</v>
      </c>
      <c r="E256" s="15">
        <f>Deployments!N257</f>
        <v>0</v>
      </c>
      <c r="F256" s="23">
        <f>Deployments!O257</f>
        <v>0</v>
      </c>
      <c r="G256" s="15">
        <f>Deployments!P257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Deployments!T257</f>
        <v>0</v>
      </c>
      <c r="M256" s="15">
        <f>Deployments!L257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Deployments!V258</f>
        <v>0</v>
      </c>
      <c r="C257" s="23">
        <f>Deployments!W258</f>
        <v>0</v>
      </c>
      <c r="D257" s="15">
        <f>Deployments!AJ258</f>
        <v>0</v>
      </c>
      <c r="E257" s="15">
        <f>Deployments!N258</f>
        <v>0</v>
      </c>
      <c r="F257" s="23">
        <f>Deployments!O258</f>
        <v>0</v>
      </c>
      <c r="G257" s="15">
        <f>Deployments!P258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Deployments!T258</f>
        <v>0</v>
      </c>
      <c r="M257" s="15">
        <f>Deployments!L258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Deployments!V259</f>
        <v>0</v>
      </c>
      <c r="C258" s="23">
        <f>Deployments!W259</f>
        <v>0</v>
      </c>
      <c r="D258" s="15">
        <f>Deployments!AJ259</f>
        <v>0</v>
      </c>
      <c r="E258" s="15">
        <f>Deployments!N259</f>
        <v>0</v>
      </c>
      <c r="F258" s="23">
        <f>Deployments!O259</f>
        <v>0</v>
      </c>
      <c r="G258" s="15">
        <f>Deployments!P259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Deployments!T259</f>
        <v>0</v>
      </c>
      <c r="M258" s="15">
        <f>Deployments!L259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Deployments!V260</f>
        <v>0</v>
      </c>
      <c r="C259" s="23">
        <f>Deployments!W260</f>
        <v>0</v>
      </c>
      <c r="D259" s="15">
        <f>Deployments!AJ260</f>
        <v>0</v>
      </c>
      <c r="E259" s="15">
        <f>Deployments!N260</f>
        <v>0</v>
      </c>
      <c r="F259" s="23">
        <f>Deployments!O260</f>
        <v>0</v>
      </c>
      <c r="G259" s="15">
        <f>Deployments!P260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Deployments!T260</f>
        <v>0</v>
      </c>
      <c r="M259" s="15">
        <f>Deployments!L260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Deployments!V261</f>
        <v>0</v>
      </c>
      <c r="C260" s="23">
        <f>Deployments!W261</f>
        <v>0</v>
      </c>
      <c r="D260" s="15">
        <f>Deployments!AJ261</f>
        <v>0</v>
      </c>
      <c r="E260" s="15">
        <f>Deployments!N261</f>
        <v>0</v>
      </c>
      <c r="F260" s="23">
        <f>Deployments!O261</f>
        <v>0</v>
      </c>
      <c r="G260" s="15">
        <f>Deployments!P261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Deployments!T261</f>
        <v>0</v>
      </c>
      <c r="M260" s="15">
        <f>Deployments!L261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Deployments!V262</f>
        <v>0</v>
      </c>
      <c r="C261" s="23">
        <f>Deployments!W262</f>
        <v>0</v>
      </c>
      <c r="D261" s="15">
        <f>Deployments!AJ262</f>
        <v>0</v>
      </c>
      <c r="E261" s="15">
        <f>Deployments!N262</f>
        <v>0</v>
      </c>
      <c r="F261" s="23">
        <f>Deployments!O262</f>
        <v>0</v>
      </c>
      <c r="G261" s="15">
        <f>Deployments!P262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Deployments!T262</f>
        <v>0</v>
      </c>
      <c r="M261" s="15">
        <f>Deployments!L262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Deployments!V263</f>
        <v>0</v>
      </c>
      <c r="C262" s="23">
        <f>Deployments!W263</f>
        <v>0</v>
      </c>
      <c r="D262" s="15">
        <f>Deployments!AJ263</f>
        <v>0</v>
      </c>
      <c r="E262" s="15">
        <f>Deployments!N263</f>
        <v>0</v>
      </c>
      <c r="F262" s="23">
        <f>Deployments!O263</f>
        <v>0</v>
      </c>
      <c r="G262" s="15">
        <f>Deployments!P263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Deployments!T263</f>
        <v>0</v>
      </c>
      <c r="M262" s="15">
        <f>Deployments!L263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Deployments!V264</f>
        <v>0</v>
      </c>
      <c r="C263" s="23">
        <f>Deployments!W264</f>
        <v>0</v>
      </c>
      <c r="D263" s="15">
        <f>Deployments!AJ264</f>
        <v>0</v>
      </c>
      <c r="E263" s="15">
        <f>Deployments!N264</f>
        <v>0</v>
      </c>
      <c r="F263" s="23">
        <f>Deployments!O264</f>
        <v>0</v>
      </c>
      <c r="G263" s="15">
        <f>Deployments!P264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Deployments!T264</f>
        <v>0</v>
      </c>
      <c r="M263" s="15">
        <f>Deployments!L264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Deployments!V265</f>
        <v>0</v>
      </c>
      <c r="C264" s="23">
        <f>Deployments!W265</f>
        <v>0</v>
      </c>
      <c r="D264" s="15">
        <f>Deployments!AJ265</f>
        <v>0</v>
      </c>
      <c r="E264" s="15">
        <f>Deployments!N265</f>
        <v>0</v>
      </c>
      <c r="F264" s="23">
        <f>Deployments!O265</f>
        <v>0</v>
      </c>
      <c r="G264" s="15">
        <f>Deployments!P265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Deployments!T265</f>
        <v>0</v>
      </c>
      <c r="M264" s="15">
        <f>Deployments!L265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Deployments!V266</f>
        <v>0</v>
      </c>
      <c r="C265" s="23">
        <f>Deployments!W266</f>
        <v>0</v>
      </c>
      <c r="D265" s="15">
        <f>Deployments!AJ266</f>
        <v>0</v>
      </c>
      <c r="E265" s="15">
        <f>Deployments!N266</f>
        <v>0</v>
      </c>
      <c r="F265" s="23">
        <f>Deployments!O266</f>
        <v>0</v>
      </c>
      <c r="G265" s="15">
        <f>Deployments!P266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Deployments!T266</f>
        <v>0</v>
      </c>
      <c r="M265" s="15">
        <f>Deployments!L266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Deployments!V267</f>
        <v>0</v>
      </c>
      <c r="C266" s="23">
        <f>Deployments!W267</f>
        <v>0</v>
      </c>
      <c r="D266" s="15">
        <f>Deployments!AJ267</f>
        <v>0</v>
      </c>
      <c r="E266" s="15">
        <f>Deployments!N267</f>
        <v>0</v>
      </c>
      <c r="F266" s="23">
        <f>Deployments!O267</f>
        <v>0</v>
      </c>
      <c r="G266" s="15">
        <f>Deployments!P267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Deployments!T267</f>
        <v>0</v>
      </c>
      <c r="M266" s="15">
        <f>Deployments!L267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Deployments!V268</f>
        <v>0</v>
      </c>
      <c r="C267" s="23">
        <f>Deployments!W268</f>
        <v>0</v>
      </c>
      <c r="D267" s="15">
        <f>Deployments!AJ268</f>
        <v>0</v>
      </c>
      <c r="E267" s="15">
        <f>Deployments!N268</f>
        <v>0</v>
      </c>
      <c r="F267" s="23">
        <f>Deployments!O268</f>
        <v>0</v>
      </c>
      <c r="G267" s="15">
        <f>Deployments!P268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Deployments!T268</f>
        <v>0</v>
      </c>
      <c r="M267" s="15">
        <f>Deployments!L268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Deployments!V269</f>
        <v>0</v>
      </c>
      <c r="C268" s="23">
        <f>Deployments!W269</f>
        <v>0</v>
      </c>
      <c r="D268" s="15">
        <f>Deployments!AJ269</f>
        <v>0</v>
      </c>
      <c r="E268" s="15">
        <f>Deployments!N269</f>
        <v>0</v>
      </c>
      <c r="F268" s="23">
        <f>Deployments!O269</f>
        <v>0</v>
      </c>
      <c r="G268" s="15">
        <f>Deployments!P269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Deployments!T269</f>
        <v>0</v>
      </c>
      <c r="M268" s="15">
        <f>Deployments!L269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Deployments!V270</f>
        <v>0</v>
      </c>
      <c r="C269" s="23">
        <f>Deployments!W270</f>
        <v>0</v>
      </c>
      <c r="D269" s="15">
        <f>Deployments!AJ270</f>
        <v>0</v>
      </c>
      <c r="E269" s="15">
        <f>Deployments!N270</f>
        <v>0</v>
      </c>
      <c r="F269" s="23">
        <f>Deployments!O270</f>
        <v>0</v>
      </c>
      <c r="G269" s="15">
        <f>Deployments!P270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Deployments!T270</f>
        <v>0</v>
      </c>
      <c r="M269" s="15">
        <f>Deployments!L270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Deployments!V271</f>
        <v>0</v>
      </c>
      <c r="C270" s="23">
        <f>Deployments!W271</f>
        <v>0</v>
      </c>
      <c r="D270" s="15">
        <f>Deployments!AJ271</f>
        <v>0</v>
      </c>
      <c r="E270" s="15">
        <f>Deployments!N271</f>
        <v>0</v>
      </c>
      <c r="F270" s="23">
        <f>Deployments!O271</f>
        <v>0</v>
      </c>
      <c r="G270" s="15">
        <f>Deployments!P271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Deployments!T271</f>
        <v>0</v>
      </c>
      <c r="M270" s="15">
        <f>Deployments!L271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Deployments!V272</f>
        <v>0</v>
      </c>
      <c r="C271" s="23">
        <f>Deployments!W272</f>
        <v>0</v>
      </c>
      <c r="D271" s="15">
        <f>Deployments!AJ272</f>
        <v>0</v>
      </c>
      <c r="E271" s="15">
        <f>Deployments!N272</f>
        <v>0</v>
      </c>
      <c r="F271" s="23">
        <f>Deployments!O272</f>
        <v>0</v>
      </c>
      <c r="G271" s="15">
        <f>Deployments!P272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Deployments!T272</f>
        <v>0</v>
      </c>
      <c r="M271" s="15">
        <f>Deployments!L272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Deployments!V273</f>
        <v>0</v>
      </c>
      <c r="C272" s="23">
        <f>Deployments!W273</f>
        <v>0</v>
      </c>
      <c r="D272" s="15">
        <f>Deployments!AJ273</f>
        <v>0</v>
      </c>
      <c r="E272" s="15">
        <f>Deployments!N273</f>
        <v>0</v>
      </c>
      <c r="F272" s="23">
        <f>Deployments!O273</f>
        <v>0</v>
      </c>
      <c r="G272" s="15">
        <f>Deployments!P273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Deployments!T273</f>
        <v>0</v>
      </c>
      <c r="M272" s="15">
        <f>Deployments!L273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Deployments!V274</f>
        <v>0</v>
      </c>
      <c r="C273" s="23">
        <f>Deployments!W274</f>
        <v>0</v>
      </c>
      <c r="D273" s="15">
        <f>Deployments!AJ274</f>
        <v>0</v>
      </c>
      <c r="E273" s="15">
        <f>Deployments!N274</f>
        <v>0</v>
      </c>
      <c r="F273" s="23">
        <f>Deployments!O274</f>
        <v>0</v>
      </c>
      <c r="G273" s="15">
        <f>Deployments!P274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Deployments!T274</f>
        <v>0</v>
      </c>
      <c r="M273" s="15">
        <f>Deployments!L274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Deployments!V275</f>
        <v>0</v>
      </c>
      <c r="C274" s="23">
        <f>Deployments!W275</f>
        <v>0</v>
      </c>
      <c r="D274" s="15">
        <f>Deployments!AJ275</f>
        <v>0</v>
      </c>
      <c r="E274" s="15">
        <f>Deployments!N275</f>
        <v>0</v>
      </c>
      <c r="F274" s="23">
        <f>Deployments!O275</f>
        <v>0</v>
      </c>
      <c r="G274" s="15">
        <f>Deployments!P275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Deployments!T275</f>
        <v>0</v>
      </c>
      <c r="M274" s="15">
        <f>Deployments!L275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Deployments!V276</f>
        <v>0</v>
      </c>
      <c r="C275" s="23">
        <f>Deployments!W276</f>
        <v>0</v>
      </c>
      <c r="D275" s="15">
        <f>Deployments!AJ276</f>
        <v>0</v>
      </c>
      <c r="E275" s="15">
        <f>Deployments!N276</f>
        <v>0</v>
      </c>
      <c r="F275" s="23">
        <f>Deployments!O276</f>
        <v>0</v>
      </c>
      <c r="G275" s="15">
        <f>Deployments!P276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Deployments!T276</f>
        <v>0</v>
      </c>
      <c r="M275" s="15">
        <f>Deployments!L276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Deployments!V277</f>
        <v>0</v>
      </c>
      <c r="C276" s="23">
        <f>Deployments!W277</f>
        <v>0</v>
      </c>
      <c r="D276" s="15">
        <f>Deployments!AJ277</f>
        <v>0</v>
      </c>
      <c r="E276" s="15">
        <f>Deployments!N277</f>
        <v>0</v>
      </c>
      <c r="F276" s="23">
        <f>Deployments!O277</f>
        <v>0</v>
      </c>
      <c r="G276" s="15">
        <f>Deployments!P277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Deployments!T277</f>
        <v>0</v>
      </c>
      <c r="M276" s="15">
        <f>Deployments!L277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Deployments!V278</f>
        <v>0</v>
      </c>
      <c r="C277" s="23">
        <f>Deployments!W278</f>
        <v>0</v>
      </c>
      <c r="D277" s="15">
        <f>Deployments!AJ278</f>
        <v>0</v>
      </c>
      <c r="E277" s="15">
        <f>Deployments!N278</f>
        <v>0</v>
      </c>
      <c r="F277" s="23">
        <f>Deployments!O278</f>
        <v>0</v>
      </c>
      <c r="G277" s="15">
        <f>Deployments!P278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Deployments!T278</f>
        <v>0</v>
      </c>
      <c r="M277" s="15">
        <f>Deployments!L278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Deployments!V279</f>
        <v>0</v>
      </c>
      <c r="C278" s="23">
        <f>Deployments!W279</f>
        <v>0</v>
      </c>
      <c r="D278" s="15">
        <f>Deployments!AJ279</f>
        <v>0</v>
      </c>
      <c r="E278" s="15">
        <f>Deployments!N279</f>
        <v>0</v>
      </c>
      <c r="F278" s="23">
        <f>Deployments!O279</f>
        <v>0</v>
      </c>
      <c r="G278" s="15">
        <f>Deployments!P279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Deployments!T279</f>
        <v>0</v>
      </c>
      <c r="M278" s="15">
        <f>Deployments!L279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Deployments!V280</f>
        <v>0</v>
      </c>
      <c r="C279" s="23">
        <f>Deployments!W280</f>
        <v>0</v>
      </c>
      <c r="D279" s="15">
        <f>Deployments!AJ280</f>
        <v>0</v>
      </c>
      <c r="E279" s="15">
        <f>Deployments!N280</f>
        <v>0</v>
      </c>
      <c r="F279" s="23">
        <f>Deployments!O280</f>
        <v>0</v>
      </c>
      <c r="G279" s="15">
        <f>Deployments!P280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Deployments!T280</f>
        <v>0</v>
      </c>
      <c r="M279" s="15">
        <f>Deployments!L280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Deployments!V281</f>
        <v>0</v>
      </c>
      <c r="C280" s="23">
        <f>Deployments!W281</f>
        <v>0</v>
      </c>
      <c r="D280" s="15">
        <f>Deployments!AJ281</f>
        <v>0</v>
      </c>
      <c r="E280" s="15">
        <f>Deployments!N281</f>
        <v>0</v>
      </c>
      <c r="F280" s="23">
        <f>Deployments!O281</f>
        <v>0</v>
      </c>
      <c r="G280" s="15">
        <f>Deployments!P281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Deployments!T281</f>
        <v>0</v>
      </c>
      <c r="M280" s="15">
        <f>Deployments!L281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Deployments!V282</f>
        <v>0</v>
      </c>
      <c r="C281" s="23">
        <f>Deployments!W282</f>
        <v>0</v>
      </c>
      <c r="D281" s="15">
        <f>Deployments!AJ282</f>
        <v>0</v>
      </c>
      <c r="E281" s="15">
        <f>Deployments!N282</f>
        <v>0</v>
      </c>
      <c r="F281" s="23">
        <f>Deployments!O282</f>
        <v>0</v>
      </c>
      <c r="G281" s="15">
        <f>Deployments!P282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Deployments!T282</f>
        <v>0</v>
      </c>
      <c r="M281" s="15">
        <f>Deployments!L282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Deployments!V283</f>
        <v>0</v>
      </c>
      <c r="C282" s="23">
        <f>Deployments!W283</f>
        <v>0</v>
      </c>
      <c r="D282" s="15">
        <f>Deployments!AJ283</f>
        <v>0</v>
      </c>
      <c r="E282" s="15">
        <f>Deployments!N283</f>
        <v>0</v>
      </c>
      <c r="F282" s="23">
        <f>Deployments!O283</f>
        <v>0</v>
      </c>
      <c r="G282" s="15">
        <f>Deployments!P283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Deployments!T283</f>
        <v>0</v>
      </c>
      <c r="M282" s="15">
        <f>Deployments!L283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Deployments!V284</f>
        <v>0</v>
      </c>
      <c r="C283" s="23">
        <f>Deployments!W284</f>
        <v>0</v>
      </c>
      <c r="D283" s="15">
        <f>Deployments!AJ284</f>
        <v>0</v>
      </c>
      <c r="E283" s="15">
        <f>Deployments!N284</f>
        <v>0</v>
      </c>
      <c r="F283" s="23">
        <f>Deployments!O284</f>
        <v>0</v>
      </c>
      <c r="G283" s="15">
        <f>Deployments!P284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Deployments!T284</f>
        <v>0</v>
      </c>
      <c r="M283" s="15">
        <f>Deployments!L284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Deployments!V285</f>
        <v>0</v>
      </c>
      <c r="C284" s="23">
        <f>Deployments!W285</f>
        <v>0</v>
      </c>
      <c r="D284" s="15">
        <f>Deployments!AJ285</f>
        <v>0</v>
      </c>
      <c r="E284" s="15">
        <f>Deployments!N285</f>
        <v>0</v>
      </c>
      <c r="F284" s="23">
        <f>Deployments!O285</f>
        <v>0</v>
      </c>
      <c r="G284" s="15">
        <f>Deployments!P285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Deployments!T285</f>
        <v>0</v>
      </c>
      <c r="M284" s="15">
        <f>Deployments!L285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Deployments!V286</f>
        <v>0</v>
      </c>
      <c r="C285" s="23">
        <f>Deployments!W286</f>
        <v>0</v>
      </c>
      <c r="D285" s="15">
        <f>Deployments!AJ286</f>
        <v>0</v>
      </c>
      <c r="E285" s="15">
        <f>Deployments!N286</f>
        <v>0</v>
      </c>
      <c r="F285" s="23">
        <f>Deployments!O286</f>
        <v>0</v>
      </c>
      <c r="G285" s="15">
        <f>Deployments!P286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Deployments!T286</f>
        <v>0</v>
      </c>
      <c r="M285" s="15">
        <f>Deployments!L286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Deployments!V287</f>
        <v>0</v>
      </c>
      <c r="C286" s="23">
        <f>Deployments!W287</f>
        <v>0</v>
      </c>
      <c r="D286" s="15">
        <f>Deployments!AJ287</f>
        <v>0</v>
      </c>
      <c r="E286" s="15">
        <f>Deployments!N287</f>
        <v>0</v>
      </c>
      <c r="F286" s="23">
        <f>Deployments!O287</f>
        <v>0</v>
      </c>
      <c r="G286" s="15">
        <f>Deployments!P287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Deployments!T287</f>
        <v>0</v>
      </c>
      <c r="M286" s="15">
        <f>Deployments!L287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Deployments!V288</f>
        <v>0</v>
      </c>
      <c r="C287" s="23">
        <f>Deployments!W288</f>
        <v>0</v>
      </c>
      <c r="D287" s="15">
        <f>Deployments!AJ288</f>
        <v>0</v>
      </c>
      <c r="E287" s="15">
        <f>Deployments!N288</f>
        <v>0</v>
      </c>
      <c r="F287" s="23">
        <f>Deployments!O288</f>
        <v>0</v>
      </c>
      <c r="G287" s="15">
        <f>Deployments!P288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Deployments!T288</f>
        <v>0</v>
      </c>
      <c r="M287" s="15">
        <f>Deployments!L288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Deployments!V289</f>
        <v>0</v>
      </c>
      <c r="C288" s="23">
        <f>Deployments!W289</f>
        <v>0</v>
      </c>
      <c r="D288" s="15">
        <f>Deployments!AJ289</f>
        <v>0</v>
      </c>
      <c r="E288" s="15">
        <f>Deployments!N289</f>
        <v>0</v>
      </c>
      <c r="F288" s="23">
        <f>Deployments!O289</f>
        <v>0</v>
      </c>
      <c r="G288" s="15">
        <f>Deployments!P289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Deployments!T289</f>
        <v>0</v>
      </c>
      <c r="M288" s="15">
        <f>Deployments!L289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Deployments!V290</f>
        <v>0</v>
      </c>
      <c r="C289" s="23">
        <f>Deployments!W290</f>
        <v>0</v>
      </c>
      <c r="D289" s="15">
        <f>Deployments!AJ290</f>
        <v>0</v>
      </c>
      <c r="E289" s="15">
        <f>Deployments!N290</f>
        <v>0</v>
      </c>
      <c r="F289" s="23">
        <f>Deployments!O290</f>
        <v>0</v>
      </c>
      <c r="G289" s="15">
        <f>Deployments!P290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Deployments!T290</f>
        <v>0</v>
      </c>
      <c r="M289" s="15">
        <f>Deployments!L290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Deployments!V291</f>
        <v>0</v>
      </c>
      <c r="C290" s="23">
        <f>Deployments!W291</f>
        <v>0</v>
      </c>
      <c r="D290" s="15">
        <f>Deployments!AJ291</f>
        <v>0</v>
      </c>
      <c r="E290" s="15">
        <f>Deployments!N291</f>
        <v>0</v>
      </c>
      <c r="F290" s="23">
        <f>Deployments!O291</f>
        <v>0</v>
      </c>
      <c r="G290" s="15">
        <f>Deployments!P291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Deployments!T291</f>
        <v>0</v>
      </c>
      <c r="M290" s="15">
        <f>Deployments!L291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Deployments!V292</f>
        <v>0</v>
      </c>
      <c r="C291" s="23">
        <f>Deployments!W292</f>
        <v>0</v>
      </c>
      <c r="D291" s="15">
        <f>Deployments!AJ292</f>
        <v>0</v>
      </c>
      <c r="E291" s="15">
        <f>Deployments!N292</f>
        <v>0</v>
      </c>
      <c r="F291" s="23">
        <f>Deployments!O292</f>
        <v>0</v>
      </c>
      <c r="G291" s="15">
        <f>Deployments!P292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Deployments!T292</f>
        <v>0</v>
      </c>
      <c r="M291" s="15">
        <f>Deployments!L292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Deployments!V293</f>
        <v>0</v>
      </c>
      <c r="C292" s="23">
        <f>Deployments!W293</f>
        <v>0</v>
      </c>
      <c r="D292" s="15">
        <f>Deployments!AJ293</f>
        <v>0</v>
      </c>
      <c r="E292" s="15">
        <f>Deployments!N293</f>
        <v>0</v>
      </c>
      <c r="F292" s="23">
        <f>Deployments!O293</f>
        <v>0</v>
      </c>
      <c r="G292" s="15">
        <f>Deployments!P293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Deployments!T293</f>
        <v>0</v>
      </c>
      <c r="M292" s="15">
        <f>Deployments!L293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Deployments!V294</f>
        <v>0</v>
      </c>
      <c r="C293" s="23">
        <f>Deployments!W294</f>
        <v>0</v>
      </c>
      <c r="D293" s="15">
        <f>Deployments!AJ294</f>
        <v>0</v>
      </c>
      <c r="E293" s="15">
        <f>Deployments!N294</f>
        <v>0</v>
      </c>
      <c r="F293" s="23">
        <f>Deployments!O294</f>
        <v>0</v>
      </c>
      <c r="G293" s="15">
        <f>Deployments!P294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Deployments!T294</f>
        <v>0</v>
      </c>
      <c r="M293" s="15">
        <f>Deployments!L294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Deployments!V295</f>
        <v>0</v>
      </c>
      <c r="C294" s="23">
        <f>Deployments!W295</f>
        <v>0</v>
      </c>
      <c r="D294" s="15">
        <f>Deployments!AJ295</f>
        <v>0</v>
      </c>
      <c r="E294" s="15">
        <f>Deployments!N295</f>
        <v>0</v>
      </c>
      <c r="F294" s="23">
        <f>Deployments!O295</f>
        <v>0</v>
      </c>
      <c r="G294" s="15">
        <f>Deployments!P295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Deployments!T295</f>
        <v>0</v>
      </c>
      <c r="M294" s="15">
        <f>Deployments!L295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Deployments!V296</f>
        <v>0</v>
      </c>
      <c r="C295" s="23">
        <f>Deployments!W296</f>
        <v>0</v>
      </c>
      <c r="D295" s="15">
        <f>Deployments!AJ296</f>
        <v>0</v>
      </c>
      <c r="E295" s="15">
        <f>Deployments!N296</f>
        <v>0</v>
      </c>
      <c r="F295" s="23">
        <f>Deployments!O296</f>
        <v>0</v>
      </c>
      <c r="G295" s="15">
        <f>Deployments!P296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Deployments!T296</f>
        <v>0</v>
      </c>
      <c r="M295" s="15">
        <f>Deployments!L296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Deployments!V297</f>
        <v>0</v>
      </c>
      <c r="C296" s="23">
        <f>Deployments!W297</f>
        <v>0</v>
      </c>
      <c r="D296" s="15">
        <f>Deployments!AJ297</f>
        <v>0</v>
      </c>
      <c r="E296" s="15">
        <f>Deployments!N297</f>
        <v>0</v>
      </c>
      <c r="F296" s="23">
        <f>Deployments!O297</f>
        <v>0</v>
      </c>
      <c r="G296" s="15">
        <f>Deployments!P297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Deployments!T297</f>
        <v>0</v>
      </c>
      <c r="M296" s="15">
        <f>Deployments!L297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Deployments!V298</f>
        <v>0</v>
      </c>
      <c r="C297" s="23">
        <f>Deployments!W298</f>
        <v>0</v>
      </c>
      <c r="D297" s="15">
        <f>Deployments!AJ298</f>
        <v>0</v>
      </c>
      <c r="E297" s="15">
        <f>Deployments!N298</f>
        <v>0</v>
      </c>
      <c r="F297" s="23">
        <f>Deployments!O298</f>
        <v>0</v>
      </c>
      <c r="G297" s="15">
        <f>Deployments!P298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Deployments!T298</f>
        <v>0</v>
      </c>
      <c r="M297" s="15">
        <f>Deployments!L298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Deployments!V299</f>
        <v>0</v>
      </c>
      <c r="C298" s="23">
        <f>Deployments!W299</f>
        <v>0</v>
      </c>
      <c r="D298" s="15">
        <f>Deployments!AJ299</f>
        <v>0</v>
      </c>
      <c r="E298" s="15">
        <f>Deployments!N299</f>
        <v>0</v>
      </c>
      <c r="F298" s="23">
        <f>Deployments!O299</f>
        <v>0</v>
      </c>
      <c r="G298" s="15">
        <f>Deployments!P299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Deployments!T299</f>
        <v>0</v>
      </c>
      <c r="M298" s="15">
        <f>Deployments!L299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Deployments!V300</f>
        <v>0</v>
      </c>
      <c r="C299" s="23">
        <f>Deployments!W300</f>
        <v>0</v>
      </c>
      <c r="D299" s="15">
        <f>Deployments!AJ300</f>
        <v>0</v>
      </c>
      <c r="E299" s="15">
        <f>Deployments!N300</f>
        <v>0</v>
      </c>
      <c r="F299" s="23">
        <f>Deployments!O300</f>
        <v>0</v>
      </c>
      <c r="G299" s="15">
        <f>Deployments!P300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Deployments!T300</f>
        <v>0</v>
      </c>
      <c r="M299" s="15">
        <f>Deployments!L300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Deployments!V301</f>
        <v>0</v>
      </c>
      <c r="C300" s="23">
        <f>Deployments!W301</f>
        <v>0</v>
      </c>
      <c r="D300" s="15">
        <f>Deployments!AJ301</f>
        <v>0</v>
      </c>
      <c r="E300" s="15">
        <f>Deployments!N301</f>
        <v>0</v>
      </c>
      <c r="F300" s="23">
        <f>Deployments!O301</f>
        <v>0</v>
      </c>
      <c r="G300" s="15">
        <f>Deployments!P301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Deployments!T301</f>
        <v>0</v>
      </c>
      <c r="M300" s="15">
        <f>Deployments!L301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Deployments!V302</f>
        <v>0</v>
      </c>
      <c r="C301" s="23">
        <f>Deployments!W302</f>
        <v>0</v>
      </c>
      <c r="D301" s="15">
        <f>Deployments!AJ302</f>
        <v>0</v>
      </c>
      <c r="E301" s="15">
        <f>Deployments!N302</f>
        <v>0</v>
      </c>
      <c r="F301" s="23">
        <f>Deployments!O302</f>
        <v>0</v>
      </c>
      <c r="G301" s="15">
        <f>Deployments!P302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Deployments!T302</f>
        <v>0</v>
      </c>
      <c r="M301" s="15">
        <f>Deployments!L302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Deployments!V303</f>
        <v>0</v>
      </c>
      <c r="C302" s="23">
        <f>Deployments!W303</f>
        <v>0</v>
      </c>
      <c r="D302" s="15">
        <f>Deployments!AJ303</f>
        <v>0</v>
      </c>
      <c r="E302" s="15">
        <f>Deployments!N303</f>
        <v>0</v>
      </c>
      <c r="F302" s="23">
        <f>Deployments!O303</f>
        <v>0</v>
      </c>
      <c r="G302" s="15">
        <f>Deployments!P303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Deployments!T303</f>
        <v>0</v>
      </c>
      <c r="M302" s="15">
        <f>Deployments!L303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Deployments!V304</f>
        <v>0</v>
      </c>
      <c r="C303" s="23">
        <f>Deployments!W304</f>
        <v>0</v>
      </c>
      <c r="D303" s="15">
        <f>Deployments!AJ304</f>
        <v>0</v>
      </c>
      <c r="E303" s="15">
        <f>Deployments!N304</f>
        <v>0</v>
      </c>
      <c r="F303" s="23">
        <f>Deployments!O304</f>
        <v>0</v>
      </c>
      <c r="G303" s="15">
        <f>Deployments!P304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Deployments!T304</f>
        <v>0</v>
      </c>
      <c r="M303" s="15">
        <f>Deployments!L304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Deployments!V305</f>
        <v>0</v>
      </c>
      <c r="C304" s="23">
        <f>Deployments!W305</f>
        <v>0</v>
      </c>
      <c r="D304" s="15">
        <f>Deployments!AJ305</f>
        <v>0</v>
      </c>
      <c r="E304" s="15">
        <f>Deployments!N305</f>
        <v>0</v>
      </c>
      <c r="F304" s="23">
        <f>Deployments!O305</f>
        <v>0</v>
      </c>
      <c r="G304" s="15">
        <f>Deployments!P305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Deployments!T305</f>
        <v>0</v>
      </c>
      <c r="M304" s="15">
        <f>Deployments!L305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Deployments!V306</f>
        <v>0</v>
      </c>
      <c r="C305" s="23">
        <f>Deployments!W306</f>
        <v>0</v>
      </c>
      <c r="D305" s="15">
        <f>Deployments!AJ306</f>
        <v>0</v>
      </c>
      <c r="E305" s="15">
        <f>Deployments!N306</f>
        <v>0</v>
      </c>
      <c r="F305" s="23">
        <f>Deployments!O306</f>
        <v>0</v>
      </c>
      <c r="G305" s="15">
        <f>Deployments!P306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Deployments!T306</f>
        <v>0</v>
      </c>
      <c r="M305" s="15">
        <f>Deployments!L306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Deployments!V307</f>
        <v>0</v>
      </c>
      <c r="C306" s="23">
        <f>Deployments!W307</f>
        <v>0</v>
      </c>
      <c r="D306" s="15">
        <f>Deployments!AJ307</f>
        <v>0</v>
      </c>
      <c r="E306" s="15">
        <f>Deployments!N307</f>
        <v>0</v>
      </c>
      <c r="F306" s="23">
        <f>Deployments!O307</f>
        <v>0</v>
      </c>
      <c r="G306" s="15">
        <f>Deployments!P307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Deployments!T307</f>
        <v>0</v>
      </c>
      <c r="M306" s="15">
        <f>Deployments!L307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Deployments!V308</f>
        <v>0</v>
      </c>
      <c r="C307" s="23">
        <f>Deployments!W308</f>
        <v>0</v>
      </c>
      <c r="D307" s="15">
        <f>Deployments!AJ308</f>
        <v>0</v>
      </c>
      <c r="E307" s="15">
        <f>Deployments!N308</f>
        <v>0</v>
      </c>
      <c r="F307" s="23">
        <f>Deployments!O308</f>
        <v>0</v>
      </c>
      <c r="G307" s="15">
        <f>Deployments!P308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Deployments!T308</f>
        <v>0</v>
      </c>
      <c r="M307" s="15">
        <f>Deployments!L308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Deployments!V309</f>
        <v>0</v>
      </c>
      <c r="C308" s="23">
        <f>Deployments!W309</f>
        <v>0</v>
      </c>
      <c r="D308" s="15">
        <f>Deployments!AJ309</f>
        <v>0</v>
      </c>
      <c r="E308" s="15">
        <f>Deployments!N309</f>
        <v>0</v>
      </c>
      <c r="F308" s="23">
        <f>Deployments!O309</f>
        <v>0</v>
      </c>
      <c r="G308" s="15">
        <f>Deployments!P309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Deployments!T309</f>
        <v>0</v>
      </c>
      <c r="M308" s="15">
        <f>Deployments!L309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Deployments!V310</f>
        <v>0</v>
      </c>
      <c r="C309" s="23">
        <f>Deployments!W310</f>
        <v>0</v>
      </c>
      <c r="D309" s="15">
        <f>Deployments!AJ310</f>
        <v>0</v>
      </c>
      <c r="E309" s="15">
        <f>Deployments!N310</f>
        <v>0</v>
      </c>
      <c r="F309" s="23">
        <f>Deployments!O310</f>
        <v>0</v>
      </c>
      <c r="G309" s="15">
        <f>Deployments!P310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Deployments!T310</f>
        <v>0</v>
      </c>
      <c r="M309" s="15">
        <f>Deployments!L310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Deployments!V311</f>
        <v>0</v>
      </c>
      <c r="C310" s="23">
        <f>Deployments!W311</f>
        <v>0</v>
      </c>
      <c r="D310" s="15">
        <f>Deployments!AJ311</f>
        <v>0</v>
      </c>
      <c r="E310" s="15">
        <f>Deployments!N311</f>
        <v>0</v>
      </c>
      <c r="F310" s="23">
        <f>Deployments!O311</f>
        <v>0</v>
      </c>
      <c r="G310" s="15">
        <f>Deployments!P311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Deployments!T311</f>
        <v>0</v>
      </c>
      <c r="M310" s="15">
        <f>Deployments!L311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Deployments!V312</f>
        <v>0</v>
      </c>
      <c r="C311" s="23">
        <f>Deployments!W312</f>
        <v>0</v>
      </c>
      <c r="D311" s="15">
        <f>Deployments!AJ312</f>
        <v>0</v>
      </c>
      <c r="E311" s="15">
        <f>Deployments!N312</f>
        <v>0</v>
      </c>
      <c r="F311" s="23">
        <f>Deployments!O312</f>
        <v>0</v>
      </c>
      <c r="G311" s="15">
        <f>Deployments!P312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Deployments!T312</f>
        <v>0</v>
      </c>
      <c r="M311" s="15">
        <f>Deployments!L312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Deployments!V313</f>
        <v>0</v>
      </c>
      <c r="C312" s="23">
        <f>Deployments!W313</f>
        <v>0</v>
      </c>
      <c r="D312" s="15">
        <f>Deployments!AJ313</f>
        <v>0</v>
      </c>
      <c r="E312" s="15">
        <f>Deployments!N313</f>
        <v>0</v>
      </c>
      <c r="F312" s="23">
        <f>Deployments!O313</f>
        <v>0</v>
      </c>
      <c r="G312" s="15">
        <f>Deployments!P313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Deployments!T313</f>
        <v>0</v>
      </c>
      <c r="M312" s="15">
        <f>Deployments!L313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Deployments!V314</f>
        <v>0</v>
      </c>
      <c r="C313" s="23">
        <f>Deployments!W314</f>
        <v>0</v>
      </c>
      <c r="D313" s="15">
        <f>Deployments!AJ314</f>
        <v>0</v>
      </c>
      <c r="E313" s="15">
        <f>Deployments!N314</f>
        <v>0</v>
      </c>
      <c r="F313" s="23">
        <f>Deployments!O314</f>
        <v>0</v>
      </c>
      <c r="G313" s="15">
        <f>Deployments!P314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Deployments!T314</f>
        <v>0</v>
      </c>
      <c r="M313" s="15">
        <f>Deployments!L314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Deployments!V315</f>
        <v>0</v>
      </c>
      <c r="C314" s="23">
        <f>Deployments!W315</f>
        <v>0</v>
      </c>
      <c r="D314" s="15">
        <f>Deployments!AJ315</f>
        <v>0</v>
      </c>
      <c r="E314" s="15">
        <f>Deployments!N315</f>
        <v>0</v>
      </c>
      <c r="F314" s="23">
        <f>Deployments!O315</f>
        <v>0</v>
      </c>
      <c r="G314" s="15">
        <f>Deployments!P315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Deployments!T315</f>
        <v>0</v>
      </c>
      <c r="M314" s="15">
        <f>Deployments!L315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Deployments!V316</f>
        <v>0</v>
      </c>
      <c r="C315" s="23">
        <f>Deployments!W316</f>
        <v>0</v>
      </c>
      <c r="D315" s="15">
        <f>Deployments!AJ316</f>
        <v>0</v>
      </c>
      <c r="E315" s="15">
        <f>Deployments!N316</f>
        <v>0</v>
      </c>
      <c r="F315" s="23">
        <f>Deployments!O316</f>
        <v>0</v>
      </c>
      <c r="G315" s="15">
        <f>Deployments!P316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Deployments!T316</f>
        <v>0</v>
      </c>
      <c r="M315" s="15">
        <f>Deployments!L316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Deployments!V317</f>
        <v>0</v>
      </c>
      <c r="C316" s="23">
        <f>Deployments!W317</f>
        <v>0</v>
      </c>
      <c r="D316" s="15">
        <f>Deployments!AJ317</f>
        <v>0</v>
      </c>
      <c r="E316" s="15">
        <f>Deployments!N317</f>
        <v>0</v>
      </c>
      <c r="F316" s="23">
        <f>Deployments!O317</f>
        <v>0</v>
      </c>
      <c r="G316" s="15">
        <f>Deployments!P317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Deployments!T317</f>
        <v>0</v>
      </c>
      <c r="M316" s="15">
        <f>Deployments!L317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Deployments!V318</f>
        <v>0</v>
      </c>
      <c r="C317" s="23">
        <f>Deployments!W318</f>
        <v>0</v>
      </c>
      <c r="D317" s="15">
        <f>Deployments!AJ318</f>
        <v>0</v>
      </c>
      <c r="E317" s="15">
        <f>Deployments!N318</f>
        <v>0</v>
      </c>
      <c r="F317" s="23">
        <f>Deployments!O318</f>
        <v>0</v>
      </c>
      <c r="G317" s="15">
        <f>Deployments!P318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Deployments!T318</f>
        <v>0</v>
      </c>
      <c r="M317" s="15">
        <f>Deployments!L318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Deployments!V319</f>
        <v>0</v>
      </c>
      <c r="C318" s="23">
        <f>Deployments!W319</f>
        <v>0</v>
      </c>
      <c r="D318" s="15">
        <f>Deployments!AJ319</f>
        <v>0</v>
      </c>
      <c r="E318" s="15">
        <f>Deployments!N319</f>
        <v>0</v>
      </c>
      <c r="F318" s="23">
        <f>Deployments!O319</f>
        <v>0</v>
      </c>
      <c r="G318" s="15">
        <f>Deployments!P319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Deployments!T319</f>
        <v>0</v>
      </c>
      <c r="M318" s="15">
        <f>Deployments!L319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Deployments!V320</f>
        <v>0</v>
      </c>
      <c r="C319" s="23">
        <f>Deployments!W320</f>
        <v>0</v>
      </c>
      <c r="D319" s="15">
        <f>Deployments!AJ320</f>
        <v>0</v>
      </c>
      <c r="E319" s="15">
        <f>Deployments!N320</f>
        <v>0</v>
      </c>
      <c r="F319" s="23">
        <f>Deployments!O320</f>
        <v>0</v>
      </c>
      <c r="G319" s="15">
        <f>Deployments!P320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Deployments!T320</f>
        <v>0</v>
      </c>
      <c r="M319" s="15">
        <f>Deployments!L320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Deployments!V321</f>
        <v>0</v>
      </c>
      <c r="C320" s="23">
        <f>Deployments!W321</f>
        <v>0</v>
      </c>
      <c r="D320" s="15">
        <f>Deployments!AJ321</f>
        <v>0</v>
      </c>
      <c r="E320" s="15">
        <f>Deployments!N321</f>
        <v>0</v>
      </c>
      <c r="F320" s="23">
        <f>Deployments!O321</f>
        <v>0</v>
      </c>
      <c r="G320" s="15">
        <f>Deployments!P321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Deployments!T321</f>
        <v>0</v>
      </c>
      <c r="M320" s="15">
        <f>Deployments!L321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Deployments!V322</f>
        <v>0</v>
      </c>
      <c r="C321" s="23">
        <f>Deployments!W322</f>
        <v>0</v>
      </c>
      <c r="D321" s="15">
        <f>Deployments!AJ322</f>
        <v>0</v>
      </c>
      <c r="E321" s="15">
        <f>Deployments!N322</f>
        <v>0</v>
      </c>
      <c r="F321" s="23">
        <f>Deployments!O322</f>
        <v>0</v>
      </c>
      <c r="G321" s="15">
        <f>Deployments!P322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Deployments!T322</f>
        <v>0</v>
      </c>
      <c r="M321" s="15">
        <f>Deployments!L322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Deployments!V323</f>
        <v>0</v>
      </c>
      <c r="C322" s="23">
        <f>Deployments!W323</f>
        <v>0</v>
      </c>
      <c r="D322" s="15">
        <f>Deployments!AJ323</f>
        <v>0</v>
      </c>
      <c r="E322" s="15">
        <f>Deployments!N323</f>
        <v>0</v>
      </c>
      <c r="F322" s="23">
        <f>Deployments!O323</f>
        <v>0</v>
      </c>
      <c r="G322" s="15">
        <f>Deployments!P323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Deployments!T323</f>
        <v>0</v>
      </c>
      <c r="M322" s="15">
        <f>Deployments!L323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Deployments!V324</f>
        <v>0</v>
      </c>
      <c r="C323" s="23">
        <f>Deployments!W324</f>
        <v>0</v>
      </c>
      <c r="D323" s="15">
        <f>Deployments!AJ324</f>
        <v>0</v>
      </c>
      <c r="E323" s="15">
        <f>Deployments!N324</f>
        <v>0</v>
      </c>
      <c r="F323" s="23">
        <f>Deployments!O324</f>
        <v>0</v>
      </c>
      <c r="G323" s="15">
        <f>Deployments!P324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Deployments!T324</f>
        <v>0</v>
      </c>
      <c r="M323" s="15">
        <f>Deployments!L324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Deployments!V325</f>
        <v>0</v>
      </c>
      <c r="C324" s="23">
        <f>Deployments!W325</f>
        <v>0</v>
      </c>
      <c r="D324" s="15">
        <f>Deployments!AJ325</f>
        <v>0</v>
      </c>
      <c r="E324" s="15">
        <f>Deployments!N325</f>
        <v>0</v>
      </c>
      <c r="F324" s="23">
        <f>Deployments!O325</f>
        <v>0</v>
      </c>
      <c r="G324" s="15">
        <f>Deployments!P325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Deployments!T325</f>
        <v>0</v>
      </c>
      <c r="M324" s="15">
        <f>Deployments!L325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Deployments!V326</f>
        <v>0</v>
      </c>
      <c r="C325" s="23">
        <f>Deployments!W326</f>
        <v>0</v>
      </c>
      <c r="D325" s="15">
        <f>Deployments!AJ326</f>
        <v>0</v>
      </c>
      <c r="E325" s="15">
        <f>Deployments!N326</f>
        <v>0</v>
      </c>
      <c r="F325" s="23">
        <f>Deployments!O326</f>
        <v>0</v>
      </c>
      <c r="G325" s="15">
        <f>Deployments!P326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Deployments!T326</f>
        <v>0</v>
      </c>
      <c r="M325" s="15">
        <f>Deployments!L326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Deployments!V327</f>
        <v>0</v>
      </c>
      <c r="C326" s="23">
        <f>Deployments!W327</f>
        <v>0</v>
      </c>
      <c r="D326" s="15">
        <f>Deployments!AJ327</f>
        <v>0</v>
      </c>
      <c r="E326" s="15">
        <f>Deployments!N327</f>
        <v>0</v>
      </c>
      <c r="F326" s="23">
        <f>Deployments!O327</f>
        <v>0</v>
      </c>
      <c r="G326" s="15">
        <f>Deployments!P327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Deployments!T327</f>
        <v>0</v>
      </c>
      <c r="M326" s="15">
        <f>Deployments!L327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Deployments!V328</f>
        <v>0</v>
      </c>
      <c r="C327" s="23">
        <f>Deployments!W328</f>
        <v>0</v>
      </c>
      <c r="D327" s="15">
        <f>Deployments!AJ328</f>
        <v>0</v>
      </c>
      <c r="E327" s="15">
        <f>Deployments!N328</f>
        <v>0</v>
      </c>
      <c r="F327" s="23">
        <f>Deployments!O328</f>
        <v>0</v>
      </c>
      <c r="G327" s="15">
        <f>Deployments!P328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Deployments!T328</f>
        <v>0</v>
      </c>
      <c r="M327" s="15">
        <f>Deployments!L328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Deployments!V329</f>
        <v>0</v>
      </c>
      <c r="C328" s="23">
        <f>Deployments!W329</f>
        <v>0</v>
      </c>
      <c r="D328" s="15">
        <f>Deployments!AJ329</f>
        <v>0</v>
      </c>
      <c r="E328" s="15">
        <f>Deployments!N329</f>
        <v>0</v>
      </c>
      <c r="F328" s="23">
        <f>Deployments!O329</f>
        <v>0</v>
      </c>
      <c r="G328" s="15">
        <f>Deployments!P329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Deployments!T329</f>
        <v>0</v>
      </c>
      <c r="M328" s="15">
        <f>Deployments!L329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Deployments!V330</f>
        <v>0</v>
      </c>
      <c r="C329" s="23">
        <f>Deployments!W330</f>
        <v>0</v>
      </c>
      <c r="D329" s="15">
        <f>Deployments!AJ330</f>
        <v>0</v>
      </c>
      <c r="E329" s="15">
        <f>Deployments!N330</f>
        <v>0</v>
      </c>
      <c r="F329" s="23">
        <f>Deployments!O330</f>
        <v>0</v>
      </c>
      <c r="G329" s="15">
        <f>Deployments!P330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Deployments!T330</f>
        <v>0</v>
      </c>
      <c r="M329" s="15">
        <f>Deployments!L330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Deployments!V331</f>
        <v>0</v>
      </c>
      <c r="C330" s="23">
        <f>Deployments!W331</f>
        <v>0</v>
      </c>
      <c r="D330" s="15">
        <f>Deployments!AJ331</f>
        <v>0</v>
      </c>
      <c r="E330" s="15">
        <f>Deployments!N331</f>
        <v>0</v>
      </c>
      <c r="F330" s="23">
        <f>Deployments!O331</f>
        <v>0</v>
      </c>
      <c r="G330" s="15">
        <f>Deployments!P331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Deployments!T331</f>
        <v>0</v>
      </c>
      <c r="M330" s="15">
        <f>Deployments!L331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Deployments!V332</f>
        <v>0</v>
      </c>
      <c r="C331" s="23">
        <f>Deployments!W332</f>
        <v>0</v>
      </c>
      <c r="D331" s="15">
        <f>Deployments!AJ332</f>
        <v>0</v>
      </c>
      <c r="E331" s="15">
        <f>Deployments!N332</f>
        <v>0</v>
      </c>
      <c r="F331" s="23">
        <f>Deployments!O332</f>
        <v>0</v>
      </c>
      <c r="G331" s="15">
        <f>Deployments!P332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Deployments!T332</f>
        <v>0</v>
      </c>
      <c r="M331" s="15">
        <f>Deployments!L332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Deployments!V333</f>
        <v>0</v>
      </c>
      <c r="C332" s="23">
        <f>Deployments!W333</f>
        <v>0</v>
      </c>
      <c r="D332" s="15">
        <f>Deployments!AJ333</f>
        <v>0</v>
      </c>
      <c r="E332" s="15">
        <f>Deployments!N333</f>
        <v>0</v>
      </c>
      <c r="F332" s="23">
        <f>Deployments!O333</f>
        <v>0</v>
      </c>
      <c r="G332" s="15">
        <f>Deployments!P333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Deployments!T333</f>
        <v>0</v>
      </c>
      <c r="M332" s="15">
        <f>Deployments!L333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Deployments!V334</f>
        <v>0</v>
      </c>
      <c r="C333" s="23">
        <f>Deployments!W334</f>
        <v>0</v>
      </c>
      <c r="D333" s="15">
        <f>Deployments!AJ334</f>
        <v>0</v>
      </c>
      <c r="E333" s="15">
        <f>Deployments!N334</f>
        <v>0</v>
      </c>
      <c r="F333" s="23">
        <f>Deployments!O334</f>
        <v>0</v>
      </c>
      <c r="G333" s="15">
        <f>Deployments!P334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Deployments!T334</f>
        <v>0</v>
      </c>
      <c r="M333" s="15">
        <f>Deployments!L334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Deployments!V335</f>
        <v>0</v>
      </c>
      <c r="C334" s="23">
        <f>Deployments!W335</f>
        <v>0</v>
      </c>
      <c r="D334" s="15">
        <f>Deployments!AJ335</f>
        <v>0</v>
      </c>
      <c r="E334" s="15">
        <f>Deployments!N335</f>
        <v>0</v>
      </c>
      <c r="F334" s="23">
        <f>Deployments!O335</f>
        <v>0</v>
      </c>
      <c r="G334" s="15">
        <f>Deployments!P335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Deployments!T335</f>
        <v>0</v>
      </c>
      <c r="M334" s="15">
        <f>Deployments!L335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Deployments!V336</f>
        <v>0</v>
      </c>
      <c r="C335" s="23">
        <f>Deployments!W336</f>
        <v>0</v>
      </c>
      <c r="D335" s="15">
        <f>Deployments!AJ336</f>
        <v>0</v>
      </c>
      <c r="E335" s="15">
        <f>Deployments!N336</f>
        <v>0</v>
      </c>
      <c r="F335" s="23">
        <f>Deployments!O336</f>
        <v>0</v>
      </c>
      <c r="G335" s="15">
        <f>Deployments!P336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Deployments!T336</f>
        <v>0</v>
      </c>
      <c r="M335" s="15">
        <f>Deployments!L336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Deployments!V337</f>
        <v>0</v>
      </c>
      <c r="C336" s="23">
        <f>Deployments!W337</f>
        <v>0</v>
      </c>
      <c r="D336" s="15">
        <f>Deployments!AJ337</f>
        <v>0</v>
      </c>
      <c r="E336" s="15">
        <f>Deployments!N337</f>
        <v>0</v>
      </c>
      <c r="F336" s="23">
        <f>Deployments!O337</f>
        <v>0</v>
      </c>
      <c r="G336" s="15">
        <f>Deployments!P337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Deployments!T337</f>
        <v>0</v>
      </c>
      <c r="M336" s="15">
        <f>Deployments!L337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Deployments!V338</f>
        <v>0</v>
      </c>
      <c r="C337" s="23">
        <f>Deployments!W338</f>
        <v>0</v>
      </c>
      <c r="D337" s="15">
        <f>Deployments!AJ338</f>
        <v>0</v>
      </c>
      <c r="E337" s="15">
        <f>Deployments!N338</f>
        <v>0</v>
      </c>
      <c r="F337" s="23">
        <f>Deployments!O338</f>
        <v>0</v>
      </c>
      <c r="G337" s="15">
        <f>Deployments!P338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Deployments!T338</f>
        <v>0</v>
      </c>
      <c r="M337" s="15">
        <f>Deployments!L338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Deployments!V339</f>
        <v>0</v>
      </c>
      <c r="C338" s="23">
        <f>Deployments!W339</f>
        <v>0</v>
      </c>
      <c r="D338" s="15">
        <f>Deployments!AJ339</f>
        <v>0</v>
      </c>
      <c r="E338" s="15">
        <f>Deployments!N339</f>
        <v>0</v>
      </c>
      <c r="F338" s="23">
        <f>Deployments!O339</f>
        <v>0</v>
      </c>
      <c r="G338" s="15">
        <f>Deployments!P339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Deployments!T339</f>
        <v>0</v>
      </c>
      <c r="M338" s="15">
        <f>Deployments!L339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Deployments!V340</f>
        <v>0</v>
      </c>
      <c r="C339" s="23">
        <f>Deployments!W340</f>
        <v>0</v>
      </c>
      <c r="D339" s="15">
        <f>Deployments!AJ340</f>
        <v>0</v>
      </c>
      <c r="E339" s="15">
        <f>Deployments!N340</f>
        <v>0</v>
      </c>
      <c r="F339" s="23">
        <f>Deployments!O340</f>
        <v>0</v>
      </c>
      <c r="G339" s="15">
        <f>Deployments!P340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Deployments!T340</f>
        <v>0</v>
      </c>
      <c r="M339" s="15">
        <f>Deployments!L340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Deployments!V341</f>
        <v>0</v>
      </c>
      <c r="C340" s="23">
        <f>Deployments!W341</f>
        <v>0</v>
      </c>
      <c r="D340" s="15">
        <f>Deployments!AJ341</f>
        <v>0</v>
      </c>
      <c r="E340" s="15">
        <f>Deployments!N341</f>
        <v>0</v>
      </c>
      <c r="F340" s="23">
        <f>Deployments!O341</f>
        <v>0</v>
      </c>
      <c r="G340" s="15">
        <f>Deployments!P341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Deployments!T341</f>
        <v>0</v>
      </c>
      <c r="M340" s="15">
        <f>Deployments!L341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Deployments!V342</f>
        <v>0</v>
      </c>
      <c r="C341" s="23">
        <f>Deployments!W342</f>
        <v>0</v>
      </c>
      <c r="D341" s="15">
        <f>Deployments!AJ342</f>
        <v>0</v>
      </c>
      <c r="E341" s="15">
        <f>Deployments!N342</f>
        <v>0</v>
      </c>
      <c r="F341" s="23">
        <f>Deployments!O342</f>
        <v>0</v>
      </c>
      <c r="G341" s="15">
        <f>Deployments!P342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Deployments!T342</f>
        <v>0</v>
      </c>
      <c r="M341" s="15">
        <f>Deployments!L342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Deployments!V343</f>
        <v>0</v>
      </c>
      <c r="C342" s="23">
        <f>Deployments!W343</f>
        <v>0</v>
      </c>
      <c r="D342" s="15">
        <f>Deployments!AJ343</f>
        <v>0</v>
      </c>
      <c r="E342" s="15">
        <f>Deployments!N343</f>
        <v>0</v>
      </c>
      <c r="F342" s="23">
        <f>Deployments!O343</f>
        <v>0</v>
      </c>
      <c r="G342" s="15">
        <f>Deployments!P343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Deployments!T343</f>
        <v>0</v>
      </c>
      <c r="M342" s="15">
        <f>Deployments!L343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Deployments!V344</f>
        <v>0</v>
      </c>
      <c r="C343" s="23">
        <f>Deployments!W344</f>
        <v>0</v>
      </c>
      <c r="D343" s="15">
        <f>Deployments!AJ344</f>
        <v>0</v>
      </c>
      <c r="E343" s="15">
        <f>Deployments!N344</f>
        <v>0</v>
      </c>
      <c r="F343" s="23">
        <f>Deployments!O344</f>
        <v>0</v>
      </c>
      <c r="G343" s="15">
        <f>Deployments!P344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Deployments!T344</f>
        <v>0</v>
      </c>
      <c r="M343" s="15">
        <f>Deployments!L344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Deployments!V345</f>
        <v>0</v>
      </c>
      <c r="C344" s="23">
        <f>Deployments!W345</f>
        <v>0</v>
      </c>
      <c r="D344" s="15">
        <f>Deployments!AJ345</f>
        <v>0</v>
      </c>
      <c r="E344" s="15">
        <f>Deployments!N345</f>
        <v>0</v>
      </c>
      <c r="F344" s="23">
        <f>Deployments!O345</f>
        <v>0</v>
      </c>
      <c r="G344" s="15">
        <f>Deployments!P345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Deployments!T345</f>
        <v>0</v>
      </c>
      <c r="M344" s="15">
        <f>Deployments!L345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Deployments!V346</f>
        <v>0</v>
      </c>
      <c r="C345" s="23">
        <f>Deployments!W346</f>
        <v>0</v>
      </c>
      <c r="D345" s="15">
        <f>Deployments!AJ346</f>
        <v>0</v>
      </c>
      <c r="E345" s="15">
        <f>Deployments!N346</f>
        <v>0</v>
      </c>
      <c r="F345" s="23">
        <f>Deployments!O346</f>
        <v>0</v>
      </c>
      <c r="G345" s="15">
        <f>Deployments!P346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Deployments!T346</f>
        <v>0</v>
      </c>
      <c r="M345" s="15">
        <f>Deployments!L346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Deployments!V347</f>
        <v>0</v>
      </c>
      <c r="C346" s="23">
        <f>Deployments!W347</f>
        <v>0</v>
      </c>
      <c r="D346" s="15">
        <f>Deployments!AJ347</f>
        <v>0</v>
      </c>
      <c r="E346" s="15">
        <f>Deployments!N347</f>
        <v>0</v>
      </c>
      <c r="F346" s="23">
        <f>Deployments!O347</f>
        <v>0</v>
      </c>
      <c r="G346" s="15">
        <f>Deployments!P347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Deployments!T347</f>
        <v>0</v>
      </c>
      <c r="M346" s="15">
        <f>Deployments!L347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Deployments!V348</f>
        <v>0</v>
      </c>
      <c r="C347" s="23">
        <f>Deployments!W348</f>
        <v>0</v>
      </c>
      <c r="D347" s="15">
        <f>Deployments!AJ348</f>
        <v>0</v>
      </c>
      <c r="E347" s="15">
        <f>Deployments!N348</f>
        <v>0</v>
      </c>
      <c r="F347" s="23">
        <f>Deployments!O348</f>
        <v>0</v>
      </c>
      <c r="G347" s="15">
        <f>Deployments!P348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Deployments!T348</f>
        <v>0</v>
      </c>
      <c r="M347" s="15">
        <f>Deployments!L348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Deployments!V349</f>
        <v>0</v>
      </c>
      <c r="C348" s="23">
        <f>Deployments!W349</f>
        <v>0</v>
      </c>
      <c r="D348" s="15">
        <f>Deployments!AJ349</f>
        <v>0</v>
      </c>
      <c r="E348" s="15">
        <f>Deployments!N349</f>
        <v>0</v>
      </c>
      <c r="F348" s="23">
        <f>Deployments!O349</f>
        <v>0</v>
      </c>
      <c r="G348" s="15">
        <f>Deployments!P349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Deployments!T349</f>
        <v>0</v>
      </c>
      <c r="M348" s="15">
        <f>Deployments!L349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Deployments!V350</f>
        <v>0</v>
      </c>
      <c r="C349" s="23">
        <f>Deployments!W350</f>
        <v>0</v>
      </c>
      <c r="D349" s="15">
        <f>Deployments!AJ350</f>
        <v>0</v>
      </c>
      <c r="E349" s="15">
        <f>Deployments!N350</f>
        <v>0</v>
      </c>
      <c r="F349" s="23">
        <f>Deployments!O350</f>
        <v>0</v>
      </c>
      <c r="G349" s="15">
        <f>Deployments!P350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Deployments!T350</f>
        <v>0</v>
      </c>
      <c r="M349" s="15">
        <f>Deployments!L350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Deployments!V351</f>
        <v>0</v>
      </c>
      <c r="C350" s="23">
        <f>Deployments!W351</f>
        <v>0</v>
      </c>
      <c r="D350" s="15">
        <f>Deployments!AJ351</f>
        <v>0</v>
      </c>
      <c r="E350" s="15">
        <f>Deployments!N351</f>
        <v>0</v>
      </c>
      <c r="F350" s="23">
        <f>Deployments!O351</f>
        <v>0</v>
      </c>
      <c r="G350" s="15">
        <f>Deployments!P351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Deployments!T351</f>
        <v>0</v>
      </c>
      <c r="M350" s="15">
        <f>Deployments!L351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Deployments!V352</f>
        <v>0</v>
      </c>
      <c r="C351" s="23">
        <f>Deployments!W352</f>
        <v>0</v>
      </c>
      <c r="D351" s="15">
        <f>Deployments!AJ352</f>
        <v>0</v>
      </c>
      <c r="E351" s="15">
        <f>Deployments!N352</f>
        <v>0</v>
      </c>
      <c r="F351" s="23">
        <f>Deployments!O352</f>
        <v>0</v>
      </c>
      <c r="G351" s="15">
        <f>Deployments!P352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Deployments!T352</f>
        <v>0</v>
      </c>
      <c r="M351" s="15">
        <f>Deployments!L352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Deployments!V353</f>
        <v>0</v>
      </c>
      <c r="C352" s="23">
        <f>Deployments!W353</f>
        <v>0</v>
      </c>
      <c r="D352" s="15">
        <f>Deployments!AJ353</f>
        <v>0</v>
      </c>
      <c r="E352" s="15">
        <f>Deployments!N353</f>
        <v>0</v>
      </c>
      <c r="F352" s="23">
        <f>Deployments!O353</f>
        <v>0</v>
      </c>
      <c r="G352" s="15">
        <f>Deployments!P353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Deployments!T353</f>
        <v>0</v>
      </c>
      <c r="M352" s="15">
        <f>Deployments!L353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Deployments!V354</f>
        <v>0</v>
      </c>
      <c r="C353" s="23">
        <f>Deployments!W354</f>
        <v>0</v>
      </c>
      <c r="D353" s="15">
        <f>Deployments!AJ354</f>
        <v>0</v>
      </c>
      <c r="E353" s="15">
        <f>Deployments!N354</f>
        <v>0</v>
      </c>
      <c r="F353" s="23">
        <f>Deployments!O354</f>
        <v>0</v>
      </c>
      <c r="G353" s="15">
        <f>Deployments!P354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Deployments!T354</f>
        <v>0</v>
      </c>
      <c r="M353" s="15">
        <f>Deployments!L354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Deployments!V355</f>
        <v>0</v>
      </c>
      <c r="C354" s="23">
        <f>Deployments!W355</f>
        <v>0</v>
      </c>
      <c r="D354" s="15">
        <f>Deployments!AJ355</f>
        <v>0</v>
      </c>
      <c r="E354" s="15">
        <f>Deployments!N355</f>
        <v>0</v>
      </c>
      <c r="F354" s="23">
        <f>Deployments!O355</f>
        <v>0</v>
      </c>
      <c r="G354" s="15">
        <f>Deployments!P355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Deployments!T355</f>
        <v>0</v>
      </c>
      <c r="M354" s="15">
        <f>Deployments!L355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Deployments!V356</f>
        <v>0</v>
      </c>
      <c r="C355" s="23">
        <f>Deployments!W356</f>
        <v>0</v>
      </c>
      <c r="D355" s="15">
        <f>Deployments!AJ356</f>
        <v>0</v>
      </c>
      <c r="E355" s="15">
        <f>Deployments!N356</f>
        <v>0</v>
      </c>
      <c r="F355" s="23">
        <f>Deployments!O356</f>
        <v>0</v>
      </c>
      <c r="G355" s="15">
        <f>Deployments!P356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Deployments!T356</f>
        <v>0</v>
      </c>
      <c r="M355" s="15">
        <f>Deployments!L356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Deployments!V357</f>
        <v>0</v>
      </c>
      <c r="C356" s="23">
        <f>Deployments!W357</f>
        <v>0</v>
      </c>
      <c r="D356" s="15">
        <f>Deployments!AJ357</f>
        <v>0</v>
      </c>
      <c r="E356" s="15">
        <f>Deployments!N357</f>
        <v>0</v>
      </c>
      <c r="F356" s="23">
        <f>Deployments!O357</f>
        <v>0</v>
      </c>
      <c r="G356" s="15">
        <f>Deployments!P357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Deployments!T357</f>
        <v>0</v>
      </c>
      <c r="M356" s="15">
        <f>Deployments!L357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Deployments!V358</f>
        <v>0</v>
      </c>
      <c r="C357" s="23">
        <f>Deployments!W358</f>
        <v>0</v>
      </c>
      <c r="D357" s="15">
        <f>Deployments!AJ358</f>
        <v>0</v>
      </c>
      <c r="E357" s="15">
        <f>Deployments!N358</f>
        <v>0</v>
      </c>
      <c r="F357" s="23">
        <f>Deployments!O358</f>
        <v>0</v>
      </c>
      <c r="G357" s="15">
        <f>Deployments!P358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Deployments!T358</f>
        <v>0</v>
      </c>
      <c r="M357" s="15">
        <f>Deployments!L358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Deployments!V359</f>
        <v>0</v>
      </c>
      <c r="C358" s="23">
        <f>Deployments!W359</f>
        <v>0</v>
      </c>
      <c r="D358" s="15">
        <f>Deployments!AJ359</f>
        <v>0</v>
      </c>
      <c r="E358" s="15">
        <f>Deployments!N359</f>
        <v>0</v>
      </c>
      <c r="F358" s="23">
        <f>Deployments!O359</f>
        <v>0</v>
      </c>
      <c r="G358" s="15">
        <f>Deployments!P359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Deployments!T359</f>
        <v>0</v>
      </c>
      <c r="M358" s="15">
        <f>Deployments!L359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Deployments!V360</f>
        <v>0</v>
      </c>
      <c r="C359" s="23">
        <f>Deployments!W360</f>
        <v>0</v>
      </c>
      <c r="D359" s="15">
        <f>Deployments!AJ360</f>
        <v>0</v>
      </c>
      <c r="E359" s="15">
        <f>Deployments!N360</f>
        <v>0</v>
      </c>
      <c r="F359" s="23">
        <f>Deployments!O360</f>
        <v>0</v>
      </c>
      <c r="G359" s="15">
        <f>Deployments!P360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Deployments!T360</f>
        <v>0</v>
      </c>
      <c r="M359" s="15">
        <f>Deployments!L360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Deployments!V361</f>
        <v>0</v>
      </c>
      <c r="C360" s="23">
        <f>Deployments!W361</f>
        <v>0</v>
      </c>
      <c r="D360" s="15">
        <f>Deployments!AJ361</f>
        <v>0</v>
      </c>
      <c r="E360" s="15">
        <f>Deployments!N361</f>
        <v>0</v>
      </c>
      <c r="F360" s="23">
        <f>Deployments!O361</f>
        <v>0</v>
      </c>
      <c r="G360" s="15">
        <f>Deployments!P361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Deployments!T361</f>
        <v>0</v>
      </c>
      <c r="M360" s="15">
        <f>Deployments!L361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Deployments!V362</f>
        <v>0</v>
      </c>
      <c r="C361" s="23">
        <f>Deployments!W362</f>
        <v>0</v>
      </c>
      <c r="D361" s="15">
        <f>Deployments!AJ362</f>
        <v>0</v>
      </c>
      <c r="E361" s="15">
        <f>Deployments!N362</f>
        <v>0</v>
      </c>
      <c r="F361" s="23">
        <f>Deployments!O362</f>
        <v>0</v>
      </c>
      <c r="G361" s="15">
        <f>Deployments!P362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Deployments!T362</f>
        <v>0</v>
      </c>
      <c r="M361" s="15">
        <f>Deployments!L362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Deployments!V363</f>
        <v>0</v>
      </c>
      <c r="C362" s="23">
        <f>Deployments!W363</f>
        <v>0</v>
      </c>
      <c r="D362" s="15">
        <f>Deployments!AJ363</f>
        <v>0</v>
      </c>
      <c r="E362" s="15">
        <f>Deployments!N363</f>
        <v>0</v>
      </c>
      <c r="F362" s="23">
        <f>Deployments!O363</f>
        <v>0</v>
      </c>
      <c r="G362" s="15">
        <f>Deployments!P363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Deployments!T363</f>
        <v>0</v>
      </c>
      <c r="M362" s="15">
        <f>Deployments!L363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Deployments!V364</f>
        <v>0</v>
      </c>
      <c r="C363" s="23">
        <f>Deployments!W364</f>
        <v>0</v>
      </c>
      <c r="D363" s="15">
        <f>Deployments!AJ364</f>
        <v>0</v>
      </c>
      <c r="E363" s="15">
        <f>Deployments!N364</f>
        <v>0</v>
      </c>
      <c r="F363" s="23">
        <f>Deployments!O364</f>
        <v>0</v>
      </c>
      <c r="G363" s="15">
        <f>Deployments!P364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Deployments!T364</f>
        <v>0</v>
      </c>
      <c r="M363" s="15">
        <f>Deployments!L364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Deployments!V365</f>
        <v>0</v>
      </c>
      <c r="C364" s="23">
        <f>Deployments!W365</f>
        <v>0</v>
      </c>
      <c r="D364" s="15">
        <f>Deployments!AJ365</f>
        <v>0</v>
      </c>
      <c r="E364" s="15">
        <f>Deployments!N365</f>
        <v>0</v>
      </c>
      <c r="F364" s="23">
        <f>Deployments!O365</f>
        <v>0</v>
      </c>
      <c r="G364" s="15">
        <f>Deployments!P365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Deployments!T365</f>
        <v>0</v>
      </c>
      <c r="M364" s="15">
        <f>Deployments!L365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Deployments!V366</f>
        <v>0</v>
      </c>
      <c r="C365" s="23">
        <f>Deployments!W366</f>
        <v>0</v>
      </c>
      <c r="D365" s="15">
        <f>Deployments!AJ366</f>
        <v>0</v>
      </c>
      <c r="E365" s="15">
        <f>Deployments!N366</f>
        <v>0</v>
      </c>
      <c r="F365" s="23">
        <f>Deployments!O366</f>
        <v>0</v>
      </c>
      <c r="G365" s="15">
        <f>Deployments!P366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Deployments!T366</f>
        <v>0</v>
      </c>
      <c r="M365" s="15">
        <f>Deployments!L366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Deployments!V367</f>
        <v>0</v>
      </c>
      <c r="C366" s="23">
        <f>Deployments!W367</f>
        <v>0</v>
      </c>
      <c r="D366" s="15">
        <f>Deployments!AJ367</f>
        <v>0</v>
      </c>
      <c r="E366" s="15">
        <f>Deployments!N367</f>
        <v>0</v>
      </c>
      <c r="F366" s="23">
        <f>Deployments!O367</f>
        <v>0</v>
      </c>
      <c r="G366" s="15">
        <f>Deployments!P367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Deployments!T367</f>
        <v>0</v>
      </c>
      <c r="M366" s="15">
        <f>Deployments!L367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Deployments!V368</f>
        <v>0</v>
      </c>
      <c r="C367" s="23">
        <f>Deployments!W368</f>
        <v>0</v>
      </c>
      <c r="D367" s="15">
        <f>Deployments!AJ368</f>
        <v>0</v>
      </c>
      <c r="E367" s="15">
        <f>Deployments!N368</f>
        <v>0</v>
      </c>
      <c r="F367" s="23">
        <f>Deployments!O368</f>
        <v>0</v>
      </c>
      <c r="G367" s="15">
        <f>Deployments!P368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Deployments!T368</f>
        <v>0</v>
      </c>
      <c r="M367" s="15">
        <f>Deployments!L368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Deployments!V369</f>
        <v>0</v>
      </c>
      <c r="C368" s="23">
        <f>Deployments!W369</f>
        <v>0</v>
      </c>
      <c r="D368" s="15">
        <f>Deployments!AJ369</f>
        <v>0</v>
      </c>
      <c r="E368" s="15">
        <f>Deployments!N369</f>
        <v>0</v>
      </c>
      <c r="F368" s="23">
        <f>Deployments!O369</f>
        <v>0</v>
      </c>
      <c r="G368" s="15">
        <f>Deployments!P369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Deployments!T369</f>
        <v>0</v>
      </c>
      <c r="M368" s="15">
        <f>Deployments!L369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Deployments!V370</f>
        <v>0</v>
      </c>
      <c r="C369" s="23">
        <f>Deployments!W370</f>
        <v>0</v>
      </c>
      <c r="D369" s="15">
        <f>Deployments!AJ370</f>
        <v>0</v>
      </c>
      <c r="E369" s="15">
        <f>Deployments!N370</f>
        <v>0</v>
      </c>
      <c r="F369" s="23">
        <f>Deployments!O370</f>
        <v>0</v>
      </c>
      <c r="G369" s="15">
        <f>Deployments!P370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Deployments!T370</f>
        <v>0</v>
      </c>
      <c r="M369" s="15">
        <f>Deployments!L370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Deployments!V371</f>
        <v>0</v>
      </c>
      <c r="C370" s="23">
        <f>Deployments!W371</f>
        <v>0</v>
      </c>
      <c r="D370" s="15">
        <f>Deployments!AJ371</f>
        <v>0</v>
      </c>
      <c r="E370" s="15">
        <f>Deployments!N371</f>
        <v>0</v>
      </c>
      <c r="F370" s="23">
        <f>Deployments!O371</f>
        <v>0</v>
      </c>
      <c r="G370" s="15">
        <f>Deployments!P371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Deployments!T371</f>
        <v>0</v>
      </c>
      <c r="M370" s="15">
        <f>Deployments!L371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Deployments!V372</f>
        <v>0</v>
      </c>
      <c r="C371" s="23">
        <f>Deployments!W372</f>
        <v>0</v>
      </c>
      <c r="D371" s="15">
        <f>Deployments!AJ372</f>
        <v>0</v>
      </c>
      <c r="E371" s="15">
        <f>Deployments!N372</f>
        <v>0</v>
      </c>
      <c r="F371" s="23">
        <f>Deployments!O372</f>
        <v>0</v>
      </c>
      <c r="G371" s="15">
        <f>Deployments!P372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Deployments!T372</f>
        <v>0</v>
      </c>
      <c r="M371" s="15">
        <f>Deployments!L372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Deployments!V373</f>
        <v>0</v>
      </c>
      <c r="C372" s="23">
        <f>Deployments!W373</f>
        <v>0</v>
      </c>
      <c r="D372" s="15">
        <f>Deployments!AJ373</f>
        <v>0</v>
      </c>
      <c r="E372" s="15">
        <f>Deployments!N373</f>
        <v>0</v>
      </c>
      <c r="F372" s="23">
        <f>Deployments!O373</f>
        <v>0</v>
      </c>
      <c r="G372" s="15">
        <f>Deployments!P373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Deployments!T373</f>
        <v>0</v>
      </c>
      <c r="M372" s="15">
        <f>Deployments!L373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Deployments!V374</f>
        <v>0</v>
      </c>
      <c r="C373" s="23">
        <f>Deployments!W374</f>
        <v>0</v>
      </c>
      <c r="D373" s="15">
        <f>Deployments!AJ374</f>
        <v>0</v>
      </c>
      <c r="E373" s="15">
        <f>Deployments!N374</f>
        <v>0</v>
      </c>
      <c r="F373" s="23">
        <f>Deployments!O374</f>
        <v>0</v>
      </c>
      <c r="G373" s="15">
        <f>Deployments!P374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Deployments!T374</f>
        <v>0</v>
      </c>
      <c r="M373" s="15">
        <f>Deployments!L374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Deployments!V375</f>
        <v>0</v>
      </c>
      <c r="C374" s="23">
        <f>Deployments!W375</f>
        <v>0</v>
      </c>
      <c r="D374" s="15">
        <f>Deployments!AJ375</f>
        <v>0</v>
      </c>
      <c r="E374" s="15">
        <f>Deployments!N375</f>
        <v>0</v>
      </c>
      <c r="F374" s="23">
        <f>Deployments!O375</f>
        <v>0</v>
      </c>
      <c r="G374" s="15">
        <f>Deployments!P375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Deployments!T375</f>
        <v>0</v>
      </c>
      <c r="M374" s="15">
        <f>Deployments!L375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Deployments!V376</f>
        <v>0</v>
      </c>
      <c r="C375" s="23">
        <f>Deployments!W376</f>
        <v>0</v>
      </c>
      <c r="D375" s="15">
        <f>Deployments!AJ376</f>
        <v>0</v>
      </c>
      <c r="E375" s="15">
        <f>Deployments!N376</f>
        <v>0</v>
      </c>
      <c r="F375" s="23">
        <f>Deployments!O376</f>
        <v>0</v>
      </c>
      <c r="G375" s="15">
        <f>Deployments!P376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Deployments!T376</f>
        <v>0</v>
      </c>
      <c r="M375" s="15">
        <f>Deployments!L376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Deployments!V377</f>
        <v>0</v>
      </c>
      <c r="C376" s="23">
        <f>Deployments!W377</f>
        <v>0</v>
      </c>
      <c r="D376" s="15">
        <f>Deployments!AJ377</f>
        <v>0</v>
      </c>
      <c r="E376" s="15">
        <f>Deployments!N377</f>
        <v>0</v>
      </c>
      <c r="F376" s="23">
        <f>Deployments!O377</f>
        <v>0</v>
      </c>
      <c r="G376" s="15">
        <f>Deployments!P377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Deployments!T377</f>
        <v>0</v>
      </c>
      <c r="M376" s="15">
        <f>Deployments!L377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Deployments!V378</f>
        <v>0</v>
      </c>
      <c r="C377" s="23">
        <f>Deployments!W378</f>
        <v>0</v>
      </c>
      <c r="D377" s="15">
        <f>Deployments!AJ378</f>
        <v>0</v>
      </c>
      <c r="E377" s="15">
        <f>Deployments!N378</f>
        <v>0</v>
      </c>
      <c r="F377" s="23">
        <f>Deployments!O378</f>
        <v>0</v>
      </c>
      <c r="G377" s="15">
        <f>Deployments!P378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Deployments!T378</f>
        <v>0</v>
      </c>
      <c r="M377" s="15">
        <f>Deployments!L378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Deployments!V379</f>
        <v>0</v>
      </c>
      <c r="C378" s="23">
        <f>Deployments!W379</f>
        <v>0</v>
      </c>
      <c r="D378" s="15">
        <f>Deployments!AJ379</f>
        <v>0</v>
      </c>
      <c r="E378" s="15">
        <f>Deployments!N379</f>
        <v>0</v>
      </c>
      <c r="F378" s="23">
        <f>Deployments!O379</f>
        <v>0</v>
      </c>
      <c r="G378" s="15">
        <f>Deployments!P379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Deployments!T379</f>
        <v>0</v>
      </c>
      <c r="M378" s="15">
        <f>Deployments!L379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Deployments!V380</f>
        <v>0</v>
      </c>
      <c r="C379" s="23">
        <f>Deployments!W380</f>
        <v>0</v>
      </c>
      <c r="D379" s="15">
        <f>Deployments!AJ380</f>
        <v>0</v>
      </c>
      <c r="E379" s="15">
        <f>Deployments!N380</f>
        <v>0</v>
      </c>
      <c r="F379" s="23">
        <f>Deployments!O380</f>
        <v>0</v>
      </c>
      <c r="G379" s="15">
        <f>Deployments!P380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Deployments!T380</f>
        <v>0</v>
      </c>
      <c r="M379" s="15">
        <f>Deployments!L380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Deployments!V381</f>
        <v>0</v>
      </c>
      <c r="C380" s="23">
        <f>Deployments!W381</f>
        <v>0</v>
      </c>
      <c r="D380" s="15">
        <f>Deployments!AJ381</f>
        <v>0</v>
      </c>
      <c r="E380" s="15">
        <f>Deployments!N381</f>
        <v>0</v>
      </c>
      <c r="F380" s="23">
        <f>Deployments!O381</f>
        <v>0</v>
      </c>
      <c r="G380" s="15">
        <f>Deployments!P381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Deployments!T381</f>
        <v>0</v>
      </c>
      <c r="M380" s="15">
        <f>Deployments!L381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Deployments!V382</f>
        <v>0</v>
      </c>
      <c r="C381" s="23">
        <f>Deployments!W382</f>
        <v>0</v>
      </c>
      <c r="D381" s="15">
        <f>Deployments!AJ382</f>
        <v>0</v>
      </c>
      <c r="E381" s="15">
        <f>Deployments!N382</f>
        <v>0</v>
      </c>
      <c r="F381" s="23">
        <f>Deployments!O382</f>
        <v>0</v>
      </c>
      <c r="G381" s="15">
        <f>Deployments!P382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Deployments!T382</f>
        <v>0</v>
      </c>
      <c r="M381" s="15">
        <f>Deployments!L382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Deployments!V383</f>
        <v>0</v>
      </c>
      <c r="C382" s="23">
        <f>Deployments!W383</f>
        <v>0</v>
      </c>
      <c r="D382" s="15">
        <f>Deployments!AJ383</f>
        <v>0</v>
      </c>
      <c r="E382" s="15">
        <f>Deployments!N383</f>
        <v>0</v>
      </c>
      <c r="F382" s="23">
        <f>Deployments!O383</f>
        <v>0</v>
      </c>
      <c r="G382" s="15">
        <f>Deployments!P383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Deployments!T383</f>
        <v>0</v>
      </c>
      <c r="M382" s="15">
        <f>Deployments!L383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Deployments!V384</f>
        <v>0</v>
      </c>
      <c r="C383" s="23">
        <f>Deployments!W384</f>
        <v>0</v>
      </c>
      <c r="D383" s="15">
        <f>Deployments!AJ384</f>
        <v>0</v>
      </c>
      <c r="E383" s="15">
        <f>Deployments!N384</f>
        <v>0</v>
      </c>
      <c r="F383" s="23">
        <f>Deployments!O384</f>
        <v>0</v>
      </c>
      <c r="G383" s="15">
        <f>Deployments!P384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Deployments!T384</f>
        <v>0</v>
      </c>
      <c r="M383" s="15">
        <f>Deployments!L384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Deployments!V385</f>
        <v>0</v>
      </c>
      <c r="C384" s="23">
        <f>Deployments!W385</f>
        <v>0</v>
      </c>
      <c r="D384" s="15">
        <f>Deployments!AJ385</f>
        <v>0</v>
      </c>
      <c r="E384" s="15">
        <f>Deployments!N385</f>
        <v>0</v>
      </c>
      <c r="F384" s="23">
        <f>Deployments!O385</f>
        <v>0</v>
      </c>
      <c r="G384" s="15">
        <f>Deployments!P385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Deployments!T385</f>
        <v>0</v>
      </c>
      <c r="M384" s="15">
        <f>Deployments!L385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Deployments!V386</f>
        <v>0</v>
      </c>
      <c r="C385" s="23">
        <f>Deployments!W386</f>
        <v>0</v>
      </c>
      <c r="D385" s="15">
        <f>Deployments!AJ386</f>
        <v>0</v>
      </c>
      <c r="E385" s="15">
        <f>Deployments!N386</f>
        <v>0</v>
      </c>
      <c r="F385" s="23">
        <f>Deployments!O386</f>
        <v>0</v>
      </c>
      <c r="G385" s="15">
        <f>Deployments!P386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Deployments!T386</f>
        <v>0</v>
      </c>
      <c r="M385" s="15">
        <f>Deployments!L386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Deployments!V387</f>
        <v>0</v>
      </c>
      <c r="C386" s="23">
        <f>Deployments!W387</f>
        <v>0</v>
      </c>
      <c r="D386" s="15">
        <f>Deployments!AJ387</f>
        <v>0</v>
      </c>
      <c r="E386" s="15">
        <f>Deployments!N387</f>
        <v>0</v>
      </c>
      <c r="F386" s="23">
        <f>Deployments!O387</f>
        <v>0</v>
      </c>
      <c r="G386" s="15">
        <f>Deployments!P387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Deployments!T387</f>
        <v>0</v>
      </c>
      <c r="M386" s="15">
        <f>Deployments!L387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Deployments!V388</f>
        <v>0</v>
      </c>
      <c r="C387" s="23">
        <f>Deployments!W388</f>
        <v>0</v>
      </c>
      <c r="D387" s="15">
        <f>Deployments!AJ388</f>
        <v>0</v>
      </c>
      <c r="E387" s="15">
        <f>Deployments!N388</f>
        <v>0</v>
      </c>
      <c r="F387" s="23">
        <f>Deployments!O388</f>
        <v>0</v>
      </c>
      <c r="G387" s="15">
        <f>Deployments!P388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Deployments!T388</f>
        <v>0</v>
      </c>
      <c r="M387" s="15">
        <f>Deployments!L388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Deployments!V389</f>
        <v>0</v>
      </c>
      <c r="C388" s="23">
        <f>Deployments!W389</f>
        <v>0</v>
      </c>
      <c r="D388" s="15">
        <f>Deployments!AJ389</f>
        <v>0</v>
      </c>
      <c r="E388" s="15">
        <f>Deployments!N389</f>
        <v>0</v>
      </c>
      <c r="F388" s="23">
        <f>Deployments!O389</f>
        <v>0</v>
      </c>
      <c r="G388" s="15">
        <f>Deployments!P389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Deployments!T389</f>
        <v>0</v>
      </c>
      <c r="M388" s="15">
        <f>Deployments!L389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Deployments!V390</f>
        <v>0</v>
      </c>
      <c r="C389" s="23">
        <f>Deployments!W390</f>
        <v>0</v>
      </c>
      <c r="D389" s="15">
        <f>Deployments!AJ390</f>
        <v>0</v>
      </c>
      <c r="E389" s="15">
        <f>Deployments!N390</f>
        <v>0</v>
      </c>
      <c r="F389" s="23">
        <f>Deployments!O390</f>
        <v>0</v>
      </c>
      <c r="G389" s="15">
        <f>Deployments!P390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Deployments!T390</f>
        <v>0</v>
      </c>
      <c r="M389" s="15">
        <f>Deployments!L390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Deployments!V391</f>
        <v>0</v>
      </c>
      <c r="C390" s="23">
        <f>Deployments!W391</f>
        <v>0</v>
      </c>
      <c r="D390" s="15">
        <f>Deployments!AJ391</f>
        <v>0</v>
      </c>
      <c r="E390" s="15">
        <f>Deployments!N391</f>
        <v>0</v>
      </c>
      <c r="F390" s="23">
        <f>Deployments!O391</f>
        <v>0</v>
      </c>
      <c r="G390" s="15">
        <f>Deployments!P391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Deployments!T391</f>
        <v>0</v>
      </c>
      <c r="M390" s="15">
        <f>Deployments!L391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Deployments!V392</f>
        <v>0</v>
      </c>
      <c r="C391" s="23">
        <f>Deployments!W392</f>
        <v>0</v>
      </c>
      <c r="D391" s="15">
        <f>Deployments!AJ392</f>
        <v>0</v>
      </c>
      <c r="E391" s="15">
        <f>Deployments!N392</f>
        <v>0</v>
      </c>
      <c r="F391" s="23">
        <f>Deployments!O392</f>
        <v>0</v>
      </c>
      <c r="G391" s="15">
        <f>Deployments!P392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Deployments!T392</f>
        <v>0</v>
      </c>
      <c r="M391" s="15">
        <f>Deployments!L392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Deployments!V393</f>
        <v>0</v>
      </c>
      <c r="C392" s="23">
        <f>Deployments!W393</f>
        <v>0</v>
      </c>
      <c r="D392" s="15">
        <f>Deployments!AJ393</f>
        <v>0</v>
      </c>
      <c r="E392" s="15">
        <f>Deployments!N393</f>
        <v>0</v>
      </c>
      <c r="F392" s="23">
        <f>Deployments!O393</f>
        <v>0</v>
      </c>
      <c r="G392" s="15">
        <f>Deployments!P393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Deployments!T393</f>
        <v>0</v>
      </c>
      <c r="M392" s="15">
        <f>Deployments!L393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Deployments!V394</f>
        <v>0</v>
      </c>
      <c r="C393" s="23">
        <f>Deployments!W394</f>
        <v>0</v>
      </c>
      <c r="D393" s="15">
        <f>Deployments!AJ394</f>
        <v>0</v>
      </c>
      <c r="E393" s="15">
        <f>Deployments!N394</f>
        <v>0</v>
      </c>
      <c r="F393" s="23">
        <f>Deployments!O394</f>
        <v>0</v>
      </c>
      <c r="G393" s="15">
        <f>Deployments!P394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Deployments!T394</f>
        <v>0</v>
      </c>
      <c r="M393" s="15">
        <f>Deployments!L394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Deployments!V395</f>
        <v>0</v>
      </c>
      <c r="C394" s="23">
        <f>Deployments!W395</f>
        <v>0</v>
      </c>
      <c r="D394" s="15">
        <f>Deployments!AJ395</f>
        <v>0</v>
      </c>
      <c r="E394" s="15">
        <f>Deployments!N395</f>
        <v>0</v>
      </c>
      <c r="F394" s="23">
        <f>Deployments!O395</f>
        <v>0</v>
      </c>
      <c r="G394" s="15">
        <f>Deployments!P395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Deployments!T395</f>
        <v>0</v>
      </c>
      <c r="M394" s="15">
        <f>Deployments!L395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Deployments!V396</f>
        <v>0</v>
      </c>
      <c r="C395" s="23">
        <f>Deployments!W396</f>
        <v>0</v>
      </c>
      <c r="D395" s="15">
        <f>Deployments!AJ396</f>
        <v>0</v>
      </c>
      <c r="E395" s="15">
        <f>Deployments!N396</f>
        <v>0</v>
      </c>
      <c r="F395" s="23">
        <f>Deployments!O396</f>
        <v>0</v>
      </c>
      <c r="G395" s="15">
        <f>Deployments!P396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Deployments!T396</f>
        <v>0</v>
      </c>
      <c r="M395" s="15">
        <f>Deployments!L396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Deployments!V397</f>
        <v>0</v>
      </c>
      <c r="C396" s="23">
        <f>Deployments!W397</f>
        <v>0</v>
      </c>
      <c r="D396" s="15">
        <f>Deployments!AJ397</f>
        <v>0</v>
      </c>
      <c r="E396" s="15">
        <f>Deployments!N397</f>
        <v>0</v>
      </c>
      <c r="F396" s="23">
        <f>Deployments!O397</f>
        <v>0</v>
      </c>
      <c r="G396" s="15">
        <f>Deployments!P397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Deployments!T397</f>
        <v>0</v>
      </c>
      <c r="M396" s="15">
        <f>Deployments!L397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Deployments!V398</f>
        <v>0</v>
      </c>
      <c r="C397" s="23">
        <f>Deployments!W398</f>
        <v>0</v>
      </c>
      <c r="D397" s="15">
        <f>Deployments!AJ398</f>
        <v>0</v>
      </c>
      <c r="E397" s="15">
        <f>Deployments!N398</f>
        <v>0</v>
      </c>
      <c r="F397" s="23">
        <f>Deployments!O398</f>
        <v>0</v>
      </c>
      <c r="G397" s="15">
        <f>Deployments!P398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Deployments!T398</f>
        <v>0</v>
      </c>
      <c r="M397" s="15">
        <f>Deployments!L398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Deployments!V399</f>
        <v>0</v>
      </c>
      <c r="C398" s="23">
        <f>Deployments!W399</f>
        <v>0</v>
      </c>
      <c r="D398" s="15">
        <f>Deployments!AJ399</f>
        <v>0</v>
      </c>
      <c r="E398" s="15">
        <f>Deployments!N399</f>
        <v>0</v>
      </c>
      <c r="F398" s="23">
        <f>Deployments!O399</f>
        <v>0</v>
      </c>
      <c r="G398" s="15">
        <f>Deployments!P399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Deployments!T399</f>
        <v>0</v>
      </c>
      <c r="M398" s="15">
        <f>Deployments!L399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Deployments!V400</f>
        <v>0</v>
      </c>
      <c r="C399" s="23">
        <f>Deployments!W400</f>
        <v>0</v>
      </c>
      <c r="D399" s="15">
        <f>Deployments!AJ400</f>
        <v>0</v>
      </c>
      <c r="E399" s="15">
        <f>Deployments!N400</f>
        <v>0</v>
      </c>
      <c r="F399" s="23">
        <f>Deployments!O400</f>
        <v>0</v>
      </c>
      <c r="G399" s="15">
        <f>Deployments!P400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Deployments!T400</f>
        <v>0</v>
      </c>
      <c r="M399" s="15">
        <f>Deployments!L400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Deployments!V401</f>
        <v>0</v>
      </c>
      <c r="C400" s="23">
        <f>Deployments!W401</f>
        <v>0</v>
      </c>
      <c r="D400" s="15">
        <f>Deployments!AJ401</f>
        <v>0</v>
      </c>
      <c r="E400" s="15">
        <f>Deployments!N401</f>
        <v>0</v>
      </c>
      <c r="F400" s="23">
        <f>Deployments!O401</f>
        <v>0</v>
      </c>
      <c r="G400" s="15">
        <f>Deployments!P401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Deployments!T401</f>
        <v>0</v>
      </c>
      <c r="M400" s="15">
        <f>Deployments!L401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Deployments!V402</f>
        <v>0</v>
      </c>
      <c r="C401" s="23">
        <f>Deployments!W402</f>
        <v>0</v>
      </c>
      <c r="D401" s="15">
        <f>Deployments!AJ402</f>
        <v>0</v>
      </c>
      <c r="E401" s="15">
        <f>Deployments!N402</f>
        <v>0</v>
      </c>
      <c r="F401" s="23">
        <f>Deployments!O402</f>
        <v>0</v>
      </c>
      <c r="G401" s="15">
        <f>Deployments!P402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Deployments!T402</f>
        <v>0</v>
      </c>
      <c r="M401" s="15">
        <f>Deployments!L402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Deployments!V403</f>
        <v>0</v>
      </c>
      <c r="C402" s="23">
        <f>Deployments!W403</f>
        <v>0</v>
      </c>
      <c r="D402" s="15">
        <f>Deployments!AJ403</f>
        <v>0</v>
      </c>
      <c r="E402" s="15">
        <f>Deployments!N403</f>
        <v>0</v>
      </c>
      <c r="F402" s="23">
        <f>Deployments!O403</f>
        <v>0</v>
      </c>
      <c r="G402" s="15">
        <f>Deployments!P403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Deployments!T403</f>
        <v>0</v>
      </c>
      <c r="M402" s="15">
        <f>Deployments!L403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Deployments!V404</f>
        <v>0</v>
      </c>
      <c r="C403" s="23">
        <f>Deployments!W404</f>
        <v>0</v>
      </c>
      <c r="D403" s="15">
        <f>Deployments!AJ404</f>
        <v>0</v>
      </c>
      <c r="E403" s="15">
        <f>Deployments!N404</f>
        <v>0</v>
      </c>
      <c r="F403" s="23">
        <f>Deployments!O404</f>
        <v>0</v>
      </c>
      <c r="G403" s="15">
        <f>Deployments!P404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Deployments!T404</f>
        <v>0</v>
      </c>
      <c r="M403" s="15">
        <f>Deployments!L404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Deployments!V405</f>
        <v>0</v>
      </c>
      <c r="C404" s="23">
        <f>Deployments!W405</f>
        <v>0</v>
      </c>
      <c r="D404" s="15">
        <f>Deployments!AJ405</f>
        <v>0</v>
      </c>
      <c r="E404" s="15">
        <f>Deployments!N405</f>
        <v>0</v>
      </c>
      <c r="F404" s="23">
        <f>Deployments!O405</f>
        <v>0</v>
      </c>
      <c r="G404" s="15">
        <f>Deployments!P405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Deployments!T405</f>
        <v>0</v>
      </c>
      <c r="M404" s="15">
        <f>Deployments!L405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Deployments!V406</f>
        <v>0</v>
      </c>
      <c r="C405" s="23">
        <f>Deployments!W406</f>
        <v>0</v>
      </c>
      <c r="D405" s="15">
        <f>Deployments!AJ406</f>
        <v>0</v>
      </c>
      <c r="E405" s="15">
        <f>Deployments!N406</f>
        <v>0</v>
      </c>
      <c r="F405" s="23">
        <f>Deployments!O406</f>
        <v>0</v>
      </c>
      <c r="G405" s="15">
        <f>Deployments!P406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Deployments!T406</f>
        <v>0</v>
      </c>
      <c r="M405" s="15">
        <f>Deployments!L406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Deployments!V407</f>
        <v>0</v>
      </c>
      <c r="C406" s="23">
        <f>Deployments!W407</f>
        <v>0</v>
      </c>
      <c r="D406" s="15">
        <f>Deployments!AJ407</f>
        <v>0</v>
      </c>
      <c r="E406" s="15">
        <f>Deployments!N407</f>
        <v>0</v>
      </c>
      <c r="F406" s="23">
        <f>Deployments!O407</f>
        <v>0</v>
      </c>
      <c r="G406" s="15">
        <f>Deployments!P407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Deployments!T407</f>
        <v>0</v>
      </c>
      <c r="M406" s="15">
        <f>Deployments!L407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Deployments!V408</f>
        <v>0</v>
      </c>
      <c r="C407" s="23">
        <f>Deployments!W408</f>
        <v>0</v>
      </c>
      <c r="D407" s="15">
        <f>Deployments!AJ408</f>
        <v>0</v>
      </c>
      <c r="E407" s="15">
        <f>Deployments!N408</f>
        <v>0</v>
      </c>
      <c r="F407" s="23">
        <f>Deployments!O408</f>
        <v>0</v>
      </c>
      <c r="G407" s="15">
        <f>Deployments!P408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Deployments!T408</f>
        <v>0</v>
      </c>
      <c r="M407" s="15">
        <f>Deployments!L408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Deployments!V409</f>
        <v>0</v>
      </c>
      <c r="C408" s="23">
        <f>Deployments!W409</f>
        <v>0</v>
      </c>
      <c r="D408" s="15">
        <f>Deployments!AJ409</f>
        <v>0</v>
      </c>
      <c r="E408" s="15">
        <f>Deployments!N409</f>
        <v>0</v>
      </c>
      <c r="F408" s="23">
        <f>Deployments!O409</f>
        <v>0</v>
      </c>
      <c r="G408" s="15">
        <f>Deployments!P409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Deployments!T409</f>
        <v>0</v>
      </c>
      <c r="M408" s="15">
        <f>Deployments!L409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Deployments!V410</f>
        <v>0</v>
      </c>
      <c r="C409" s="23">
        <f>Deployments!W410</f>
        <v>0</v>
      </c>
      <c r="D409" s="15">
        <f>Deployments!AJ410</f>
        <v>0</v>
      </c>
      <c r="E409" s="15">
        <f>Deployments!N410</f>
        <v>0</v>
      </c>
      <c r="F409" s="23">
        <f>Deployments!O410</f>
        <v>0</v>
      </c>
      <c r="G409" s="15">
        <f>Deployments!P410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Deployments!T410</f>
        <v>0</v>
      </c>
      <c r="M409" s="15">
        <f>Deployments!L410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Deployments!V411</f>
        <v>0</v>
      </c>
      <c r="C410" s="23">
        <f>Deployments!W411</f>
        <v>0</v>
      </c>
      <c r="D410" s="15">
        <f>Deployments!AJ411</f>
        <v>0</v>
      </c>
      <c r="E410" s="15">
        <f>Deployments!N411</f>
        <v>0</v>
      </c>
      <c r="F410" s="23">
        <f>Deployments!O411</f>
        <v>0</v>
      </c>
      <c r="G410" s="15">
        <f>Deployments!P411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Deployments!T411</f>
        <v>0</v>
      </c>
      <c r="M410" s="15">
        <f>Deployments!L411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Deployments!V412</f>
        <v>0</v>
      </c>
      <c r="C411" s="23">
        <f>Deployments!W412</f>
        <v>0</v>
      </c>
      <c r="D411" s="15">
        <f>Deployments!AJ412</f>
        <v>0</v>
      </c>
      <c r="E411" s="15">
        <f>Deployments!N412</f>
        <v>0</v>
      </c>
      <c r="F411" s="23">
        <f>Deployments!O412</f>
        <v>0</v>
      </c>
      <c r="G411" s="15">
        <f>Deployments!P412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Deployments!T412</f>
        <v>0</v>
      </c>
      <c r="M411" s="15">
        <f>Deployments!L412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Deployments!V413</f>
        <v>0</v>
      </c>
      <c r="C412" s="23">
        <f>Deployments!W413</f>
        <v>0</v>
      </c>
      <c r="D412" s="15">
        <f>Deployments!AJ413</f>
        <v>0</v>
      </c>
      <c r="E412" s="15">
        <f>Deployments!N413</f>
        <v>0</v>
      </c>
      <c r="F412" s="23">
        <f>Deployments!O413</f>
        <v>0</v>
      </c>
      <c r="G412" s="15">
        <f>Deployments!P413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Deployments!T413</f>
        <v>0</v>
      </c>
      <c r="M412" s="15">
        <f>Deployments!L413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Deployments!V414</f>
        <v>0</v>
      </c>
      <c r="C413" s="23">
        <f>Deployments!W414</f>
        <v>0</v>
      </c>
      <c r="D413" s="15">
        <f>Deployments!AJ414</f>
        <v>0</v>
      </c>
      <c r="E413" s="15">
        <f>Deployments!N414</f>
        <v>0</v>
      </c>
      <c r="F413" s="23">
        <f>Deployments!O414</f>
        <v>0</v>
      </c>
      <c r="G413" s="15">
        <f>Deployments!P414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Deployments!T414</f>
        <v>0</v>
      </c>
      <c r="M413" s="15">
        <f>Deployments!L414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Deployments!V415</f>
        <v>0</v>
      </c>
      <c r="C414" s="23">
        <f>Deployments!W415</f>
        <v>0</v>
      </c>
      <c r="D414" s="15">
        <f>Deployments!AJ415</f>
        <v>0</v>
      </c>
      <c r="E414" s="15">
        <f>Deployments!N415</f>
        <v>0</v>
      </c>
      <c r="F414" s="23">
        <f>Deployments!O415</f>
        <v>0</v>
      </c>
      <c r="G414" s="15">
        <f>Deployments!P415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Deployments!T415</f>
        <v>0</v>
      </c>
      <c r="M414" s="15">
        <f>Deployments!L415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Deployments!V416</f>
        <v>0</v>
      </c>
      <c r="C415" s="23">
        <f>Deployments!W416</f>
        <v>0</v>
      </c>
      <c r="D415" s="15">
        <f>Deployments!AJ416</f>
        <v>0</v>
      </c>
      <c r="E415" s="15">
        <f>Deployments!N416</f>
        <v>0</v>
      </c>
      <c r="F415" s="23">
        <f>Deployments!O416</f>
        <v>0</v>
      </c>
      <c r="G415" s="15">
        <f>Deployments!P416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Deployments!T416</f>
        <v>0</v>
      </c>
      <c r="M415" s="15">
        <f>Deployments!L416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Deployments!V417</f>
        <v>0</v>
      </c>
      <c r="C416" s="23">
        <f>Deployments!W417</f>
        <v>0</v>
      </c>
      <c r="D416" s="15">
        <f>Deployments!AJ417</f>
        <v>0</v>
      </c>
      <c r="E416" s="15">
        <f>Deployments!N417</f>
        <v>0</v>
      </c>
      <c r="F416" s="23">
        <f>Deployments!O417</f>
        <v>0</v>
      </c>
      <c r="G416" s="15">
        <f>Deployments!P417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Deployments!T417</f>
        <v>0</v>
      </c>
      <c r="M416" s="15">
        <f>Deployments!L417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Deployments!V418</f>
        <v>0</v>
      </c>
      <c r="C417" s="23">
        <f>Deployments!W418</f>
        <v>0</v>
      </c>
      <c r="D417" s="15">
        <f>Deployments!AJ418</f>
        <v>0</v>
      </c>
      <c r="E417" s="15">
        <f>Deployments!N418</f>
        <v>0</v>
      </c>
      <c r="F417" s="23">
        <f>Deployments!O418</f>
        <v>0</v>
      </c>
      <c r="G417" s="15">
        <f>Deployments!P418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Deployments!T418</f>
        <v>0</v>
      </c>
      <c r="M417" s="15">
        <f>Deployments!L418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Deployments!V419</f>
        <v>0</v>
      </c>
      <c r="C418" s="23">
        <f>Deployments!W419</f>
        <v>0</v>
      </c>
      <c r="D418" s="15">
        <f>Deployments!AJ419</f>
        <v>0</v>
      </c>
      <c r="E418" s="15">
        <f>Deployments!N419</f>
        <v>0</v>
      </c>
      <c r="F418" s="23">
        <f>Deployments!O419</f>
        <v>0</v>
      </c>
      <c r="G418" s="15">
        <f>Deployments!P419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Deployments!T419</f>
        <v>0</v>
      </c>
      <c r="M418" s="15">
        <f>Deployments!L419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Deployments!V420</f>
        <v>0</v>
      </c>
      <c r="C419" s="23">
        <f>Deployments!W420</f>
        <v>0</v>
      </c>
      <c r="D419" s="15">
        <f>Deployments!AJ420</f>
        <v>0</v>
      </c>
      <c r="E419" s="15">
        <f>Deployments!N420</f>
        <v>0</v>
      </c>
      <c r="F419" s="23">
        <f>Deployments!O420</f>
        <v>0</v>
      </c>
      <c r="G419" s="15">
        <f>Deployments!P420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Deployments!T420</f>
        <v>0</v>
      </c>
      <c r="M419" s="15">
        <f>Deployments!L420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Deployments!V421</f>
        <v>0</v>
      </c>
      <c r="C420" s="23">
        <f>Deployments!W421</f>
        <v>0</v>
      </c>
      <c r="D420" s="15">
        <f>Deployments!AJ421</f>
        <v>0</v>
      </c>
      <c r="E420" s="15">
        <f>Deployments!N421</f>
        <v>0</v>
      </c>
      <c r="F420" s="23">
        <f>Deployments!O421</f>
        <v>0</v>
      </c>
      <c r="G420" s="15">
        <f>Deployments!P421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Deployments!T421</f>
        <v>0</v>
      </c>
      <c r="M420" s="15">
        <f>Deployments!L421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Deployments!V422</f>
        <v>0</v>
      </c>
      <c r="C421" s="23">
        <f>Deployments!W422</f>
        <v>0</v>
      </c>
      <c r="D421" s="15">
        <f>Deployments!AJ422</f>
        <v>0</v>
      </c>
      <c r="E421" s="15">
        <f>Deployments!N422</f>
        <v>0</v>
      </c>
      <c r="F421" s="23">
        <f>Deployments!O422</f>
        <v>0</v>
      </c>
      <c r="G421" s="15">
        <f>Deployments!P422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Deployments!T422</f>
        <v>0</v>
      </c>
      <c r="M421" s="15">
        <f>Deployments!L422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Deployments!V423</f>
        <v>0</v>
      </c>
      <c r="C422" s="23">
        <f>Deployments!W423</f>
        <v>0</v>
      </c>
      <c r="D422" s="15">
        <f>Deployments!AJ423</f>
        <v>0</v>
      </c>
      <c r="E422" s="15">
        <f>Deployments!N423</f>
        <v>0</v>
      </c>
      <c r="F422" s="23">
        <f>Deployments!O423</f>
        <v>0</v>
      </c>
      <c r="G422" s="15">
        <f>Deployments!P423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Deployments!T423</f>
        <v>0</v>
      </c>
      <c r="M422" s="15">
        <f>Deployments!L423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Deployments!V424</f>
        <v>0</v>
      </c>
      <c r="C423" s="23">
        <f>Deployments!W424</f>
        <v>0</v>
      </c>
      <c r="D423" s="15">
        <f>Deployments!AJ424</f>
        <v>0</v>
      </c>
      <c r="E423" s="15">
        <f>Deployments!N424</f>
        <v>0</v>
      </c>
      <c r="F423" s="23">
        <f>Deployments!O424</f>
        <v>0</v>
      </c>
      <c r="G423" s="15">
        <f>Deployments!P424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Deployments!T424</f>
        <v>0</v>
      </c>
      <c r="M423" s="15">
        <f>Deployments!L424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Deployments!V425</f>
        <v>0</v>
      </c>
      <c r="C424" s="23">
        <f>Deployments!W425</f>
        <v>0</v>
      </c>
      <c r="D424" s="15">
        <f>Deployments!AJ425</f>
        <v>0</v>
      </c>
      <c r="E424" s="15">
        <f>Deployments!N425</f>
        <v>0</v>
      </c>
      <c r="F424" s="23">
        <f>Deployments!O425</f>
        <v>0</v>
      </c>
      <c r="G424" s="15">
        <f>Deployments!P425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Deployments!T425</f>
        <v>0</v>
      </c>
      <c r="M424" s="15">
        <f>Deployments!L425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Deployments!V426</f>
        <v>0</v>
      </c>
      <c r="C425" s="23">
        <f>Deployments!W426</f>
        <v>0</v>
      </c>
      <c r="D425" s="15">
        <f>Deployments!AJ426</f>
        <v>0</v>
      </c>
      <c r="E425" s="15">
        <f>Deployments!N426</f>
        <v>0</v>
      </c>
      <c r="F425" s="23">
        <f>Deployments!O426</f>
        <v>0</v>
      </c>
      <c r="G425" s="15">
        <f>Deployments!P426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Deployments!T426</f>
        <v>0</v>
      </c>
      <c r="M425" s="15">
        <f>Deployments!L426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Deployments!V427</f>
        <v>0</v>
      </c>
      <c r="C426" s="23">
        <f>Deployments!W427</f>
        <v>0</v>
      </c>
      <c r="D426" s="15">
        <f>Deployments!AJ427</f>
        <v>0</v>
      </c>
      <c r="E426" s="15">
        <f>Deployments!N427</f>
        <v>0</v>
      </c>
      <c r="F426" s="23">
        <f>Deployments!O427</f>
        <v>0</v>
      </c>
      <c r="G426" s="15">
        <f>Deployments!P427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Deployments!T427</f>
        <v>0</v>
      </c>
      <c r="M426" s="15">
        <f>Deployments!L427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Deployments!V428</f>
        <v>0</v>
      </c>
      <c r="C427" s="23">
        <f>Deployments!W428</f>
        <v>0</v>
      </c>
      <c r="D427" s="15">
        <f>Deployments!AJ428</f>
        <v>0</v>
      </c>
      <c r="E427" s="15">
        <f>Deployments!N428</f>
        <v>0</v>
      </c>
      <c r="F427" s="23">
        <f>Deployments!O428</f>
        <v>0</v>
      </c>
      <c r="G427" s="15">
        <f>Deployments!P428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Deployments!T428</f>
        <v>0</v>
      </c>
      <c r="M427" s="15">
        <f>Deployments!L428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Deployments!V429</f>
        <v>0</v>
      </c>
      <c r="C428" s="23">
        <f>Deployments!W429</f>
        <v>0</v>
      </c>
      <c r="D428" s="15">
        <f>Deployments!AJ429</f>
        <v>0</v>
      </c>
      <c r="E428" s="15">
        <f>Deployments!N429</f>
        <v>0</v>
      </c>
      <c r="F428" s="23">
        <f>Deployments!O429</f>
        <v>0</v>
      </c>
      <c r="G428" s="15">
        <f>Deployments!P429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Deployments!T429</f>
        <v>0</v>
      </c>
      <c r="M428" s="15">
        <f>Deployments!L429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Deployments!V430</f>
        <v>0</v>
      </c>
      <c r="C429" s="23">
        <f>Deployments!W430</f>
        <v>0</v>
      </c>
      <c r="D429" s="15">
        <f>Deployments!AJ430</f>
        <v>0</v>
      </c>
      <c r="E429" s="15">
        <f>Deployments!N430</f>
        <v>0</v>
      </c>
      <c r="F429" s="23">
        <f>Deployments!O430</f>
        <v>0</v>
      </c>
      <c r="G429" s="15">
        <f>Deployments!P430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Deployments!T430</f>
        <v>0</v>
      </c>
      <c r="M429" s="15">
        <f>Deployments!L430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Deployments!V431</f>
        <v>0</v>
      </c>
      <c r="C430" s="23">
        <f>Deployments!W431</f>
        <v>0</v>
      </c>
      <c r="D430" s="15">
        <f>Deployments!AJ431</f>
        <v>0</v>
      </c>
      <c r="E430" s="15">
        <f>Deployments!N431</f>
        <v>0</v>
      </c>
      <c r="F430" s="23">
        <f>Deployments!O431</f>
        <v>0</v>
      </c>
      <c r="G430" s="15">
        <f>Deployments!P431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Deployments!T431</f>
        <v>0</v>
      </c>
      <c r="M430" s="15">
        <f>Deployments!L431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Deployments!V432</f>
        <v>0</v>
      </c>
      <c r="C431" s="23">
        <f>Deployments!W432</f>
        <v>0</v>
      </c>
      <c r="D431" s="15">
        <f>Deployments!AJ432</f>
        <v>0</v>
      </c>
      <c r="E431" s="15">
        <f>Deployments!N432</f>
        <v>0</v>
      </c>
      <c r="F431" s="23">
        <f>Deployments!O432</f>
        <v>0</v>
      </c>
      <c r="G431" s="15">
        <f>Deployments!P432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Deployments!T432</f>
        <v>0</v>
      </c>
      <c r="M431" s="15">
        <f>Deployments!L432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Deployments!V433</f>
        <v>0</v>
      </c>
      <c r="C432" s="23">
        <f>Deployments!W433</f>
        <v>0</v>
      </c>
      <c r="D432" s="15">
        <f>Deployments!AJ433</f>
        <v>0</v>
      </c>
      <c r="E432" s="15">
        <f>Deployments!N433</f>
        <v>0</v>
      </c>
      <c r="F432" s="23">
        <f>Deployments!O433</f>
        <v>0</v>
      </c>
      <c r="G432" s="15">
        <f>Deployments!P433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Deployments!T433</f>
        <v>0</v>
      </c>
      <c r="M432" s="15">
        <f>Deployments!L433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Deployments!V434</f>
        <v>0</v>
      </c>
      <c r="C433" s="23">
        <f>Deployments!W434</f>
        <v>0</v>
      </c>
      <c r="D433" s="15">
        <f>Deployments!AJ434</f>
        <v>0</v>
      </c>
      <c r="E433" s="15">
        <f>Deployments!N434</f>
        <v>0</v>
      </c>
      <c r="F433" s="23">
        <f>Deployments!O434</f>
        <v>0</v>
      </c>
      <c r="G433" s="15">
        <f>Deployments!P434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Deployments!T434</f>
        <v>0</v>
      </c>
      <c r="M433" s="15">
        <f>Deployments!L434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Deployments!V435</f>
        <v>0</v>
      </c>
      <c r="C434" s="23">
        <f>Deployments!W435</f>
        <v>0</v>
      </c>
      <c r="D434" s="15">
        <f>Deployments!AJ435</f>
        <v>0</v>
      </c>
      <c r="E434" s="15">
        <f>Deployments!N435</f>
        <v>0</v>
      </c>
      <c r="F434" s="23">
        <f>Deployments!O435</f>
        <v>0</v>
      </c>
      <c r="G434" s="15">
        <f>Deployments!P435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Deployments!T435</f>
        <v>0</v>
      </c>
      <c r="M434" s="15">
        <f>Deployments!L435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Deployments!V436</f>
        <v>0</v>
      </c>
      <c r="C435" s="23">
        <f>Deployments!W436</f>
        <v>0</v>
      </c>
      <c r="D435" s="15">
        <f>Deployments!AJ436</f>
        <v>0</v>
      </c>
      <c r="E435" s="15">
        <f>Deployments!N436</f>
        <v>0</v>
      </c>
      <c r="F435" s="23">
        <f>Deployments!O436</f>
        <v>0</v>
      </c>
      <c r="G435" s="15">
        <f>Deployments!P436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Deployments!T436</f>
        <v>0</v>
      </c>
      <c r="M435" s="15">
        <f>Deployments!L436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Deployments!V437</f>
        <v>0</v>
      </c>
      <c r="C436" s="23">
        <f>Deployments!W437</f>
        <v>0</v>
      </c>
      <c r="D436" s="15">
        <f>Deployments!AJ437</f>
        <v>0</v>
      </c>
      <c r="E436" s="15">
        <f>Deployments!N437</f>
        <v>0</v>
      </c>
      <c r="F436" s="23">
        <f>Deployments!O437</f>
        <v>0</v>
      </c>
      <c r="G436" s="15">
        <f>Deployments!P437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Deployments!T437</f>
        <v>0</v>
      </c>
      <c r="M436" s="15">
        <f>Deployments!L437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Deployments!V438</f>
        <v>0</v>
      </c>
      <c r="C437" s="23">
        <f>Deployments!W438</f>
        <v>0</v>
      </c>
      <c r="D437" s="15">
        <f>Deployments!AJ438</f>
        <v>0</v>
      </c>
      <c r="E437" s="15">
        <f>Deployments!N438</f>
        <v>0</v>
      </c>
      <c r="F437" s="23">
        <f>Deployments!O438</f>
        <v>0</v>
      </c>
      <c r="G437" s="15">
        <f>Deployments!P438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Deployments!T438</f>
        <v>0</v>
      </c>
      <c r="M437" s="15">
        <f>Deployments!L438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Deployments!V439</f>
        <v>0</v>
      </c>
      <c r="C438" s="23">
        <f>Deployments!W439</f>
        <v>0</v>
      </c>
      <c r="D438" s="15">
        <f>Deployments!AJ439</f>
        <v>0</v>
      </c>
      <c r="E438" s="15">
        <f>Deployments!N439</f>
        <v>0</v>
      </c>
      <c r="F438" s="23">
        <f>Deployments!O439</f>
        <v>0</v>
      </c>
      <c r="G438" s="15">
        <f>Deployments!P439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Deployments!T439</f>
        <v>0</v>
      </c>
      <c r="M438" s="15">
        <f>Deployments!L439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Deployments!V440</f>
        <v>0</v>
      </c>
      <c r="C439" s="23">
        <f>Deployments!W440</f>
        <v>0</v>
      </c>
      <c r="D439" s="15">
        <f>Deployments!AJ440</f>
        <v>0</v>
      </c>
      <c r="E439" s="15">
        <f>Deployments!N440</f>
        <v>0</v>
      </c>
      <c r="F439" s="23">
        <f>Deployments!O440</f>
        <v>0</v>
      </c>
      <c r="G439" s="15">
        <f>Deployments!P440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Deployments!T440</f>
        <v>0</v>
      </c>
      <c r="M439" s="15">
        <f>Deployments!L440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Deployments!V441</f>
        <v>0</v>
      </c>
      <c r="C440" s="23">
        <f>Deployments!W441</f>
        <v>0</v>
      </c>
      <c r="D440" s="15">
        <f>Deployments!AJ441</f>
        <v>0</v>
      </c>
      <c r="E440" s="15">
        <f>Deployments!N441</f>
        <v>0</v>
      </c>
      <c r="F440" s="23">
        <f>Deployments!O441</f>
        <v>0</v>
      </c>
      <c r="G440" s="15">
        <f>Deployments!P441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Deployments!T441</f>
        <v>0</v>
      </c>
      <c r="M440" s="15">
        <f>Deployments!L441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Deployments!V442</f>
        <v>0</v>
      </c>
      <c r="C441" s="23">
        <f>Deployments!W442</f>
        <v>0</v>
      </c>
      <c r="D441" s="15">
        <f>Deployments!AJ442</f>
        <v>0</v>
      </c>
      <c r="E441" s="15">
        <f>Deployments!N442</f>
        <v>0</v>
      </c>
      <c r="F441" s="23">
        <f>Deployments!O442</f>
        <v>0</v>
      </c>
      <c r="G441" s="15">
        <f>Deployments!P442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Deployments!T442</f>
        <v>0</v>
      </c>
      <c r="M441" s="15">
        <f>Deployments!L442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Deployments!V443</f>
        <v>0</v>
      </c>
      <c r="C442" s="23">
        <f>Deployments!W443</f>
        <v>0</v>
      </c>
      <c r="D442" s="15">
        <f>Deployments!AJ443</f>
        <v>0</v>
      </c>
      <c r="E442" s="15">
        <f>Deployments!N443</f>
        <v>0</v>
      </c>
      <c r="F442" s="23">
        <f>Deployments!O443</f>
        <v>0</v>
      </c>
      <c r="G442" s="15">
        <f>Deployments!P443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Deployments!T443</f>
        <v>0</v>
      </c>
      <c r="M442" s="15">
        <f>Deployments!L443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Deployments!V444</f>
        <v>0</v>
      </c>
      <c r="C443" s="23">
        <f>Deployments!W444</f>
        <v>0</v>
      </c>
      <c r="D443" s="15">
        <f>Deployments!AJ444</f>
        <v>0</v>
      </c>
      <c r="E443" s="15">
        <f>Deployments!N444</f>
        <v>0</v>
      </c>
      <c r="F443" s="23">
        <f>Deployments!O444</f>
        <v>0</v>
      </c>
      <c r="G443" s="15">
        <f>Deployments!P444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Deployments!T444</f>
        <v>0</v>
      </c>
      <c r="M443" s="15">
        <f>Deployments!L444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Deployments!V445</f>
        <v>0</v>
      </c>
      <c r="C444" s="23">
        <f>Deployments!W445</f>
        <v>0</v>
      </c>
      <c r="D444" s="15">
        <f>Deployments!AJ445</f>
        <v>0</v>
      </c>
      <c r="E444" s="15">
        <f>Deployments!N445</f>
        <v>0</v>
      </c>
      <c r="F444" s="23">
        <f>Deployments!O445</f>
        <v>0</v>
      </c>
      <c r="G444" s="15">
        <f>Deployments!P445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Deployments!T445</f>
        <v>0</v>
      </c>
      <c r="M444" s="15">
        <f>Deployments!L445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Deployments!V446</f>
        <v>0</v>
      </c>
      <c r="C445" s="23">
        <f>Deployments!W446</f>
        <v>0</v>
      </c>
      <c r="D445" s="15">
        <f>Deployments!AJ446</f>
        <v>0</v>
      </c>
      <c r="E445" s="15">
        <f>Deployments!N446</f>
        <v>0</v>
      </c>
      <c r="F445" s="23">
        <f>Deployments!O446</f>
        <v>0</v>
      </c>
      <c r="G445" s="15">
        <f>Deployments!P446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Deployments!T446</f>
        <v>0</v>
      </c>
      <c r="M445" s="15">
        <f>Deployments!L446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Deployments!V447</f>
        <v>0</v>
      </c>
      <c r="C446" s="23">
        <f>Deployments!W447</f>
        <v>0</v>
      </c>
      <c r="D446" s="15">
        <f>Deployments!AJ447</f>
        <v>0</v>
      </c>
      <c r="E446" s="15">
        <f>Deployments!N447</f>
        <v>0</v>
      </c>
      <c r="F446" s="23">
        <f>Deployments!O447</f>
        <v>0</v>
      </c>
      <c r="G446" s="15">
        <f>Deployments!P447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Deployments!T447</f>
        <v>0</v>
      </c>
      <c r="M446" s="15">
        <f>Deployments!L447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Deployments!V448</f>
        <v>0</v>
      </c>
      <c r="C447" s="23">
        <f>Deployments!W448</f>
        <v>0</v>
      </c>
      <c r="D447" s="15">
        <f>Deployments!AJ448</f>
        <v>0</v>
      </c>
      <c r="E447" s="15">
        <f>Deployments!N448</f>
        <v>0</v>
      </c>
      <c r="F447" s="23">
        <f>Deployments!O448</f>
        <v>0</v>
      </c>
      <c r="G447" s="15">
        <f>Deployments!P448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Deployments!T448</f>
        <v>0</v>
      </c>
      <c r="M447" s="15">
        <f>Deployments!L448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Deployments!V449</f>
        <v>0</v>
      </c>
      <c r="C448" s="23">
        <f>Deployments!W449</f>
        <v>0</v>
      </c>
      <c r="D448" s="15">
        <f>Deployments!AJ449</f>
        <v>0</v>
      </c>
      <c r="E448" s="15">
        <f>Deployments!N449</f>
        <v>0</v>
      </c>
      <c r="F448" s="23">
        <f>Deployments!O449</f>
        <v>0</v>
      </c>
      <c r="G448" s="15">
        <f>Deployments!P449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Deployments!T449</f>
        <v>0</v>
      </c>
      <c r="M448" s="15">
        <f>Deployments!L449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Deployments!V450</f>
        <v>0</v>
      </c>
      <c r="C449" s="23">
        <f>Deployments!W450</f>
        <v>0</v>
      </c>
      <c r="D449" s="15">
        <f>Deployments!AJ450</f>
        <v>0</v>
      </c>
      <c r="E449" s="15">
        <f>Deployments!N450</f>
        <v>0</v>
      </c>
      <c r="F449" s="23">
        <f>Deployments!O450</f>
        <v>0</v>
      </c>
      <c r="G449" s="15">
        <f>Deployments!P450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Deployments!T450</f>
        <v>0</v>
      </c>
      <c r="M449" s="15">
        <f>Deployments!L450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Deployments!V451</f>
        <v>0</v>
      </c>
      <c r="C450" s="23">
        <f>Deployments!W451</f>
        <v>0</v>
      </c>
      <c r="D450" s="15">
        <f>Deployments!AJ451</f>
        <v>0</v>
      </c>
      <c r="E450" s="15">
        <f>Deployments!N451</f>
        <v>0</v>
      </c>
      <c r="F450" s="23">
        <f>Deployments!O451</f>
        <v>0</v>
      </c>
      <c r="G450" s="15">
        <f>Deployments!P451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Deployments!T451</f>
        <v>0</v>
      </c>
      <c r="M450" s="15">
        <f>Deployments!L451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Deployments!V452</f>
        <v>0</v>
      </c>
      <c r="C451" s="23">
        <f>Deployments!W452</f>
        <v>0</v>
      </c>
      <c r="D451" s="15">
        <f>Deployments!AJ452</f>
        <v>0</v>
      </c>
      <c r="E451" s="15">
        <f>Deployments!N452</f>
        <v>0</v>
      </c>
      <c r="F451" s="23">
        <f>Deployments!O452</f>
        <v>0</v>
      </c>
      <c r="G451" s="15">
        <f>Deployments!P452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Deployments!T452</f>
        <v>0</v>
      </c>
      <c r="M451" s="15">
        <f>Deployments!L452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Deployments!V453</f>
        <v>0</v>
      </c>
      <c r="C452" s="23">
        <f>Deployments!W453</f>
        <v>0</v>
      </c>
      <c r="D452" s="15">
        <f>Deployments!AJ453</f>
        <v>0</v>
      </c>
      <c r="E452" s="15">
        <f>Deployments!N453</f>
        <v>0</v>
      </c>
      <c r="F452" s="23">
        <f>Deployments!O453</f>
        <v>0</v>
      </c>
      <c r="G452" s="15">
        <f>Deployments!P453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Deployments!T453</f>
        <v>0</v>
      </c>
      <c r="M452" s="15">
        <f>Deployments!L453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Deployments!V454</f>
        <v>0</v>
      </c>
      <c r="C453" s="23">
        <f>Deployments!W454</f>
        <v>0</v>
      </c>
      <c r="D453" s="15">
        <f>Deployments!AJ454</f>
        <v>0</v>
      </c>
      <c r="E453" s="15">
        <f>Deployments!N454</f>
        <v>0</v>
      </c>
      <c r="F453" s="23">
        <f>Deployments!O454</f>
        <v>0</v>
      </c>
      <c r="G453" s="15">
        <f>Deployments!P454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Deployments!T454</f>
        <v>0</v>
      </c>
      <c r="M453" s="15">
        <f>Deployments!L454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Deployments!V455</f>
        <v>0</v>
      </c>
      <c r="C454" s="23">
        <f>Deployments!W455</f>
        <v>0</v>
      </c>
      <c r="D454" s="15">
        <f>Deployments!AJ455</f>
        <v>0</v>
      </c>
      <c r="E454" s="15">
        <f>Deployments!N455</f>
        <v>0</v>
      </c>
      <c r="F454" s="23">
        <f>Deployments!O455</f>
        <v>0</v>
      </c>
      <c r="G454" s="15">
        <f>Deployments!P455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Deployments!T455</f>
        <v>0</v>
      </c>
      <c r="M454" s="15">
        <f>Deployments!L455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Deployments!V456</f>
        <v>0</v>
      </c>
      <c r="C455" s="23">
        <f>Deployments!W456</f>
        <v>0</v>
      </c>
      <c r="D455" s="15">
        <f>Deployments!AJ456</f>
        <v>0</v>
      </c>
      <c r="E455" s="15">
        <f>Deployments!N456</f>
        <v>0</v>
      </c>
      <c r="F455" s="23">
        <f>Deployments!O456</f>
        <v>0</v>
      </c>
      <c r="G455" s="15">
        <f>Deployments!P456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Deployments!T456</f>
        <v>0</v>
      </c>
      <c r="M455" s="15">
        <f>Deployments!L456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Deployments!V457</f>
        <v>0</v>
      </c>
      <c r="C456" s="23">
        <f>Deployments!W457</f>
        <v>0</v>
      </c>
      <c r="D456" s="15">
        <f>Deployments!AJ457</f>
        <v>0</v>
      </c>
      <c r="E456" s="15">
        <f>Deployments!N457</f>
        <v>0</v>
      </c>
      <c r="F456" s="23">
        <f>Deployments!O457</f>
        <v>0</v>
      </c>
      <c r="G456" s="15">
        <f>Deployments!P457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Deployments!T457</f>
        <v>0</v>
      </c>
      <c r="M456" s="15">
        <f>Deployments!L457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Deployments!V458</f>
        <v>0</v>
      </c>
      <c r="C457" s="23">
        <f>Deployments!W458</f>
        <v>0</v>
      </c>
      <c r="D457" s="15">
        <f>Deployments!AJ458</f>
        <v>0</v>
      </c>
      <c r="E457" s="15">
        <f>Deployments!N458</f>
        <v>0</v>
      </c>
      <c r="F457" s="23">
        <f>Deployments!O458</f>
        <v>0</v>
      </c>
      <c r="G457" s="15">
        <f>Deployments!P458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Deployments!T458</f>
        <v>0</v>
      </c>
      <c r="M457" s="15">
        <f>Deployments!L458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Deployments!V459</f>
        <v>0</v>
      </c>
      <c r="C458" s="23">
        <f>Deployments!W459</f>
        <v>0</v>
      </c>
      <c r="D458" s="15">
        <f>Deployments!AJ459</f>
        <v>0</v>
      </c>
      <c r="E458" s="15">
        <f>Deployments!N459</f>
        <v>0</v>
      </c>
      <c r="F458" s="23">
        <f>Deployments!O459</f>
        <v>0</v>
      </c>
      <c r="G458" s="15">
        <f>Deployments!P459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Deployments!T459</f>
        <v>0</v>
      </c>
      <c r="M458" s="15">
        <f>Deployments!L459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Deployments!V460</f>
        <v>0</v>
      </c>
      <c r="C459" s="23">
        <f>Deployments!W460</f>
        <v>0</v>
      </c>
      <c r="D459" s="15">
        <f>Deployments!AJ460</f>
        <v>0</v>
      </c>
      <c r="E459" s="15">
        <f>Deployments!N460</f>
        <v>0</v>
      </c>
      <c r="F459" s="23">
        <f>Deployments!O460</f>
        <v>0</v>
      </c>
      <c r="G459" s="15">
        <f>Deployments!P460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Deployments!T460</f>
        <v>0</v>
      </c>
      <c r="M459" s="15">
        <f>Deployments!L460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Deployments!V461</f>
        <v>0</v>
      </c>
      <c r="C460" s="23">
        <f>Deployments!W461</f>
        <v>0</v>
      </c>
      <c r="D460" s="15">
        <f>Deployments!AJ461</f>
        <v>0</v>
      </c>
      <c r="E460" s="15">
        <f>Deployments!N461</f>
        <v>0</v>
      </c>
      <c r="F460" s="23">
        <f>Deployments!O461</f>
        <v>0</v>
      </c>
      <c r="G460" s="15">
        <f>Deployments!P461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Deployments!T461</f>
        <v>0</v>
      </c>
      <c r="M460" s="15">
        <f>Deployments!L461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Deployments!V462</f>
        <v>0</v>
      </c>
      <c r="C461" s="23">
        <f>Deployments!W462</f>
        <v>0</v>
      </c>
      <c r="D461" s="15">
        <f>Deployments!AJ462</f>
        <v>0</v>
      </c>
      <c r="E461" s="15">
        <f>Deployments!N462</f>
        <v>0</v>
      </c>
      <c r="F461" s="23">
        <f>Deployments!O462</f>
        <v>0</v>
      </c>
      <c r="G461" s="15">
        <f>Deployments!P462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Deployments!T462</f>
        <v>0</v>
      </c>
      <c r="M461" s="15">
        <f>Deployments!L462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Deployments!V463</f>
        <v>0</v>
      </c>
      <c r="C462" s="23">
        <f>Deployments!W463</f>
        <v>0</v>
      </c>
      <c r="D462" s="15">
        <f>Deployments!AJ463</f>
        <v>0</v>
      </c>
      <c r="E462" s="15">
        <f>Deployments!N463</f>
        <v>0</v>
      </c>
      <c r="F462" s="23">
        <f>Deployments!O463</f>
        <v>0</v>
      </c>
      <c r="G462" s="15">
        <f>Deployments!P463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Deployments!T463</f>
        <v>0</v>
      </c>
      <c r="M462" s="15">
        <f>Deployments!L463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Deployments!V464</f>
        <v>0</v>
      </c>
      <c r="C463" s="23">
        <f>Deployments!W464</f>
        <v>0</v>
      </c>
      <c r="D463" s="15">
        <f>Deployments!AJ464</f>
        <v>0</v>
      </c>
      <c r="E463" s="15">
        <f>Deployments!N464</f>
        <v>0</v>
      </c>
      <c r="F463" s="23">
        <f>Deployments!O464</f>
        <v>0</v>
      </c>
      <c r="G463" s="15">
        <f>Deployments!P464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Deployments!T464</f>
        <v>0</v>
      </c>
      <c r="M463" s="15">
        <f>Deployments!L464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Deployments!V465</f>
        <v>0</v>
      </c>
      <c r="C464" s="23">
        <f>Deployments!W465</f>
        <v>0</v>
      </c>
      <c r="D464" s="15">
        <f>Deployments!AJ465</f>
        <v>0</v>
      </c>
      <c r="E464" s="15">
        <f>Deployments!N465</f>
        <v>0</v>
      </c>
      <c r="F464" s="23">
        <f>Deployments!O465</f>
        <v>0</v>
      </c>
      <c r="G464" s="15">
        <f>Deployments!P465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Deployments!T465</f>
        <v>0</v>
      </c>
      <c r="M464" s="15">
        <f>Deployments!L465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Deployments!V466</f>
        <v>0</v>
      </c>
      <c r="C465" s="23">
        <f>Deployments!W466</f>
        <v>0</v>
      </c>
      <c r="D465" s="15">
        <f>Deployments!AJ466</f>
        <v>0</v>
      </c>
      <c r="E465" s="15">
        <f>Deployments!N466</f>
        <v>0</v>
      </c>
      <c r="F465" s="23">
        <f>Deployments!O466</f>
        <v>0</v>
      </c>
      <c r="G465" s="15">
        <f>Deployments!P466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Deployments!T466</f>
        <v>0</v>
      </c>
      <c r="M465" s="15">
        <f>Deployments!L466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Deployments!V467</f>
        <v>0</v>
      </c>
      <c r="C466" s="23">
        <f>Deployments!W467</f>
        <v>0</v>
      </c>
      <c r="D466" s="15">
        <f>Deployments!AJ467</f>
        <v>0</v>
      </c>
      <c r="E466" s="15">
        <f>Deployments!N467</f>
        <v>0</v>
      </c>
      <c r="F466" s="23">
        <f>Deployments!O467</f>
        <v>0</v>
      </c>
      <c r="G466" s="15">
        <f>Deployments!P467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Deployments!T467</f>
        <v>0</v>
      </c>
      <c r="M466" s="15">
        <f>Deployments!L467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Deployments!V468</f>
        <v>0</v>
      </c>
      <c r="C467" s="23">
        <f>Deployments!W468</f>
        <v>0</v>
      </c>
      <c r="D467" s="15">
        <f>Deployments!AJ468</f>
        <v>0</v>
      </c>
      <c r="E467" s="15">
        <f>Deployments!N468</f>
        <v>0</v>
      </c>
      <c r="F467" s="23">
        <f>Deployments!O468</f>
        <v>0</v>
      </c>
      <c r="G467" s="15">
        <f>Deployments!P468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Deployments!T468</f>
        <v>0</v>
      </c>
      <c r="M467" s="15">
        <f>Deployments!L468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Deployments!V469</f>
        <v>0</v>
      </c>
      <c r="C468" s="23">
        <f>Deployments!W469</f>
        <v>0</v>
      </c>
      <c r="D468" s="15">
        <f>Deployments!AJ469</f>
        <v>0</v>
      </c>
      <c r="E468" s="15">
        <f>Deployments!N469</f>
        <v>0</v>
      </c>
      <c r="F468" s="23">
        <f>Deployments!O469</f>
        <v>0</v>
      </c>
      <c r="G468" s="15">
        <f>Deployments!P469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Deployments!T469</f>
        <v>0</v>
      </c>
      <c r="M468" s="15">
        <f>Deployments!L469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Deployments!V470</f>
        <v>0</v>
      </c>
      <c r="C469" s="23">
        <f>Deployments!W470</f>
        <v>0</v>
      </c>
      <c r="D469" s="15">
        <f>Deployments!AJ470</f>
        <v>0</v>
      </c>
      <c r="E469" s="15">
        <f>Deployments!N470</f>
        <v>0</v>
      </c>
      <c r="F469" s="23">
        <f>Deployments!O470</f>
        <v>0</v>
      </c>
      <c r="G469" s="15">
        <f>Deployments!P470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Deployments!T470</f>
        <v>0</v>
      </c>
      <c r="M469" s="15">
        <f>Deployments!L470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Deployments!V471</f>
        <v>0</v>
      </c>
      <c r="C470" s="23">
        <f>Deployments!W471</f>
        <v>0</v>
      </c>
      <c r="D470" s="15">
        <f>Deployments!AJ471</f>
        <v>0</v>
      </c>
      <c r="E470" s="15">
        <f>Deployments!N471</f>
        <v>0</v>
      </c>
      <c r="F470" s="23">
        <f>Deployments!O471</f>
        <v>0</v>
      </c>
      <c r="G470" s="15">
        <f>Deployments!P471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Deployments!T471</f>
        <v>0</v>
      </c>
      <c r="M470" s="15">
        <f>Deployments!L471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Deployments!V472</f>
        <v>0</v>
      </c>
      <c r="C471" s="23">
        <f>Deployments!W472</f>
        <v>0</v>
      </c>
      <c r="D471" s="15">
        <f>Deployments!AJ472</f>
        <v>0</v>
      </c>
      <c r="E471" s="15">
        <f>Deployments!N472</f>
        <v>0</v>
      </c>
      <c r="F471" s="23">
        <f>Deployments!O472</f>
        <v>0</v>
      </c>
      <c r="G471" s="15">
        <f>Deployments!P472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Deployments!T472</f>
        <v>0</v>
      </c>
      <c r="M471" s="15">
        <f>Deployments!L472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Deployments!V473</f>
        <v>0</v>
      </c>
      <c r="C472" s="23">
        <f>Deployments!W473</f>
        <v>0</v>
      </c>
      <c r="D472" s="15">
        <f>Deployments!AJ473</f>
        <v>0</v>
      </c>
      <c r="E472" s="15">
        <f>Deployments!N473</f>
        <v>0</v>
      </c>
      <c r="F472" s="23">
        <f>Deployments!O473</f>
        <v>0</v>
      </c>
      <c r="G472" s="15">
        <f>Deployments!P473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Deployments!T473</f>
        <v>0</v>
      </c>
      <c r="M472" s="15">
        <f>Deployments!L473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Deployments!V474</f>
        <v>0</v>
      </c>
      <c r="C473" s="23">
        <f>Deployments!W474</f>
        <v>0</v>
      </c>
      <c r="D473" s="15">
        <f>Deployments!AJ474</f>
        <v>0</v>
      </c>
      <c r="E473" s="15">
        <f>Deployments!N474</f>
        <v>0</v>
      </c>
      <c r="F473" s="23">
        <f>Deployments!O474</f>
        <v>0</v>
      </c>
      <c r="G473" s="15">
        <f>Deployments!P474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Deployments!T474</f>
        <v>0</v>
      </c>
      <c r="M473" s="15">
        <f>Deployments!L474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Deployments!V475</f>
        <v>0</v>
      </c>
      <c r="C474" s="23">
        <f>Deployments!W475</f>
        <v>0</v>
      </c>
      <c r="D474" s="15">
        <f>Deployments!AJ475</f>
        <v>0</v>
      </c>
      <c r="E474" s="15">
        <f>Deployments!N475</f>
        <v>0</v>
      </c>
      <c r="F474" s="23">
        <f>Deployments!O475</f>
        <v>0</v>
      </c>
      <c r="G474" s="15">
        <f>Deployments!P475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Deployments!T475</f>
        <v>0</v>
      </c>
      <c r="M474" s="15">
        <f>Deployments!L475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Deployments!V476</f>
        <v>0</v>
      </c>
      <c r="C475" s="23">
        <f>Deployments!W476</f>
        <v>0</v>
      </c>
      <c r="D475" s="15">
        <f>Deployments!AJ476</f>
        <v>0</v>
      </c>
      <c r="E475" s="15">
        <f>Deployments!N476</f>
        <v>0</v>
      </c>
      <c r="F475" s="23">
        <f>Deployments!O476</f>
        <v>0</v>
      </c>
      <c r="G475" s="15">
        <f>Deployments!P476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Deployments!T476</f>
        <v>0</v>
      </c>
      <c r="M475" s="15">
        <f>Deployments!L476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Deployments!V477</f>
        <v>0</v>
      </c>
      <c r="C476" s="23">
        <f>Deployments!W477</f>
        <v>0</v>
      </c>
      <c r="D476" s="15">
        <f>Deployments!AJ477</f>
        <v>0</v>
      </c>
      <c r="E476" s="15">
        <f>Deployments!N477</f>
        <v>0</v>
      </c>
      <c r="F476" s="23">
        <f>Deployments!O477</f>
        <v>0</v>
      </c>
      <c r="G476" s="15">
        <f>Deployments!P477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Deployments!T477</f>
        <v>0</v>
      </c>
      <c r="M476" s="15">
        <f>Deployments!L477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Deployments!V478</f>
        <v>0</v>
      </c>
      <c r="C477" s="23">
        <f>Deployments!W478</f>
        <v>0</v>
      </c>
      <c r="D477" s="15">
        <f>Deployments!AJ478</f>
        <v>0</v>
      </c>
      <c r="E477" s="15">
        <f>Deployments!N478</f>
        <v>0</v>
      </c>
      <c r="F477" s="23">
        <f>Deployments!O478</f>
        <v>0</v>
      </c>
      <c r="G477" s="15">
        <f>Deployments!P478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Deployments!T478</f>
        <v>0</v>
      </c>
      <c r="M477" s="15">
        <f>Deployments!L478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Deployments!V479</f>
        <v>0</v>
      </c>
      <c r="C478" s="23">
        <f>Deployments!W479</f>
        <v>0</v>
      </c>
      <c r="D478" s="15">
        <f>Deployments!AJ479</f>
        <v>0</v>
      </c>
      <c r="E478" s="15">
        <f>Deployments!N479</f>
        <v>0</v>
      </c>
      <c r="F478" s="23">
        <f>Deployments!O479</f>
        <v>0</v>
      </c>
      <c r="G478" s="15">
        <f>Deployments!P479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Deployments!T479</f>
        <v>0</v>
      </c>
      <c r="M478" s="15">
        <f>Deployments!L479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Deployments!V480</f>
        <v>0</v>
      </c>
      <c r="C479" s="23">
        <f>Deployments!W480</f>
        <v>0</v>
      </c>
      <c r="D479" s="15">
        <f>Deployments!AJ480</f>
        <v>0</v>
      </c>
      <c r="E479" s="15">
        <f>Deployments!N480</f>
        <v>0</v>
      </c>
      <c r="F479" s="23">
        <f>Deployments!O480</f>
        <v>0</v>
      </c>
      <c r="G479" s="15">
        <f>Deployments!P480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Deployments!T480</f>
        <v>0</v>
      </c>
      <c r="M479" s="15">
        <f>Deployments!L480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Deployments!V481</f>
        <v>0</v>
      </c>
      <c r="C480" s="23">
        <f>Deployments!W481</f>
        <v>0</v>
      </c>
      <c r="D480" s="15">
        <f>Deployments!AJ481</f>
        <v>0</v>
      </c>
      <c r="E480" s="15">
        <f>Deployments!N481</f>
        <v>0</v>
      </c>
      <c r="F480" s="23">
        <f>Deployments!O481</f>
        <v>0</v>
      </c>
      <c r="G480" s="15">
        <f>Deployments!P481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Deployments!T481</f>
        <v>0</v>
      </c>
      <c r="M480" s="15">
        <f>Deployments!L481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Deployments!V482</f>
        <v>0</v>
      </c>
      <c r="C481" s="23">
        <f>Deployments!W482</f>
        <v>0</v>
      </c>
      <c r="D481" s="15">
        <f>Deployments!AJ482</f>
        <v>0</v>
      </c>
      <c r="E481" s="15">
        <f>Deployments!N482</f>
        <v>0</v>
      </c>
      <c r="F481" s="23">
        <f>Deployments!O482</f>
        <v>0</v>
      </c>
      <c r="G481" s="15">
        <f>Deployments!P482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Deployments!T482</f>
        <v>0</v>
      </c>
      <c r="M481" s="15">
        <f>Deployments!L482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Deployments!V483</f>
        <v>0</v>
      </c>
      <c r="C482" s="23">
        <f>Deployments!W483</f>
        <v>0</v>
      </c>
      <c r="D482" s="15">
        <f>Deployments!AJ483</f>
        <v>0</v>
      </c>
      <c r="E482" s="15">
        <f>Deployments!N483</f>
        <v>0</v>
      </c>
      <c r="F482" s="23">
        <f>Deployments!O483</f>
        <v>0</v>
      </c>
      <c r="G482" s="15">
        <f>Deployments!P483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Deployments!T483</f>
        <v>0</v>
      </c>
      <c r="M482" s="15">
        <f>Deployments!L483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Deployments!V484</f>
        <v>0</v>
      </c>
      <c r="C483" s="23">
        <f>Deployments!W484</f>
        <v>0</v>
      </c>
      <c r="D483" s="15">
        <f>Deployments!AJ484</f>
        <v>0</v>
      </c>
      <c r="E483" s="15">
        <f>Deployments!N484</f>
        <v>0</v>
      </c>
      <c r="F483" s="23">
        <f>Deployments!O484</f>
        <v>0</v>
      </c>
      <c r="G483" s="15">
        <f>Deployments!P484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Deployments!T484</f>
        <v>0</v>
      </c>
      <c r="M483" s="15">
        <f>Deployments!L484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Deployments!V485</f>
        <v>0</v>
      </c>
      <c r="C484" s="23">
        <f>Deployments!W485</f>
        <v>0</v>
      </c>
      <c r="D484" s="15">
        <f>Deployments!AJ485</f>
        <v>0</v>
      </c>
      <c r="E484" s="15">
        <f>Deployments!N485</f>
        <v>0</v>
      </c>
      <c r="F484" s="23">
        <f>Deployments!O485</f>
        <v>0</v>
      </c>
      <c r="G484" s="15">
        <f>Deployments!P485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Deployments!T485</f>
        <v>0</v>
      </c>
      <c r="M484" s="15">
        <f>Deployments!L485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Deployments!V486</f>
        <v>0</v>
      </c>
      <c r="C485" s="23">
        <f>Deployments!W486</f>
        <v>0</v>
      </c>
      <c r="D485" s="15">
        <f>Deployments!AJ486</f>
        <v>0</v>
      </c>
      <c r="E485" s="15">
        <f>Deployments!N486</f>
        <v>0</v>
      </c>
      <c r="F485" s="23">
        <f>Deployments!O486</f>
        <v>0</v>
      </c>
      <c r="G485" s="15">
        <f>Deployments!P486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Deployments!T486</f>
        <v>0</v>
      </c>
      <c r="M485" s="15">
        <f>Deployments!L486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Deployments!V487</f>
        <v>0</v>
      </c>
      <c r="C486" s="23">
        <f>Deployments!W487</f>
        <v>0</v>
      </c>
      <c r="D486" s="15">
        <f>Deployments!AJ487</f>
        <v>0</v>
      </c>
      <c r="E486" s="15">
        <f>Deployments!N487</f>
        <v>0</v>
      </c>
      <c r="F486" s="23">
        <f>Deployments!O487</f>
        <v>0</v>
      </c>
      <c r="G486" s="15">
        <f>Deployments!P487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Deployments!T487</f>
        <v>0</v>
      </c>
      <c r="M486" s="15">
        <f>Deployments!L487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Deployments!V488</f>
        <v>0</v>
      </c>
      <c r="C487" s="23">
        <f>Deployments!W488</f>
        <v>0</v>
      </c>
      <c r="D487" s="15">
        <f>Deployments!AJ488</f>
        <v>0</v>
      </c>
      <c r="E487" s="15">
        <f>Deployments!N488</f>
        <v>0</v>
      </c>
      <c r="F487" s="23">
        <f>Deployments!O488</f>
        <v>0</v>
      </c>
      <c r="G487" s="15">
        <f>Deployments!P488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Deployments!T488</f>
        <v>0</v>
      </c>
      <c r="M487" s="15">
        <f>Deployments!L488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Deployments!V489</f>
        <v>0</v>
      </c>
      <c r="C488" s="23">
        <f>Deployments!W489</f>
        <v>0</v>
      </c>
      <c r="D488" s="15">
        <f>Deployments!AJ489</f>
        <v>0</v>
      </c>
      <c r="E488" s="15">
        <f>Deployments!N489</f>
        <v>0</v>
      </c>
      <c r="F488" s="23">
        <f>Deployments!O489</f>
        <v>0</v>
      </c>
      <c r="G488" s="15">
        <f>Deployments!P489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Deployments!T489</f>
        <v>0</v>
      </c>
      <c r="M488" s="15">
        <f>Deployments!L489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Deployments!V490</f>
        <v>0</v>
      </c>
      <c r="C489" s="23">
        <f>Deployments!W490</f>
        <v>0</v>
      </c>
      <c r="D489" s="15">
        <f>Deployments!AJ490</f>
        <v>0</v>
      </c>
      <c r="E489" s="15">
        <f>Deployments!N490</f>
        <v>0</v>
      </c>
      <c r="F489" s="23">
        <f>Deployments!O490</f>
        <v>0</v>
      </c>
      <c r="G489" s="15">
        <f>Deployments!P490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Deployments!T490</f>
        <v>0</v>
      </c>
      <c r="M489" s="15">
        <f>Deployments!L490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Deployments!V491</f>
        <v>0</v>
      </c>
      <c r="C490" s="23">
        <f>Deployments!W491</f>
        <v>0</v>
      </c>
      <c r="D490" s="15">
        <f>Deployments!AJ491</f>
        <v>0</v>
      </c>
      <c r="E490" s="15">
        <f>Deployments!N491</f>
        <v>0</v>
      </c>
      <c r="F490" s="23">
        <f>Deployments!O491</f>
        <v>0</v>
      </c>
      <c r="G490" s="15">
        <f>Deployments!P491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Deployments!T491</f>
        <v>0</v>
      </c>
      <c r="M490" s="15">
        <f>Deployments!L491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Deployments!V492</f>
        <v>0</v>
      </c>
      <c r="C491" s="23">
        <f>Deployments!W492</f>
        <v>0</v>
      </c>
      <c r="D491" s="15">
        <f>Deployments!AJ492</f>
        <v>0</v>
      </c>
      <c r="E491" s="15">
        <f>Deployments!N492</f>
        <v>0</v>
      </c>
      <c r="F491" s="23">
        <f>Deployments!O492</f>
        <v>0</v>
      </c>
      <c r="G491" s="15">
        <f>Deployments!P492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Deployments!T492</f>
        <v>0</v>
      </c>
      <c r="M491" s="15">
        <f>Deployments!L492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Deployments!V493</f>
        <v>0</v>
      </c>
      <c r="C492" s="23">
        <f>Deployments!W493</f>
        <v>0</v>
      </c>
      <c r="D492" s="15">
        <f>Deployments!AJ493</f>
        <v>0</v>
      </c>
      <c r="E492" s="15">
        <f>Deployments!N493</f>
        <v>0</v>
      </c>
      <c r="F492" s="23">
        <f>Deployments!O493</f>
        <v>0</v>
      </c>
      <c r="G492" s="15">
        <f>Deployments!P493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Deployments!T493</f>
        <v>0</v>
      </c>
      <c r="M492" s="15">
        <f>Deployments!L493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Deployments!V494</f>
        <v>0</v>
      </c>
      <c r="C493" s="23">
        <f>Deployments!W494</f>
        <v>0</v>
      </c>
      <c r="D493" s="15">
        <f>Deployments!AJ494</f>
        <v>0</v>
      </c>
      <c r="E493" s="15">
        <f>Deployments!N494</f>
        <v>0</v>
      </c>
      <c r="F493" s="23">
        <f>Deployments!O494</f>
        <v>0</v>
      </c>
      <c r="G493" s="15">
        <f>Deployments!P494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Deployments!T494</f>
        <v>0</v>
      </c>
      <c r="M493" s="15">
        <f>Deployments!L494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Deployments!V495</f>
        <v>0</v>
      </c>
      <c r="C494" s="23">
        <f>Deployments!W495</f>
        <v>0</v>
      </c>
      <c r="D494" s="15">
        <f>Deployments!AJ495</f>
        <v>0</v>
      </c>
      <c r="E494" s="15">
        <f>Deployments!N495</f>
        <v>0</v>
      </c>
      <c r="F494" s="23">
        <f>Deployments!O495</f>
        <v>0</v>
      </c>
      <c r="G494" s="15">
        <f>Deployments!P495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Deployments!T495</f>
        <v>0</v>
      </c>
      <c r="M494" s="15">
        <f>Deployments!L495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Deployments!V496</f>
        <v>0</v>
      </c>
      <c r="C495" s="23">
        <f>Deployments!W496</f>
        <v>0</v>
      </c>
      <c r="D495" s="15">
        <f>Deployments!AJ496</f>
        <v>0</v>
      </c>
      <c r="E495" s="15">
        <f>Deployments!N496</f>
        <v>0</v>
      </c>
      <c r="F495" s="23">
        <f>Deployments!O496</f>
        <v>0</v>
      </c>
      <c r="G495" s="15">
        <f>Deployments!P496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Deployments!T496</f>
        <v>0</v>
      </c>
      <c r="M495" s="15">
        <f>Deployments!L496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Deployments!V497</f>
        <v>0</v>
      </c>
      <c r="C496" s="23">
        <f>Deployments!W497</f>
        <v>0</v>
      </c>
      <c r="D496" s="15">
        <f>Deployments!AJ497</f>
        <v>0</v>
      </c>
      <c r="E496" s="15">
        <f>Deployments!N497</f>
        <v>0</v>
      </c>
      <c r="F496" s="23">
        <f>Deployments!O497</f>
        <v>0</v>
      </c>
      <c r="G496" s="15">
        <f>Deployments!P497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Deployments!T497</f>
        <v>0</v>
      </c>
      <c r="M496" s="15">
        <f>Deployments!L497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Deployments!V498</f>
        <v>0</v>
      </c>
      <c r="C497" s="23">
        <f>Deployments!W498</f>
        <v>0</v>
      </c>
      <c r="D497" s="15">
        <f>Deployments!AJ498</f>
        <v>0</v>
      </c>
      <c r="E497" s="15">
        <f>Deployments!N498</f>
        <v>0</v>
      </c>
      <c r="F497" s="23">
        <f>Deployments!O498</f>
        <v>0</v>
      </c>
      <c r="G497" s="15">
        <f>Deployments!P498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Deployments!T498</f>
        <v>0</v>
      </c>
      <c r="M497" s="15">
        <f>Deployments!L498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Deployments!V499</f>
        <v>0</v>
      </c>
      <c r="C498" s="23">
        <f>Deployments!W499</f>
        <v>0</v>
      </c>
      <c r="D498" s="15">
        <f>Deployments!AJ499</f>
        <v>0</v>
      </c>
      <c r="E498" s="15">
        <f>Deployments!N499</f>
        <v>0</v>
      </c>
      <c r="F498" s="23">
        <f>Deployments!O499</f>
        <v>0</v>
      </c>
      <c r="G498" s="15">
        <f>Deployments!P499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Deployments!T499</f>
        <v>0</v>
      </c>
      <c r="M498" s="15">
        <f>Deployments!L499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Deployments!V500</f>
        <v>0</v>
      </c>
      <c r="C499" s="23">
        <f>Deployments!W500</f>
        <v>0</v>
      </c>
      <c r="D499" s="15">
        <f>Deployments!AJ500</f>
        <v>0</v>
      </c>
      <c r="E499" s="15">
        <f>Deployments!N500</f>
        <v>0</v>
      </c>
      <c r="F499" s="23">
        <f>Deployments!O500</f>
        <v>0</v>
      </c>
      <c r="G499" s="15">
        <f>Deployments!P500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Deployments!T500</f>
        <v>0</v>
      </c>
      <c r="M499" s="15">
        <f>Deployments!L500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Deployments!V501</f>
        <v>0</v>
      </c>
      <c r="C500" s="23">
        <f>Deployments!W501</f>
        <v>0</v>
      </c>
      <c r="D500" s="15">
        <f>Deployments!AJ501</f>
        <v>0</v>
      </c>
      <c r="E500" s="15">
        <f>Deployments!N501</f>
        <v>0</v>
      </c>
      <c r="F500" s="23">
        <f>Deployments!O501</f>
        <v>0</v>
      </c>
      <c r="G500" s="15">
        <f>Deployments!P501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Deployments!T501</f>
        <v>0</v>
      </c>
      <c r="M500" s="15">
        <f>Deployments!L501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Deployments!V502</f>
        <v>0</v>
      </c>
      <c r="C501" s="23">
        <f>Deployments!W502</f>
        <v>0</v>
      </c>
      <c r="D501" s="15">
        <f>Deployments!AJ502</f>
        <v>0</v>
      </c>
      <c r="E501" s="15">
        <f>Deployments!N502</f>
        <v>0</v>
      </c>
      <c r="F501" s="23">
        <f>Deployments!O502</f>
        <v>0</v>
      </c>
      <c r="G501" s="15">
        <f>Deployments!P502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Deployments!T502</f>
        <v>0</v>
      </c>
      <c r="M501" s="15">
        <f>Deployments!L502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Deployments!V503</f>
        <v>0</v>
      </c>
      <c r="C502" s="23">
        <f>Deployments!W503</f>
        <v>0</v>
      </c>
      <c r="D502" s="15">
        <f>Deployments!AJ503</f>
        <v>0</v>
      </c>
      <c r="E502" s="15">
        <f>Deployments!N503</f>
        <v>0</v>
      </c>
      <c r="F502" s="23">
        <f>Deployments!O503</f>
        <v>0</v>
      </c>
      <c r="G502" s="15">
        <f>Deployments!P503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Deployments!T503</f>
        <v>0</v>
      </c>
      <c r="M502" s="15">
        <f>Deployments!L503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Deployments!V504</f>
        <v>0</v>
      </c>
      <c r="C503" s="23">
        <f>Deployments!W504</f>
        <v>0</v>
      </c>
      <c r="D503" s="15">
        <f>Deployments!AJ504</f>
        <v>0</v>
      </c>
      <c r="E503" s="15">
        <f>Deployments!N504</f>
        <v>0</v>
      </c>
      <c r="F503" s="23">
        <f>Deployments!O504</f>
        <v>0</v>
      </c>
      <c r="G503" s="15">
        <f>Deployments!P504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Deployments!T504</f>
        <v>0</v>
      </c>
      <c r="M503" s="15">
        <f>Deployments!L504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2411</v>
      </c>
      <c r="B1" s="61" t="s">
        <v>2412</v>
      </c>
      <c r="C1" s="63"/>
      <c r="D1" s="61" t="s">
        <v>2413</v>
      </c>
      <c r="E1" s="63"/>
      <c r="F1" s="61" t="s">
        <v>2268</v>
      </c>
      <c r="G1" s="64"/>
      <c r="H1" s="63"/>
      <c r="I1" s="5"/>
      <c r="J1" s="61" t="s">
        <v>2414</v>
      </c>
      <c r="K1" s="63"/>
    </row>
    <row r="2" spans="1:11" ht="30" customHeight="1">
      <c r="A2" s="6"/>
      <c r="B2" s="6" t="s">
        <v>1545</v>
      </c>
      <c r="C2" s="6" t="s">
        <v>1844</v>
      </c>
      <c r="D2" s="6" t="s">
        <v>1545</v>
      </c>
      <c r="E2" s="6" t="s">
        <v>1844</v>
      </c>
      <c r="F2" s="6" t="s">
        <v>2415</v>
      </c>
      <c r="G2" s="6" t="s">
        <v>2416</v>
      </c>
      <c r="H2" s="6" t="s">
        <v>2417</v>
      </c>
      <c r="I2" s="6"/>
      <c r="J2" s="6" t="s">
        <v>1545</v>
      </c>
      <c r="K2" s="6" t="s">
        <v>1844</v>
      </c>
    </row>
    <row r="3" spans="1:11">
      <c r="A3" s="7" t="s">
        <v>2418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1850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1833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2411</v>
      </c>
      <c r="B1" s="61" t="s">
        <v>2412</v>
      </c>
      <c r="C1" s="63"/>
      <c r="D1" s="61" t="s">
        <v>2413</v>
      </c>
      <c r="E1" s="63"/>
      <c r="F1" s="61" t="s">
        <v>2268</v>
      </c>
      <c r="G1" s="64"/>
      <c r="H1" s="63"/>
      <c r="I1" s="5"/>
      <c r="J1" s="61" t="s">
        <v>2414</v>
      </c>
      <c r="K1" s="63"/>
    </row>
    <row r="2" spans="1:11" ht="30" customHeight="1">
      <c r="A2" s="6"/>
      <c r="B2" s="6" t="s">
        <v>1545</v>
      </c>
      <c r="C2" s="6" t="s">
        <v>1844</v>
      </c>
      <c r="D2" s="6" t="s">
        <v>1545</v>
      </c>
      <c r="E2" s="6" t="s">
        <v>1844</v>
      </c>
      <c r="F2" s="6" t="s">
        <v>2415</v>
      </c>
      <c r="G2" s="6" t="s">
        <v>2416</v>
      </c>
      <c r="H2" s="6" t="s">
        <v>2417</v>
      </c>
      <c r="I2" s="6"/>
      <c r="J2" s="6" t="s">
        <v>1545</v>
      </c>
      <c r="K2" s="6" t="s">
        <v>1844</v>
      </c>
    </row>
    <row r="3" spans="1:11">
      <c r="A3" s="7" t="s">
        <v>2418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1850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1833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2411</v>
      </c>
      <c r="B1" s="61" t="s">
        <v>2412</v>
      </c>
      <c r="C1" s="63"/>
      <c r="D1" s="61" t="s">
        <v>2413</v>
      </c>
      <c r="E1" s="63"/>
      <c r="F1" s="61" t="s">
        <v>2268</v>
      </c>
      <c r="G1" s="64"/>
      <c r="H1" s="63"/>
      <c r="I1" s="5"/>
      <c r="J1" s="61" t="s">
        <v>2414</v>
      </c>
      <c r="K1" s="63"/>
    </row>
    <row r="2" spans="1:11" ht="30" customHeight="1">
      <c r="A2" s="6"/>
      <c r="B2" s="6" t="s">
        <v>1545</v>
      </c>
      <c r="C2" s="6" t="s">
        <v>1844</v>
      </c>
      <c r="D2" s="6" t="s">
        <v>1545</v>
      </c>
      <c r="E2" s="6" t="s">
        <v>1844</v>
      </c>
      <c r="F2" s="6" t="s">
        <v>2415</v>
      </c>
      <c r="G2" s="6" t="s">
        <v>2416</v>
      </c>
      <c r="H2" s="6" t="s">
        <v>2417</v>
      </c>
      <c r="I2" s="6"/>
      <c r="J2" s="6" t="s">
        <v>1545</v>
      </c>
      <c r="K2" s="6" t="s">
        <v>1844</v>
      </c>
    </row>
    <row r="3" spans="1:11">
      <c r="A3" s="7" t="s">
        <v>2418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1850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1833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2411</v>
      </c>
      <c r="B1" s="61" t="s">
        <v>2412</v>
      </c>
      <c r="C1" s="63"/>
      <c r="D1" s="61" t="s">
        <v>2413</v>
      </c>
      <c r="E1" s="63"/>
      <c r="F1" s="61" t="s">
        <v>2268</v>
      </c>
      <c r="G1" s="64"/>
      <c r="H1" s="63"/>
      <c r="I1" s="5"/>
      <c r="J1" s="61" t="s">
        <v>2414</v>
      </c>
      <c r="K1" s="63"/>
    </row>
    <row r="2" spans="1:11" ht="30" customHeight="1">
      <c r="A2" s="6"/>
      <c r="B2" s="6" t="s">
        <v>1545</v>
      </c>
      <c r="C2" s="6" t="s">
        <v>1844</v>
      </c>
      <c r="D2" s="6" t="s">
        <v>1545</v>
      </c>
      <c r="E2" s="6" t="s">
        <v>1844</v>
      </c>
      <c r="F2" s="6" t="s">
        <v>2415</v>
      </c>
      <c r="G2" s="6" t="s">
        <v>2416</v>
      </c>
      <c r="H2" s="6" t="s">
        <v>2417</v>
      </c>
      <c r="I2" s="6"/>
      <c r="J2" s="6" t="s">
        <v>1545</v>
      </c>
      <c r="K2" s="6" t="s">
        <v>1844</v>
      </c>
    </row>
    <row r="3" spans="1:11">
      <c r="A3" s="7" t="s">
        <v>2418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1850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1833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2411</v>
      </c>
      <c r="B1" s="61" t="s">
        <v>2412</v>
      </c>
      <c r="C1" s="63"/>
      <c r="D1" s="61" t="s">
        <v>2413</v>
      </c>
      <c r="E1" s="63"/>
      <c r="F1" s="61" t="s">
        <v>2268</v>
      </c>
      <c r="G1" s="64"/>
      <c r="H1" s="63"/>
      <c r="I1" s="5"/>
      <c r="J1" s="61" t="s">
        <v>2414</v>
      </c>
      <c r="K1" s="63"/>
    </row>
    <row r="2" spans="1:11" ht="30" customHeight="1">
      <c r="A2" s="6"/>
      <c r="B2" s="6" t="s">
        <v>1545</v>
      </c>
      <c r="C2" s="6" t="s">
        <v>1844</v>
      </c>
      <c r="D2" s="6" t="s">
        <v>1545</v>
      </c>
      <c r="E2" s="6" t="s">
        <v>1844</v>
      </c>
      <c r="F2" s="6" t="s">
        <v>2415</v>
      </c>
      <c r="G2" s="6" t="s">
        <v>2416</v>
      </c>
      <c r="H2" s="6" t="s">
        <v>2417</v>
      </c>
      <c r="I2" s="6"/>
      <c r="J2" s="6" t="s">
        <v>1545</v>
      </c>
      <c r="K2" s="6" t="s">
        <v>1844</v>
      </c>
    </row>
    <row r="3" spans="1:11">
      <c r="A3" s="7" t="s">
        <v>2418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1850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1833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2434</v>
      </c>
      <c r="B1" s="50" t="s">
        <v>2435</v>
      </c>
      <c r="C1" s="50" t="s">
        <v>2436</v>
      </c>
      <c r="D1" s="50" t="s">
        <v>1</v>
      </c>
      <c r="E1" s="50" t="s">
        <v>2437</v>
      </c>
      <c r="F1" s="50" t="s">
        <v>2438</v>
      </c>
      <c r="G1" s="50" t="s">
        <v>2439</v>
      </c>
      <c r="H1" s="50" t="s">
        <v>2411</v>
      </c>
      <c r="I1" s="50" t="s">
        <v>1594</v>
      </c>
      <c r="J1" s="50" t="s">
        <v>2440</v>
      </c>
      <c r="K1" s="50" t="s">
        <v>403</v>
      </c>
    </row>
    <row r="2" spans="1:11" ht="30">
      <c r="A2" s="3"/>
      <c r="B2" s="4" t="s">
        <v>2441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2442</v>
      </c>
      <c r="C3" s="4" t="s">
        <v>2443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2444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2445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2446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2447</v>
      </c>
      <c r="C7" s="4" t="s">
        <v>2448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2449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2450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2451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2452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2453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2454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2455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2456</v>
      </c>
      <c r="B15" s="4" t="s">
        <v>2457</v>
      </c>
      <c r="C15" s="4" t="s">
        <v>2458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2459</v>
      </c>
    </row>
    <row r="3" spans="1:6">
      <c r="A3" s="10" t="s">
        <v>2460</v>
      </c>
    </row>
    <row r="4" spans="1:6" ht="30" customHeight="1">
      <c r="A4" s="50" t="s">
        <v>1594</v>
      </c>
      <c r="B4" s="50" t="s">
        <v>2461</v>
      </c>
      <c r="C4" s="50" t="s">
        <v>2462</v>
      </c>
      <c r="D4" s="50" t="s">
        <v>2463</v>
      </c>
      <c r="E4" s="50" t="s">
        <v>1555</v>
      </c>
      <c r="F4" s="50" t="s">
        <v>2464</v>
      </c>
    </row>
    <row r="5" spans="1:6">
      <c r="A5" s="7" t="s">
        <v>2465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2466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2467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2468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2469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2470</v>
      </c>
    </row>
    <row r="14" spans="1:6">
      <c r="A14" s="50" t="s">
        <v>2471</v>
      </c>
      <c r="B14" s="50" t="s">
        <v>1506</v>
      </c>
    </row>
    <row r="15" spans="1:6">
      <c r="A15" s="7" t="s">
        <v>2472</v>
      </c>
      <c r="B15" s="8">
        <f t="array" ref="B15">SUMPRODUCT((Deployments!$W$2:$X$527&lt;&gt;"")*(Deployments!$AV$2:$AZ$527&lt;&gt;"Yes")*(Deployments!$AV$2:$AZ$527&lt;&gt;"N/A"))</f>
        <v>214</v>
      </c>
    </row>
    <row r="16" spans="1:6">
      <c r="A16" s="7" t="s">
        <v>2473</v>
      </c>
      <c r="B16" s="8">
        <f t="array" ref="B16">SUMPRODUCT((Deployments!$W$2:$X$527&lt;&gt;"")*(Deployments!$AW$2:$BA$527&lt;&gt;"Yes")*(Deployments!$AW$2:$BA$527&lt;&gt;"N/A"))</f>
        <v>179</v>
      </c>
    </row>
    <row r="17" spans="1:2">
      <c r="A17" s="7" t="s">
        <v>2474</v>
      </c>
      <c r="B17" s="8">
        <f t="array" ref="B17">SUMPRODUCT((Deployments!$W$2:$X$527&lt;&gt;"")*(Deployments!$BD$2:$BH$527&lt;&gt;"Yes")*(Deployments!$BD$2:$BH$527&lt;&gt;"N/A"))</f>
        <v>78</v>
      </c>
    </row>
    <row r="18" spans="1:2">
      <c r="A18" s="7" t="s">
        <v>2475</v>
      </c>
      <c r="B18" s="8">
        <f t="array" ref="B18">SUMPRODUCT((Deployments!$W$2:$X$527&lt;&gt;"")*(Deployments!$BD$2:$BH$527="Yes")*(Deployments!$BE$2:$BI$527&lt;&gt;"Yes")*(Deployments!$BE$2:$BI$527&lt;&gt;"N/A"))</f>
        <v>34</v>
      </c>
    </row>
    <row r="19" spans="1:2">
      <c r="A19" s="7" t="s">
        <v>2476</v>
      </c>
      <c r="B19" s="8" t="e">
        <f t="array" ref="B19">SUMPRODUCT((Deployments!$W$2:$X$527&lt;&gt;"")*(Deployments!$BI$2:$BM$527&lt;&gt;"Yes")*(Deployments!$BI$2:$BM$527&lt;&gt;"N/A"))</f>
        <v>#REF!</v>
      </c>
    </row>
    <row r="20" spans="1:2">
      <c r="A20" s="7" t="s">
        <v>2477</v>
      </c>
      <c r="B20" s="8" t="e">
        <f t="array" ref="B20">SUMPRODUCT((Deployments!$W$2:$X$527&lt;&gt;"")*(Deployments!$BJ$2:$BN$527&lt;&gt;"Yes")*(Deployments!$BJ$2:$BN$527&lt;&gt;"N/A"))</f>
        <v>#REF!</v>
      </c>
    </row>
    <row r="21" spans="1:2">
      <c r="A21" s="7" t="s">
        <v>2478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2479</v>
      </c>
    </row>
    <row r="3" spans="1:7" ht="30" customHeight="1">
      <c r="A3" s="50" t="s">
        <v>2435</v>
      </c>
      <c r="B3" s="50" t="s">
        <v>2480</v>
      </c>
      <c r="C3" s="50" t="s">
        <v>2481</v>
      </c>
      <c r="D3" s="50" t="s">
        <v>2482</v>
      </c>
      <c r="E3" s="50" t="s">
        <v>2483</v>
      </c>
      <c r="F3" s="50" t="s">
        <v>2484</v>
      </c>
      <c r="G3" s="50" t="s">
        <v>403</v>
      </c>
    </row>
    <row r="4" spans="1:7" ht="150">
      <c r="A4" s="8" t="s">
        <v>1545</v>
      </c>
      <c r="B4" s="4" t="s">
        <v>2485</v>
      </c>
      <c r="C4" s="8" t="s">
        <v>1545</v>
      </c>
      <c r="D4" s="8" t="s">
        <v>2486</v>
      </c>
      <c r="E4" s="8"/>
      <c r="F4" s="12"/>
      <c r="G4" s="4"/>
    </row>
    <row r="5" spans="1:7" ht="30" customHeight="1">
      <c r="A5" s="8" t="s">
        <v>1545</v>
      </c>
      <c r="B5" s="4" t="s">
        <v>2487</v>
      </c>
      <c r="C5" s="8" t="s">
        <v>1545</v>
      </c>
      <c r="D5" s="8" t="s">
        <v>2486</v>
      </c>
      <c r="E5" s="8"/>
      <c r="F5" s="12"/>
      <c r="G5" s="4"/>
    </row>
    <row r="6" spans="1:7" ht="30" customHeight="1">
      <c r="A6" s="8" t="s">
        <v>1545</v>
      </c>
      <c r="B6" s="4" t="s">
        <v>2488</v>
      </c>
      <c r="C6" s="8" t="s">
        <v>1545</v>
      </c>
      <c r="D6" s="8" t="s">
        <v>2486</v>
      </c>
      <c r="E6" s="8"/>
      <c r="F6" s="12"/>
      <c r="G6" s="4"/>
    </row>
    <row r="7" spans="1:7" ht="30" customHeight="1">
      <c r="A7" s="8" t="s">
        <v>1545</v>
      </c>
      <c r="B7" s="4" t="s">
        <v>2489</v>
      </c>
      <c r="C7" s="8" t="s">
        <v>1545</v>
      </c>
      <c r="D7" s="8" t="s">
        <v>2486</v>
      </c>
      <c r="E7" s="8"/>
      <c r="F7" s="12"/>
      <c r="G7" s="4"/>
    </row>
    <row r="8" spans="1:7" ht="150">
      <c r="A8" s="8" t="s">
        <v>1545</v>
      </c>
      <c r="B8" s="4" t="s">
        <v>2490</v>
      </c>
      <c r="C8" s="8" t="s">
        <v>1545</v>
      </c>
      <c r="D8" s="8" t="s">
        <v>2486</v>
      </c>
      <c r="E8" s="8"/>
      <c r="F8" s="12"/>
      <c r="G8" s="4"/>
    </row>
    <row r="9" spans="1:7" ht="30" customHeight="1">
      <c r="A9" s="8" t="s">
        <v>1545</v>
      </c>
      <c r="B9" s="4" t="s">
        <v>2491</v>
      </c>
      <c r="C9" s="8" t="s">
        <v>1545</v>
      </c>
      <c r="D9" s="8" t="s">
        <v>2486</v>
      </c>
      <c r="E9" s="8"/>
      <c r="F9" s="12"/>
      <c r="G9" s="4"/>
    </row>
    <row r="10" spans="1:7" ht="45" customHeight="1">
      <c r="A10" s="8" t="s">
        <v>2492</v>
      </c>
      <c r="B10" s="4" t="s">
        <v>2493</v>
      </c>
      <c r="C10" s="8" t="s">
        <v>1545</v>
      </c>
      <c r="D10" s="8" t="s">
        <v>2486</v>
      </c>
      <c r="E10" s="8"/>
      <c r="F10" s="12"/>
      <c r="G10" s="4"/>
    </row>
    <row r="11" spans="1:7" ht="30" customHeight="1">
      <c r="A11" s="8" t="s">
        <v>2494</v>
      </c>
      <c r="B11" s="4" t="s">
        <v>2495</v>
      </c>
      <c r="C11" s="8" t="s">
        <v>2496</v>
      </c>
      <c r="D11" s="8" t="s">
        <v>2486</v>
      </c>
      <c r="E11" s="8"/>
      <c r="F11" s="12"/>
      <c r="G11" s="4"/>
    </row>
    <row r="12" spans="1:7" ht="30" customHeight="1">
      <c r="A12" s="8" t="s">
        <v>2497</v>
      </c>
      <c r="B12" s="4" t="s">
        <v>2498</v>
      </c>
      <c r="C12" s="8" t="s">
        <v>1545</v>
      </c>
      <c r="D12" s="8" t="s">
        <v>2486</v>
      </c>
      <c r="E12" s="8"/>
      <c r="F12" s="12"/>
      <c r="G12" s="4"/>
    </row>
    <row r="13" spans="1:7" ht="30" customHeight="1">
      <c r="A13" s="8" t="s">
        <v>2499</v>
      </c>
      <c r="B13" s="4" t="s">
        <v>2500</v>
      </c>
      <c r="C13" s="8" t="s">
        <v>1545</v>
      </c>
      <c r="D13" s="8" t="s">
        <v>2486</v>
      </c>
      <c r="E13" s="8"/>
      <c r="F13" s="12"/>
      <c r="G13" s="4"/>
    </row>
    <row r="14" spans="1:7" ht="30" customHeight="1">
      <c r="A14" s="8" t="s">
        <v>2501</v>
      </c>
      <c r="B14" s="4" t="s">
        <v>2502</v>
      </c>
      <c r="C14" s="8" t="s">
        <v>2503</v>
      </c>
      <c r="D14" s="8" t="s">
        <v>2486</v>
      </c>
      <c r="E14" s="8"/>
      <c r="F14" s="12"/>
      <c r="G14" s="4"/>
    </row>
    <row r="15" spans="1:7" ht="30" customHeight="1">
      <c r="A15" s="8" t="s">
        <v>2501</v>
      </c>
      <c r="B15" s="4" t="s">
        <v>2504</v>
      </c>
      <c r="C15" s="8" t="s">
        <v>1545</v>
      </c>
      <c r="D15" s="8" t="s">
        <v>2486</v>
      </c>
      <c r="E15" s="8"/>
      <c r="F15" s="12"/>
      <c r="G15" s="4"/>
    </row>
    <row r="16" spans="1:7" ht="30" customHeight="1">
      <c r="A16" s="8" t="s">
        <v>2501</v>
      </c>
      <c r="B16" s="4" t="s">
        <v>2505</v>
      </c>
      <c r="C16" s="8" t="s">
        <v>1844</v>
      </c>
      <c r="D16" s="8" t="s">
        <v>2486</v>
      </c>
      <c r="E16" s="8"/>
      <c r="F16" s="12"/>
      <c r="G16" s="4"/>
    </row>
    <row r="17" spans="1:7" ht="30" customHeight="1">
      <c r="A17" s="8" t="s">
        <v>2501</v>
      </c>
      <c r="B17" s="4" t="s">
        <v>2506</v>
      </c>
      <c r="C17" s="8" t="s">
        <v>1844</v>
      </c>
      <c r="D17" s="8" t="s">
        <v>2486</v>
      </c>
      <c r="E17" s="8"/>
      <c r="F17" s="12"/>
      <c r="G17" s="4"/>
    </row>
    <row r="18" spans="1:7" ht="150">
      <c r="A18" s="8" t="s">
        <v>2501</v>
      </c>
      <c r="B18" s="4" t="s">
        <v>2507</v>
      </c>
      <c r="C18" s="8" t="s">
        <v>1844</v>
      </c>
      <c r="D18" s="8" t="s">
        <v>2486</v>
      </c>
      <c r="E18" s="8"/>
      <c r="F18" s="12"/>
      <c r="G18" s="4"/>
    </row>
    <row r="19" spans="1:7" ht="30" customHeight="1">
      <c r="A19" s="8" t="s">
        <v>2508</v>
      </c>
      <c r="B19" s="4" t="s">
        <v>2509</v>
      </c>
      <c r="C19" s="8" t="s">
        <v>1844</v>
      </c>
      <c r="D19" s="8" t="s">
        <v>2486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2510</v>
      </c>
    </row>
    <row r="3" spans="1:8" ht="30" customHeight="1">
      <c r="A3" s="50" t="s">
        <v>2411</v>
      </c>
      <c r="B3" s="50" t="s">
        <v>2511</v>
      </c>
      <c r="C3" s="50" t="s">
        <v>2512</v>
      </c>
      <c r="D3" s="50" t="s">
        <v>2513</v>
      </c>
      <c r="E3" s="50" t="s">
        <v>2514</v>
      </c>
      <c r="F3" s="50" t="s">
        <v>2515</v>
      </c>
      <c r="G3" s="50" t="s">
        <v>40</v>
      </c>
      <c r="H3" s="50" t="s">
        <v>403</v>
      </c>
    </row>
    <row r="4" spans="1:8" ht="75">
      <c r="A4" s="8" t="s">
        <v>2418</v>
      </c>
      <c r="B4" s="8" t="s">
        <v>2516</v>
      </c>
      <c r="C4" s="8" t="s">
        <v>2516</v>
      </c>
      <c r="D4" s="8" t="s">
        <v>2516</v>
      </c>
      <c r="E4" s="8" t="s">
        <v>2516</v>
      </c>
      <c r="F4" s="8" t="s">
        <v>2516</v>
      </c>
      <c r="G4" s="8" t="s">
        <v>2516</v>
      </c>
      <c r="H4" s="4"/>
    </row>
    <row r="5" spans="1:8" ht="75">
      <c r="A5" s="8" t="s">
        <v>2419</v>
      </c>
      <c r="B5" s="8" t="s">
        <v>2516</v>
      </c>
      <c r="C5" s="8" t="s">
        <v>2516</v>
      </c>
      <c r="D5" s="8" t="s">
        <v>2516</v>
      </c>
      <c r="E5" s="8" t="s">
        <v>2516</v>
      </c>
      <c r="F5" s="8" t="s">
        <v>2516</v>
      </c>
      <c r="G5" s="8" t="s">
        <v>2516</v>
      </c>
      <c r="H5" s="4"/>
    </row>
    <row r="6" spans="1:8" ht="75">
      <c r="A6" s="8" t="s">
        <v>2420</v>
      </c>
      <c r="B6" s="8" t="s">
        <v>2516</v>
      </c>
      <c r="C6" s="8" t="s">
        <v>2516</v>
      </c>
      <c r="D6" s="8" t="s">
        <v>2516</v>
      </c>
      <c r="E6" s="8" t="s">
        <v>2516</v>
      </c>
      <c r="F6" s="8" t="s">
        <v>2516</v>
      </c>
      <c r="G6" s="8" t="s">
        <v>2516</v>
      </c>
      <c r="H6" s="4"/>
    </row>
    <row r="7" spans="1:8" ht="75">
      <c r="A7" s="8" t="s">
        <v>1850</v>
      </c>
      <c r="B7" s="8" t="s">
        <v>2516</v>
      </c>
      <c r="C7" s="8" t="s">
        <v>2516</v>
      </c>
      <c r="D7" s="8" t="s">
        <v>2516</v>
      </c>
      <c r="E7" s="8" t="s">
        <v>2516</v>
      </c>
      <c r="F7" s="8" t="s">
        <v>2516</v>
      </c>
      <c r="G7" s="8" t="s">
        <v>2516</v>
      </c>
      <c r="H7" s="4"/>
    </row>
    <row r="8" spans="1:8" ht="75">
      <c r="A8" s="8" t="s">
        <v>2421</v>
      </c>
      <c r="B8" s="8" t="s">
        <v>2516</v>
      </c>
      <c r="C8" s="8" t="s">
        <v>2516</v>
      </c>
      <c r="D8" s="8" t="s">
        <v>2516</v>
      </c>
      <c r="E8" s="8" t="s">
        <v>2516</v>
      </c>
      <c r="F8" s="8" t="s">
        <v>2516</v>
      </c>
      <c r="G8" s="8" t="s">
        <v>2516</v>
      </c>
      <c r="H8" s="4"/>
    </row>
    <row r="9" spans="1:8" ht="75">
      <c r="A9" s="8" t="s">
        <v>1833</v>
      </c>
      <c r="B9" s="8" t="s">
        <v>2516</v>
      </c>
      <c r="C9" s="8" t="s">
        <v>2516</v>
      </c>
      <c r="D9" s="8" t="s">
        <v>2516</v>
      </c>
      <c r="E9" s="8" t="s">
        <v>2516</v>
      </c>
      <c r="F9" s="8" t="s">
        <v>2516</v>
      </c>
      <c r="G9" s="8" t="s">
        <v>2516</v>
      </c>
      <c r="H9" s="4"/>
    </row>
    <row r="10" spans="1:8" ht="75">
      <c r="A10" s="8" t="s">
        <v>2422</v>
      </c>
      <c r="B10" s="8" t="s">
        <v>2516</v>
      </c>
      <c r="C10" s="8" t="s">
        <v>2516</v>
      </c>
      <c r="D10" s="8" t="s">
        <v>2516</v>
      </c>
      <c r="E10" s="8" t="s">
        <v>2516</v>
      </c>
      <c r="F10" s="8" t="s">
        <v>2516</v>
      </c>
      <c r="G10" s="8" t="s">
        <v>2516</v>
      </c>
      <c r="H10" s="4"/>
    </row>
    <row r="11" spans="1:8" ht="75">
      <c r="A11" s="8" t="s">
        <v>2423</v>
      </c>
      <c r="B11" s="8" t="s">
        <v>2516</v>
      </c>
      <c r="C11" s="8" t="s">
        <v>2516</v>
      </c>
      <c r="D11" s="8" t="s">
        <v>2516</v>
      </c>
      <c r="E11" s="8" t="s">
        <v>2516</v>
      </c>
      <c r="F11" s="8" t="s">
        <v>2516</v>
      </c>
      <c r="G11" s="8" t="s">
        <v>2516</v>
      </c>
      <c r="H11" s="4"/>
    </row>
    <row r="12" spans="1:8" ht="75">
      <c r="A12" s="8" t="s">
        <v>2424</v>
      </c>
      <c r="B12" s="8" t="s">
        <v>2516</v>
      </c>
      <c r="C12" s="8" t="s">
        <v>2516</v>
      </c>
      <c r="D12" s="8" t="s">
        <v>2516</v>
      </c>
      <c r="E12" s="8" t="s">
        <v>2516</v>
      </c>
      <c r="F12" s="8" t="s">
        <v>2516</v>
      </c>
      <c r="G12" s="8" t="s">
        <v>2516</v>
      </c>
      <c r="H12" s="4"/>
    </row>
    <row r="13" spans="1:8" ht="75">
      <c r="A13" s="8" t="s">
        <v>2425</v>
      </c>
      <c r="B13" s="8" t="s">
        <v>2516</v>
      </c>
      <c r="C13" s="8" t="s">
        <v>2516</v>
      </c>
      <c r="D13" s="8" t="s">
        <v>2516</v>
      </c>
      <c r="E13" s="8" t="s">
        <v>2516</v>
      </c>
      <c r="F13" s="8" t="s">
        <v>2516</v>
      </c>
      <c r="G13" s="8" t="s">
        <v>2516</v>
      </c>
      <c r="H13" s="4"/>
    </row>
    <row r="14" spans="1:8" ht="75">
      <c r="A14" s="8" t="s">
        <v>2426</v>
      </c>
      <c r="B14" s="8" t="s">
        <v>2516</v>
      </c>
      <c r="C14" s="8" t="s">
        <v>2516</v>
      </c>
      <c r="D14" s="8" t="s">
        <v>2516</v>
      </c>
      <c r="E14" s="8" t="s">
        <v>2516</v>
      </c>
      <c r="F14" s="8" t="s">
        <v>2516</v>
      </c>
      <c r="G14" s="8" t="s">
        <v>2516</v>
      </c>
      <c r="H14" s="4"/>
    </row>
    <row r="15" spans="1:8" ht="75">
      <c r="A15" s="8" t="s">
        <v>2427</v>
      </c>
      <c r="B15" s="8" t="s">
        <v>2516</v>
      </c>
      <c r="C15" s="8" t="s">
        <v>2516</v>
      </c>
      <c r="D15" s="8" t="s">
        <v>2516</v>
      </c>
      <c r="E15" s="8" t="s">
        <v>2516</v>
      </c>
      <c r="F15" s="8" t="s">
        <v>2516</v>
      </c>
      <c r="G15" s="8" t="s">
        <v>2516</v>
      </c>
      <c r="H15" s="4"/>
    </row>
    <row r="16" spans="1:8" ht="75">
      <c r="A16" s="8" t="s">
        <v>2428</v>
      </c>
      <c r="B16" s="8" t="s">
        <v>2516</v>
      </c>
      <c r="C16" s="8" t="s">
        <v>2516</v>
      </c>
      <c r="D16" s="8" t="s">
        <v>2516</v>
      </c>
      <c r="E16" s="8" t="s">
        <v>2516</v>
      </c>
      <c r="F16" s="8" t="s">
        <v>2516</v>
      </c>
      <c r="G16" s="8" t="s">
        <v>2516</v>
      </c>
      <c r="H16" s="4"/>
    </row>
    <row r="17" spans="1:8" ht="75">
      <c r="A17" s="8" t="s">
        <v>2429</v>
      </c>
      <c r="B17" s="8" t="s">
        <v>2516</v>
      </c>
      <c r="C17" s="8" t="s">
        <v>2516</v>
      </c>
      <c r="D17" s="8" t="s">
        <v>2516</v>
      </c>
      <c r="E17" s="8" t="s">
        <v>2516</v>
      </c>
      <c r="F17" s="8" t="s">
        <v>2516</v>
      </c>
      <c r="G17" s="8" t="s">
        <v>2516</v>
      </c>
      <c r="H17" s="4"/>
    </row>
    <row r="18" spans="1:8" ht="75">
      <c r="A18" s="8" t="s">
        <v>2430</v>
      </c>
      <c r="B18" s="8" t="s">
        <v>2516</v>
      </c>
      <c r="C18" s="8" t="s">
        <v>2516</v>
      </c>
      <c r="D18" s="8" t="s">
        <v>2516</v>
      </c>
      <c r="E18" s="8" t="s">
        <v>2516</v>
      </c>
      <c r="F18" s="8" t="s">
        <v>2516</v>
      </c>
      <c r="G18" s="8" t="s">
        <v>2516</v>
      </c>
      <c r="H18" s="4"/>
    </row>
    <row r="19" spans="1:8" ht="75">
      <c r="A19" s="8" t="s">
        <v>2431</v>
      </c>
      <c r="B19" s="8" t="s">
        <v>2516</v>
      </c>
      <c r="C19" s="8" t="s">
        <v>2516</v>
      </c>
      <c r="D19" s="8" t="s">
        <v>2516</v>
      </c>
      <c r="E19" s="8" t="s">
        <v>2516</v>
      </c>
      <c r="F19" s="8" t="s">
        <v>2516</v>
      </c>
      <c r="G19" s="8" t="s">
        <v>2516</v>
      </c>
      <c r="H19" s="4"/>
    </row>
    <row r="20" spans="1:8" ht="75">
      <c r="A20" s="8" t="s">
        <v>2432</v>
      </c>
      <c r="B20" s="8" t="s">
        <v>2516</v>
      </c>
      <c r="C20" s="8" t="s">
        <v>2516</v>
      </c>
      <c r="D20" s="8" t="s">
        <v>2516</v>
      </c>
      <c r="E20" s="8" t="s">
        <v>2516</v>
      </c>
      <c r="F20" s="8" t="s">
        <v>2516</v>
      </c>
      <c r="G20" s="8" t="s">
        <v>2516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2517</v>
      </c>
    </row>
    <row r="3" spans="1:5" ht="90">
      <c r="A3" s="50" t="s">
        <v>18</v>
      </c>
      <c r="B3" s="50" t="s">
        <v>2518</v>
      </c>
      <c r="C3" s="50" t="s">
        <v>2519</v>
      </c>
      <c r="D3" s="50" t="s">
        <v>2520</v>
      </c>
      <c r="E3" s="50" t="s">
        <v>2521</v>
      </c>
    </row>
    <row r="4" spans="1:5" ht="60" customHeight="1">
      <c r="A4" s="4">
        <f>374</f>
        <v>374</v>
      </c>
      <c r="B4" s="4" t="s">
        <v>2522</v>
      </c>
      <c r="C4" s="4"/>
      <c r="D4" s="4"/>
      <c r="E4" s="4"/>
    </row>
    <row r="5" spans="1:5" ht="60" customHeight="1">
      <c r="A5" s="4">
        <f>4/4</f>
        <v>1</v>
      </c>
      <c r="B5" s="4" t="s">
        <v>2523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2524</v>
      </c>
      <c r="C6" s="4"/>
      <c r="D6" s="4"/>
      <c r="E6" s="4"/>
    </row>
    <row r="7" spans="1:5" ht="30" customHeight="1">
      <c r="A7" s="4">
        <f>D22/38</f>
        <v>0</v>
      </c>
      <c r="B7" s="4" t="s">
        <v>2525</v>
      </c>
      <c r="C7" s="4"/>
      <c r="D7" s="4"/>
      <c r="E7" s="4"/>
    </row>
    <row r="8" spans="1:5" ht="30" customHeight="1">
      <c r="A8" s="4">
        <f>D23/38</f>
        <v>0</v>
      </c>
      <c r="B8" s="4" t="s">
        <v>2526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2527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2528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2529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2530</v>
      </c>
      <c r="C12" s="4"/>
      <c r="D12" s="4"/>
      <c r="E12" s="4"/>
    </row>
    <row r="13" spans="1:5" ht="30" customHeight="1">
      <c r="A13" s="4">
        <f>389/389</f>
        <v>1</v>
      </c>
      <c r="B13" s="4" t="s">
        <v>2531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2532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2533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2534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2535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2536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2537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2538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2539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2540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2541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2542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2543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2544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2545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2546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2547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2548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2549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2550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2551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2552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2553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2554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2555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2556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2557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2558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2559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2560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2561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2562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2563</v>
      </c>
      <c r="C45" s="4"/>
      <c r="D45" s="4"/>
      <c r="E45" s="4"/>
    </row>
    <row r="46" spans="1:5" ht="30.75" customHeight="1">
      <c r="A46" s="4" t="e">
        <v>#VALUE!</v>
      </c>
      <c r="B46" s="4" t="s">
        <v>2564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2565</v>
      </c>
      <c r="C47" s="4"/>
      <c r="D47" s="4"/>
      <c r="E47" s="4"/>
    </row>
    <row r="48" spans="1:5" ht="30.75" customHeight="1">
      <c r="A48" s="4" t="e">
        <v>#VALUE!</v>
      </c>
      <c r="B48" s="4" t="s">
        <v>2566</v>
      </c>
      <c r="C48" s="4"/>
      <c r="D48" s="4"/>
      <c r="E48" s="4"/>
    </row>
    <row r="49" spans="1:5" ht="30.75" customHeight="1">
      <c r="A49" s="4" t="e">
        <v>#VALUE!</v>
      </c>
      <c r="B49" s="4" t="s">
        <v>2567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2568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2569</v>
      </c>
      <c r="C51" s="4"/>
      <c r="D51" s="4"/>
      <c r="E51" s="4"/>
    </row>
    <row r="52" spans="1:5" ht="30.75" customHeight="1">
      <c r="A52" s="4" t="e">
        <v>#VALUE!</v>
      </c>
      <c r="B52" s="4" t="s">
        <v>2570</v>
      </c>
      <c r="C52" s="4"/>
      <c r="D52" s="4"/>
      <c r="E52" s="4"/>
    </row>
    <row r="53" spans="1:5" ht="30.75" customHeight="1">
      <c r="A53" s="4" t="e">
        <v>#VALUE!</v>
      </c>
      <c r="B53" s="4" t="s">
        <v>2571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2572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2573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2574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2575</v>
      </c>
      <c r="C57" s="4"/>
      <c r="D57" s="4"/>
      <c r="E57" s="4"/>
    </row>
    <row r="58" spans="1:5" ht="30" customHeight="1">
      <c r="A58" s="4"/>
      <c r="B58" s="4" t="s">
        <v>2576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2577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2578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2579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2580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2581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2582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2583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2584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2585</v>
      </c>
    </row>
    <row r="3" spans="1:7">
      <c r="A3" t="s">
        <v>2586</v>
      </c>
      <c r="C3" t="s">
        <v>2587</v>
      </c>
      <c r="E3" t="s">
        <v>2588</v>
      </c>
      <c r="G3" t="s">
        <v>2589</v>
      </c>
    </row>
    <row r="4" spans="1:7" ht="195" customHeight="1">
      <c r="A4" s="2" t="s">
        <v>2590</v>
      </c>
      <c r="C4" s="2" t="s">
        <v>2591</v>
      </c>
      <c r="E4" s="2" t="s">
        <v>2592</v>
      </c>
      <c r="G4" s="2" t="s">
        <v>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2026-03-02T12:25:22Z</dcterms:modified>
  <cp:category/>
  <cp:contentStatus/>
</cp:coreProperties>
</file>