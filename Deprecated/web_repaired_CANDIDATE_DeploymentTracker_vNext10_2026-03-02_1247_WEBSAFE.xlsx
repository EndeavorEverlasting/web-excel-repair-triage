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D:\working\waccache\DM3PEPF0001F095\EXCELCNV\f1413b82-e524-4fd1-b131-e7edf0de6c2a\"/>
    </mc:Choice>
  </mc:AlternateContent>
  <xr:revisionPtr revIDLastSave="0" documentId="8_{BCA23829-E120-4B36-97C7-2382A12D9851}" xr6:coauthVersionLast="47" xr6:coauthVersionMax="47" xr10:uidLastSave="{00000000-0000-0000-0000-000000000000}"/>
  <bookViews>
    <workbookView xWindow="-60" yWindow="-60" windowWidth="15480" windowHeight="11640" firstSheet="11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Deployments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S35" i="15"/>
  <c r="R35" i="15"/>
  <c r="Q35" i="15"/>
  <c r="P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S34" i="15"/>
  <c r="R34" i="15"/>
  <c r="Q34" i="15"/>
  <c r="P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S33" i="15"/>
  <c r="R33" i="15"/>
  <c r="Q33" i="15"/>
  <c r="P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S32" i="15"/>
  <c r="R32" i="15"/>
  <c r="Q32" i="15"/>
  <c r="P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S31" i="15"/>
  <c r="R31" i="15"/>
  <c r="Q31" i="15"/>
  <c r="P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S30" i="15"/>
  <c r="R30" i="15"/>
  <c r="Q30" i="15"/>
  <c r="P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S29" i="15"/>
  <c r="R29" i="15"/>
  <c r="Q29" i="15"/>
  <c r="P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S28" i="15"/>
  <c r="R28" i="15"/>
  <c r="Q28" i="15"/>
  <c r="P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S27" i="15"/>
  <c r="R27" i="15"/>
  <c r="Q27" i="15"/>
  <c r="P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S26" i="15"/>
  <c r="R26" i="15"/>
  <c r="Q26" i="15"/>
  <c r="P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S25" i="15"/>
  <c r="R25" i="15"/>
  <c r="Q25" i="15"/>
  <c r="P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S24" i="15"/>
  <c r="R24" i="15"/>
  <c r="Q24" i="15"/>
  <c r="P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S23" i="15"/>
  <c r="R23" i="15"/>
  <c r="Q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S22" i="15"/>
  <c r="R22" i="15"/>
  <c r="Q22" i="15"/>
  <c r="P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S21" i="15"/>
  <c r="R21" i="15"/>
  <c r="Q21" i="15"/>
  <c r="P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S20" i="15"/>
  <c r="R20" i="15"/>
  <c r="Q20" i="15"/>
  <c r="P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S19" i="15"/>
  <c r="R19" i="15"/>
  <c r="Q19" i="15"/>
  <c r="P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S18" i="15"/>
  <c r="R18" i="15"/>
  <c r="Q18" i="15"/>
  <c r="P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S17" i="15"/>
  <c r="R17" i="15"/>
  <c r="Q17" i="15"/>
  <c r="P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S16" i="15"/>
  <c r="R16" i="15"/>
  <c r="Q16" i="15"/>
  <c r="P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S15" i="15"/>
  <c r="R15" i="15"/>
  <c r="Q15" i="15"/>
  <c r="P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S13" i="15"/>
  <c r="R13" i="15"/>
  <c r="Q13" i="15"/>
  <c r="P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S12" i="15"/>
  <c r="R12" i="15"/>
  <c r="Q12" i="15"/>
  <c r="P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S11" i="15"/>
  <c r="R11" i="15"/>
  <c r="Q11" i="15"/>
  <c r="P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S10" i="15"/>
  <c r="R10" i="15"/>
  <c r="Q10" i="15"/>
  <c r="P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S9" i="15"/>
  <c r="R9" i="15"/>
  <c r="Q9" i="15"/>
  <c r="P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S8" i="15"/>
  <c r="R8" i="15"/>
  <c r="Q8" i="15"/>
  <c r="P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S7" i="15"/>
  <c r="R7" i="15"/>
  <c r="Q7" i="15"/>
  <c r="P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S6" i="15"/>
  <c r="R6" i="15"/>
  <c r="Q6" i="15"/>
  <c r="P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S5" i="15"/>
  <c r="R5" i="15"/>
  <c r="Q5" i="15"/>
  <c r="P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S4" i="15"/>
  <c r="R4" i="15"/>
  <c r="Q4" i="15"/>
  <c r="P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S3" i="15"/>
  <c r="R3" i="15"/>
  <c r="Q3" i="15"/>
  <c r="P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S2" i="15"/>
  <c r="R2" i="15"/>
  <c r="Q2" i="15"/>
  <c r="P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O503" i="15" s="1"/>
  <c r="O502" i="15" s="1"/>
  <c r="O501" i="15" s="1"/>
  <c r="O500" i="15" s="1"/>
  <c r="O499" i="15" s="1"/>
  <c r="O498" i="15" s="1"/>
  <c r="O497" i="15" s="1"/>
  <c r="O496" i="15" s="1"/>
  <c r="O495" i="15" s="1"/>
  <c r="O494" i="15" s="1"/>
  <c r="O493" i="15" s="1"/>
  <c r="O492" i="15" s="1"/>
  <c r="O491" i="15" s="1"/>
  <c r="O490" i="15" s="1"/>
  <c r="O489" i="15" s="1"/>
  <c r="O488" i="15" s="1"/>
  <c r="O487" i="15" s="1"/>
  <c r="O486" i="15" s="1"/>
  <c r="O485" i="15" s="1"/>
  <c r="O484" i="15" s="1"/>
  <c r="O483" i="15" s="1"/>
  <c r="O482" i="15" s="1"/>
  <c r="O481" i="15" s="1"/>
  <c r="O480" i="15" s="1"/>
  <c r="O479" i="15" s="1"/>
  <c r="O478" i="15" s="1"/>
  <c r="O477" i="15" s="1"/>
  <c r="O476" i="15" s="1"/>
  <c r="O475" i="15" s="1"/>
  <c r="O474" i="15" s="1"/>
  <c r="O473" i="15" s="1"/>
  <c r="O472" i="15" s="1"/>
  <c r="O471" i="15" s="1"/>
  <c r="O470" i="15" s="1"/>
  <c r="O469" i="15" s="1"/>
  <c r="O468" i="15" s="1"/>
  <c r="O467" i="15" s="1"/>
  <c r="O466" i="15" s="1"/>
  <c r="O465" i="15" s="1"/>
  <c r="O464" i="15" s="1"/>
  <c r="O463" i="15" s="1"/>
  <c r="O462" i="15" s="1"/>
  <c r="O461" i="15" s="1"/>
  <c r="O460" i="15" s="1"/>
  <c r="O459" i="15" s="1"/>
  <c r="O458" i="15" s="1"/>
  <c r="O457" i="15" s="1"/>
  <c r="O456" i="15" s="1"/>
  <c r="O455" i="15" s="1"/>
  <c r="O454" i="15" s="1"/>
  <c r="O453" i="15" s="1"/>
  <c r="O452" i="15" s="1"/>
  <c r="O451" i="15" s="1"/>
  <c r="O450" i="15" s="1"/>
  <c r="O449" i="15" s="1"/>
  <c r="O448" i="15" s="1"/>
  <c r="O447" i="15" s="1"/>
  <c r="O446" i="15" s="1"/>
  <c r="O445" i="15" s="1"/>
  <c r="O444" i="15" s="1"/>
  <c r="O443" i="15" s="1"/>
  <c r="O442" i="15" s="1"/>
  <c r="O441" i="15" s="1"/>
  <c r="O440" i="15" s="1"/>
  <c r="O439" i="15" s="1"/>
  <c r="O438" i="15" s="1"/>
  <c r="O437" i="15" s="1"/>
  <c r="O436" i="15" s="1"/>
  <c r="O435" i="15" s="1"/>
  <c r="O434" i="15" s="1"/>
  <c r="O433" i="15" s="1"/>
  <c r="O432" i="15" s="1"/>
  <c r="O431" i="15" s="1"/>
  <c r="O430" i="15" s="1"/>
  <c r="O429" i="15" s="1"/>
  <c r="O428" i="15" s="1"/>
  <c r="O427" i="15" s="1"/>
  <c r="O426" i="15" s="1"/>
  <c r="O425" i="15" s="1"/>
  <c r="O424" i="15" s="1"/>
  <c r="O423" i="15" s="1"/>
  <c r="O422" i="15" s="1"/>
  <c r="O421" i="15" s="1"/>
  <c r="O420" i="15" s="1"/>
  <c r="O419" i="15" s="1"/>
  <c r="O418" i="15" s="1"/>
  <c r="O417" i="15" s="1"/>
  <c r="O416" i="15" s="1"/>
  <c r="O415" i="15" s="1"/>
  <c r="O414" i="15" s="1"/>
  <c r="O413" i="15" s="1"/>
  <c r="O412" i="15" s="1"/>
  <c r="O411" i="15" s="1"/>
  <c r="O410" i="15" s="1"/>
  <c r="O409" i="15" s="1"/>
  <c r="O408" i="15" s="1"/>
  <c r="O407" i="15" s="1"/>
  <c r="O406" i="15" s="1"/>
  <c r="O405" i="15" s="1"/>
  <c r="O404" i="15" s="1"/>
  <c r="O403" i="15" s="1"/>
  <c r="O402" i="15" s="1"/>
  <c r="O401" i="15" s="1"/>
  <c r="O400" i="15" s="1"/>
  <c r="O399" i="15" s="1"/>
  <c r="O398" i="15" s="1"/>
  <c r="O397" i="15" s="1"/>
  <c r="O396" i="15" s="1"/>
  <c r="O395" i="15" s="1"/>
  <c r="O394" i="15" s="1"/>
  <c r="O393" i="15" s="1"/>
  <c r="O392" i="15" s="1"/>
  <c r="O391" i="15" s="1"/>
  <c r="O390" i="15" s="1"/>
  <c r="O389" i="15" s="1"/>
  <c r="O388" i="15" s="1"/>
  <c r="O387" i="15" s="1"/>
  <c r="O386" i="15" s="1"/>
  <c r="O385" i="15" s="1"/>
  <c r="O384" i="15" s="1"/>
  <c r="O383" i="15" s="1"/>
  <c r="O382" i="15" s="1"/>
  <c r="O381" i="15" s="1"/>
  <c r="O380" i="15" s="1"/>
  <c r="O379" i="15" s="1"/>
  <c r="O378" i="15" s="1"/>
  <c r="O377" i="15" s="1"/>
  <c r="O376" i="15" s="1"/>
  <c r="O375" i="15" s="1"/>
  <c r="O374" i="15" s="1"/>
  <c r="O373" i="15" s="1"/>
  <c r="O372" i="15" s="1"/>
  <c r="O371" i="15" s="1"/>
  <c r="O370" i="15" s="1"/>
  <c r="O369" i="15" s="1"/>
  <c r="O368" i="15" s="1"/>
  <c r="O367" i="15" s="1"/>
  <c r="O366" i="15" s="1"/>
  <c r="O365" i="15" s="1"/>
  <c r="O364" i="15" s="1"/>
  <c r="O363" i="15" s="1"/>
  <c r="O362" i="15" s="1"/>
  <c r="O361" i="15" s="1"/>
  <c r="O360" i="15" s="1"/>
  <c r="O359" i="15" s="1"/>
  <c r="O358" i="15" s="1"/>
  <c r="O357" i="15" s="1"/>
  <c r="O356" i="15" s="1"/>
  <c r="O355" i="15" s="1"/>
  <c r="O354" i="15" s="1"/>
  <c r="O353" i="15" s="1"/>
  <c r="O352" i="15" s="1"/>
  <c r="O351" i="15" s="1"/>
  <c r="O350" i="15" s="1"/>
  <c r="O349" i="15" s="1"/>
  <c r="O348" i="15" s="1"/>
  <c r="O347" i="15" s="1"/>
  <c r="O346" i="15" s="1"/>
  <c r="O345" i="15" s="1"/>
  <c r="O344" i="15" s="1"/>
  <c r="O343" i="15" s="1"/>
  <c r="O342" i="15" s="1"/>
  <c r="O341" i="15" s="1"/>
  <c r="O340" i="15" s="1"/>
  <c r="O339" i="15" s="1"/>
  <c r="O338" i="15" s="1"/>
  <c r="O337" i="15" s="1"/>
  <c r="O336" i="15" s="1"/>
  <c r="O335" i="15" s="1"/>
  <c r="O334" i="15" s="1"/>
  <c r="O333" i="15" s="1"/>
  <c r="O332" i="15" s="1"/>
  <c r="O331" i="15" s="1"/>
  <c r="O330" i="15" s="1"/>
  <c r="O329" i="15" s="1"/>
  <c r="O328" i="15" s="1"/>
  <c r="O327" i="15" s="1"/>
  <c r="O326" i="15" s="1"/>
  <c r="O325" i="15" s="1"/>
  <c r="O324" i="15" s="1"/>
  <c r="O323" i="15" s="1"/>
  <c r="O322" i="15" s="1"/>
  <c r="O321" i="15" s="1"/>
  <c r="O320" i="15" s="1"/>
  <c r="O319" i="15" s="1"/>
  <c r="O318" i="15" s="1"/>
  <c r="O317" i="15" s="1"/>
  <c r="O316" i="15" s="1"/>
  <c r="O315" i="15" s="1"/>
  <c r="O314" i="15" s="1"/>
  <c r="O313" i="15" s="1"/>
  <c r="O312" i="15" s="1"/>
  <c r="O311" i="15" s="1"/>
  <c r="O310" i="15" s="1"/>
  <c r="O309" i="15" s="1"/>
  <c r="O308" i="15" s="1"/>
  <c r="O307" i="15" s="1"/>
  <c r="O306" i="15" s="1"/>
  <c r="O305" i="15" s="1"/>
  <c r="O304" i="15" s="1"/>
  <c r="O303" i="15" s="1"/>
  <c r="O302" i="15" s="1"/>
  <c r="O301" i="15" s="1"/>
  <c r="O300" i="15" s="1"/>
  <c r="O299" i="15" s="1"/>
  <c r="O298" i="15" s="1"/>
  <c r="O297" i="15" s="1"/>
  <c r="O296" i="15" s="1"/>
  <c r="O295" i="15" s="1"/>
  <c r="O294" i="15" s="1"/>
  <c r="O293" i="15" s="1"/>
  <c r="O292" i="15" s="1"/>
  <c r="O291" i="15" s="1"/>
  <c r="O290" i="15" s="1"/>
  <c r="O289" i="15" s="1"/>
  <c r="O288" i="15" s="1"/>
  <c r="O287" i="15" s="1"/>
  <c r="O286" i="15" s="1"/>
  <c r="O285" i="15" s="1"/>
  <c r="O284" i="15" s="1"/>
  <c r="O283" i="15" s="1"/>
  <c r="O282" i="15" s="1"/>
  <c r="O281" i="15" s="1"/>
  <c r="O280" i="15" s="1"/>
  <c r="O279" i="15" s="1"/>
  <c r="O278" i="15" s="1"/>
  <c r="O277" i="15" s="1"/>
  <c r="O276" i="15" s="1"/>
  <c r="O275" i="15" s="1"/>
  <c r="O274" i="15" s="1"/>
  <c r="O273" i="15" s="1"/>
  <c r="O272" i="15" s="1"/>
  <c r="O271" i="15" s="1"/>
  <c r="O270" i="15" s="1"/>
  <c r="O269" i="15" s="1"/>
  <c r="O268" i="15" s="1"/>
  <c r="O267" i="15" s="1"/>
  <c r="O266" i="15" s="1"/>
  <c r="O265" i="15" s="1"/>
  <c r="O264" i="15" s="1"/>
  <c r="O263" i="15" s="1"/>
  <c r="O262" i="15" s="1"/>
  <c r="O261" i="15" s="1"/>
  <c r="O260" i="15" s="1"/>
  <c r="O259" i="15" s="1"/>
  <c r="O258" i="15" s="1"/>
  <c r="O257" i="15" s="1"/>
  <c r="O256" i="15" s="1"/>
  <c r="O255" i="15" s="1"/>
  <c r="O254" i="15" s="1"/>
  <c r="O253" i="15" s="1"/>
  <c r="O252" i="15" s="1"/>
  <c r="O251" i="15" s="1"/>
  <c r="O250" i="15" s="1"/>
  <c r="O249" i="15" s="1"/>
  <c r="O248" i="15" s="1"/>
  <c r="O247" i="15" s="1"/>
  <c r="O246" i="15" s="1"/>
  <c r="O245" i="15" s="1"/>
  <c r="O244" i="15" s="1"/>
  <c r="O243" i="15" s="1"/>
  <c r="O242" i="15" s="1"/>
  <c r="O241" i="15" s="1"/>
  <c r="O240" i="15" s="1"/>
  <c r="O239" i="15" s="1"/>
  <c r="O238" i="15" s="1"/>
  <c r="O237" i="15" s="1"/>
  <c r="O236" i="15" s="1"/>
  <c r="O235" i="15" s="1"/>
  <c r="O234" i="15" s="1"/>
  <c r="O233" i="15" s="1"/>
  <c r="O232" i="15" s="1"/>
  <c r="O231" i="15" s="1"/>
  <c r="O230" i="15" s="1"/>
  <c r="O229" i="15" s="1"/>
  <c r="O228" i="15" s="1"/>
  <c r="O227" i="15" s="1"/>
  <c r="O226" i="15" s="1"/>
  <c r="O225" i="15" s="1"/>
  <c r="O224" i="15" s="1"/>
  <c r="O223" i="15" s="1"/>
  <c r="O222" i="15" s="1"/>
  <c r="O221" i="15" s="1"/>
  <c r="O220" i="15" s="1"/>
  <c r="O219" i="15" s="1"/>
  <c r="O218" i="15" s="1"/>
  <c r="O217" i="15" s="1"/>
  <c r="O216" i="15" s="1"/>
  <c r="O215" i="15" s="1"/>
  <c r="O214" i="15" s="1"/>
  <c r="O213" i="15" s="1"/>
  <c r="O212" i="15" s="1"/>
  <c r="O211" i="15" s="1"/>
  <c r="O210" i="15" s="1"/>
  <c r="O209" i="15" s="1"/>
  <c r="O208" i="15" s="1"/>
  <c r="O207" i="15" s="1"/>
  <c r="O206" i="15" s="1"/>
  <c r="O205" i="15" s="1"/>
  <c r="O204" i="15" s="1"/>
  <c r="O203" i="15" s="1"/>
  <c r="O202" i="15" s="1"/>
  <c r="O201" i="15" s="1"/>
  <c r="O200" i="15" s="1"/>
  <c r="O199" i="15" s="1"/>
  <c r="O198" i="15" s="1"/>
  <c r="O197" i="15" s="1"/>
  <c r="O196" i="15" s="1"/>
  <c r="O195" i="15" s="1"/>
  <c r="O194" i="15" s="1"/>
  <c r="O193" i="15" s="1"/>
  <c r="O192" i="15" s="1"/>
  <c r="O191" i="15" s="1"/>
  <c r="O190" i="15" s="1"/>
  <c r="O189" i="15" s="1"/>
  <c r="O188" i="15" s="1"/>
  <c r="O187" i="15" s="1"/>
  <c r="O186" i="15" s="1"/>
  <c r="O185" i="15" s="1"/>
  <c r="O184" i="15" s="1"/>
  <c r="O183" i="15" s="1"/>
  <c r="O182" i="15" s="1"/>
  <c r="O181" i="15" s="1"/>
  <c r="O180" i="15" s="1"/>
  <c r="O179" i="15" s="1"/>
  <c r="O178" i="15" s="1"/>
  <c r="O177" i="15" s="1"/>
  <c r="O176" i="15" s="1"/>
  <c r="O175" i="15" s="1"/>
  <c r="O174" i="15" s="1"/>
  <c r="O173" i="15" s="1"/>
  <c r="O172" i="15" s="1"/>
  <c r="O171" i="15" s="1"/>
  <c r="O170" i="15" s="1"/>
  <c r="O169" i="15" s="1"/>
  <c r="O168" i="15" s="1"/>
  <c r="O167" i="15" s="1"/>
  <c r="O166" i="15" s="1"/>
  <c r="O152" i="15" s="1"/>
  <c r="O151" i="15" s="1"/>
  <c r="O150" i="15" s="1"/>
  <c r="O149" i="15" s="1"/>
  <c r="O141" i="15" s="1"/>
  <c r="O140" i="15" s="1"/>
  <c r="O139" i="15" s="1"/>
  <c r="O138" i="15" s="1"/>
  <c r="O137" i="15" s="1"/>
  <c r="O136" i="15" s="1"/>
  <c r="O135" i="15" s="1"/>
  <c r="O134" i="15" s="1"/>
  <c r="O133" i="15" s="1"/>
  <c r="O132" i="15" s="1"/>
  <c r="O131" i="15" s="1"/>
  <c r="O122" i="15" s="1"/>
  <c r="O121" i="15" s="1"/>
  <c r="O119" i="15" s="1"/>
  <c r="O116" i="15" s="1"/>
  <c r="O115" i="15" s="1"/>
  <c r="O114" i="15" s="1"/>
  <c r="O113" i="15" s="1"/>
  <c r="O106" i="15" s="1"/>
  <c r="O100" i="15" s="1"/>
  <c r="O99" i="15" s="1"/>
  <c r="O98" i="15" s="1"/>
  <c r="O97" i="15" s="1"/>
  <c r="O96" i="15" s="1"/>
  <c r="O95" i="15" s="1"/>
  <c r="O94" i="15" s="1"/>
  <c r="O93" i="15" s="1"/>
  <c r="O92" i="15" s="1"/>
  <c r="O91" i="15" s="1"/>
  <c r="O90" i="15" s="1"/>
  <c r="O89" i="15" s="1"/>
  <c r="O88" i="15" s="1"/>
  <c r="O87" i="15" s="1"/>
  <c r="O86" i="15" s="1"/>
  <c r="O85" i="15" s="1"/>
  <c r="O84" i="15" s="1"/>
  <c r="O83" i="15" s="1"/>
  <c r="O82" i="15" s="1"/>
  <c r="O81" i="15" s="1"/>
  <c r="O80" i="15" s="1"/>
  <c r="O79" i="15" s="1"/>
  <c r="O78" i="15" s="1"/>
  <c r="O77" i="15" s="1"/>
  <c r="O76" i="15" s="1"/>
  <c r="O75" i="15" s="1"/>
  <c r="O74" i="15" s="1"/>
  <c r="O73" i="15" s="1"/>
  <c r="O72" i="15" s="1"/>
  <c r="O71" i="15" s="1"/>
  <c r="O70" i="15" s="1"/>
  <c r="O69" i="15" s="1"/>
  <c r="O68" i="15" s="1"/>
  <c r="O67" i="15" s="1"/>
  <c r="O66" i="15" s="1"/>
  <c r="O65" i="15" s="1"/>
  <c r="O64" i="15" s="1"/>
  <c r="O63" i="15" s="1"/>
  <c r="O62" i="15" s="1"/>
  <c r="O61" i="15" s="1"/>
  <c r="O60" i="15" s="1"/>
  <c r="O59" i="15" s="1"/>
  <c r="O58" i="15" s="1"/>
  <c r="O57" i="15" s="1"/>
  <c r="O56" i="15" s="1"/>
  <c r="O55" i="15" s="1"/>
  <c r="O54" i="15" s="1"/>
  <c r="O53" i="15" s="1"/>
  <c r="O52" i="15" s="1"/>
  <c r="O51" i="15" s="1"/>
  <c r="O50" i="15" s="1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32" i="1"/>
  <c r="J532" i="1"/>
  <c r="I532" i="1"/>
  <c r="H532" i="1"/>
  <c r="G532" i="1"/>
  <c r="F532" i="1"/>
  <c r="E532" i="1"/>
  <c r="D532" i="1"/>
  <c r="C532" i="1"/>
  <c r="B532" i="1"/>
  <c r="A532" i="1"/>
  <c r="K531" i="1"/>
  <c r="J531" i="1"/>
  <c r="I531" i="1"/>
  <c r="H531" i="1"/>
  <c r="G531" i="1"/>
  <c r="F531" i="1"/>
  <c r="E531" i="1"/>
  <c r="D531" i="1"/>
  <c r="C531" i="1"/>
  <c r="B531" i="1"/>
  <c r="A531" i="1"/>
  <c r="K530" i="1"/>
  <c r="J530" i="1"/>
  <c r="I530" i="1"/>
  <c r="H530" i="1"/>
  <c r="G530" i="1"/>
  <c r="F530" i="1"/>
  <c r="E530" i="1"/>
  <c r="D530" i="1"/>
  <c r="C530" i="1"/>
  <c r="B530" i="1"/>
  <c r="A530" i="1"/>
  <c r="K529" i="1"/>
  <c r="J529" i="1"/>
  <c r="I529" i="1"/>
  <c r="H529" i="1"/>
  <c r="G529" i="1"/>
  <c r="F529" i="1"/>
  <c r="E529" i="1"/>
  <c r="D529" i="1"/>
  <c r="C529" i="1"/>
  <c r="B529" i="1"/>
  <c r="A529" i="1"/>
  <c r="K528" i="1"/>
  <c r="J528" i="1"/>
  <c r="I528" i="1"/>
  <c r="H528" i="1"/>
  <c r="G528" i="1"/>
  <c r="F528" i="1"/>
  <c r="E528" i="1"/>
  <c r="D528" i="1"/>
  <c r="C528" i="1"/>
  <c r="B528" i="1"/>
  <c r="A528" i="1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M528" i="1"/>
  <c r="L528" i="1"/>
  <c r="M529" i="1"/>
  <c r="L529" i="1"/>
  <c r="M530" i="1"/>
  <c r="L530" i="1"/>
  <c r="M531" i="1"/>
  <c r="L531" i="1"/>
  <c r="M532" i="1"/>
  <c r="L532" i="1"/>
  <c r="O2" i="15"/>
  <c r="T2" i="15" s="1"/>
  <c r="O3" i="15"/>
  <c r="T3" i="15" s="1"/>
  <c r="O4" i="15"/>
  <c r="T4" i="15" s="1"/>
  <c r="O5" i="15"/>
  <c r="T5" i="15" s="1"/>
  <c r="O6" i="15"/>
  <c r="T6" i="15" s="1"/>
  <c r="O7" i="15"/>
  <c r="T7" i="15" s="1"/>
  <c r="O8" i="15"/>
  <c r="T8" i="15" s="1"/>
  <c r="O9" i="15"/>
  <c r="T9" i="15" s="1"/>
  <c r="O10" i="15"/>
  <c r="T10" i="15" s="1"/>
  <c r="O11" i="15"/>
  <c r="T11" i="15" s="1"/>
  <c r="O12" i="15"/>
  <c r="T12" i="15" s="1"/>
  <c r="O13" i="15"/>
  <c r="T13" i="15" s="1"/>
  <c r="O14" i="15"/>
  <c r="T14" i="15" s="1"/>
  <c r="O15" i="15"/>
  <c r="T15" i="15" s="1"/>
  <c r="O16" i="15"/>
  <c r="T16" i="15" s="1"/>
  <c r="O17" i="15"/>
  <c r="T17" i="15" s="1"/>
  <c r="O18" i="15"/>
  <c r="T18" i="15" s="1"/>
  <c r="O19" i="15"/>
  <c r="T19" i="15" s="1"/>
  <c r="O20" i="15"/>
  <c r="T20" i="15" s="1"/>
  <c r="O21" i="15"/>
  <c r="T21" i="15" s="1"/>
  <c r="O22" i="15"/>
  <c r="T22" i="15" s="1"/>
  <c r="O23" i="15"/>
  <c r="T23" i="15" s="1"/>
  <c r="O24" i="15"/>
  <c r="T24" i="15" s="1"/>
  <c r="O25" i="15"/>
  <c r="T25" i="15" s="1"/>
  <c r="O26" i="15"/>
  <c r="T26" i="15" s="1"/>
  <c r="O27" i="15"/>
  <c r="T27" i="15" s="1"/>
  <c r="O28" i="15"/>
  <c r="T28" i="15" s="1"/>
  <c r="O29" i="15"/>
  <c r="T29" i="15" s="1"/>
  <c r="O30" i="15"/>
  <c r="T30" i="15" s="1"/>
  <c r="O31" i="15"/>
  <c r="T31" i="15" s="1"/>
  <c r="O32" i="15"/>
  <c r="T32" i="15" s="1"/>
  <c r="O33" i="15"/>
  <c r="T33" i="15" s="1"/>
  <c r="O34" i="15"/>
  <c r="T34" i="15" s="1"/>
  <c r="O35" i="15"/>
  <c r="T35" i="15" s="1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101" i="15"/>
  <c r="O102" i="15"/>
  <c r="O103" i="15"/>
  <c r="O104" i="15"/>
  <c r="O105" i="15"/>
  <c r="O107" i="15"/>
  <c r="O108" i="15"/>
  <c r="O109" i="15"/>
  <c r="O110" i="15"/>
  <c r="O111" i="15"/>
  <c r="O112" i="15"/>
  <c r="O117" i="15"/>
  <c r="O118" i="15"/>
  <c r="O120" i="15"/>
  <c r="O123" i="15"/>
  <c r="O124" i="15"/>
  <c r="O125" i="15"/>
  <c r="O126" i="15"/>
  <c r="O128" i="15"/>
  <c r="O129" i="15"/>
  <c r="O130" i="15"/>
  <c r="O142" i="15"/>
  <c r="O143" i="15"/>
  <c r="O144" i="15"/>
  <c r="O145" i="15"/>
  <c r="O146" i="15"/>
  <c r="O147" i="15"/>
  <c r="O148" i="15"/>
  <c r="B21" i="23" l="1"/>
  <c r="B20" i="23" a="1"/>
  <c r="B20" i="23" s="1"/>
  <c r="B19" i="23" a="1"/>
  <c r="B19" i="23" s="1"/>
</calcChain>
</file>

<file path=xl/sharedStrings.xml><?xml version="1.0" encoding="utf-8"?>
<sst xmlns="http://schemas.openxmlformats.org/spreadsheetml/2006/main" count="5369" uniqueCount="1563">
  <si>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</si>
  <si>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</si>
  <si>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</si>
  <si>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</si>
  <si>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</si>
  <si>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</si>
  <si>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</si>
  <si>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</si>
  <si>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</si>
  <si>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</si>
  <si>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</si>
  <si>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</si>
  <si>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</si>
  <si>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</si>
  <si>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</si>
  <si>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</si>
  <si>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</si>
  <si>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</si>
  <si>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</si>
  <si>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01_Warehouse_Ledger</t>
  </si>
  <si>
    <t>A,B,C,E,F,G,I,J,K,L</t>
  </si>
  <si>
    <t>One row per pallet. Do NOT type in CurrentLocationCode / LastMove fields (AUTO).</t>
  </si>
  <si>
    <t>Move a pallet</t>
  </si>
  <si>
    <t>03_Warehouse_Movements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</si>
  <si>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</si>
  <si>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</si>
  <si>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</si>
  <si>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02_Warehouse_Locations</t>
  </si>
  <si>
    <t>A–G,I</t>
  </si>
  <si>
    <t>One row per warehouse slot. QR_Payload auto = LocationCode.</t>
  </si>
  <si>
    <t>Print QR labels</t>
  </si>
  <si>
    <t>04_Label_Export</t>
  </si>
  <si>
    <t>Nothing (auto list)</t>
  </si>
  <si>
    <t>Print LOCATION labels (top section) and PALLET labels (starts at row 505). QR payload stays minimal (LocationCode / PalletID).</t>
  </si>
  <si>
    <t>Find where a pallet is</t>
  </si>
  <si>
    <t>05_Scan_Lookup</t>
  </si>
  <si>
    <t>Scan into B3</t>
  </si>
  <si>
    <t>Scan Pallet QR -&gt; see CurrentLocationCode + map fields instantly.</t>
  </si>
  <si>
    <t>Tie a device to a pallet</t>
  </si>
  <si>
    <t>BL (PalletID (Manual))</t>
  </si>
  <si>
    <t>Deployments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</si>
  <si>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</si>
  <si>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</si>
  <si>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</si>
  <si>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</si>
  <si>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</si>
  <si>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</si>
  <si>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</si>
  <si>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</si>
  <si>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</si>
  <si>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</si>
  <si>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</si>
  <si>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</si>
  <si>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</si>
  <si>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</si>
  <si>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</si>
  <si>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</si>
  <si>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</si>
  <si>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</si>
  <si>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</si>
  <si>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</si>
  <si>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</si>
  <si>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</si>
  <si>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</si>
  <si>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</si>
  <si>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</si>
  <si>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</si>
  <si>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</si>
  <si>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</si>
  <si>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</si>
  <si>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</si>
  <si>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</si>
  <si>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Deployments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</si>
  <si>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</si>
  <si>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</si>
  <si>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</si>
  <si>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Deployments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</si>
  <si>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</si>
  <si>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</si>
  <si>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</si>
  <si>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</si>
  <si>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</si>
  <si>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</si>
  <si>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</si>
  <si>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</si>
  <si>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</si>
  <si>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</si>
  <si>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TOOLING ERROR LOG (i086, 2026-02-27)</t>
  </si>
  <si>
    <t>Issue observed: i085 opens in Excel for Web as a 'repaired_' copy and the Device_Configuration tab renders blank.</t>
  </si>
  <si>
    <t>Root cause: i085 carried per-cell style indexes that do not exist in the WEBSAFE template, triggering a repair pass that dropped the cell values.</t>
  </si>
  <si>
    <t>Fix: rehydrated Deployments (A1:CC532) from the Active tracker, writing values and formulas without per-cell style indexes and using sharedStrings.</t>
  </si>
  <si>
    <t>Fix: re-created tblDeviceConfig as a real Excel Table (ref A1:CC532) and attached it to sheet 12 via tableParts.</t>
  </si>
  <si>
    <t>Fix: repaired 00_Error_Log_Device_Config formulas to remove xlfn.SINGLE and eliminate #REF by pointing at tblDeviceConfig columns.</t>
  </si>
  <si>
    <t>Change: removed xl/calcChain.xml to avoid calcChain drift after injecting 40k+ cells, which can trigger Web repair prompts.</t>
  </si>
  <si>
    <t>QC: validated no inline strings, no xlfn, and no #REF in Error Log formulas; workbook loads cleanly in openpyxl.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</si>
  <si>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</si>
  <si>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</si>
  <si>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</si>
  <si>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</si>
  <si>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</si>
  <si>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</si>
  <si>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</si>
  <si>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</si>
  <si>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</si>
  <si>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</si>
  <si>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</si>
  <si>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/xl/worksheets/sheet1-3.xml</t>
  </si>
  <si>
    <t>Excel repair replaced worksheets 1-3 (XML error)</t>
  </si>
  <si>
    <t>Worksheet XML serialized with non-canonical namespace prefixes (xmlns_ns0 / &lt;ns0_...&gt;); Desktop repair replaces the parts and Web may refuse to open.</t>
  </si>
  <si>
    <t>Rewrite worksheets 1-3 with canonical namespaces (default worksheet ns + mc/xr/r). Preserve all other parts byte-for-byte.</t>
  </si>
  <si>
    <t>Desktop opens without repair; Web opens in Edit without 'WORKBOOK REPAIRED' banner.</t>
  </si>
  <si>
    <t>error066400_01.xml: replaced sheet1-3</t>
  </si>
  <si>
    <t>E-012</t>
  </si>
  <si>
    <t>tables</t>
  </si>
  <si>
    <t>/xl/tables/table9.xml + sheet12 header</t>
  </si>
  <si>
    <t>tblDeviceConfig table header mismatch triggers repair</t>
  </si>
  <si>
    <t>tableColumn names encode line breaks as 
 (e.g., Medical Device Class/Model) but header cells used literal newlines; Excel repairs the table on open.</t>
  </si>
  <si>
    <t>Make header cells match tableColumn names exactly (use 
 strings) OR update table9 column names consistently. Do not delete/reorder sharedStrings.</t>
  </si>
  <si>
    <t>Web opens without repair banner; Desktop produces no new error*.xml. Table ref remains A1:CC532 (81 cols).</t>
  </si>
  <si>
    <t>diff: table9.xml names vs sheet12 row1</t>
  </si>
  <si>
    <t>E-013</t>
  </si>
  <si>
    <t>data</t>
  </si>
  <si>
    <t>/xl/sharedStrings.xml + sheet12 A2:CC532</t>
  </si>
  <si>
    <t>Deployed/Installed and other fields show wrong text (sharedStrings drift)</t>
  </si>
  <si>
    <t>SharedStrings were edited by deletion/reorder in a prior candidate, shifting indices. Cells still point to old indices so values display as unrelated strings.</t>
  </si>
  <si>
    <t>Integration rule: never delete/reorder sharedStrings. Overwrite non-formula columns in A2:CC532 with Active values; append new strings only; keep formula columns intact.</t>
  </si>
  <si>
    <t>Spot-check B2/C2 and random rows: values match Active; formulas still compute; Web renders correctly.</t>
  </si>
  <si>
    <t>Web screenshot showing wrong values; candidate i092 B2!=Yes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</si>
  <si>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</si>
  <si>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</si>
  <si>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</si>
  <si>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</si>
  <si>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</si>
  <si>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</si>
  <si>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</si>
  <si>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</si>
  <si>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</si>
  <si>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</si>
  <si>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</si>
  <si>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</si>
  <si>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</si>
  <si>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</si>
  <si>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</si>
  <si>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</si>
  <si>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</si>
  <si>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</si>
  <si>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</si>
  <si>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</si>
  <si>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</si>
  <si>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</si>
  <si>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</si>
  <si>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</si>
  <si>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</si>
  <si>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</si>
  <si>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</si>
  <si>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</si>
  <si>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</si>
  <si>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</si>
  <si>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</si>
  <si>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</si>
  <si>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</si>
  <si>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</si>
  <si>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</si>
  <si>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</si>
  <si>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</si>
  <si>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</si>
  <si>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</si>
  <si>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</si>
  <si>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</si>
  <si>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</si>
  <si>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</si>
  <si>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</si>
  <si>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</si>
  <si>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</si>
  <si>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</si>
  <si>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</si>
  <si>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</si>
  <si>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</si>
  <si>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</si>
  <si>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</si>
  <si>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</si>
  <si>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</si>
  <si>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</si>
  <si>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</si>
  <si>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</si>
  <si>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</si>
  <si>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</si>
  <si>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</si>
  <si>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</si>
  <si>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</si>
  <si>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</si>
  <si>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</si>
  <si>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</si>
  <si>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</si>
  <si>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</si>
  <si>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</si>
  <si>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</si>
  <si>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</si>
  <si>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</si>
  <si>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</si>
  <si>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</si>
  <si>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</si>
  <si>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</si>
  <si>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</si>
  <si>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</si>
  <si>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</si>
  <si>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</si>
  <si>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</si>
  <si>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</si>
  <si>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</si>
  <si>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</si>
  <si>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</si>
  <si>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</si>
  <si>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</si>
  <si>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</si>
  <si>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</si>
  <si>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</si>
  <si>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</si>
  <si>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</si>
  <si>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</si>
  <si>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</si>
  <si>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</si>
  <si>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</si>
  <si>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</si>
  <si>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</si>
  <si>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</si>
  <si>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</si>
  <si>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</si>
  <si>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</si>
  <si>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</si>
  <si>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</si>
  <si>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</si>
  <si>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</si>
  <si>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</si>
  <si>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</si>
  <si>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</si>
  <si>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</si>
  <si>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</si>
  <si>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</si>
  <si>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</si>
  <si>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</si>
  <si>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</si>
  <si>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</si>
  <si>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</si>
  <si>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</si>
  <si>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</si>
  <si>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</si>
  <si>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</si>
  <si>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</si>
  <si>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</si>
  <si>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</si>
  <si>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</si>
  <si>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</si>
  <si>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</si>
  <si>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</si>
  <si>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</si>
  <si>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</si>
  <si>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</si>
  <si>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</si>
  <si>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</si>
  <si>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</si>
  <si>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</si>
  <si>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</si>
  <si>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</si>
  <si>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</si>
  <si>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</si>
  <si>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</si>
  <si>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</si>
  <si>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</si>
  <si>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</si>
  <si>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</si>
  <si>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</si>
  <si>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</si>
  <si>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</si>
  <si>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</si>
  <si>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</si>
  <si>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</si>
  <si>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</si>
  <si>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</si>
  <si>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</si>
  <si>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</si>
  <si>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</si>
  <si>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</si>
  <si>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</si>
  <si>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</si>
  <si>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</si>
  <si>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</si>
  <si>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</si>
  <si>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</si>
  <si>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</si>
  <si>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</si>
  <si>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</si>
  <si>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</si>
  <si>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</si>
  <si>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</si>
  <si>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</si>
  <si>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</si>
  <si>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</si>
  <si>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</si>
  <si>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</si>
  <si>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</si>
  <si>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</si>
  <si>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</si>
  <si>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</si>
  <si>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</si>
  <si>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</si>
  <si>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</si>
  <si>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</si>
  <si>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</si>
  <si>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</si>
  <si>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</si>
  <si>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</si>
  <si>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</si>
  <si>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</si>
  <si>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</si>
  <si>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</si>
  <si>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</si>
  <si>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</si>
  <si>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</si>
  <si>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</si>
  <si>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</si>
  <si>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</si>
  <si>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</si>
  <si>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</si>
  <si>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</si>
  <si>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</si>
  <si>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</si>
  <si>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</si>
  <si>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</si>
  <si>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</si>
  <si>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</si>
  <si>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</si>
  <si>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</si>
  <si>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</si>
  <si>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</si>
  <si>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</si>
  <si>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</si>
  <si>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</si>
  <si>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</si>
  <si>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</si>
  <si>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</si>
  <si>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</si>
  <si>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</si>
  <si>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</si>
  <si>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</si>
  <si>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</si>
  <si>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</si>
  <si>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</si>
  <si>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</si>
  <si>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</si>
  <si>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</si>
  <si>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</si>
  <si>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</si>
  <si>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</si>
  <si>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</si>
  <si>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</si>
  <si>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</si>
  <si>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</si>
  <si>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</si>
  <si>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</si>
  <si>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</si>
  <si>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</si>
  <si>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</si>
  <si>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</si>
  <si>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</si>
  <si>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</si>
  <si>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</si>
  <si>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</si>
  <si>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</si>
  <si>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</si>
  <si>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</si>
  <si>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</si>
  <si>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</si>
  <si>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</si>
  <si>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</si>
  <si>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</si>
  <si>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</si>
  <si>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</si>
  <si>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</si>
  <si>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</si>
  <si>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</si>
  <si>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</si>
  <si>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</si>
  <si>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</si>
  <si>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</si>
  <si>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</si>
  <si>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</si>
  <si>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</si>
  <si>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</si>
  <si>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</si>
  <si>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</si>
  <si>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</si>
  <si>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</si>
  <si>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</si>
  <si>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</si>
  <si>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</si>
  <si>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</si>
  <si>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</si>
  <si>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</si>
  <si>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</si>
  <si>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</si>
  <si>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</si>
  <si>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</si>
  <si>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</si>
  <si>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</si>
  <si>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</si>
  <si>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</si>
  <si>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</si>
  <si>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</si>
  <si>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</si>
  <si>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</si>
  <si>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</si>
  <si>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</si>
  <si>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</si>
  <si>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</si>
  <si>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</si>
  <si>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</si>
  <si>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</si>
  <si>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</si>
  <si>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</si>
  <si>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</si>
  <si>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</si>
  <si>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</si>
  <si>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</si>
  <si>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</si>
  <si>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</si>
  <si>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</si>
  <si>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</si>
  <si>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</si>
  <si>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</si>
  <si>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</si>
  <si>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</si>
  <si>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</si>
  <si>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</si>
  <si>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</si>
  <si>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</si>
  <si>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</si>
  <si>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</si>
  <si>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</si>
  <si>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</si>
  <si>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</si>
  <si>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</si>
  <si>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</si>
  <si>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</si>
  <si>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</si>
  <si>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</si>
  <si>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</si>
  <si>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</si>
  <si>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</si>
  <si>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</si>
  <si>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</si>
  <si>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</si>
  <si>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</si>
  <si>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</si>
  <si>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</si>
  <si>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</si>
  <si>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</si>
  <si>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</si>
  <si>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</si>
  <si>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</si>
  <si>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</si>
  <si>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</si>
  <si>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</si>
  <si>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</si>
  <si>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</si>
  <si>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</si>
  <si>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</si>
  <si>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</si>
  <si>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</si>
  <si>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</si>
  <si>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</si>
  <si>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</si>
  <si>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</si>
  <si>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</si>
  <si>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</si>
  <si>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</si>
  <si>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</si>
  <si>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</si>
  <si>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</si>
  <si>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</si>
  <si>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</si>
  <si>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</si>
  <si>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</si>
  <si>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</si>
  <si>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</si>
  <si>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</si>
  <si>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</si>
  <si>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</si>
  <si>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</si>
  <si>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</si>
  <si>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</si>
  <si>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</si>
  <si>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</si>
  <si>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</si>
  <si>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</si>
  <si>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</si>
  <si>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</si>
  <si>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</si>
  <si>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</si>
  <si>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</si>
  <si>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</si>
  <si>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</si>
  <si>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</si>
  <si>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</si>
  <si>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</si>
  <si>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</si>
  <si>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</si>
  <si>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</si>
  <si>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</si>
  <si>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</si>
  <si>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</si>
  <si>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</si>
  <si>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</si>
  <si>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</si>
  <si>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</si>
  <si>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</si>
  <si>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</si>
  <si>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</si>
  <si>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</si>
  <si>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</si>
  <si>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</si>
  <si>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</si>
  <si>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</si>
  <si>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</si>
  <si>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</si>
  <si>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</si>
  <si>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</si>
  <si>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</si>
  <si>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</si>
  <si>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</si>
  <si>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</si>
  <si>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</si>
  <si>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</si>
  <si>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</si>
  <si>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</si>
  <si>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</si>
  <si>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</si>
  <si>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</si>
  <si>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</si>
  <si>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</si>
  <si>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</si>
  <si>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</si>
  <si>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</si>
  <si>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</si>
  <si>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</si>
  <si>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</si>
  <si>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</si>
  <si>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</si>
  <si>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</si>
  <si>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</si>
  <si>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</si>
  <si>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</si>
  <si>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</si>
  <si>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</si>
  <si>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</si>
  <si>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</si>
  <si>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</si>
  <si>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</si>
  <si>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</si>
  <si>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</si>
  <si>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</si>
  <si>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</si>
  <si>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</si>
  <si>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</si>
  <si>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</si>
  <si>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</si>
  <si>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</si>
  <si>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</si>
  <si>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</si>
  <si>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</si>
  <si>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</si>
  <si>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</si>
  <si>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</si>
  <si>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</si>
  <si>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</si>
  <si>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</si>
  <si>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</si>
  <si>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</si>
  <si>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</si>
  <si>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</si>
  <si>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</si>
  <si>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</si>
  <si>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</si>
  <si>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</si>
  <si>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</si>
  <si>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</si>
  <si>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</si>
  <si>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</si>
  <si>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</si>
  <si>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</si>
  <si>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</si>
  <si>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</si>
  <si>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</si>
  <si>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</si>
  <si>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</si>
  <si>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</si>
  <si>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</si>
  <si>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</si>
  <si>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</si>
  <si>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</si>
  <si>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</si>
  <si>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</si>
  <si>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</si>
  <si>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</si>
  <si>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</si>
  <si>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</si>
  <si>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</si>
  <si>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</si>
  <si>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</si>
  <si>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</si>
  <si>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</si>
  <si>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</si>
  <si>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</si>
  <si>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</si>
  <si>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</si>
  <si>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</si>
  <si>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</si>
  <si>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</si>
  <si>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</si>
  <si>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</si>
  <si>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</si>
  <si>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</si>
  <si>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</si>
  <si>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</si>
  <si>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</si>
  <si>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</si>
  <si>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</si>
  <si>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</si>
  <si>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</si>
  <si>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</si>
  <si>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</si>
  <si>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</si>
  <si>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</si>
  <si>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</si>
  <si>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</si>
  <si>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</si>
  <si>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</si>
  <si>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</si>
  <si>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</si>
  <si>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</si>
  <si>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</si>
  <si>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</si>
  <si>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</si>
  <si>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</si>
  <si>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</si>
  <si>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</si>
  <si>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</si>
  <si>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</si>
  <si>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</si>
  <si>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</si>
  <si>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</si>
  <si>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</si>
  <si>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</si>
  <si>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</si>
  <si>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</si>
  <si>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</si>
  <si>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</si>
  <si>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</si>
  <si>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</si>
  <si>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</si>
  <si>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</si>
  <si>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</si>
  <si>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</si>
  <si>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</si>
  <si>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</si>
  <si>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</si>
  <si>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</si>
  <si>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</si>
  <si>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</si>
  <si>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</si>
  <si>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</si>
  <si>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</si>
  <si>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</si>
  <si>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</si>
  <si>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</si>
  <si>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</si>
  <si>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</si>
  <si>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</si>
  <si>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</si>
  <si>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</si>
  <si>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</si>
  <si>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</si>
  <si>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</si>
  <si>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</si>
  <si>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</si>
  <si>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</si>
  <si>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</si>
  <si>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</si>
  <si>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</si>
  <si>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</si>
  <si>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</si>
  <si>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</si>
  <si>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</si>
  <si>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</si>
  <si>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</si>
  <si>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</si>
  <si>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</si>
  <si>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</si>
  <si>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</si>
  <si>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</si>
  <si>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</si>
  <si>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</si>
  <si>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</si>
  <si>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</si>
  <si>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</si>
  <si>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</si>
  <si>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</si>
  <si>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</si>
  <si>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</si>
  <si>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</si>
  <si>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</si>
  <si>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</si>
  <si>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</si>
  <si>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</si>
  <si>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</si>
  <si>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</si>
  <si>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</si>
  <si>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</si>
  <si>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</si>
  <si>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</si>
  <si>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</si>
  <si>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</si>
  <si>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</si>
  <si>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</si>
  <si>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</si>
  <si>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</si>
  <si>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</si>
  <si>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</si>
  <si>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</si>
  <si>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</si>
  <si>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</si>
  <si>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</si>
  <si>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</si>
  <si>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</si>
  <si>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</si>
  <si>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</si>
  <si>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</si>
  <si>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</si>
  <si>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</si>
  <si>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</si>
  <si>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</si>
  <si>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</si>
  <si>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</si>
  <si>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</si>
  <si>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</si>
  <si>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</si>
  <si>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</si>
  <si>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</si>
  <si>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</si>
  <si>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</si>
  <si>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</si>
  <si>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</si>
  <si>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</si>
  <si>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</si>
  <si>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</si>
  <si>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</si>
  <si>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</si>
  <si>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</si>
  <si>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</si>
  <si>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</si>
  <si>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</si>
  <si>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</si>
  <si>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</si>
  <si>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</si>
  <si>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</si>
  <si>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</si>
  <si>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</si>
  <si>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</si>
  <si>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</si>
  <si>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</si>
  <si>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</si>
  <si>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</si>
  <si>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</si>
  <si>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</si>
  <si>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</si>
  <si>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</si>
  <si>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</si>
  <si>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</si>
  <si>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</si>
  <si>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</si>
  <si>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</si>
  <si>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</si>
  <si>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</si>
  <si>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</si>
  <si>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</si>
  <si>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</si>
  <si>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</si>
  <si>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</si>
  <si>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</si>
  <si>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</si>
  <si>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</si>
  <si>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</si>
  <si>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</si>
  <si>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</si>
  <si>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</si>
  <si>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</si>
  <si>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</si>
  <si>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</si>
  <si>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</si>
  <si>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</si>
  <si>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</si>
  <si>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</si>
  <si>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</si>
  <si>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</si>
  <si>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</si>
  <si>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</si>
  <si>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</si>
  <si>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</si>
  <si>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</si>
  <si>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</si>
  <si>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</si>
  <si>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</si>
  <si>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</si>
  <si>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</si>
  <si>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</si>
  <si>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</si>
  <si>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</si>
  <si>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</si>
  <si>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</si>
  <si>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</si>
  <si>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</si>
  <si>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</si>
  <si>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</si>
  <si>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</si>
  <si>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</si>
  <si>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</si>
  <si>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</si>
  <si>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</si>
  <si>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</si>
  <si>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</si>
  <si>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</si>
  <si>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</si>
  <si>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</si>
  <si>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</si>
  <si>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</si>
  <si>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</si>
  <si>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</si>
  <si>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</si>
  <si>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</si>
  <si>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</si>
  <si>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</si>
  <si>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</si>
  <si>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</si>
  <si>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</si>
  <si>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</si>
  <si>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</si>
  <si>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</si>
  <si>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</si>
  <si>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</si>
  <si>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</si>
  <si>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</si>
  <si>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</si>
  <si>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</si>
  <si>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</si>
  <si>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</si>
  <si>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</si>
  <si>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</si>
  <si>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</si>
  <si>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</si>
  <si>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</si>
  <si>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</si>
  <si>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</si>
  <si>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</si>
  <si>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</si>
  <si>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</si>
  <si>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</si>
  <si>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</si>
  <si>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</si>
  <si>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</si>
  <si>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</si>
  <si>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</si>
  <si>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</si>
  <si>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</si>
  <si>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</si>
  <si>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</si>
  <si>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</si>
  <si>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</si>
  <si>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</si>
  <si>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</si>
  <si>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</si>
  <si>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</si>
  <si>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</si>
  <si>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</si>
  <si>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</si>
  <si>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</si>
  <si>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</si>
  <si>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</si>
  <si>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</si>
  <si>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</si>
  <si>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</si>
  <si>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</si>
  <si>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</si>
  <si>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</si>
  <si>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</si>
  <si>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</si>
  <si>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</si>
  <si>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</si>
  <si>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</si>
  <si>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</si>
  <si>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</si>
  <si>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</si>
  <si>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</si>
  <si>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</si>
  <si>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</si>
  <si>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</si>
  <si>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</si>
  <si>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</si>
  <si>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</si>
  <si>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</si>
  <si>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</si>
  <si>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</si>
  <si>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</si>
  <si>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</si>
  <si>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</si>
  <si>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</si>
  <si>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</si>
  <si>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</si>
  <si>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</si>
  <si>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</si>
  <si>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</si>
  <si>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</si>
  <si>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</si>
  <si>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</si>
  <si>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</si>
  <si>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</si>
  <si>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</si>
  <si>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</si>
  <si>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</si>
  <si>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</si>
  <si>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</si>
  <si>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</si>
  <si>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</si>
  <si>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</si>
  <si>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</si>
  <si>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</si>
  <si>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</si>
  <si>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</si>
  <si>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</si>
  <si>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</si>
  <si>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</si>
  <si>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</si>
  <si>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</si>
  <si>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</si>
  <si>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</si>
  <si>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</si>
  <si>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</si>
  <si>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</si>
  <si>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</si>
  <si>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</si>
  <si>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</si>
  <si>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</si>
  <si>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</si>
  <si>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</si>
  <si>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</si>
  <si>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</si>
  <si>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</si>
  <si>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</si>
  <si>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</si>
  <si>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</si>
  <si>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</si>
  <si>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</si>
  <si>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</si>
  <si>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</si>
  <si>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</si>
  <si>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</si>
  <si>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</si>
  <si>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</si>
  <si>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</si>
  <si>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</si>
  <si>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</si>
  <si>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</si>
  <si>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</si>
  <si>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</si>
  <si>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</si>
  <si>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</si>
  <si>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</si>
  <si>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</si>
  <si>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</si>
  <si>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</si>
  <si>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</si>
  <si>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</si>
  <si>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</si>
  <si>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</si>
  <si>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</si>
  <si>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</si>
  <si>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</si>
  <si>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</si>
  <si>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</si>
  <si>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</si>
  <si>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</si>
  <si>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</si>
  <si>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</si>
  <si>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</si>
  <si>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</si>
  <si>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</si>
  <si>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</si>
  <si>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</si>
  <si>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</si>
  <si>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</si>
  <si>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</si>
  <si>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</si>
  <si>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</si>
  <si>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</si>
  <si>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</si>
  <si>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</si>
  <si>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</si>
  <si>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</si>
  <si>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</si>
  <si>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</si>
  <si>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</si>
  <si>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</si>
  <si>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</si>
  <si>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</si>
  <si>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</si>
  <si>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</si>
  <si>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</si>
  <si>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</si>
  <si>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</si>
  <si>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</si>
  <si>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</si>
  <si>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</si>
  <si>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</si>
  <si>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</si>
  <si>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</si>
  <si>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</si>
  <si>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</si>
  <si>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</si>
  <si>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</si>
  <si>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</si>
  <si>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</si>
  <si>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</si>
  <si>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</si>
  <si>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</si>
  <si>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</si>
  <si>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</si>
  <si>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</si>
  <si>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</si>
  <si>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</si>
  <si>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</si>
  <si>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</si>
  <si>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</si>
  <si>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</si>
  <si>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</si>
  <si>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</si>
  <si>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</si>
  <si>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</si>
  <si>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</si>
  <si>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</si>
  <si>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</si>
  <si>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</si>
  <si>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</si>
  <si>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</si>
  <si>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</si>
  <si>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</si>
  <si>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</si>
  <si>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</si>
  <si>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</si>
  <si>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</si>
  <si>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</si>
  <si>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</si>
  <si>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</si>
  <si>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</si>
  <si>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</si>
  <si>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</si>
  <si>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</si>
  <si>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</si>
  <si>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</si>
  <si>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</si>
  <si>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</si>
  <si>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</si>
  <si>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</si>
  <si>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</si>
  <si>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</si>
  <si>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</si>
  <si>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</si>
  <si>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</si>
  <si>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</si>
  <si>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</si>
  <si>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</si>
  <si>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</si>
  <si>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</si>
  <si>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</si>
  <si>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</si>
  <si>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</si>
  <si>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</si>
  <si>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</si>
  <si>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</si>
  <si>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</si>
  <si>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</si>
  <si>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</si>
  <si>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</si>
  <si>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</si>
  <si>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</si>
  <si>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</si>
  <si>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</si>
  <si>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</si>
  <si>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</si>
  <si>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</si>
  <si>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</si>
  <si>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</si>
  <si>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</si>
  <si>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</si>
  <si>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</si>
  <si>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</si>
  <si>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</si>
  <si>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</si>
  <si>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</si>
  <si>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</si>
  <si>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</si>
  <si>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</si>
  <si>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</si>
  <si>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</si>
  <si>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</si>
  <si>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</si>
  <si>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</si>
  <si>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</si>
  <si>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</si>
  <si>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</si>
  <si>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</si>
  <si>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</si>
  <si>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</si>
  <si>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</si>
  <si>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</si>
  <si>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</si>
  <si>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</si>
  <si>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</si>
  <si>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</si>
  <si>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</si>
  <si>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</si>
  <si>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</si>
  <si>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</si>
  <si>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</si>
  <si>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</si>
  <si>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</si>
  <si>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</si>
  <si>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</si>
  <si>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</si>
  <si>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</si>
  <si>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</si>
  <si>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</si>
  <si>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</si>
  <si>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</si>
  <si>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</si>
  <si>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</si>
  <si>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</si>
  <si>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</si>
  <si>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</si>
  <si>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</si>
  <si>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</si>
  <si>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</si>
  <si>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</si>
  <si>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</si>
  <si>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</si>
  <si>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</si>
  <si>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</si>
  <si>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</si>
  <si>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</si>
  <si>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</si>
  <si>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</si>
  <si>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</si>
  <si>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</si>
  <si>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</si>
  <si>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</si>
  <si>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</si>
  <si>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</si>
  <si>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</si>
  <si>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</si>
  <si>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</si>
  <si>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</si>
  <si>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</si>
  <si>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</si>
  <si>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</si>
  <si>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</si>
  <si>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</si>
  <si>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</si>
  <si>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</si>
  <si>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</si>
  <si>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</si>
  <si>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</si>
  <si>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</si>
  <si>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</si>
  <si>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</si>
  <si>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</si>
  <si>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</si>
  <si>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</si>
  <si>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</si>
  <si>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</si>
  <si>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</si>
  <si>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</si>
  <si>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</si>
  <si>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</si>
  <si>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</si>
  <si>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</si>
  <si>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</si>
  <si>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</si>
  <si>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</si>
  <si>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</si>
  <si>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</si>
  <si>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</si>
  <si>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</si>
  <si>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</si>
  <si>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</si>
  <si>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</si>
  <si>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</si>
  <si>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</si>
  <si>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</si>
  <si>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</si>
  <si>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</si>
  <si>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</si>
  <si>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</si>
  <si>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</si>
  <si>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</si>
  <si>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</si>
  <si>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</si>
  <si>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</si>
  <si>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</si>
  <si>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</si>
  <si>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</si>
  <si>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</si>
  <si>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</si>
  <si>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</si>
  <si>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</si>
  <si>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</si>
  <si>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</si>
  <si>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</si>
  <si>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</si>
  <si>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</si>
  <si>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</si>
  <si>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</si>
  <si>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</si>
  <si>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</si>
  <si>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</si>
  <si>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</si>
  <si>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</si>
  <si>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</si>
  <si>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</si>
  <si>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</si>
  <si>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</si>
  <si>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</si>
  <si>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</si>
  <si>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</si>
  <si>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</si>
  <si>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</si>
  <si>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</si>
  <si>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</si>
  <si>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</si>
  <si>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</si>
  <si>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</si>
  <si>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</si>
  <si>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</si>
  <si>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</si>
  <si>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</si>
  <si>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</si>
  <si>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</si>
  <si>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</si>
  <si>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</si>
  <si>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</si>
  <si>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</si>
  <si>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</si>
  <si>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</si>
  <si>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</si>
  <si>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</si>
  <si>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</si>
  <si>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</si>
  <si>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</si>
  <si>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</si>
  <si>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</si>
  <si>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</si>
  <si>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</si>
  <si>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</si>
  <si>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</si>
  <si>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</si>
  <si>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</si>
  <si>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</si>
  <si>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</si>
  <si>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</si>
  <si>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</si>
  <si>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</si>
  <si>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</si>
  <si>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</si>
  <si>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</si>
  <si>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</si>
  <si>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</si>
  <si>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</si>
  <si>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</si>
  <si>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</si>
  <si>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</si>
  <si>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</si>
  <si>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</si>
  <si>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</si>
  <si>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</si>
  <si>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</si>
  <si>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</si>
  <si>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</si>
  <si>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</si>
  <si>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</si>
  <si>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</si>
  <si>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</si>
  <si>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</si>
  <si>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</si>
  <si>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</si>
  <si>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</si>
  <si>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</si>
  <si>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</si>
  <si>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</si>
  <si>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</si>
  <si>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</si>
  <si>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</si>
  <si>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</si>
  <si>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>Column1</t>
  </si>
  <si>
    <t>CFAM</t>
  </si>
  <si>
    <t xml:space="preserve">WLS450OPR001+ </t>
  </si>
  <si>
    <t>REQ1310102</t>
  </si>
  <si>
    <t>CCMC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</si>
  <si>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</si>
  <si>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</si>
  <si>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</si>
  <si>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</si>
  <si>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</si>
  <si>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</si>
  <si>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</si>
  <si>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</si>
  <si>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</si>
  <si>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</si>
  <si>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</si>
  <si>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</si>
  <si>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</si>
  <si>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</si>
  <si>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n/a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</si>
  <si>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</si>
  <si>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</si>
  <si>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</si>
  <si>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</si>
  <si>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</si>
  <si>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</si>
  <si>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</si>
  <si>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</si>
  <si>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</si>
  <si>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</si>
  <si>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</si>
  <si>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Install Building</t>
  </si>
  <si>
    <t>Area/Unit</t>
  </si>
  <si>
    <t>Room</t>
  </si>
  <si>
    <t>Bay</t>
  </si>
  <si>
    <t>Port No.</t>
  </si>
  <si>
    <t>Manufacturer</t>
  </si>
  <si>
    <t>Medical Device Model</t>
  </si>
  <si>
    <t>Medical Device Class</t>
  </si>
  <si>
    <t>PI_Use_Case</t>
  </si>
  <si>
    <t>Credential Type (Client)</t>
  </si>
  <si>
    <t>PI_Config_Shared</t>
  </si>
  <si>
    <t>PI_Config_Autologon</t>
  </si>
  <si>
    <t>PI_Imprivata</t>
  </si>
  <si>
    <t>Software List (Client Approved)</t>
  </si>
  <si>
    <t>Has Badge Scanner</t>
  </si>
  <si>
    <t>Has Barcode Scanner</t>
  </si>
  <si>
    <t>Power Cable Present</t>
  </si>
  <si>
    <t>Battery Present</t>
  </si>
  <si>
    <t>Ready for Deployment</t>
  </si>
  <si>
    <t>IT Device Status</t>
  </si>
  <si>
    <t>Blocker Reason</t>
  </si>
  <si>
    <t>PI_Validated_By</t>
  </si>
  <si>
    <t>PI_Validated_Date</t>
  </si>
  <si>
    <t>Cybernet</t>
  </si>
  <si>
    <t>Neuron ID</t>
  </si>
  <si>
    <t>Neuron MAC</t>
  </si>
  <si>
    <t>Software List (Operational)</t>
  </si>
  <si>
    <t>Software Source</t>
  </si>
  <si>
    <t>Software Installed</t>
  </si>
  <si>
    <t>Readiness (Auto)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</si>
  <si>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</si>
  <si>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</si>
  <si>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</si>
  <si>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</si>
  <si>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</si>
  <si>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</si>
  <si>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</si>
  <si>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Peripherals</t>
  </si>
  <si>
    <t>Total Sent</t>
  </si>
  <si>
    <t>Mouse &amp; Keyboard</t>
  </si>
  <si>
    <t>Barcode Scanner</t>
  </si>
  <si>
    <t>Tap Badge</t>
  </si>
  <si>
    <t>HQ</t>
  </si>
  <si>
    <t>GVH</t>
  </si>
  <si>
    <t>LHH</t>
  </si>
  <si>
    <t>MEETH</t>
  </si>
  <si>
    <t>NWH</t>
  </si>
  <si>
    <t>PBMC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</si>
  <si>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</si>
  <si>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</si>
  <si>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</si>
  <si>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</si>
  <si>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</si>
  <si>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</si>
  <si>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</si>
  <si>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</si>
  <si>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</si>
  <si>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</si>
  <si>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</si>
  <si>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</si>
  <si>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</si>
  <si>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</si>
  <si>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</si>
  <si>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</si>
  <si>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</si>
  <si>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</si>
  <si>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Wave/PO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</si>
  <si>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</si>
  <si>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</si>
  <si>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</si>
  <si>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</si>
  <si>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</si>
  <si>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</si>
  <si>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</si>
  <si>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</si>
  <si>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</si>
  <si>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</si>
  <si>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</si>
  <si>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</si>
  <si>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</si>
  <si>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</si>
  <si>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</si>
  <si>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</si>
  <si>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</si>
  <si>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</si>
  <si>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</si>
  <si>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</si>
  <si>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</si>
  <si>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</si>
  <si>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</si>
  <si>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</si>
  <si>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</si>
  <si>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</si>
  <si>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</si>
  <si>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</si>
  <si>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</si>
  <si>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</si>
  <si>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</si>
  <si>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</si>
  <si>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</si>
  <si>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</si>
  <si>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</si>
  <si>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</si>
  <si>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</si>
  <si>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</si>
  <si>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</si>
  <si>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</si>
  <si>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</si>
  <si>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</si>
  <si>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</si>
  <si>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</si>
  <si>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</si>
  <si>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</si>
  <si>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</si>
  <si>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</si>
  <si>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</si>
  <si>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</si>
  <si>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</si>
  <si>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</si>
  <si>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</si>
  <si>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</si>
  <si>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</si>
  <si>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</si>
  <si>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</si>
  <si>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</si>
  <si>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</si>
  <si>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</si>
  <si>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</si>
  <si>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</si>
  <si>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</si>
  <si>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</si>
  <si>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</si>
  <si>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</si>
  <si>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</si>
  <si>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</si>
  <si>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</si>
  <si>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</si>
  <si>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</si>
  <si>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</si>
  <si>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</si>
  <si>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</si>
  <si>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</si>
  <si>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</si>
  <si>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Yellow</t>
  </si>
  <si>
    <t>Formula Library (auto-extracted from your ReConnect trackers)</t>
  </si>
  <si>
    <t>Example Locations</t>
  </si>
  <si>
    <t>Formula</t>
  </si>
  <si>
    <t>Purpose (fill in)</t>
  </si>
  <si>
    <t>Where to Use (fill in)</t>
  </si>
  <si>
    <t>Notes / Dependencies</t>
  </si>
  <si>
    <t>Rego Park ReConnect Tracker - Improved Tracker.xlsx::Summary!D16 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</si>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</sst>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40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17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16"/>
    <tableColumn id="6" xr3:uid="{00000000-0010-0000-0200-000006000000}" name="Site Locations" dataDxfId="15"/>
    <tableColumn id="8" xr3:uid="{00000000-0010-0000-0200-000008000000}" name="Area" dataDxfId="14"/>
    <tableColumn id="5" xr3:uid="{00000000-0010-0000-0200-000005000000}" name="Subarea" dataDxfId="13"/>
    <tableColumn id="7" xr3:uid="{00000000-0010-0000-0200-000007000000}" name="Notes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 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IFERROR(_xlfn.SINGLE(INDEX(#REF!,ROW()-1)),"")</f>
        <v>Neuron</v>
      </c>
      <c r="C2" t="str">
        <f>IFERROR(_xlfn.SINGLE(INDEX(#REF!,ROW()-1)),"")</f>
        <v>Yes</v>
      </c>
      <c r="D2" t="str">
        <f>IFERROR(_xlfn.SINGLE(INDEX(#REF!,ROW()-1)),"")</f>
        <v>Yes</v>
      </c>
      <c r="E2">
        <f>IFERROR(_xlfn.SINGLE(INDEX(#REF!,ROW()-1)),"")</f>
        <v>0</v>
      </c>
      <c r="F2" t="str">
        <f>IFERROR(_xlfn.SINGLE(INDEX(#REF!,ROW()-1)),"")</f>
        <v>LIJ-SDF-MACH-A</v>
      </c>
      <c r="G2" t="str">
        <f>IFERROR(_xlfn.SINGLE(INDEX(#REF!,ROW()-1)),"")</f>
        <v>iPro
Epic Satellite
ALLSCRIPTS
EPIC BCA</v>
      </c>
      <c r="H2">
        <f>IFERROR(_xlfn.SINGLE(INDEX(#REF!,ROW()-1)),"")</f>
        <v>0</v>
      </c>
      <c r="I2">
        <f>IFERROR(_xlfn.SINGLE(INDEX(#REF!,ROW()-1)),"")</f>
        <v>0</v>
      </c>
      <c r="J2">
        <f>IFERROR(_xlfn.SINGLE(INDEX(#REF!,ROW()-1)),"")</f>
        <v>0</v>
      </c>
      <c r="K2">
        <f>IFERROR(_xlfn.SINGLE(INDEX(#REF!,ROW()-1)),"")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IFERROR(_xlfn.SINGLE(INDEX(#REF!,ROW()-1)),"")</f>
        <v>Neuron</v>
      </c>
      <c r="C3" t="str">
        <f>IFERROR(_xlfn.SINGLE(INDEX(#REF!,ROW()-1)),"")</f>
        <v>Yes</v>
      </c>
      <c r="D3" t="str">
        <f>IFERROR(_xlfn.SINGLE(INDEX(#REF!,ROW()-1)),"")</f>
        <v>Yes</v>
      </c>
      <c r="E3">
        <f>IFERROR(_xlfn.SINGLE(INDEX(#REF!,ROW()-1)),"")</f>
        <v>0</v>
      </c>
      <c r="F3" t="str">
        <f>IFERROR(_xlfn.SINGLE(INDEX(#REF!,ROW()-1)),"")</f>
        <v>LIJ-SDF-MACH-B</v>
      </c>
      <c r="G3">
        <f>IFERROR(_xlfn.SINGLE(INDEX(#REF!,ROW()-1)),"")</f>
        <v>0</v>
      </c>
      <c r="H3">
        <f>IFERROR(_xlfn.SINGLE(INDEX(#REF!,ROW()-1)),"")</f>
        <v>0</v>
      </c>
      <c r="I3">
        <f>IFERROR(_xlfn.SINGLE(INDEX(#REF!,ROW()-1)),"")</f>
        <v>0</v>
      </c>
      <c r="J3">
        <f>IFERROR(_xlfn.SINGLE(INDEX(#REF!,ROW()-1)),"")</f>
        <v>0</v>
      </c>
      <c r="K3">
        <f>IFERROR(_xlfn.SINGLE(INDEX(#REF!,ROW()-1)),"")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IFERROR(_xlfn.SINGLE(INDEX(#REF!,ROW()-1)),"")</f>
        <v>Neuron</v>
      </c>
      <c r="C4" t="str">
        <f>IFERROR(_xlfn.SINGLE(INDEX(#REF!,ROW()-1)),"")</f>
        <v>Yes</v>
      </c>
      <c r="D4" t="str">
        <f>IFERROR(_xlfn.SINGLE(INDEX(#REF!,ROW()-1)),"")</f>
        <v>Yes</v>
      </c>
      <c r="E4">
        <f>IFERROR(_xlfn.SINGLE(INDEX(#REF!,ROW()-1)),"")</f>
        <v>0</v>
      </c>
      <c r="F4" t="str">
        <f>IFERROR(_xlfn.SINGLE(INDEX(#REF!,ROW()-1)),"")</f>
        <v>LIJ-SDF-MACH-C</v>
      </c>
      <c r="G4">
        <f>IFERROR(_xlfn.SINGLE(INDEX(#REF!,ROW()-1)),"")</f>
        <v>0</v>
      </c>
      <c r="H4">
        <f>IFERROR(_xlfn.SINGLE(INDEX(#REF!,ROW()-1)),"")</f>
        <v>0</v>
      </c>
      <c r="I4">
        <f>IFERROR(_xlfn.SINGLE(INDEX(#REF!,ROW()-1)),"")</f>
        <v>0</v>
      </c>
      <c r="J4">
        <f>IFERROR(_xlfn.SINGLE(INDEX(#REF!,ROW()-1)),"")</f>
        <v>0</v>
      </c>
      <c r="K4">
        <f>IFERROR(_xlfn.SINGLE(INDEX(#REF!,ROW()-1)),"")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IFERROR(_xlfn.SINGLE(INDEX(#REF!,ROW()-1)),"")</f>
        <v>Neuron</v>
      </c>
      <c r="C5" t="str">
        <f>IFERROR(_xlfn.SINGLE(INDEX(#REF!,ROW()-1)),"")</f>
        <v>Yes</v>
      </c>
      <c r="D5" t="str">
        <f>IFERROR(_xlfn.SINGLE(INDEX(#REF!,ROW()-1)),"")</f>
        <v>Yes</v>
      </c>
      <c r="E5">
        <f>IFERROR(_xlfn.SINGLE(INDEX(#REF!,ROW()-1)),"")</f>
        <v>0</v>
      </c>
      <c r="F5" t="str">
        <f>IFERROR(_xlfn.SINGLE(INDEX(#REF!,ROW()-1)),"")</f>
        <v>LIJ-SDF-MACH-D</v>
      </c>
      <c r="G5">
        <f>IFERROR(_xlfn.SINGLE(INDEX(#REF!,ROW()-1)),"")</f>
        <v>0</v>
      </c>
      <c r="H5">
        <f>IFERROR(_xlfn.SINGLE(INDEX(#REF!,ROW()-1)),"")</f>
        <v>0</v>
      </c>
      <c r="I5">
        <f>IFERROR(_xlfn.SINGLE(INDEX(#REF!,ROW()-1)),"")</f>
        <v>0</v>
      </c>
      <c r="J5">
        <f>IFERROR(_xlfn.SINGLE(INDEX(#REF!,ROW()-1)),"")</f>
        <v>0</v>
      </c>
      <c r="K5">
        <f>IFERROR(_xlfn.SINGLE(INDEX(#REF!,ROW()-1)),"")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IFERROR(_xlfn.SINGLE(INDEX(#REF!,ROW()-1)),"")</f>
        <v>Neuron</v>
      </c>
      <c r="C6" t="str">
        <f>IFERROR(_xlfn.SINGLE(INDEX(#REF!,ROW()-1)),"")</f>
        <v>Yes</v>
      </c>
      <c r="D6" t="str">
        <f>IFERROR(_xlfn.SINGLE(INDEX(#REF!,ROW()-1)),"")</f>
        <v>Yes</v>
      </c>
      <c r="E6">
        <f>IFERROR(_xlfn.SINGLE(INDEX(#REF!,ROW()-1)),"")</f>
        <v>0</v>
      </c>
      <c r="F6" t="str">
        <f>IFERROR(_xlfn.SINGLE(INDEX(#REF!,ROW()-1)),"")</f>
        <v>LIJ-SDF-MACH-E</v>
      </c>
      <c r="G6">
        <f>IFERROR(_xlfn.SINGLE(INDEX(#REF!,ROW()-1)),"")</f>
        <v>0</v>
      </c>
      <c r="H6">
        <f>IFERROR(_xlfn.SINGLE(INDEX(#REF!,ROW()-1)),"")</f>
        <v>0</v>
      </c>
      <c r="I6">
        <f>IFERROR(_xlfn.SINGLE(INDEX(#REF!,ROW()-1)),"")</f>
        <v>0</v>
      </c>
      <c r="J6">
        <f>IFERROR(_xlfn.SINGLE(INDEX(#REF!,ROW()-1)),"")</f>
        <v>0</v>
      </c>
      <c r="K6">
        <f>IFERROR(_xlfn.SINGLE(INDEX(#REF!,ROW()-1)),"")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IFERROR(_xlfn.SINGLE(INDEX(#REF!,ROW()-1)),"")</f>
        <v>Neuron</v>
      </c>
      <c r="C7" t="str">
        <f>IFERROR(_xlfn.SINGLE(INDEX(#REF!,ROW()-1)),"")</f>
        <v>Yes</v>
      </c>
      <c r="D7" t="str">
        <f>IFERROR(_xlfn.SINGLE(INDEX(#REF!,ROW()-1)),"")</f>
        <v>Yes</v>
      </c>
      <c r="E7">
        <f>IFERROR(_xlfn.SINGLE(INDEX(#REF!,ROW()-1)),"")</f>
        <v>0</v>
      </c>
      <c r="F7" t="str">
        <f>IFERROR(_xlfn.SINGLE(INDEX(#REF!,ROW()-1)),"")</f>
        <v>LIJ-SDF-MACH-F</v>
      </c>
      <c r="G7">
        <f>IFERROR(_xlfn.SINGLE(INDEX(#REF!,ROW()-1)),"")</f>
        <v>0</v>
      </c>
      <c r="H7">
        <f>IFERROR(_xlfn.SINGLE(INDEX(#REF!,ROW()-1)),"")</f>
        <v>0</v>
      </c>
      <c r="I7">
        <f>IFERROR(_xlfn.SINGLE(INDEX(#REF!,ROW()-1)),"")</f>
        <v>0</v>
      </c>
      <c r="J7">
        <f>IFERROR(_xlfn.SINGLE(INDEX(#REF!,ROW()-1)),"")</f>
        <v>0</v>
      </c>
      <c r="K7">
        <f>IFERROR(_xlfn.SINGLE(INDEX(#REF!,ROW()-1)),"")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IFERROR(_xlfn.SINGLE(INDEX(#REF!,ROW()-1)),"")</f>
        <v>Neuron</v>
      </c>
      <c r="C8" t="str">
        <f>IFERROR(_xlfn.SINGLE(INDEX(#REF!,ROW()-1)),"")</f>
        <v>Yes</v>
      </c>
      <c r="D8" t="str">
        <f>IFERROR(_xlfn.SINGLE(INDEX(#REF!,ROW()-1)),"")</f>
        <v>Yes</v>
      </c>
      <c r="E8">
        <f>IFERROR(_xlfn.SINGLE(INDEX(#REF!,ROW()-1)),"")</f>
        <v>0</v>
      </c>
      <c r="F8" t="str">
        <f>IFERROR(_xlfn.SINGLE(INDEX(#REF!,ROW()-1)),"")</f>
        <v>LIJ-SDF-MACH-G</v>
      </c>
      <c r="G8">
        <f>IFERROR(_xlfn.SINGLE(INDEX(#REF!,ROW()-1)),"")</f>
        <v>0</v>
      </c>
      <c r="H8">
        <f>IFERROR(_xlfn.SINGLE(INDEX(#REF!,ROW()-1)),"")</f>
        <v>0</v>
      </c>
      <c r="I8">
        <f>IFERROR(_xlfn.SINGLE(INDEX(#REF!,ROW()-1)),"")</f>
        <v>0</v>
      </c>
      <c r="J8">
        <f>IFERROR(_xlfn.SINGLE(INDEX(#REF!,ROW()-1)),"")</f>
        <v>0</v>
      </c>
      <c r="K8">
        <f>IFERROR(_xlfn.SINGLE(INDEX(#REF!,ROW()-1)),"")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IFERROR(_xlfn.SINGLE(INDEX(#REF!,ROW()-1)),"")</f>
        <v>Neuron</v>
      </c>
      <c r="C9" t="str">
        <f>IFERROR(_xlfn.SINGLE(INDEX(#REF!,ROW()-1)),"")</f>
        <v>Yes</v>
      </c>
      <c r="D9" t="str">
        <f>IFERROR(_xlfn.SINGLE(INDEX(#REF!,ROW()-1)),"")</f>
        <v>Yes</v>
      </c>
      <c r="E9">
        <f>IFERROR(_xlfn.SINGLE(INDEX(#REF!,ROW()-1)),"")</f>
        <v>0</v>
      </c>
      <c r="F9" t="str">
        <f>IFERROR(_xlfn.SINGLE(INDEX(#REF!,ROW()-1)),"")</f>
        <v>LIJ-SDF-MACH-H</v>
      </c>
      <c r="G9">
        <f>IFERROR(_xlfn.SINGLE(INDEX(#REF!,ROW()-1)),"")</f>
        <v>0</v>
      </c>
      <c r="H9">
        <f>IFERROR(_xlfn.SINGLE(INDEX(#REF!,ROW()-1)),"")</f>
        <v>0</v>
      </c>
      <c r="I9">
        <f>IFERROR(_xlfn.SINGLE(INDEX(#REF!,ROW()-1)),"")</f>
        <v>0</v>
      </c>
      <c r="J9">
        <f>IFERROR(_xlfn.SINGLE(INDEX(#REF!,ROW()-1)),"")</f>
        <v>0</v>
      </c>
      <c r="K9">
        <f>IFERROR(_xlfn.SINGLE(INDEX(#REF!,ROW()-1)),"")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IFERROR(_xlfn.SINGLE(INDEX(#REF!,ROW()-1)),"")</f>
        <v>Neuron</v>
      </c>
      <c r="C10" t="str">
        <f>IFERROR(_xlfn.SINGLE(INDEX(#REF!,ROW()-1)),"")</f>
        <v>Yes</v>
      </c>
      <c r="D10" t="str">
        <f>IFERROR(_xlfn.SINGLE(INDEX(#REF!,ROW()-1)),"")</f>
        <v>Yes</v>
      </c>
      <c r="E10">
        <f>IFERROR(_xlfn.SINGLE(INDEX(#REF!,ROW()-1)),"")</f>
        <v>0</v>
      </c>
      <c r="F10" t="str">
        <f>IFERROR(_xlfn.SINGLE(INDEX(#REF!,ROW()-1)),"")</f>
        <v>LIJ-SDF-MACH-I</v>
      </c>
      <c r="G10">
        <f>IFERROR(_xlfn.SINGLE(INDEX(#REF!,ROW()-1)),"")</f>
        <v>0</v>
      </c>
      <c r="H10">
        <f>IFERROR(_xlfn.SINGLE(INDEX(#REF!,ROW()-1)),"")</f>
        <v>0</v>
      </c>
      <c r="I10">
        <f>IFERROR(_xlfn.SINGLE(INDEX(#REF!,ROW()-1)),"")</f>
        <v>0</v>
      </c>
      <c r="J10">
        <f>IFERROR(_xlfn.SINGLE(INDEX(#REF!,ROW()-1)),"")</f>
        <v>0</v>
      </c>
      <c r="K10">
        <f>IFERROR(_xlfn.SINGLE(INDEX(#REF!,ROW()-1)),"")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IFERROR(_xlfn.SINGLE(INDEX(#REF!,ROW()-1)),"")</f>
        <v>Neuron</v>
      </c>
      <c r="C11" t="str">
        <f>IFERROR(_xlfn.SINGLE(INDEX(#REF!,ROW()-1)),"")</f>
        <v>Yes</v>
      </c>
      <c r="D11" t="str">
        <f>IFERROR(_xlfn.SINGLE(INDEX(#REF!,ROW()-1)),"")</f>
        <v>Yes</v>
      </c>
      <c r="E11">
        <f>IFERROR(_xlfn.SINGLE(INDEX(#REF!,ROW()-1)),"")</f>
        <v>0</v>
      </c>
      <c r="F11" t="str">
        <f>IFERROR(_xlfn.SINGLE(INDEX(#REF!,ROW()-1)),"")</f>
        <v>LIJ-SDF-MACH-J</v>
      </c>
      <c r="G11">
        <f>IFERROR(_xlfn.SINGLE(INDEX(#REF!,ROW()-1)),"")</f>
        <v>0</v>
      </c>
      <c r="H11">
        <f>IFERROR(_xlfn.SINGLE(INDEX(#REF!,ROW()-1)),"")</f>
        <v>0</v>
      </c>
      <c r="I11">
        <f>IFERROR(_xlfn.SINGLE(INDEX(#REF!,ROW()-1)),"")</f>
        <v>0</v>
      </c>
      <c r="J11">
        <f>IFERROR(_xlfn.SINGLE(INDEX(#REF!,ROW()-1)),"")</f>
        <v>0</v>
      </c>
      <c r="K11">
        <f>IFERROR(_xlfn.SINGLE(INDEX(#REF!,ROW()-1)),"")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IFERROR(_xlfn.SINGLE(INDEX(#REF!,ROW()-1)),"")</f>
        <v>Neuron</v>
      </c>
      <c r="C12" t="str">
        <f>IFERROR(_xlfn.SINGLE(INDEX(#REF!,ROW()-1)),"")</f>
        <v>Yes</v>
      </c>
      <c r="D12" t="str">
        <f>IFERROR(_xlfn.SINGLE(INDEX(#REF!,ROW()-1)),"")</f>
        <v>Yes</v>
      </c>
      <c r="E12">
        <f>IFERROR(_xlfn.SINGLE(INDEX(#REF!,ROW()-1)),"")</f>
        <v>0</v>
      </c>
      <c r="F12" t="str">
        <f>IFERROR(_xlfn.SINGLE(INDEX(#REF!,ROW()-1)),"")</f>
        <v>LIJ-SDF-MACH-K</v>
      </c>
      <c r="G12">
        <f>IFERROR(_xlfn.SINGLE(INDEX(#REF!,ROW()-1)),"")</f>
        <v>0</v>
      </c>
      <c r="H12">
        <f>IFERROR(_xlfn.SINGLE(INDEX(#REF!,ROW()-1)),"")</f>
        <v>0</v>
      </c>
      <c r="I12">
        <f>IFERROR(_xlfn.SINGLE(INDEX(#REF!,ROW()-1)),"")</f>
        <v>0</v>
      </c>
      <c r="J12">
        <f>IFERROR(_xlfn.SINGLE(INDEX(#REF!,ROW()-1)),"")</f>
        <v>0</v>
      </c>
      <c r="K12">
        <f>IFERROR(_xlfn.SINGLE(INDEX(#REF!,ROW()-1)),"")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IFERROR(_xlfn.SINGLE(INDEX(#REF!,ROW()-1)),"")</f>
        <v>Neuron</v>
      </c>
      <c r="C13" t="str">
        <f>IFERROR(_xlfn.SINGLE(INDEX(#REF!,ROW()-1)),"")</f>
        <v>Yes</v>
      </c>
      <c r="D13" t="str">
        <f>IFERROR(_xlfn.SINGLE(INDEX(#REF!,ROW()-1)),"")</f>
        <v>Yes</v>
      </c>
      <c r="E13">
        <f>IFERROR(_xlfn.SINGLE(INDEX(#REF!,ROW()-1)),"")</f>
        <v>0</v>
      </c>
      <c r="F13" t="str">
        <f>IFERROR(_xlfn.SINGLE(INDEX(#REF!,ROW()-1)),"")</f>
        <v>LIJ-SDF-MACH-L</v>
      </c>
      <c r="G13">
        <f>IFERROR(_xlfn.SINGLE(INDEX(#REF!,ROW()-1)),"")</f>
        <v>0</v>
      </c>
      <c r="H13">
        <f>IFERROR(_xlfn.SINGLE(INDEX(#REF!,ROW()-1)),"")</f>
        <v>0</v>
      </c>
      <c r="I13">
        <f>IFERROR(_xlfn.SINGLE(INDEX(#REF!,ROW()-1)),"")</f>
        <v>0</v>
      </c>
      <c r="J13">
        <f>IFERROR(_xlfn.SINGLE(INDEX(#REF!,ROW()-1)),"")</f>
        <v>0</v>
      </c>
      <c r="K13">
        <f>IFERROR(_xlfn.SINGLE(INDEX(#REF!,ROW()-1)),"")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IFERROR(_xlfn.SINGLE(INDEX(#REF!,ROW()-1)),"")</f>
        <v>Neuron</v>
      </c>
      <c r="C14" t="str">
        <f>IFERROR(_xlfn.SINGLE(INDEX(#REF!,ROW()-1)),"")</f>
        <v>Yes</v>
      </c>
      <c r="D14" t="str">
        <f>IFERROR(_xlfn.SINGLE(INDEX(#REF!,ROW()-1)),"")</f>
        <v>Yes</v>
      </c>
      <c r="E14">
        <f>IFERROR(_xlfn.SINGLE(INDEX(#REF!,ROW()-1)),"")</f>
        <v>0</v>
      </c>
      <c r="F14" t="str">
        <f>IFERROR(_xlfn.SINGLE(INDEX(#REF!,ROW()-1)),"")</f>
        <v>LIJ-SDF-MACH-M</v>
      </c>
      <c r="G14">
        <f>IFERROR(_xlfn.SINGLE(INDEX(#REF!,ROW()-1)),"")</f>
        <v>0</v>
      </c>
      <c r="H14">
        <f>IFERROR(_xlfn.SINGLE(INDEX(#REF!,ROW()-1)),"")</f>
        <v>0</v>
      </c>
      <c r="I14">
        <f>IFERROR(_xlfn.SINGLE(INDEX(#REF!,ROW()-1)),"")</f>
        <v>0</v>
      </c>
      <c r="J14">
        <f>IFERROR(_xlfn.SINGLE(INDEX(#REF!,ROW()-1)),"")</f>
        <v>0</v>
      </c>
      <c r="K14">
        <f>IFERROR(_xlfn.SINGLE(INDEX(#REF!,ROW()-1)),"")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IFERROR(_xlfn.SINGLE(INDEX(#REF!,ROW()-1)),"")</f>
        <v>Neuron</v>
      </c>
      <c r="C15" t="str">
        <f>IFERROR(_xlfn.SINGLE(INDEX(#REF!,ROW()-1)),"")</f>
        <v>Yes</v>
      </c>
      <c r="D15" t="str">
        <f>IFERROR(_xlfn.SINGLE(INDEX(#REF!,ROW()-1)),"")</f>
        <v>Yes</v>
      </c>
      <c r="E15">
        <f>IFERROR(_xlfn.SINGLE(INDEX(#REF!,ROW()-1)),"")</f>
        <v>0</v>
      </c>
      <c r="F15" t="str">
        <f>IFERROR(_xlfn.SINGLE(INDEX(#REF!,ROW()-1)),"")</f>
        <v>LIJ-SDF-MACH-N</v>
      </c>
      <c r="G15">
        <f>IFERROR(_xlfn.SINGLE(INDEX(#REF!,ROW()-1)),"")</f>
        <v>0</v>
      </c>
      <c r="H15">
        <f>IFERROR(_xlfn.SINGLE(INDEX(#REF!,ROW()-1)),"")</f>
        <v>0</v>
      </c>
      <c r="I15">
        <f>IFERROR(_xlfn.SINGLE(INDEX(#REF!,ROW()-1)),"")</f>
        <v>0</v>
      </c>
      <c r="J15">
        <f>IFERROR(_xlfn.SINGLE(INDEX(#REF!,ROW()-1)),"")</f>
        <v>0</v>
      </c>
      <c r="K15">
        <f>IFERROR(_xlfn.SINGLE(INDEX(#REF!,ROW()-1)),"")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IFERROR(_xlfn.SINGLE(INDEX(#REF!,ROW()-1)),"")</f>
        <v>Neuron</v>
      </c>
      <c r="C16" t="str">
        <f>IFERROR(_xlfn.SINGLE(INDEX(#REF!,ROW()-1)),"")</f>
        <v>Yes</v>
      </c>
      <c r="D16" t="str">
        <f>IFERROR(_xlfn.SINGLE(INDEX(#REF!,ROW()-1)),"")</f>
        <v>Yes</v>
      </c>
      <c r="E16">
        <f>IFERROR(_xlfn.SINGLE(INDEX(#REF!,ROW()-1)),"")</f>
        <v>0</v>
      </c>
      <c r="F16" t="str">
        <f>IFERROR(_xlfn.SINGLE(INDEX(#REF!,ROW()-1)),"")</f>
        <v>LIJ-SDF-MACH-O</v>
      </c>
      <c r="G16">
        <f>IFERROR(_xlfn.SINGLE(INDEX(#REF!,ROW()-1)),"")</f>
        <v>0</v>
      </c>
      <c r="H16">
        <f>IFERROR(_xlfn.SINGLE(INDEX(#REF!,ROW()-1)),"")</f>
        <v>0</v>
      </c>
      <c r="I16">
        <f>IFERROR(_xlfn.SINGLE(INDEX(#REF!,ROW()-1)),"")</f>
        <v>0</v>
      </c>
      <c r="J16">
        <f>IFERROR(_xlfn.SINGLE(INDEX(#REF!,ROW()-1)),"")</f>
        <v>0</v>
      </c>
      <c r="K16">
        <f>IFERROR(_xlfn.SINGLE(INDEX(#REF!,ROW()-1)),"")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IFERROR(_xlfn.SINGLE(INDEX(#REF!,ROW()-1)),"")</f>
        <v>Neuron</v>
      </c>
      <c r="C17" t="str">
        <f>IFERROR(_xlfn.SINGLE(INDEX(#REF!,ROW()-1)),"")</f>
        <v>Yes</v>
      </c>
      <c r="D17" t="str">
        <f>IFERROR(_xlfn.SINGLE(INDEX(#REF!,ROW()-1)),"")</f>
        <v>Yes</v>
      </c>
      <c r="E17">
        <f>IFERROR(_xlfn.SINGLE(INDEX(#REF!,ROW()-1)),"")</f>
        <v>0</v>
      </c>
      <c r="F17" t="str">
        <f>IFERROR(_xlfn.SINGLE(INDEX(#REF!,ROW()-1)),"")</f>
        <v>LIJ-SDF-MACH-P</v>
      </c>
      <c r="G17">
        <f>IFERROR(_xlfn.SINGLE(INDEX(#REF!,ROW()-1)),"")</f>
        <v>0</v>
      </c>
      <c r="H17">
        <f>IFERROR(_xlfn.SINGLE(INDEX(#REF!,ROW()-1)),"")</f>
        <v>0</v>
      </c>
      <c r="I17">
        <f>IFERROR(_xlfn.SINGLE(INDEX(#REF!,ROW()-1)),"")</f>
        <v>0</v>
      </c>
      <c r="J17">
        <f>IFERROR(_xlfn.SINGLE(INDEX(#REF!,ROW()-1)),"")</f>
        <v>0</v>
      </c>
      <c r="K17">
        <f>IFERROR(_xlfn.SINGLE(INDEX(#REF!,ROW()-1)),"")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IFERROR(_xlfn.SINGLE(INDEX(#REF!,ROW()-1)),"")</f>
        <v>Neuron</v>
      </c>
      <c r="C18" t="str">
        <f>IFERROR(_xlfn.SINGLE(INDEX(#REF!,ROW()-1)),"")</f>
        <v>Yes</v>
      </c>
      <c r="D18" t="str">
        <f>IFERROR(_xlfn.SINGLE(INDEX(#REF!,ROW()-1)),"")</f>
        <v>Yes</v>
      </c>
      <c r="E18">
        <f>IFERROR(_xlfn.SINGLE(INDEX(#REF!,ROW()-1)),"")</f>
        <v>0</v>
      </c>
      <c r="F18" t="str">
        <f>IFERROR(_xlfn.SINGLE(INDEX(#REF!,ROW()-1)),"")</f>
        <v>LIJ-SDF-MACH-Q</v>
      </c>
      <c r="G18">
        <f>IFERROR(_xlfn.SINGLE(INDEX(#REF!,ROW()-1)),"")</f>
        <v>0</v>
      </c>
      <c r="H18">
        <f>IFERROR(_xlfn.SINGLE(INDEX(#REF!,ROW()-1)),"")</f>
        <v>0</v>
      </c>
      <c r="I18">
        <f>IFERROR(_xlfn.SINGLE(INDEX(#REF!,ROW()-1)),"")</f>
        <v>0</v>
      </c>
      <c r="J18">
        <f>IFERROR(_xlfn.SINGLE(INDEX(#REF!,ROW()-1)),"")</f>
        <v>0</v>
      </c>
      <c r="K18">
        <f>IFERROR(_xlfn.SINGLE(INDEX(#REF!,ROW()-1)),"")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IFERROR(_xlfn.SINGLE(INDEX(#REF!,ROW()-1)),"")</f>
        <v>Neuron</v>
      </c>
      <c r="C19" t="str">
        <f>IFERROR(_xlfn.SINGLE(INDEX(#REF!,ROW()-1)),"")</f>
        <v>Yes</v>
      </c>
      <c r="D19" t="str">
        <f>IFERROR(_xlfn.SINGLE(INDEX(#REF!,ROW()-1)),"")</f>
        <v>Yes</v>
      </c>
      <c r="E19">
        <f>IFERROR(_xlfn.SINGLE(INDEX(#REF!,ROW()-1)),"")</f>
        <v>0</v>
      </c>
      <c r="F19" t="str">
        <f>IFERROR(_xlfn.SINGLE(INDEX(#REF!,ROW()-1)),"")</f>
        <v>LIJ-SDF-MACH-R</v>
      </c>
      <c r="G19">
        <f>IFERROR(_xlfn.SINGLE(INDEX(#REF!,ROW()-1)),"")</f>
        <v>0</v>
      </c>
      <c r="H19">
        <f>IFERROR(_xlfn.SINGLE(INDEX(#REF!,ROW()-1)),"")</f>
        <v>0</v>
      </c>
      <c r="I19">
        <f>IFERROR(_xlfn.SINGLE(INDEX(#REF!,ROW()-1)),"")</f>
        <v>0</v>
      </c>
      <c r="J19">
        <f>IFERROR(_xlfn.SINGLE(INDEX(#REF!,ROW()-1)),"")</f>
        <v>0</v>
      </c>
      <c r="K19">
        <f>IFERROR(_xlfn.SINGLE(INDEX(#REF!,ROW()-1)),"")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IFERROR(_xlfn.SINGLE(INDEX(#REF!,ROW()-1)),"")</f>
        <v>Neuron</v>
      </c>
      <c r="C20" t="str">
        <f>IFERROR(_xlfn.SINGLE(INDEX(#REF!,ROW()-1)),"")</f>
        <v>Yes</v>
      </c>
      <c r="D20" t="str">
        <f>IFERROR(_xlfn.SINGLE(INDEX(#REF!,ROW()-1)),"")</f>
        <v>Yes</v>
      </c>
      <c r="E20">
        <f>IFERROR(_xlfn.SINGLE(INDEX(#REF!,ROW()-1)),"")</f>
        <v>0</v>
      </c>
      <c r="F20" t="str">
        <f>IFERROR(_xlfn.SINGLE(INDEX(#REF!,ROW()-1)),"")</f>
        <v>LIJ-SDF-MACH-S</v>
      </c>
      <c r="G20">
        <f>IFERROR(_xlfn.SINGLE(INDEX(#REF!,ROW()-1)),"")</f>
        <v>0</v>
      </c>
      <c r="H20">
        <f>IFERROR(_xlfn.SINGLE(INDEX(#REF!,ROW()-1)),"")</f>
        <v>0</v>
      </c>
      <c r="I20">
        <f>IFERROR(_xlfn.SINGLE(INDEX(#REF!,ROW()-1)),"")</f>
        <v>0</v>
      </c>
      <c r="J20">
        <f>IFERROR(_xlfn.SINGLE(INDEX(#REF!,ROW()-1)),"")</f>
        <v>0</v>
      </c>
      <c r="K20">
        <f>IFERROR(_xlfn.SINGLE(INDEX(#REF!,ROW()-1)),"")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IFERROR(_xlfn.SINGLE(INDEX(#REF!,ROW()-1)),"")</f>
        <v>Neuron</v>
      </c>
      <c r="C21" t="str">
        <f>IFERROR(_xlfn.SINGLE(INDEX(#REF!,ROW()-1)),"")</f>
        <v>Yes</v>
      </c>
      <c r="D21" t="str">
        <f>IFERROR(_xlfn.SINGLE(INDEX(#REF!,ROW()-1)),"")</f>
        <v>Yes</v>
      </c>
      <c r="E21">
        <f>IFERROR(_xlfn.SINGLE(INDEX(#REF!,ROW()-1)),"")</f>
        <v>0</v>
      </c>
      <c r="F21" t="str">
        <f>IFERROR(_xlfn.SINGLE(INDEX(#REF!,ROW()-1)),"")</f>
        <v>LIJ-SDF-MACH-T</v>
      </c>
      <c r="G21">
        <f>IFERROR(_xlfn.SINGLE(INDEX(#REF!,ROW()-1)),"")</f>
        <v>0</v>
      </c>
      <c r="H21">
        <f>IFERROR(_xlfn.SINGLE(INDEX(#REF!,ROW()-1)),"")</f>
        <v>0</v>
      </c>
      <c r="I21">
        <f>IFERROR(_xlfn.SINGLE(INDEX(#REF!,ROW()-1)),"")</f>
        <v>0</v>
      </c>
      <c r="J21">
        <f>IFERROR(_xlfn.SINGLE(INDEX(#REF!,ROW()-1)),"")</f>
        <v>0</v>
      </c>
      <c r="K21">
        <f>IFERROR(_xlfn.SINGLE(INDEX(#REF!,ROW()-1)),"")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IFERROR(_xlfn.SINGLE(INDEX(#REF!,ROW()-1)),"")</f>
        <v>Neuron</v>
      </c>
      <c r="C22" t="str">
        <f>IFERROR(_xlfn.SINGLE(INDEX(#REF!,ROW()-1)),"")</f>
        <v>Yes</v>
      </c>
      <c r="D22" t="str">
        <f>IFERROR(_xlfn.SINGLE(INDEX(#REF!,ROW()-1)),"")</f>
        <v>Yes</v>
      </c>
      <c r="E22">
        <f>IFERROR(_xlfn.SINGLE(INDEX(#REF!,ROW()-1)),"")</f>
        <v>0</v>
      </c>
      <c r="F22" t="str">
        <f>IFERROR(_xlfn.SINGLE(INDEX(#REF!,ROW()-1)),"")</f>
        <v>LIJ-SDF-MACH-U</v>
      </c>
      <c r="G22">
        <f>IFERROR(_xlfn.SINGLE(INDEX(#REF!,ROW()-1)),"")</f>
        <v>0</v>
      </c>
      <c r="H22">
        <f>IFERROR(_xlfn.SINGLE(INDEX(#REF!,ROW()-1)),"")</f>
        <v>0</v>
      </c>
      <c r="I22">
        <f>IFERROR(_xlfn.SINGLE(INDEX(#REF!,ROW()-1)),"")</f>
        <v>0</v>
      </c>
      <c r="J22">
        <f>IFERROR(_xlfn.SINGLE(INDEX(#REF!,ROW()-1)),"")</f>
        <v>0</v>
      </c>
      <c r="K22">
        <f>IFERROR(_xlfn.SINGLE(INDEX(#REF!,ROW()-1)),"")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IFERROR(_xlfn.SINGLE(INDEX(#REF!,ROW()-1)),"")</f>
        <v>Neuron</v>
      </c>
      <c r="C23" t="str">
        <f>IFERROR(_xlfn.SINGLE(INDEX(#REF!,ROW()-1)),"")</f>
        <v>Yes</v>
      </c>
      <c r="D23" t="str">
        <f>IFERROR(_xlfn.SINGLE(INDEX(#REF!,ROW()-1)),"")</f>
        <v>Yes</v>
      </c>
      <c r="E23">
        <f>IFERROR(_xlfn.SINGLE(INDEX(#REF!,ROW()-1)),"")</f>
        <v>0</v>
      </c>
      <c r="F23" t="str">
        <f>IFERROR(_xlfn.SINGLE(INDEX(#REF!,ROW()-1)),"")</f>
        <v>LIJ-SDF-MACH-V</v>
      </c>
      <c r="G23">
        <f>IFERROR(_xlfn.SINGLE(INDEX(#REF!,ROW()-1)),"")</f>
        <v>0</v>
      </c>
      <c r="H23">
        <f>IFERROR(_xlfn.SINGLE(INDEX(#REF!,ROW()-1)),"")</f>
        <v>0</v>
      </c>
      <c r="I23">
        <f>IFERROR(_xlfn.SINGLE(INDEX(#REF!,ROW()-1)),"")</f>
        <v>0</v>
      </c>
      <c r="J23">
        <f>IFERROR(_xlfn.SINGLE(INDEX(#REF!,ROW()-1)),"")</f>
        <v>0</v>
      </c>
      <c r="K23">
        <f>IFERROR(_xlfn.SINGLE(INDEX(#REF!,ROW()-1)),"")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IFERROR(_xlfn.SINGLE(INDEX(#REF!,ROW()-1)),"")</f>
        <v>Neuron</v>
      </c>
      <c r="C24" t="str">
        <f>IFERROR(_xlfn.SINGLE(INDEX(#REF!,ROW()-1)),"")</f>
        <v>Yes</v>
      </c>
      <c r="D24" t="str">
        <f>IFERROR(_xlfn.SINGLE(INDEX(#REF!,ROW()-1)),"")</f>
        <v>Yes</v>
      </c>
      <c r="E24">
        <f>IFERROR(_xlfn.SINGLE(INDEX(#REF!,ROW()-1)),"")</f>
        <v>0</v>
      </c>
      <c r="F24" t="str">
        <f>IFERROR(_xlfn.SINGLE(INDEX(#REF!,ROW()-1)),"")</f>
        <v>LIJ-SDF-MACH-W</v>
      </c>
      <c r="G24">
        <f>IFERROR(_xlfn.SINGLE(INDEX(#REF!,ROW()-1)),"")</f>
        <v>0</v>
      </c>
      <c r="H24">
        <f>IFERROR(_xlfn.SINGLE(INDEX(#REF!,ROW()-1)),"")</f>
        <v>0</v>
      </c>
      <c r="I24">
        <f>IFERROR(_xlfn.SINGLE(INDEX(#REF!,ROW()-1)),"")</f>
        <v>0</v>
      </c>
      <c r="J24">
        <f>IFERROR(_xlfn.SINGLE(INDEX(#REF!,ROW()-1)),"")</f>
        <v>0</v>
      </c>
      <c r="K24">
        <f>IFERROR(_xlfn.SINGLE(INDEX(#REF!,ROW()-1)),"")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IFERROR(_xlfn.SINGLE(INDEX(#REF!,ROW()-1)),"")</f>
        <v>Neuron</v>
      </c>
      <c r="C25" t="str">
        <f>IFERROR(_xlfn.SINGLE(INDEX(#REF!,ROW()-1)),"")</f>
        <v>Yes</v>
      </c>
      <c r="D25" t="str">
        <f>IFERROR(_xlfn.SINGLE(INDEX(#REF!,ROW()-1)),"")</f>
        <v>Yes</v>
      </c>
      <c r="E25">
        <f>IFERROR(_xlfn.SINGLE(INDEX(#REF!,ROW()-1)),"")</f>
        <v>0</v>
      </c>
      <c r="F25" t="str">
        <f>IFERROR(_xlfn.SINGLE(INDEX(#REF!,ROW()-1)),"")</f>
        <v>LIJ-SDF-MACH-X</v>
      </c>
      <c r="G25">
        <f>IFERROR(_xlfn.SINGLE(INDEX(#REF!,ROW()-1)),"")</f>
        <v>0</v>
      </c>
      <c r="H25">
        <f>IFERROR(_xlfn.SINGLE(INDEX(#REF!,ROW()-1)),"")</f>
        <v>0</v>
      </c>
      <c r="I25">
        <f>IFERROR(_xlfn.SINGLE(INDEX(#REF!,ROW()-1)),"")</f>
        <v>0</v>
      </c>
      <c r="J25">
        <f>IFERROR(_xlfn.SINGLE(INDEX(#REF!,ROW()-1)),"")</f>
        <v>0</v>
      </c>
      <c r="K25">
        <f>IFERROR(_xlfn.SINGLE(INDEX(#REF!,ROW()-1)),"")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IFERROR(_xlfn.SINGLE(INDEX(#REF!,ROW()-1)),"")</f>
        <v>Neuron</v>
      </c>
      <c r="C26" t="str">
        <f>IFERROR(_xlfn.SINGLE(INDEX(#REF!,ROW()-1)),"")</f>
        <v>Yes</v>
      </c>
      <c r="D26" t="str">
        <f>IFERROR(_xlfn.SINGLE(INDEX(#REF!,ROW()-1)),"")</f>
        <v>Yes</v>
      </c>
      <c r="E26">
        <f>IFERROR(_xlfn.SINGLE(INDEX(#REF!,ROW()-1)),"")</f>
        <v>0</v>
      </c>
      <c r="F26" t="str">
        <f>IFERROR(_xlfn.SINGLE(INDEX(#REF!,ROW()-1)),"")</f>
        <v>LIJ-SDF-MACH-Y</v>
      </c>
      <c r="G26">
        <f>IFERROR(_xlfn.SINGLE(INDEX(#REF!,ROW()-1)),"")</f>
        <v>0</v>
      </c>
      <c r="H26">
        <f>IFERROR(_xlfn.SINGLE(INDEX(#REF!,ROW()-1)),"")</f>
        <v>0</v>
      </c>
      <c r="I26">
        <f>IFERROR(_xlfn.SINGLE(INDEX(#REF!,ROW()-1)),"")</f>
        <v>0</v>
      </c>
      <c r="J26">
        <f>IFERROR(_xlfn.SINGLE(INDEX(#REF!,ROW()-1)),"")</f>
        <v>0</v>
      </c>
      <c r="K26">
        <f>IFERROR(_xlfn.SINGLE(INDEX(#REF!,ROW()-1)),"")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IFERROR(_xlfn.SINGLE(INDEX(#REF!,ROW()-1)),"")</f>
        <v>Neuron</v>
      </c>
      <c r="C27" t="str">
        <f>IFERROR(_xlfn.SINGLE(INDEX(#REF!,ROW()-1)),"")</f>
        <v>Yes</v>
      </c>
      <c r="D27" t="str">
        <f>IFERROR(_xlfn.SINGLE(INDEX(#REF!,ROW()-1)),"")</f>
        <v>No</v>
      </c>
      <c r="E27">
        <f>IFERROR(_xlfn.SINGLE(INDEX(#REF!,ROW()-1)),"")</f>
        <v>0</v>
      </c>
      <c r="F27" t="str">
        <f>IFERROR(_xlfn.SINGLE(INDEX(#REF!,ROW()-1)),"")</f>
        <v>LIJ-SDF-MACH-Z</v>
      </c>
      <c r="G27">
        <f>IFERROR(_xlfn.SINGLE(INDEX(#REF!,ROW()-1)),"")</f>
        <v>0</v>
      </c>
      <c r="H27">
        <f>IFERROR(_xlfn.SINGLE(INDEX(#REF!,ROW()-1)),"")</f>
        <v>0</v>
      </c>
      <c r="I27">
        <f>IFERROR(_xlfn.SINGLE(INDEX(#REF!,ROW()-1)),"")</f>
        <v>0</v>
      </c>
      <c r="J27">
        <f>IFERROR(_xlfn.SINGLE(INDEX(#REF!,ROW()-1)),"")</f>
        <v>0</v>
      </c>
      <c r="K27">
        <f>IFERROR(_xlfn.SINGLE(INDEX(#REF!,ROW()-1)),"")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IFERROR(_xlfn.SINGLE(INDEX(#REF!,ROW()-1)),"")</f>
        <v>Neuron</v>
      </c>
      <c r="C28" t="str">
        <f>IFERROR(_xlfn.SINGLE(INDEX(#REF!,ROW()-1)),"")</f>
        <v>Yes</v>
      </c>
      <c r="D28" t="str">
        <f>IFERROR(_xlfn.SINGLE(INDEX(#REF!,ROW()-1)),"")</f>
        <v>No</v>
      </c>
      <c r="E28">
        <f>IFERROR(_xlfn.SINGLE(INDEX(#REF!,ROW()-1)),"")</f>
        <v>0</v>
      </c>
      <c r="F28" t="str">
        <f>IFERROR(_xlfn.SINGLE(INDEX(#REF!,ROW()-1)),"")</f>
        <v>LIJ-SDF-MACH-AA</v>
      </c>
      <c r="G28">
        <f>IFERROR(_xlfn.SINGLE(INDEX(#REF!,ROW()-1)),"")</f>
        <v>0</v>
      </c>
      <c r="H28">
        <f>IFERROR(_xlfn.SINGLE(INDEX(#REF!,ROW()-1)),"")</f>
        <v>0</v>
      </c>
      <c r="I28">
        <f>IFERROR(_xlfn.SINGLE(INDEX(#REF!,ROW()-1)),"")</f>
        <v>0</v>
      </c>
      <c r="J28">
        <f>IFERROR(_xlfn.SINGLE(INDEX(#REF!,ROW()-1)),"")</f>
        <v>0</v>
      </c>
      <c r="K28">
        <f>IFERROR(_xlfn.SINGLE(INDEX(#REF!,ROW()-1)),"")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IFERROR(_xlfn.SINGLE(INDEX(#REF!,ROW()-1)),"")</f>
        <v>Neuron</v>
      </c>
      <c r="C29" t="str">
        <f>IFERROR(_xlfn.SINGLE(INDEX(#REF!,ROW()-1)),"")</f>
        <v>Yes</v>
      </c>
      <c r="D29" t="str">
        <f>IFERROR(_xlfn.SINGLE(INDEX(#REF!,ROW()-1)),"")</f>
        <v>No</v>
      </c>
      <c r="E29">
        <f>IFERROR(_xlfn.SINGLE(INDEX(#REF!,ROW()-1)),"")</f>
        <v>0</v>
      </c>
      <c r="F29" t="str">
        <f>IFERROR(_xlfn.SINGLE(INDEX(#REF!,ROW()-1)),"")</f>
        <v>LIJ-SDF-MACH-AB</v>
      </c>
      <c r="G29">
        <f>IFERROR(_xlfn.SINGLE(INDEX(#REF!,ROW()-1)),"")</f>
        <v>0</v>
      </c>
      <c r="H29">
        <f>IFERROR(_xlfn.SINGLE(INDEX(#REF!,ROW()-1)),"")</f>
        <v>0</v>
      </c>
      <c r="I29">
        <f>IFERROR(_xlfn.SINGLE(INDEX(#REF!,ROW()-1)),"")</f>
        <v>0</v>
      </c>
      <c r="J29">
        <f>IFERROR(_xlfn.SINGLE(INDEX(#REF!,ROW()-1)),"")</f>
        <v>0</v>
      </c>
      <c r="K29">
        <f>IFERROR(_xlfn.SINGLE(INDEX(#REF!,ROW()-1)),"")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IFERROR(_xlfn.SINGLE(INDEX(#REF!,ROW()-1)),"")</f>
        <v>Neuron</v>
      </c>
      <c r="C30" t="str">
        <f>IFERROR(_xlfn.SINGLE(INDEX(#REF!,ROW()-1)),"")</f>
        <v>No</v>
      </c>
      <c r="D30" t="str">
        <f>IFERROR(_xlfn.SINGLE(INDEX(#REF!,ROW()-1)),"")</f>
        <v>No</v>
      </c>
      <c r="E30">
        <f>IFERROR(_xlfn.SINGLE(INDEX(#REF!,ROW()-1)),"")</f>
        <v>0</v>
      </c>
      <c r="F30" t="str">
        <f>IFERROR(_xlfn.SINGLE(INDEX(#REF!,ROW()-1)),"")</f>
        <v>LIJ-SDF-MACH-AC</v>
      </c>
      <c r="G30">
        <f>IFERROR(_xlfn.SINGLE(INDEX(#REF!,ROW()-1)),"")</f>
        <v>0</v>
      </c>
      <c r="H30">
        <f>IFERROR(_xlfn.SINGLE(INDEX(#REF!,ROW()-1)),"")</f>
        <v>0</v>
      </c>
      <c r="I30">
        <f>IFERROR(_xlfn.SINGLE(INDEX(#REF!,ROW()-1)),"")</f>
        <v>0</v>
      </c>
      <c r="J30">
        <f>IFERROR(_xlfn.SINGLE(INDEX(#REF!,ROW()-1)),"")</f>
        <v>0</v>
      </c>
      <c r="K30">
        <f>IFERROR(_xlfn.SINGLE(INDEX(#REF!,ROW()-1)),"")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IFERROR(_xlfn.SINGLE(INDEX(#REF!,ROW()-1)),"")</f>
        <v>Neuron</v>
      </c>
      <c r="C31" t="str">
        <f>IFERROR(_xlfn.SINGLE(INDEX(#REF!,ROW()-1)),"")</f>
        <v>No</v>
      </c>
      <c r="D31" t="str">
        <f>IFERROR(_xlfn.SINGLE(INDEX(#REF!,ROW()-1)),"")</f>
        <v>No</v>
      </c>
      <c r="E31">
        <f>IFERROR(_xlfn.SINGLE(INDEX(#REF!,ROW()-1)),"")</f>
        <v>0</v>
      </c>
      <c r="F31" t="str">
        <f>IFERROR(_xlfn.SINGLE(INDEX(#REF!,ROW()-1)),"")</f>
        <v>LIJ-SDF-MACH-AD</v>
      </c>
      <c r="G31">
        <f>IFERROR(_xlfn.SINGLE(INDEX(#REF!,ROW()-1)),"")</f>
        <v>0</v>
      </c>
      <c r="H31">
        <f>IFERROR(_xlfn.SINGLE(INDEX(#REF!,ROW()-1)),"")</f>
        <v>0</v>
      </c>
      <c r="I31">
        <f>IFERROR(_xlfn.SINGLE(INDEX(#REF!,ROW()-1)),"")</f>
        <v>0</v>
      </c>
      <c r="J31">
        <f>IFERROR(_xlfn.SINGLE(INDEX(#REF!,ROW()-1)),"")</f>
        <v>0</v>
      </c>
      <c r="K31">
        <f>IFERROR(_xlfn.SINGLE(INDEX(#REF!,ROW()-1)),"")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IFERROR(_xlfn.SINGLE(INDEX(#REF!,ROW()-1)),"")</f>
        <v>Neuron</v>
      </c>
      <c r="C32" t="str">
        <f>IFERROR(_xlfn.SINGLE(INDEX(#REF!,ROW()-1)),"")</f>
        <v>No</v>
      </c>
      <c r="D32" t="str">
        <f>IFERROR(_xlfn.SINGLE(INDEX(#REF!,ROW()-1)),"")</f>
        <v>No</v>
      </c>
      <c r="E32">
        <f>IFERROR(_xlfn.SINGLE(INDEX(#REF!,ROW()-1)),"")</f>
        <v>0</v>
      </c>
      <c r="F32" t="str">
        <f>IFERROR(_xlfn.SINGLE(INDEX(#REF!,ROW()-1)),"")</f>
        <v>LIJ-SDF-MACH-AE</v>
      </c>
      <c r="G32">
        <f>IFERROR(_xlfn.SINGLE(INDEX(#REF!,ROW()-1)),"")</f>
        <v>0</v>
      </c>
      <c r="H32">
        <f>IFERROR(_xlfn.SINGLE(INDEX(#REF!,ROW()-1)),"")</f>
        <v>0</v>
      </c>
      <c r="I32">
        <f>IFERROR(_xlfn.SINGLE(INDEX(#REF!,ROW()-1)),"")</f>
        <v>0</v>
      </c>
      <c r="J32">
        <f>IFERROR(_xlfn.SINGLE(INDEX(#REF!,ROW()-1)),"")</f>
        <v>0</v>
      </c>
      <c r="K32">
        <f>IFERROR(_xlfn.SINGLE(INDEX(#REF!,ROW()-1)),"")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IFERROR(_xlfn.SINGLE(INDEX(#REF!,ROW()-1)),"")</f>
        <v>Neuron</v>
      </c>
      <c r="C33" t="str">
        <f>IFERROR(_xlfn.SINGLE(INDEX(#REF!,ROW()-1)),"")</f>
        <v>No</v>
      </c>
      <c r="D33" t="str">
        <f>IFERROR(_xlfn.SINGLE(INDEX(#REF!,ROW()-1)),"")</f>
        <v>No</v>
      </c>
      <c r="E33">
        <f>IFERROR(_xlfn.SINGLE(INDEX(#REF!,ROW()-1)),"")</f>
        <v>0</v>
      </c>
      <c r="F33" t="str">
        <f>IFERROR(_xlfn.SINGLE(INDEX(#REF!,ROW()-1)),"")</f>
        <v>LIJ-SDF-MACH-AF</v>
      </c>
      <c r="G33">
        <f>IFERROR(_xlfn.SINGLE(INDEX(#REF!,ROW()-1)),"")</f>
        <v>0</v>
      </c>
      <c r="H33">
        <f>IFERROR(_xlfn.SINGLE(INDEX(#REF!,ROW()-1)),"")</f>
        <v>0</v>
      </c>
      <c r="I33">
        <f>IFERROR(_xlfn.SINGLE(INDEX(#REF!,ROW()-1)),"")</f>
        <v>0</v>
      </c>
      <c r="J33">
        <f>IFERROR(_xlfn.SINGLE(INDEX(#REF!,ROW()-1)),"")</f>
        <v>0</v>
      </c>
      <c r="K33">
        <f>IFERROR(_xlfn.SINGLE(INDEX(#REF!,ROW()-1)),"")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IFERROR(_xlfn.SINGLE(INDEX(#REF!,ROW()-1)),"")</f>
        <v>Neuron</v>
      </c>
      <c r="C34" t="str">
        <f>IFERROR(_xlfn.SINGLE(INDEX(#REF!,ROW()-1)),"")</f>
        <v>Yes</v>
      </c>
      <c r="D34" t="str">
        <f>IFERROR(_xlfn.SINGLE(INDEX(#REF!,ROW()-1)),"")</f>
        <v>No</v>
      </c>
      <c r="E34">
        <f>IFERROR(_xlfn.SINGLE(INDEX(#REF!,ROW()-1)),"")</f>
        <v>0</v>
      </c>
      <c r="F34" t="str">
        <f>IFERROR(_xlfn.SINGLE(INDEX(#REF!,ROW()-1)),"")</f>
        <v>PBMC-MACH-N</v>
      </c>
      <c r="G34">
        <f>IFERROR(_xlfn.SINGLE(INDEX(#REF!,ROW()-1)),"")</f>
        <v>0</v>
      </c>
      <c r="H34">
        <f>IFERROR(_xlfn.SINGLE(INDEX(#REF!,ROW()-1)),"")</f>
        <v>0</v>
      </c>
      <c r="I34">
        <f>IFERROR(_xlfn.SINGLE(INDEX(#REF!,ROW()-1)),"")</f>
        <v>0</v>
      </c>
      <c r="J34">
        <f>IFERROR(_xlfn.SINGLE(INDEX(#REF!,ROW()-1)),"")</f>
        <v>0</v>
      </c>
      <c r="K34">
        <f>IFERROR(_xlfn.SINGLE(INDEX(#REF!,ROW()-1)),"")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IFERROR(_xlfn.SINGLE(INDEX(#REF!,ROW()-1)),"")</f>
        <v>Cybernet</v>
      </c>
      <c r="C35" t="str">
        <f>IFERROR(_xlfn.SINGLE(INDEX(#REF!,ROW()-1)),"")</f>
        <v>Yes</v>
      </c>
      <c r="D35" t="str">
        <f>IFERROR(_xlfn.SINGLE(INDEX(#REF!,ROW()-1)),"")</f>
        <v>No</v>
      </c>
      <c r="E35" t="str">
        <f>IFERROR(_xlfn.SINGLE(INDEX(#REF!,ROW()-1)),"")</f>
        <v>WRI130OPR045</v>
      </c>
      <c r="F35" t="str">
        <f>IFERROR(_xlfn.SINGLE(INDEX(#REF!,ROW()-1)),"")</f>
        <v>n/a</v>
      </c>
      <c r="G35">
        <f>IFERROR(_xlfn.SINGLE(INDEX(#REF!,ROW()-1)),"")</f>
        <v>0</v>
      </c>
      <c r="H35" t="str">
        <f>IFERROR(_xlfn.SINGLE(INDEX(#REF!,ROW()-1)),"")</f>
        <v>OR Cybernet</v>
      </c>
      <c r="I35">
        <f>IFERROR(_xlfn.SINGLE(INDEX(#REF!,ROW()-1)),"")</f>
        <v>0</v>
      </c>
      <c r="J35">
        <f>IFERROR(_xlfn.SINGLE(INDEX(#REF!,ROW()-1)),"")</f>
        <v>0</v>
      </c>
      <c r="K35">
        <f>IFERROR(_xlfn.SINGLE(INDEX(#REF!,ROW()-1)),"")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IFERROR(_xlfn.SINGLE(INDEX(#REF!,ROW()-1)),"")</f>
        <v>Neuron</v>
      </c>
      <c r="C36" t="str">
        <f>IFERROR(_xlfn.SINGLE(INDEX(#REF!,ROW()-1)),"")</f>
        <v>No</v>
      </c>
      <c r="D36" t="str">
        <f>IFERROR(_xlfn.SINGLE(INDEX(#REF!,ROW()-1)),"")</f>
        <v>No</v>
      </c>
      <c r="E36">
        <f>IFERROR(_xlfn.SINGLE(INDEX(#REF!,ROW()-1)),"")</f>
        <v>0</v>
      </c>
      <c r="F36" t="str">
        <f>IFERROR(_xlfn.SINGLE(INDEX(#REF!,ROW()-1)),"")</f>
        <v>MEETH-MACH-U</v>
      </c>
      <c r="G36">
        <f>IFERROR(_xlfn.SINGLE(INDEX(#REF!,ROW()-1)),"")</f>
        <v>0</v>
      </c>
      <c r="H36">
        <f>IFERROR(_xlfn.SINGLE(INDEX(#REF!,ROW()-1)),"")</f>
        <v>0</v>
      </c>
      <c r="I36">
        <f>IFERROR(_xlfn.SINGLE(INDEX(#REF!,ROW()-1)),"")</f>
        <v>0</v>
      </c>
      <c r="J36">
        <f>IFERROR(_xlfn.SINGLE(INDEX(#REF!,ROW()-1)),"")</f>
        <v>0</v>
      </c>
      <c r="K36">
        <f>IFERROR(_xlfn.SINGLE(INDEX(#REF!,ROW()-1)),"")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IFERROR(_xlfn.SINGLE(INDEX(#REF!,ROW()-1)),"")</f>
        <v>Neuron</v>
      </c>
      <c r="C37" t="str">
        <f>IFERROR(_xlfn.SINGLE(INDEX(#REF!,ROW()-1)),"")</f>
        <v>No</v>
      </c>
      <c r="D37" t="str">
        <f>IFERROR(_xlfn.SINGLE(INDEX(#REF!,ROW()-1)),"")</f>
        <v>No</v>
      </c>
      <c r="E37">
        <f>IFERROR(_xlfn.SINGLE(INDEX(#REF!,ROW()-1)),"")</f>
        <v>0</v>
      </c>
      <c r="F37" t="str">
        <f>IFERROR(_xlfn.SINGLE(INDEX(#REF!,ROW()-1)),"")</f>
        <v>MEETH-MACH-V</v>
      </c>
      <c r="G37">
        <f>IFERROR(_xlfn.SINGLE(INDEX(#REF!,ROW()-1)),"")</f>
        <v>0</v>
      </c>
      <c r="H37">
        <f>IFERROR(_xlfn.SINGLE(INDEX(#REF!,ROW()-1)),"")</f>
        <v>0</v>
      </c>
      <c r="I37">
        <f>IFERROR(_xlfn.SINGLE(INDEX(#REF!,ROW()-1)),"")</f>
        <v>0</v>
      </c>
      <c r="J37">
        <f>IFERROR(_xlfn.SINGLE(INDEX(#REF!,ROW()-1)),"")</f>
        <v>0</v>
      </c>
      <c r="K37">
        <f>IFERROR(_xlfn.SINGLE(INDEX(#REF!,ROW()-1)),"")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IFERROR(_xlfn.SINGLE(INDEX(#REF!,ROW()-1)),"")</f>
        <v>Neuron</v>
      </c>
      <c r="C38" t="str">
        <f>IFERROR(_xlfn.SINGLE(INDEX(#REF!,ROW()-1)),"")</f>
        <v>No</v>
      </c>
      <c r="D38" t="str">
        <f>IFERROR(_xlfn.SINGLE(INDEX(#REF!,ROW()-1)),"")</f>
        <v>No</v>
      </c>
      <c r="E38">
        <f>IFERROR(_xlfn.SINGLE(INDEX(#REF!,ROW()-1)),"")</f>
        <v>0</v>
      </c>
      <c r="F38" t="str">
        <f>IFERROR(_xlfn.SINGLE(INDEX(#REF!,ROW()-1)),"")</f>
        <v>MEETH-MACH-W</v>
      </c>
      <c r="G38">
        <f>IFERROR(_xlfn.SINGLE(INDEX(#REF!,ROW()-1)),"")</f>
        <v>0</v>
      </c>
      <c r="H38">
        <f>IFERROR(_xlfn.SINGLE(INDEX(#REF!,ROW()-1)),"")</f>
        <v>0</v>
      </c>
      <c r="I38">
        <f>IFERROR(_xlfn.SINGLE(INDEX(#REF!,ROW()-1)),"")</f>
        <v>0</v>
      </c>
      <c r="J38">
        <f>IFERROR(_xlfn.SINGLE(INDEX(#REF!,ROW()-1)),"")</f>
        <v>0</v>
      </c>
      <c r="K38">
        <f>IFERROR(_xlfn.SINGLE(INDEX(#REF!,ROW()-1)),"")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IFERROR(_xlfn.SINGLE(INDEX(#REF!,ROW()-1)),"")</f>
        <v>Neuron</v>
      </c>
      <c r="C39" t="str">
        <f>IFERROR(_xlfn.SINGLE(INDEX(#REF!,ROW()-1)),"")</f>
        <v>No</v>
      </c>
      <c r="D39" t="str">
        <f>IFERROR(_xlfn.SINGLE(INDEX(#REF!,ROW()-1)),"")</f>
        <v>No</v>
      </c>
      <c r="E39">
        <f>IFERROR(_xlfn.SINGLE(INDEX(#REF!,ROW()-1)),"")</f>
        <v>0</v>
      </c>
      <c r="F39" t="str">
        <f>IFERROR(_xlfn.SINGLE(INDEX(#REF!,ROW()-1)),"")</f>
        <v>ZHH-MACH-A</v>
      </c>
      <c r="G39">
        <f>IFERROR(_xlfn.SINGLE(INDEX(#REF!,ROW()-1)),"")</f>
        <v>0</v>
      </c>
      <c r="H39">
        <f>IFERROR(_xlfn.SINGLE(INDEX(#REF!,ROW()-1)),"")</f>
        <v>0</v>
      </c>
      <c r="I39">
        <f>IFERROR(_xlfn.SINGLE(INDEX(#REF!,ROW()-1)),"")</f>
        <v>0</v>
      </c>
      <c r="J39">
        <f>IFERROR(_xlfn.SINGLE(INDEX(#REF!,ROW()-1)),"")</f>
        <v>0</v>
      </c>
      <c r="K39">
        <f>IFERROR(_xlfn.SINGLE(INDEX(#REF!,ROW()-1)),"")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IFERROR(_xlfn.SINGLE(INDEX(#REF!,ROW()-1)),"")</f>
        <v>Neuron</v>
      </c>
      <c r="C40" t="str">
        <f>IFERROR(_xlfn.SINGLE(INDEX(#REF!,ROW()-1)),"")</f>
        <v>No</v>
      </c>
      <c r="D40" t="str">
        <f>IFERROR(_xlfn.SINGLE(INDEX(#REF!,ROW()-1)),"")</f>
        <v>No</v>
      </c>
      <c r="E40">
        <f>IFERROR(_xlfn.SINGLE(INDEX(#REF!,ROW()-1)),"")</f>
        <v>0</v>
      </c>
      <c r="F40" t="str">
        <f>IFERROR(_xlfn.SINGLE(INDEX(#REF!,ROW()-1)),"")</f>
        <v>ZHH-MACH-B</v>
      </c>
      <c r="G40">
        <f>IFERROR(_xlfn.SINGLE(INDEX(#REF!,ROW()-1)),"")</f>
        <v>0</v>
      </c>
      <c r="H40">
        <f>IFERROR(_xlfn.SINGLE(INDEX(#REF!,ROW()-1)),"")</f>
        <v>0</v>
      </c>
      <c r="I40">
        <f>IFERROR(_xlfn.SINGLE(INDEX(#REF!,ROW()-1)),"")</f>
        <v>0</v>
      </c>
      <c r="J40">
        <f>IFERROR(_xlfn.SINGLE(INDEX(#REF!,ROW()-1)),"")</f>
        <v>0</v>
      </c>
      <c r="K40">
        <f>IFERROR(_xlfn.SINGLE(INDEX(#REF!,ROW()-1)),"")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IFERROR(_xlfn.SINGLE(INDEX(#REF!,ROW()-1)),"")</f>
        <v>Neuron</v>
      </c>
      <c r="C41" t="str">
        <f>IFERROR(_xlfn.SINGLE(INDEX(#REF!,ROW()-1)),"")</f>
        <v>No</v>
      </c>
      <c r="D41" t="str">
        <f>IFERROR(_xlfn.SINGLE(INDEX(#REF!,ROW()-1)),"")</f>
        <v>No</v>
      </c>
      <c r="E41">
        <f>IFERROR(_xlfn.SINGLE(INDEX(#REF!,ROW()-1)),"")</f>
        <v>0</v>
      </c>
      <c r="F41" t="str">
        <f>IFERROR(_xlfn.SINGLE(INDEX(#REF!,ROW()-1)),"")</f>
        <v>ZHH-MACH-C</v>
      </c>
      <c r="G41">
        <f>IFERROR(_xlfn.SINGLE(INDEX(#REF!,ROW()-1)),"")</f>
        <v>0</v>
      </c>
      <c r="H41">
        <f>IFERROR(_xlfn.SINGLE(INDEX(#REF!,ROW()-1)),"")</f>
        <v>0</v>
      </c>
      <c r="I41">
        <f>IFERROR(_xlfn.SINGLE(INDEX(#REF!,ROW()-1)),"")</f>
        <v>0</v>
      </c>
      <c r="J41">
        <f>IFERROR(_xlfn.SINGLE(INDEX(#REF!,ROW()-1)),"")</f>
        <v>0</v>
      </c>
      <c r="K41">
        <f>IFERROR(_xlfn.SINGLE(INDEX(#REF!,ROW()-1)),"")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IFERROR(_xlfn.SINGLE(INDEX(#REF!,ROW()-1)),"")</f>
        <v>Neuron</v>
      </c>
      <c r="C42" t="str">
        <f>IFERROR(_xlfn.SINGLE(INDEX(#REF!,ROW()-1)),"")</f>
        <v>No</v>
      </c>
      <c r="D42" t="str">
        <f>IFERROR(_xlfn.SINGLE(INDEX(#REF!,ROW()-1)),"")</f>
        <v>No</v>
      </c>
      <c r="E42">
        <f>IFERROR(_xlfn.SINGLE(INDEX(#REF!,ROW()-1)),"")</f>
        <v>0</v>
      </c>
      <c r="F42" t="str">
        <f>IFERROR(_xlfn.SINGLE(INDEX(#REF!,ROW()-1)),"")</f>
        <v>CCMC-MACH-A</v>
      </c>
      <c r="G42">
        <f>IFERROR(_xlfn.SINGLE(INDEX(#REF!,ROW()-1)),"")</f>
        <v>0</v>
      </c>
      <c r="H42">
        <f>IFERROR(_xlfn.SINGLE(INDEX(#REF!,ROW()-1)),"")</f>
        <v>0</v>
      </c>
      <c r="I42">
        <f>IFERROR(_xlfn.SINGLE(INDEX(#REF!,ROW()-1)),"")</f>
        <v>0</v>
      </c>
      <c r="J42">
        <f>IFERROR(_xlfn.SINGLE(INDEX(#REF!,ROW()-1)),"")</f>
        <v>0</v>
      </c>
      <c r="K42">
        <f>IFERROR(_xlfn.SINGLE(INDEX(#REF!,ROW()-1)),"")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IFERROR(_xlfn.SINGLE(INDEX(#REF!,ROW()-1)),"")</f>
        <v>Neuron</v>
      </c>
      <c r="C43" t="str">
        <f>IFERROR(_xlfn.SINGLE(INDEX(#REF!,ROW()-1)),"")</f>
        <v>No</v>
      </c>
      <c r="D43" t="str">
        <f>IFERROR(_xlfn.SINGLE(INDEX(#REF!,ROW()-1)),"")</f>
        <v>No</v>
      </c>
      <c r="E43">
        <f>IFERROR(_xlfn.SINGLE(INDEX(#REF!,ROW()-1)),"")</f>
        <v>0</v>
      </c>
      <c r="F43" t="str">
        <f>IFERROR(_xlfn.SINGLE(INDEX(#REF!,ROW()-1)),"")</f>
        <v>GCH-MACH-E</v>
      </c>
      <c r="G43">
        <f>IFERROR(_xlfn.SINGLE(INDEX(#REF!,ROW()-1)),"")</f>
        <v>0</v>
      </c>
      <c r="H43">
        <f>IFERROR(_xlfn.SINGLE(INDEX(#REF!,ROW()-1)),"")</f>
        <v>0</v>
      </c>
      <c r="I43">
        <f>IFERROR(_xlfn.SINGLE(INDEX(#REF!,ROW()-1)),"")</f>
        <v>0</v>
      </c>
      <c r="J43">
        <f>IFERROR(_xlfn.SINGLE(INDEX(#REF!,ROW()-1)),"")</f>
        <v>0</v>
      </c>
      <c r="K43">
        <f>IFERROR(_xlfn.SINGLE(INDEX(#REF!,ROW()-1)),"")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IFERROR(_xlfn.SINGLE(INDEX(#REF!,ROW()-1)),"")</f>
        <v>Neuron</v>
      </c>
      <c r="C44" t="str">
        <f>IFERROR(_xlfn.SINGLE(INDEX(#REF!,ROW()-1)),"")</f>
        <v>No</v>
      </c>
      <c r="D44" t="str">
        <f>IFERROR(_xlfn.SINGLE(INDEX(#REF!,ROW()-1)),"")</f>
        <v>No</v>
      </c>
      <c r="E44">
        <f>IFERROR(_xlfn.SINGLE(INDEX(#REF!,ROW()-1)),"")</f>
        <v>0</v>
      </c>
      <c r="F44" t="str">
        <f>IFERROR(_xlfn.SINGLE(INDEX(#REF!,ROW()-1)),"")</f>
        <v>GCH-MACH-F</v>
      </c>
      <c r="G44">
        <f>IFERROR(_xlfn.SINGLE(INDEX(#REF!,ROW()-1)),"")</f>
        <v>0</v>
      </c>
      <c r="H44">
        <f>IFERROR(_xlfn.SINGLE(INDEX(#REF!,ROW()-1)),"")</f>
        <v>0</v>
      </c>
      <c r="I44">
        <f>IFERROR(_xlfn.SINGLE(INDEX(#REF!,ROW()-1)),"")</f>
        <v>0</v>
      </c>
      <c r="J44">
        <f>IFERROR(_xlfn.SINGLE(INDEX(#REF!,ROW()-1)),"")</f>
        <v>0</v>
      </c>
      <c r="K44">
        <f>IFERROR(_xlfn.SINGLE(INDEX(#REF!,ROW()-1)),"")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IFERROR(_xlfn.SINGLE(INDEX(#REF!,ROW()-1)),"")</f>
        <v>Neuron</v>
      </c>
      <c r="C45" t="str">
        <f>IFERROR(_xlfn.SINGLE(INDEX(#REF!,ROW()-1)),"")</f>
        <v>No</v>
      </c>
      <c r="D45" t="str">
        <f>IFERROR(_xlfn.SINGLE(INDEX(#REF!,ROW()-1)),"")</f>
        <v>No</v>
      </c>
      <c r="E45">
        <f>IFERROR(_xlfn.SINGLE(INDEX(#REF!,ROW()-1)),"")</f>
        <v>0</v>
      </c>
      <c r="F45" t="str">
        <f>IFERROR(_xlfn.SINGLE(INDEX(#REF!,ROW()-1)),"")</f>
        <v>GCH-MACH-G</v>
      </c>
      <c r="G45">
        <f>IFERROR(_xlfn.SINGLE(INDEX(#REF!,ROW()-1)),"")</f>
        <v>0</v>
      </c>
      <c r="H45">
        <f>IFERROR(_xlfn.SINGLE(INDEX(#REF!,ROW()-1)),"")</f>
        <v>0</v>
      </c>
      <c r="I45">
        <f>IFERROR(_xlfn.SINGLE(INDEX(#REF!,ROW()-1)),"")</f>
        <v>0</v>
      </c>
      <c r="J45">
        <f>IFERROR(_xlfn.SINGLE(INDEX(#REF!,ROW()-1)),"")</f>
        <v>0</v>
      </c>
      <c r="K45">
        <f>IFERROR(_xlfn.SINGLE(INDEX(#REF!,ROW()-1)),"")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IFERROR(_xlfn.SINGLE(INDEX(#REF!,ROW()-1)),"")</f>
        <v>Neuron</v>
      </c>
      <c r="C46" t="str">
        <f>IFERROR(_xlfn.SINGLE(INDEX(#REF!,ROW()-1)),"")</f>
        <v>No</v>
      </c>
      <c r="D46" t="str">
        <f>IFERROR(_xlfn.SINGLE(INDEX(#REF!,ROW()-1)),"")</f>
        <v>No</v>
      </c>
      <c r="E46">
        <f>IFERROR(_xlfn.SINGLE(INDEX(#REF!,ROW()-1)),"")</f>
        <v>0</v>
      </c>
      <c r="F46" t="str">
        <f>IFERROR(_xlfn.SINGLE(INDEX(#REF!,ROW()-1)),"")</f>
        <v>GCH-MACH-H</v>
      </c>
      <c r="G46">
        <f>IFERROR(_xlfn.SINGLE(INDEX(#REF!,ROW()-1)),"")</f>
        <v>0</v>
      </c>
      <c r="H46">
        <f>IFERROR(_xlfn.SINGLE(INDEX(#REF!,ROW()-1)),"")</f>
        <v>0</v>
      </c>
      <c r="I46">
        <f>IFERROR(_xlfn.SINGLE(INDEX(#REF!,ROW()-1)),"")</f>
        <v>0</v>
      </c>
      <c r="J46">
        <f>IFERROR(_xlfn.SINGLE(INDEX(#REF!,ROW()-1)),"")</f>
        <v>0</v>
      </c>
      <c r="K46">
        <f>IFERROR(_xlfn.SINGLE(INDEX(#REF!,ROW()-1)),"")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IFERROR(_xlfn.SINGLE(INDEX(#REF!,ROW()-1)),"")</f>
        <v>Neuron</v>
      </c>
      <c r="C47" t="str">
        <f>IFERROR(_xlfn.SINGLE(INDEX(#REF!,ROW()-1)),"")</f>
        <v>No</v>
      </c>
      <c r="D47" t="str">
        <f>IFERROR(_xlfn.SINGLE(INDEX(#REF!,ROW()-1)),"")</f>
        <v>No</v>
      </c>
      <c r="E47">
        <f>IFERROR(_xlfn.SINGLE(INDEX(#REF!,ROW()-1)),"")</f>
        <v>0</v>
      </c>
      <c r="F47" t="str">
        <f>IFERROR(_xlfn.SINGLE(INDEX(#REF!,ROW()-1)),"")</f>
        <v>GCH-MACH-I</v>
      </c>
      <c r="G47">
        <f>IFERROR(_xlfn.SINGLE(INDEX(#REF!,ROW()-1)),"")</f>
        <v>0</v>
      </c>
      <c r="H47">
        <f>IFERROR(_xlfn.SINGLE(INDEX(#REF!,ROW()-1)),"")</f>
        <v>0</v>
      </c>
      <c r="I47">
        <f>IFERROR(_xlfn.SINGLE(INDEX(#REF!,ROW()-1)),"")</f>
        <v>0</v>
      </c>
      <c r="J47">
        <f>IFERROR(_xlfn.SINGLE(INDEX(#REF!,ROW()-1)),"")</f>
        <v>0</v>
      </c>
      <c r="K47">
        <f>IFERROR(_xlfn.SINGLE(INDEX(#REF!,ROW()-1)),"")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IFERROR(_xlfn.SINGLE(INDEX(#REF!,ROW()-1)),"")</f>
        <v>Neuron</v>
      </c>
      <c r="C48" t="str">
        <f>IFERROR(_xlfn.SINGLE(INDEX(#REF!,ROW()-1)),"")</f>
        <v>No</v>
      </c>
      <c r="D48" t="str">
        <f>IFERROR(_xlfn.SINGLE(INDEX(#REF!,ROW()-1)),"")</f>
        <v>No</v>
      </c>
      <c r="E48">
        <f>IFERROR(_xlfn.SINGLE(INDEX(#REF!,ROW()-1)),"")</f>
        <v>0</v>
      </c>
      <c r="F48" t="str">
        <f>IFERROR(_xlfn.SINGLE(INDEX(#REF!,ROW()-1)),"")</f>
        <v>GCH-MACH-J</v>
      </c>
      <c r="G48">
        <f>IFERROR(_xlfn.SINGLE(INDEX(#REF!,ROW()-1)),"")</f>
        <v>0</v>
      </c>
      <c r="H48">
        <f>IFERROR(_xlfn.SINGLE(INDEX(#REF!,ROW()-1)),"")</f>
        <v>0</v>
      </c>
      <c r="I48">
        <f>IFERROR(_xlfn.SINGLE(INDEX(#REF!,ROW()-1)),"")</f>
        <v>0</v>
      </c>
      <c r="J48">
        <f>IFERROR(_xlfn.SINGLE(INDEX(#REF!,ROW()-1)),"")</f>
        <v>0</v>
      </c>
      <c r="K48">
        <f>IFERROR(_xlfn.SINGLE(INDEX(#REF!,ROW()-1)),"")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IFERROR(_xlfn.SINGLE(INDEX(#REF!,ROW()-1)),"")</f>
        <v>Neuron</v>
      </c>
      <c r="C49" t="str">
        <f>IFERROR(_xlfn.SINGLE(INDEX(#REF!,ROW()-1)),"")</f>
        <v>No</v>
      </c>
      <c r="D49" t="str">
        <f>IFERROR(_xlfn.SINGLE(INDEX(#REF!,ROW()-1)),"")</f>
        <v>No</v>
      </c>
      <c r="E49">
        <f>IFERROR(_xlfn.SINGLE(INDEX(#REF!,ROW()-1)),"")</f>
        <v>0</v>
      </c>
      <c r="F49" t="str">
        <f>IFERROR(_xlfn.SINGLE(INDEX(#REF!,ROW()-1)),"")</f>
        <v>GCH-MACH-K</v>
      </c>
      <c r="G49">
        <f>IFERROR(_xlfn.SINGLE(INDEX(#REF!,ROW()-1)),"")</f>
        <v>0</v>
      </c>
      <c r="H49">
        <f>IFERROR(_xlfn.SINGLE(INDEX(#REF!,ROW()-1)),"")</f>
        <v>0</v>
      </c>
      <c r="I49">
        <f>IFERROR(_xlfn.SINGLE(INDEX(#REF!,ROW()-1)),"")</f>
        <v>0</v>
      </c>
      <c r="J49">
        <f>IFERROR(_xlfn.SINGLE(INDEX(#REF!,ROW()-1)),"")</f>
        <v>0</v>
      </c>
      <c r="K49">
        <f>IFERROR(_xlfn.SINGLE(INDEX(#REF!,ROW()-1)),"")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IFERROR(_xlfn.SINGLE(INDEX(#REF!,ROW()-1)),"")</f>
        <v>Cybernet</v>
      </c>
      <c r="C50" t="str">
        <f>IFERROR(_xlfn.SINGLE(INDEX(#REF!,ROW()-1)),"")</f>
        <v>No</v>
      </c>
      <c r="D50" t="str">
        <f>IFERROR(_xlfn.SINGLE(INDEX(#REF!,ROW()-1)),"")</f>
        <v>No</v>
      </c>
      <c r="E50" t="str">
        <f>IFERROR(_xlfn.SINGLE(INDEX(#REF!,ROW()-1)),"")</f>
        <v>WNH270INR001</v>
      </c>
      <c r="F50">
        <f>IFERROR(_xlfn.SINGLE(INDEX(#REF!,ROW()-1)),"")</f>
        <v>0</v>
      </c>
      <c r="G50" t="str">
        <f>IFERROR(_xlfn.SINGLE(INDEX(#REF!,ROW()-1)),"")</f>
        <v>iPro
Epic Satellite
ALLSCRIPTS
EPIC BCA</v>
      </c>
      <c r="H50" t="str">
        <f>IFERROR(_xlfn.SINGLE(INDEX(#REF!,ROW()-1)),"")</f>
        <v>OR iPro Cybernet Workstation</v>
      </c>
      <c r="I50">
        <f>IFERROR(_xlfn.SINGLE(INDEX(#REF!,ROW()-1)),"")</f>
        <v>0</v>
      </c>
      <c r="J50">
        <f>IFERROR(_xlfn.SINGLE(INDEX(#REF!,ROW()-1)),"")</f>
        <v>0</v>
      </c>
      <c r="K50">
        <f>IFERROR(_xlfn.SINGLE(INDEX(#REF!,ROW()-1)),"")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IFERROR(_xlfn.SINGLE(INDEX(#REF!,ROW()-1)),"")</f>
        <v>Cybernet</v>
      </c>
      <c r="C51" t="str">
        <f>IFERROR(_xlfn.SINGLE(INDEX(#REF!,ROW()-1)),"")</f>
        <v>No</v>
      </c>
      <c r="D51" t="str">
        <f>IFERROR(_xlfn.SINGLE(INDEX(#REF!,ROW()-1)),"")</f>
        <v>No</v>
      </c>
      <c r="E51" t="str">
        <f>IFERROR(_xlfn.SINGLE(INDEX(#REF!,ROW()-1)),"")</f>
        <v>WNH270INR002</v>
      </c>
      <c r="F51">
        <f>IFERROR(_xlfn.SINGLE(INDEX(#REF!,ROW()-1)),"")</f>
        <v>0</v>
      </c>
      <c r="G51" t="str">
        <f>IFERROR(_xlfn.SINGLE(INDEX(#REF!,ROW()-1)),"")</f>
        <v>iPro
Epic Satellite
ALLSCRIPTS
EPIC BCA</v>
      </c>
      <c r="H51" t="str">
        <f>IFERROR(_xlfn.SINGLE(INDEX(#REF!,ROW()-1)),"")</f>
        <v>OR iPro Cybernet Workstation</v>
      </c>
      <c r="I51">
        <f>IFERROR(_xlfn.SINGLE(INDEX(#REF!,ROW()-1)),"")</f>
        <v>0</v>
      </c>
      <c r="J51">
        <f>IFERROR(_xlfn.SINGLE(INDEX(#REF!,ROW()-1)),"")</f>
        <v>0</v>
      </c>
      <c r="K51">
        <f>IFERROR(_xlfn.SINGLE(INDEX(#REF!,ROW()-1)),"")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IFERROR(_xlfn.SINGLE(INDEX(#REF!,ROW()-1)),"")</f>
        <v>Cybernet</v>
      </c>
      <c r="C52" t="str">
        <f>IFERROR(_xlfn.SINGLE(INDEX(#REF!,ROW()-1)),"")</f>
        <v>No</v>
      </c>
      <c r="D52" t="str">
        <f>IFERROR(_xlfn.SINGLE(INDEX(#REF!,ROW()-1)),"")</f>
        <v>No</v>
      </c>
      <c r="E52" t="str">
        <f>IFERROR(_xlfn.SINGLE(INDEX(#REF!,ROW()-1)),"")</f>
        <v>WNY210OPR053</v>
      </c>
      <c r="F52">
        <f>IFERROR(_xlfn.SINGLE(INDEX(#REF!,ROW()-1)),"")</f>
        <v>0</v>
      </c>
      <c r="G52" t="str">
        <f>IFERROR(_xlfn.SINGLE(INDEX(#REF!,ROW()-1)),"")</f>
        <v>iPro
Epic Satellite
ALLSCRIPTS
EPIC BCA</v>
      </c>
      <c r="H52" t="str">
        <f>IFERROR(_xlfn.SINGLE(INDEX(#REF!,ROW()-1)),"")</f>
        <v>OR iPro Cybernet Workstation</v>
      </c>
      <c r="I52">
        <f>IFERROR(_xlfn.SINGLE(INDEX(#REF!,ROW()-1)),"")</f>
        <v>0</v>
      </c>
      <c r="J52">
        <f>IFERROR(_xlfn.SINGLE(INDEX(#REF!,ROW()-1)),"")</f>
        <v>0</v>
      </c>
      <c r="K52">
        <f>IFERROR(_xlfn.SINGLE(INDEX(#REF!,ROW()-1)),"")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IFERROR(_xlfn.SINGLE(INDEX(#REF!,ROW()-1)),"")</f>
        <v>Cybernet</v>
      </c>
      <c r="C53" t="str">
        <f>IFERROR(_xlfn.SINGLE(INDEX(#REF!,ROW()-1)),"")</f>
        <v>No</v>
      </c>
      <c r="D53" t="str">
        <f>IFERROR(_xlfn.SINGLE(INDEX(#REF!,ROW()-1)),"")</f>
        <v>No</v>
      </c>
      <c r="E53" t="str">
        <f>IFERROR(_xlfn.SINGLE(INDEX(#REF!,ROW()-1)),"")</f>
        <v>WNY210OPR054</v>
      </c>
      <c r="F53">
        <f>IFERROR(_xlfn.SINGLE(INDEX(#REF!,ROW()-1)),"")</f>
        <v>0</v>
      </c>
      <c r="G53" t="str">
        <f>IFERROR(_xlfn.SINGLE(INDEX(#REF!,ROW()-1)),"")</f>
        <v>iPro
Epic Satellite
ALLSCRIPTS
EPIC BCA</v>
      </c>
      <c r="H53" t="str">
        <f>IFERROR(_xlfn.SINGLE(INDEX(#REF!,ROW()-1)),"")</f>
        <v>OR iPro Cybernet Workstation</v>
      </c>
      <c r="I53">
        <f>IFERROR(_xlfn.SINGLE(INDEX(#REF!,ROW()-1)),"")</f>
        <v>0</v>
      </c>
      <c r="J53">
        <f>IFERROR(_xlfn.SINGLE(INDEX(#REF!,ROW()-1)),"")</f>
        <v>0</v>
      </c>
      <c r="K53">
        <f>IFERROR(_xlfn.SINGLE(INDEX(#REF!,ROW()-1)),"")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IFERROR(_xlfn.SINGLE(INDEX(#REF!,ROW()-1)),"")</f>
        <v>Cybernet</v>
      </c>
      <c r="C54" t="str">
        <f>IFERROR(_xlfn.SINGLE(INDEX(#REF!,ROW()-1)),"")</f>
        <v>No</v>
      </c>
      <c r="D54" t="str">
        <f>IFERROR(_xlfn.SINGLE(INDEX(#REF!,ROW()-1)),"")</f>
        <v>No</v>
      </c>
      <c r="E54" t="str">
        <f>IFERROR(_xlfn.SINGLE(INDEX(#REF!,ROW()-1)),"")</f>
        <v>WMH300OPR336</v>
      </c>
      <c r="F54">
        <f>IFERROR(_xlfn.SINGLE(INDEX(#REF!,ROW()-1)),"")</f>
        <v>0</v>
      </c>
      <c r="G54" t="str">
        <f>IFERROR(_xlfn.SINGLE(INDEX(#REF!,ROW()-1)),"")</f>
        <v>iPro
Epic Satellite
ALLSCRIPTS
EPIC BCA</v>
      </c>
      <c r="H54" t="str">
        <f>IFERROR(_xlfn.SINGLE(INDEX(#REF!,ROW()-1)),"")</f>
        <v>OR iPro Cybernet Workstation</v>
      </c>
      <c r="I54">
        <f>IFERROR(_xlfn.SINGLE(INDEX(#REF!,ROW()-1)),"")</f>
        <v>0</v>
      </c>
      <c r="J54">
        <f>IFERROR(_xlfn.SINGLE(INDEX(#REF!,ROW()-1)),"")</f>
        <v>0</v>
      </c>
      <c r="K54">
        <f>IFERROR(_xlfn.SINGLE(INDEX(#REF!,ROW()-1)),"")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IFERROR(_xlfn.SINGLE(INDEX(#REF!,ROW()-1)),"")</f>
        <v>Cybernet</v>
      </c>
      <c r="C55" t="str">
        <f>IFERROR(_xlfn.SINGLE(INDEX(#REF!,ROW()-1)),"")</f>
        <v>No</v>
      </c>
      <c r="D55" t="str">
        <f>IFERROR(_xlfn.SINGLE(INDEX(#REF!,ROW()-1)),"")</f>
        <v>No</v>
      </c>
      <c r="E55" t="str">
        <f>IFERROR(_xlfn.SINGLE(INDEX(#REF!,ROW()-1)),"")</f>
        <v>WMH300OPR337</v>
      </c>
      <c r="F55">
        <f>IFERROR(_xlfn.SINGLE(INDEX(#REF!,ROW()-1)),"")</f>
        <v>0</v>
      </c>
      <c r="G55" t="str">
        <f>IFERROR(_xlfn.SINGLE(INDEX(#REF!,ROW()-1)),"")</f>
        <v>iPro
Epic Satellite
ALLSCRIPTS
EPIC BCA</v>
      </c>
      <c r="H55" t="str">
        <f>IFERROR(_xlfn.SINGLE(INDEX(#REF!,ROW()-1)),"")</f>
        <v>OR iPro Cybernet Workstation</v>
      </c>
      <c r="I55">
        <f>IFERROR(_xlfn.SINGLE(INDEX(#REF!,ROW()-1)),"")</f>
        <v>0</v>
      </c>
      <c r="J55">
        <f>IFERROR(_xlfn.SINGLE(INDEX(#REF!,ROW()-1)),"")</f>
        <v>0</v>
      </c>
      <c r="K55">
        <f>IFERROR(_xlfn.SINGLE(INDEX(#REF!,ROW()-1)),"")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IFERROR(_xlfn.SINGLE(INDEX(#REF!,ROW()-1)),"")</f>
        <v>Cybernet</v>
      </c>
      <c r="C56" t="str">
        <f>IFERROR(_xlfn.SINGLE(INDEX(#REF!,ROW()-1)),"")</f>
        <v>No</v>
      </c>
      <c r="D56" t="str">
        <f>IFERROR(_xlfn.SINGLE(INDEX(#REF!,ROW()-1)),"")</f>
        <v>No</v>
      </c>
      <c r="E56" t="str">
        <f>IFERROR(_xlfn.SINGLE(INDEX(#REF!,ROW()-1)),"")</f>
        <v>WMH300OPR338</v>
      </c>
      <c r="F56">
        <f>IFERROR(_xlfn.SINGLE(INDEX(#REF!,ROW()-1)),"")</f>
        <v>0</v>
      </c>
      <c r="G56" t="str">
        <f>IFERROR(_xlfn.SINGLE(INDEX(#REF!,ROW()-1)),"")</f>
        <v>iPro
Epic Satellite
ALLSCRIPTS
EPIC BCA</v>
      </c>
      <c r="H56" t="str">
        <f>IFERROR(_xlfn.SINGLE(INDEX(#REF!,ROW()-1)),"")</f>
        <v>OR iPro Cybernet Workstation</v>
      </c>
      <c r="I56">
        <f>IFERROR(_xlfn.SINGLE(INDEX(#REF!,ROW()-1)),"")</f>
        <v>0</v>
      </c>
      <c r="J56">
        <f>IFERROR(_xlfn.SINGLE(INDEX(#REF!,ROW()-1)),"")</f>
        <v>0</v>
      </c>
      <c r="K56">
        <f>IFERROR(_xlfn.SINGLE(INDEX(#REF!,ROW()-1)),"")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IFERROR(_xlfn.SINGLE(INDEX(#REF!,ROW()-1)),"")</f>
        <v>Cybernet</v>
      </c>
      <c r="C57" t="str">
        <f>IFERROR(_xlfn.SINGLE(INDEX(#REF!,ROW()-1)),"")</f>
        <v>No</v>
      </c>
      <c r="D57" t="str">
        <f>IFERROR(_xlfn.SINGLE(INDEX(#REF!,ROW()-1)),"")</f>
        <v>No</v>
      </c>
      <c r="E57" t="str">
        <f>IFERROR(_xlfn.SINGLE(INDEX(#REF!,ROW()-1)),"")</f>
        <v>WMH300OPR339</v>
      </c>
      <c r="F57">
        <f>IFERROR(_xlfn.SINGLE(INDEX(#REF!,ROW()-1)),"")</f>
        <v>0</v>
      </c>
      <c r="G57" t="str">
        <f>IFERROR(_xlfn.SINGLE(INDEX(#REF!,ROW()-1)),"")</f>
        <v>iPro
Epic Satellite
ALLSCRIPTS
EPIC BCA</v>
      </c>
      <c r="H57" t="str">
        <f>IFERROR(_xlfn.SINGLE(INDEX(#REF!,ROW()-1)),"")</f>
        <v>OR iPro Cybernet Workstation</v>
      </c>
      <c r="I57">
        <f>IFERROR(_xlfn.SINGLE(INDEX(#REF!,ROW()-1)),"")</f>
        <v>0</v>
      </c>
      <c r="J57">
        <f>IFERROR(_xlfn.SINGLE(INDEX(#REF!,ROW()-1)),"")</f>
        <v>0</v>
      </c>
      <c r="K57">
        <f>IFERROR(_xlfn.SINGLE(INDEX(#REF!,ROW()-1)),"")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IFERROR(_xlfn.SINGLE(INDEX(#REF!,ROW()-1)),"")</f>
        <v>Cybernet</v>
      </c>
      <c r="C58" t="str">
        <f>IFERROR(_xlfn.SINGLE(INDEX(#REF!,ROW()-1)),"")</f>
        <v>No</v>
      </c>
      <c r="D58" t="str">
        <f>IFERROR(_xlfn.SINGLE(INDEX(#REF!,ROW()-1)),"")</f>
        <v>No</v>
      </c>
      <c r="E58" t="str">
        <f>IFERROR(_xlfn.SINGLE(INDEX(#REF!,ROW()-1)),"")</f>
        <v>WMH300OPR340</v>
      </c>
      <c r="F58">
        <f>IFERROR(_xlfn.SINGLE(INDEX(#REF!,ROW()-1)),"")</f>
        <v>0</v>
      </c>
      <c r="G58" t="str">
        <f>IFERROR(_xlfn.SINGLE(INDEX(#REF!,ROW()-1)),"")</f>
        <v>iPro
Epic Satellite
ALLSCRIPTS
EPIC BCA</v>
      </c>
      <c r="H58" t="str">
        <f>IFERROR(_xlfn.SINGLE(INDEX(#REF!,ROW()-1)),"")</f>
        <v>OR iPro Cybernet Workstation</v>
      </c>
      <c r="I58">
        <f>IFERROR(_xlfn.SINGLE(INDEX(#REF!,ROW()-1)),"")</f>
        <v>0</v>
      </c>
      <c r="J58">
        <f>IFERROR(_xlfn.SINGLE(INDEX(#REF!,ROW()-1)),"")</f>
        <v>0</v>
      </c>
      <c r="K58">
        <f>IFERROR(_xlfn.SINGLE(INDEX(#REF!,ROW()-1)),"")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IFERROR(_xlfn.SINGLE(INDEX(#REF!,ROW()-1)),"")</f>
        <v>Cybernet</v>
      </c>
      <c r="C59" t="str">
        <f>IFERROR(_xlfn.SINGLE(INDEX(#REF!,ROW()-1)),"")</f>
        <v>No</v>
      </c>
      <c r="D59" t="str">
        <f>IFERROR(_xlfn.SINGLE(INDEX(#REF!,ROW()-1)),"")</f>
        <v>No</v>
      </c>
      <c r="E59" t="str">
        <f>IFERROR(_xlfn.SINGLE(INDEX(#REF!,ROW()-1)),"")</f>
        <v>WMH300OPR341</v>
      </c>
      <c r="F59">
        <f>IFERROR(_xlfn.SINGLE(INDEX(#REF!,ROW()-1)),"")</f>
        <v>0</v>
      </c>
      <c r="G59" t="str">
        <f>IFERROR(_xlfn.SINGLE(INDEX(#REF!,ROW()-1)),"")</f>
        <v>iPro
Epic Satellite
ALLSCRIPTS
EPIC BCA</v>
      </c>
      <c r="H59" t="str">
        <f>IFERROR(_xlfn.SINGLE(INDEX(#REF!,ROW()-1)),"")</f>
        <v>OR iPro Cybernet Workstation</v>
      </c>
      <c r="I59">
        <f>IFERROR(_xlfn.SINGLE(INDEX(#REF!,ROW()-1)),"")</f>
        <v>0</v>
      </c>
      <c r="J59">
        <f>IFERROR(_xlfn.SINGLE(INDEX(#REF!,ROW()-1)),"")</f>
        <v>0</v>
      </c>
      <c r="K59">
        <f>IFERROR(_xlfn.SINGLE(INDEX(#REF!,ROW()-1)),"")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IFERROR(_xlfn.SINGLE(INDEX(#REF!,ROW()-1)),"")</f>
        <v>Cybernet</v>
      </c>
      <c r="C60" t="str">
        <f>IFERROR(_xlfn.SINGLE(INDEX(#REF!,ROW()-1)),"")</f>
        <v>No</v>
      </c>
      <c r="D60" t="str">
        <f>IFERROR(_xlfn.SINGLE(INDEX(#REF!,ROW()-1)),"")</f>
        <v>No</v>
      </c>
      <c r="E60" t="str">
        <f>IFERROR(_xlfn.SINGLE(INDEX(#REF!,ROW()-1)),"")</f>
        <v>WMH300OPR342</v>
      </c>
      <c r="F60">
        <f>IFERROR(_xlfn.SINGLE(INDEX(#REF!,ROW()-1)),"")</f>
        <v>0</v>
      </c>
      <c r="G60" t="str">
        <f>IFERROR(_xlfn.SINGLE(INDEX(#REF!,ROW()-1)),"")</f>
        <v>iPro
Epic Satellite
ALLSCRIPTS
EPIC BCA</v>
      </c>
      <c r="H60" t="str">
        <f>IFERROR(_xlfn.SINGLE(INDEX(#REF!,ROW()-1)),"")</f>
        <v>OR iPro Cybernet Workstation</v>
      </c>
      <c r="I60">
        <f>IFERROR(_xlfn.SINGLE(INDEX(#REF!,ROW()-1)),"")</f>
        <v>0</v>
      </c>
      <c r="J60">
        <f>IFERROR(_xlfn.SINGLE(INDEX(#REF!,ROW()-1)),"")</f>
        <v>0</v>
      </c>
      <c r="K60">
        <f>IFERROR(_xlfn.SINGLE(INDEX(#REF!,ROW()-1)),"")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IFERROR(_xlfn.SINGLE(INDEX(#REF!,ROW()-1)),"")</f>
        <v>Cybernet</v>
      </c>
      <c r="C61" t="str">
        <f>IFERROR(_xlfn.SINGLE(INDEX(#REF!,ROW()-1)),"")</f>
        <v>No</v>
      </c>
      <c r="D61" t="str">
        <f>IFERROR(_xlfn.SINGLE(INDEX(#REF!,ROW()-1)),"")</f>
        <v>No</v>
      </c>
      <c r="E61" t="str">
        <f>IFERROR(_xlfn.SINGLE(INDEX(#REF!,ROW()-1)),"")</f>
        <v>WMH300OPR343</v>
      </c>
      <c r="F61">
        <f>IFERROR(_xlfn.SINGLE(INDEX(#REF!,ROW()-1)),"")</f>
        <v>0</v>
      </c>
      <c r="G61" t="str">
        <f>IFERROR(_xlfn.SINGLE(INDEX(#REF!,ROW()-1)),"")</f>
        <v>iPro
Epic Satellite
ALLSCRIPTS
EPIC BCA</v>
      </c>
      <c r="H61" t="str">
        <f>IFERROR(_xlfn.SINGLE(INDEX(#REF!,ROW()-1)),"")</f>
        <v>OR iPro Cybernet Workstation</v>
      </c>
      <c r="I61">
        <f>IFERROR(_xlfn.SINGLE(INDEX(#REF!,ROW()-1)),"")</f>
        <v>0</v>
      </c>
      <c r="J61">
        <f>IFERROR(_xlfn.SINGLE(INDEX(#REF!,ROW()-1)),"")</f>
        <v>0</v>
      </c>
      <c r="K61">
        <f>IFERROR(_xlfn.SINGLE(INDEX(#REF!,ROW()-1)),"")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IFERROR(_xlfn.SINGLE(INDEX(#REF!,ROW()-1)),"")</f>
        <v>Cybernet</v>
      </c>
      <c r="C62" t="str">
        <f>IFERROR(_xlfn.SINGLE(INDEX(#REF!,ROW()-1)),"")</f>
        <v>No</v>
      </c>
      <c r="D62" t="str">
        <f>IFERROR(_xlfn.SINGLE(INDEX(#REF!,ROW()-1)),"")</f>
        <v>No</v>
      </c>
      <c r="E62" t="str">
        <f>IFERROR(_xlfn.SINGLE(INDEX(#REF!,ROW()-1)),"")</f>
        <v>WMH300OPR344</v>
      </c>
      <c r="F62">
        <f>IFERROR(_xlfn.SINGLE(INDEX(#REF!,ROW()-1)),"")</f>
        <v>0</v>
      </c>
      <c r="G62" t="str">
        <f>IFERROR(_xlfn.SINGLE(INDEX(#REF!,ROW()-1)),"")</f>
        <v>iPro
Epic Satellite
ALLSCRIPTS
EPIC BCA</v>
      </c>
      <c r="H62" t="str">
        <f>IFERROR(_xlfn.SINGLE(INDEX(#REF!,ROW()-1)),"")</f>
        <v>OR iPro Cybernet Workstation</v>
      </c>
      <c r="I62">
        <f>IFERROR(_xlfn.SINGLE(INDEX(#REF!,ROW()-1)),"")</f>
        <v>0</v>
      </c>
      <c r="J62">
        <f>IFERROR(_xlfn.SINGLE(INDEX(#REF!,ROW()-1)),"")</f>
        <v>0</v>
      </c>
      <c r="K62">
        <f>IFERROR(_xlfn.SINGLE(INDEX(#REF!,ROW()-1)),"")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IFERROR(_xlfn.SINGLE(INDEX(#REF!,ROW()-1)),"")</f>
        <v>Cybernet</v>
      </c>
      <c r="C63" t="str">
        <f>IFERROR(_xlfn.SINGLE(INDEX(#REF!,ROW()-1)),"")</f>
        <v>No</v>
      </c>
      <c r="D63" t="str">
        <f>IFERROR(_xlfn.SINGLE(INDEX(#REF!,ROW()-1)),"")</f>
        <v>No</v>
      </c>
      <c r="E63" t="str">
        <f>IFERROR(_xlfn.SINGLE(INDEX(#REF!,ROW()-1)),"")</f>
        <v>WMH300OPR345</v>
      </c>
      <c r="F63">
        <f>IFERROR(_xlfn.SINGLE(INDEX(#REF!,ROW()-1)),"")</f>
        <v>0</v>
      </c>
      <c r="G63" t="str">
        <f>IFERROR(_xlfn.SINGLE(INDEX(#REF!,ROW()-1)),"")</f>
        <v>iPro
Epic Satellite
ALLSCRIPTS
EPIC BCA</v>
      </c>
      <c r="H63" t="str">
        <f>IFERROR(_xlfn.SINGLE(INDEX(#REF!,ROW()-1)),"")</f>
        <v>OR iPro Cybernet Workstation</v>
      </c>
      <c r="I63">
        <f>IFERROR(_xlfn.SINGLE(INDEX(#REF!,ROW()-1)),"")</f>
        <v>0</v>
      </c>
      <c r="J63">
        <f>IFERROR(_xlfn.SINGLE(INDEX(#REF!,ROW()-1)),"")</f>
        <v>0</v>
      </c>
      <c r="K63">
        <f>IFERROR(_xlfn.SINGLE(INDEX(#REF!,ROW()-1)),"")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IFERROR(_xlfn.SINGLE(INDEX(#REF!,ROW()-1)),"")</f>
        <v>Cybernet</v>
      </c>
      <c r="C64" t="str">
        <f>IFERROR(_xlfn.SINGLE(INDEX(#REF!,ROW()-1)),"")</f>
        <v>No</v>
      </c>
      <c r="D64" t="str">
        <f>IFERROR(_xlfn.SINGLE(INDEX(#REF!,ROW()-1)),"")</f>
        <v>No</v>
      </c>
      <c r="E64" t="str">
        <f>IFERROR(_xlfn.SINGLE(INDEX(#REF!,ROW()-1)),"")</f>
        <v>WMH300OPR346</v>
      </c>
      <c r="F64">
        <f>IFERROR(_xlfn.SINGLE(INDEX(#REF!,ROW()-1)),"")</f>
        <v>0</v>
      </c>
      <c r="G64" t="str">
        <f>IFERROR(_xlfn.SINGLE(INDEX(#REF!,ROW()-1)),"")</f>
        <v>iPro
Epic Satellite
ALLSCRIPTS
EPIC BCA</v>
      </c>
      <c r="H64" t="str">
        <f>IFERROR(_xlfn.SINGLE(INDEX(#REF!,ROW()-1)),"")</f>
        <v>OR iPro Cybernet Workstation</v>
      </c>
      <c r="I64">
        <f>IFERROR(_xlfn.SINGLE(INDEX(#REF!,ROW()-1)),"")</f>
        <v>0</v>
      </c>
      <c r="J64">
        <f>IFERROR(_xlfn.SINGLE(INDEX(#REF!,ROW()-1)),"")</f>
        <v>0</v>
      </c>
      <c r="K64">
        <f>IFERROR(_xlfn.SINGLE(INDEX(#REF!,ROW()-1)),"")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IFERROR(_xlfn.SINGLE(INDEX(#REF!,ROW()-1)),"")</f>
        <v>Cybernet</v>
      </c>
      <c r="C65" t="str">
        <f>IFERROR(_xlfn.SINGLE(INDEX(#REF!,ROW()-1)),"")</f>
        <v>No</v>
      </c>
      <c r="D65" t="str">
        <f>IFERROR(_xlfn.SINGLE(INDEX(#REF!,ROW()-1)),"")</f>
        <v>No</v>
      </c>
      <c r="E65" t="str">
        <f>IFERROR(_xlfn.SINGLE(INDEX(#REF!,ROW()-1)),"")</f>
        <v>WMH300OPR347</v>
      </c>
      <c r="F65">
        <f>IFERROR(_xlfn.SINGLE(INDEX(#REF!,ROW()-1)),"")</f>
        <v>0</v>
      </c>
      <c r="G65" t="str">
        <f>IFERROR(_xlfn.SINGLE(INDEX(#REF!,ROW()-1)),"")</f>
        <v>iPro
Epic Satellite
ALLSCRIPTS
EPIC BCA</v>
      </c>
      <c r="H65" t="str">
        <f>IFERROR(_xlfn.SINGLE(INDEX(#REF!,ROW()-1)),"")</f>
        <v>OR iPro Cybernet Workstation</v>
      </c>
      <c r="I65">
        <f>IFERROR(_xlfn.SINGLE(INDEX(#REF!,ROW()-1)),"")</f>
        <v>0</v>
      </c>
      <c r="J65">
        <f>IFERROR(_xlfn.SINGLE(INDEX(#REF!,ROW()-1)),"")</f>
        <v>0</v>
      </c>
      <c r="K65">
        <f>IFERROR(_xlfn.SINGLE(INDEX(#REF!,ROW()-1)),"")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IFERROR(_xlfn.SINGLE(INDEX(#REF!,ROW()-1)),"")</f>
        <v>Cybernet</v>
      </c>
      <c r="C66" t="str">
        <f>IFERROR(_xlfn.SINGLE(INDEX(#REF!,ROW()-1)),"")</f>
        <v>No</v>
      </c>
      <c r="D66" t="str">
        <f>IFERROR(_xlfn.SINGLE(INDEX(#REF!,ROW()-1)),"")</f>
        <v>No</v>
      </c>
      <c r="E66" t="str">
        <f>IFERROR(_xlfn.SINGLE(INDEX(#REF!,ROW()-1)),"")</f>
        <v>WMH300OPR348</v>
      </c>
      <c r="F66">
        <f>IFERROR(_xlfn.SINGLE(INDEX(#REF!,ROW()-1)),"")</f>
        <v>0</v>
      </c>
      <c r="G66" t="str">
        <f>IFERROR(_xlfn.SINGLE(INDEX(#REF!,ROW()-1)),"")</f>
        <v>iPro
Epic Satellite
ALLSCRIPTS
EPIC BCA</v>
      </c>
      <c r="H66" t="str">
        <f>IFERROR(_xlfn.SINGLE(INDEX(#REF!,ROW()-1)),"")</f>
        <v>OR iPro Cybernet Workstation</v>
      </c>
      <c r="I66">
        <f>IFERROR(_xlfn.SINGLE(INDEX(#REF!,ROW()-1)),"")</f>
        <v>0</v>
      </c>
      <c r="J66">
        <f>IFERROR(_xlfn.SINGLE(INDEX(#REF!,ROW()-1)),"")</f>
        <v>0</v>
      </c>
      <c r="K66">
        <f>IFERROR(_xlfn.SINGLE(INDEX(#REF!,ROW()-1)),"")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IFERROR(_xlfn.SINGLE(INDEX(#REF!,ROW()-1)),"")</f>
        <v>Cybernet</v>
      </c>
      <c r="C67" t="str">
        <f>IFERROR(_xlfn.SINGLE(INDEX(#REF!,ROW()-1)),"")</f>
        <v>No</v>
      </c>
      <c r="D67" t="str">
        <f>IFERROR(_xlfn.SINGLE(INDEX(#REF!,ROW()-1)),"")</f>
        <v>No</v>
      </c>
      <c r="E67" t="str">
        <f>IFERROR(_xlfn.SINGLE(INDEX(#REF!,ROW()-1)),"")</f>
        <v>WMH300OPR349</v>
      </c>
      <c r="F67">
        <f>IFERROR(_xlfn.SINGLE(INDEX(#REF!,ROW()-1)),"")</f>
        <v>0</v>
      </c>
      <c r="G67" t="str">
        <f>IFERROR(_xlfn.SINGLE(INDEX(#REF!,ROW()-1)),"")</f>
        <v>iPro
Epic Satellite
ALLSCRIPTS
EPIC BCA</v>
      </c>
      <c r="H67" t="str">
        <f>IFERROR(_xlfn.SINGLE(INDEX(#REF!,ROW()-1)),"")</f>
        <v>OR iPro Cybernet Workstation</v>
      </c>
      <c r="I67">
        <f>IFERROR(_xlfn.SINGLE(INDEX(#REF!,ROW()-1)),"")</f>
        <v>0</v>
      </c>
      <c r="J67">
        <f>IFERROR(_xlfn.SINGLE(INDEX(#REF!,ROW()-1)),"")</f>
        <v>0</v>
      </c>
      <c r="K67">
        <f>IFERROR(_xlfn.SINGLE(INDEX(#REF!,ROW()-1)),"")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IFERROR(_xlfn.SINGLE(INDEX(#REF!,ROW()-1)),"")</f>
        <v>Cybernet</v>
      </c>
      <c r="C68" t="str">
        <f>IFERROR(_xlfn.SINGLE(INDEX(#REF!,ROW()-1)),"")</f>
        <v>No</v>
      </c>
      <c r="D68" t="str">
        <f>IFERROR(_xlfn.SINGLE(INDEX(#REF!,ROW()-1)),"")</f>
        <v>No</v>
      </c>
      <c r="E68" t="str">
        <f>IFERROR(_xlfn.SINGLE(INDEX(#REF!,ROW()-1)),"")</f>
        <v>WMH300OPR350</v>
      </c>
      <c r="F68">
        <f>IFERROR(_xlfn.SINGLE(INDEX(#REF!,ROW()-1)),"")</f>
        <v>0</v>
      </c>
      <c r="G68" t="str">
        <f>IFERROR(_xlfn.SINGLE(INDEX(#REF!,ROW()-1)),"")</f>
        <v>iPro
Epic Satellite
ALLSCRIPTS
EPIC BCA</v>
      </c>
      <c r="H68" t="str">
        <f>IFERROR(_xlfn.SINGLE(INDEX(#REF!,ROW()-1)),"")</f>
        <v>OR iPro Cybernet Workstation</v>
      </c>
      <c r="I68">
        <f>IFERROR(_xlfn.SINGLE(INDEX(#REF!,ROW()-1)),"")</f>
        <v>0</v>
      </c>
      <c r="J68">
        <f>IFERROR(_xlfn.SINGLE(INDEX(#REF!,ROW()-1)),"")</f>
        <v>0</v>
      </c>
      <c r="K68">
        <f>IFERROR(_xlfn.SINGLE(INDEX(#REF!,ROW()-1)),"")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IFERROR(_xlfn.SINGLE(INDEX(#REF!,ROW()-1)),"")</f>
        <v>Cybernet</v>
      </c>
      <c r="C69" t="str">
        <f>IFERROR(_xlfn.SINGLE(INDEX(#REF!,ROW()-1)),"")</f>
        <v>No</v>
      </c>
      <c r="D69" t="str">
        <f>IFERROR(_xlfn.SINGLE(INDEX(#REF!,ROW()-1)),"")</f>
        <v>No</v>
      </c>
      <c r="E69" t="str">
        <f>IFERROR(_xlfn.SINGLE(INDEX(#REF!,ROW()-1)),"")</f>
        <v>WNH269OPR013</v>
      </c>
      <c r="F69">
        <f>IFERROR(_xlfn.SINGLE(INDEX(#REF!,ROW()-1)),"")</f>
        <v>0</v>
      </c>
      <c r="G69" t="str">
        <f>IFERROR(_xlfn.SINGLE(INDEX(#REF!,ROW()-1)),"")</f>
        <v>iPro
Epic Satellite
ALLSCRIPTS
EPIC BCA</v>
      </c>
      <c r="H69" t="str">
        <f>IFERROR(_xlfn.SINGLE(INDEX(#REF!,ROW()-1)),"")</f>
        <v>OR iPro Cybernet Workstation</v>
      </c>
      <c r="I69">
        <f>IFERROR(_xlfn.SINGLE(INDEX(#REF!,ROW()-1)),"")</f>
        <v>0</v>
      </c>
      <c r="J69">
        <f>IFERROR(_xlfn.SINGLE(INDEX(#REF!,ROW()-1)),"")</f>
        <v>0</v>
      </c>
      <c r="K69">
        <f>IFERROR(_xlfn.SINGLE(INDEX(#REF!,ROW()-1)),"")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IFERROR(_xlfn.SINGLE(INDEX(#REF!,ROW()-1)),"")</f>
        <v>Cybernet</v>
      </c>
      <c r="C70" t="str">
        <f>IFERROR(_xlfn.SINGLE(INDEX(#REF!,ROW()-1)),"")</f>
        <v>Yes</v>
      </c>
      <c r="D70" t="str">
        <f>IFERROR(_xlfn.SINGLE(INDEX(#REF!,ROW()-1)),"")</f>
        <v>Yes</v>
      </c>
      <c r="E70" t="str">
        <f>IFERROR(_xlfn.SINGLE(INDEX(#REF!,ROW()-1)),"")</f>
        <v>WNH269OPR014</v>
      </c>
      <c r="F70">
        <f>IFERROR(_xlfn.SINGLE(INDEX(#REF!,ROW()-1)),"")</f>
        <v>0</v>
      </c>
      <c r="G70" t="str">
        <f>IFERROR(_xlfn.SINGLE(INDEX(#REF!,ROW()-1)),"")</f>
        <v>iPro
Epic Satellite
ALLSCRIPTS
EPIC BCA</v>
      </c>
      <c r="H70" t="str">
        <f>IFERROR(_xlfn.SINGLE(INDEX(#REF!,ROW()-1)),"")</f>
        <v>OR iPro Cybernet Workstation</v>
      </c>
      <c r="I70">
        <f>IFERROR(_xlfn.SINGLE(INDEX(#REF!,ROW()-1)),"")</f>
        <v>0</v>
      </c>
      <c r="J70">
        <f>IFERROR(_xlfn.SINGLE(INDEX(#REF!,ROW()-1)),"")</f>
        <v>0</v>
      </c>
      <c r="K70">
        <f>IFERROR(_xlfn.SINGLE(INDEX(#REF!,ROW()-1)),"")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IFERROR(_xlfn.SINGLE(INDEX(#REF!,ROW()-1)),"")</f>
        <v>Cybernet</v>
      </c>
      <c r="C71" t="str">
        <f>IFERROR(_xlfn.SINGLE(INDEX(#REF!,ROW()-1)),"")</f>
        <v>Yes</v>
      </c>
      <c r="D71" t="str">
        <f>IFERROR(_xlfn.SINGLE(INDEX(#REF!,ROW()-1)),"")</f>
        <v>Yes</v>
      </c>
      <c r="E71" t="str">
        <f>IFERROR(_xlfn.SINGLE(INDEX(#REF!,ROW()-1)),"")</f>
        <v>WNH269OPR015</v>
      </c>
      <c r="F71">
        <f>IFERROR(_xlfn.SINGLE(INDEX(#REF!,ROW()-1)),"")</f>
        <v>0</v>
      </c>
      <c r="G71" t="str">
        <f>IFERROR(_xlfn.SINGLE(INDEX(#REF!,ROW()-1)),"")</f>
        <v>iPro
Epic Satellite
ALLSCRIPTS
EPIC BCA</v>
      </c>
      <c r="H71" t="str">
        <f>IFERROR(_xlfn.SINGLE(INDEX(#REF!,ROW()-1)),"")</f>
        <v>OR iPro Cybernet Workstation</v>
      </c>
      <c r="I71">
        <f>IFERROR(_xlfn.SINGLE(INDEX(#REF!,ROW()-1)),"")</f>
        <v>0</v>
      </c>
      <c r="J71">
        <f>IFERROR(_xlfn.SINGLE(INDEX(#REF!,ROW()-1)),"")</f>
        <v>0</v>
      </c>
      <c r="K71">
        <f>IFERROR(_xlfn.SINGLE(INDEX(#REF!,ROW()-1)),"")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IFERROR(_xlfn.SINGLE(INDEX(#REF!,ROW()-1)),"")</f>
        <v>Cybernet</v>
      </c>
      <c r="C72" t="str">
        <f>IFERROR(_xlfn.SINGLE(INDEX(#REF!,ROW()-1)),"")</f>
        <v>Yes</v>
      </c>
      <c r="D72" t="str">
        <f>IFERROR(_xlfn.SINGLE(INDEX(#REF!,ROW()-1)),"")</f>
        <v>Yes</v>
      </c>
      <c r="E72" t="str">
        <f>IFERROR(_xlfn.SINGLE(INDEX(#REF!,ROW()-1)),"")</f>
        <v>WNH269OPR016</v>
      </c>
      <c r="F72">
        <f>IFERROR(_xlfn.SINGLE(INDEX(#REF!,ROW()-1)),"")</f>
        <v>0</v>
      </c>
      <c r="G72" t="str">
        <f>IFERROR(_xlfn.SINGLE(INDEX(#REF!,ROW()-1)),"")</f>
        <v>iPro
Epic Satellite
ALLSCRIPTS
EPIC BCA</v>
      </c>
      <c r="H72" t="str">
        <f>IFERROR(_xlfn.SINGLE(INDEX(#REF!,ROW()-1)),"")</f>
        <v>OR iPro Cybernet Workstation</v>
      </c>
      <c r="I72">
        <f>IFERROR(_xlfn.SINGLE(INDEX(#REF!,ROW()-1)),"")</f>
        <v>0</v>
      </c>
      <c r="J72">
        <f>IFERROR(_xlfn.SINGLE(INDEX(#REF!,ROW()-1)),"")</f>
        <v>0</v>
      </c>
      <c r="K72">
        <f>IFERROR(_xlfn.SINGLE(INDEX(#REF!,ROW()-1)),"")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IFERROR(_xlfn.SINGLE(INDEX(#REF!,ROW()-1)),"")</f>
        <v>Cybernet</v>
      </c>
      <c r="C73" t="str">
        <f>IFERROR(_xlfn.SINGLE(INDEX(#REF!,ROW()-1)),"")</f>
        <v>Yes</v>
      </c>
      <c r="D73" t="str">
        <f>IFERROR(_xlfn.SINGLE(INDEX(#REF!,ROW()-1)),"")</f>
        <v>Yes</v>
      </c>
      <c r="E73" t="str">
        <f>IFERROR(_xlfn.SINGLE(INDEX(#REF!,ROW()-1)),"")</f>
        <v>WNH269OPR017</v>
      </c>
      <c r="F73">
        <f>IFERROR(_xlfn.SINGLE(INDEX(#REF!,ROW()-1)),"")</f>
        <v>0</v>
      </c>
      <c r="G73" t="str">
        <f>IFERROR(_xlfn.SINGLE(INDEX(#REF!,ROW()-1)),"")</f>
        <v>iPro
Epic Satellite
ALLSCRIPTS
EPIC BCA</v>
      </c>
      <c r="H73" t="str">
        <f>IFERROR(_xlfn.SINGLE(INDEX(#REF!,ROW()-1)),"")</f>
        <v>OR iPro Cybernet Workstation</v>
      </c>
      <c r="I73">
        <f>IFERROR(_xlfn.SINGLE(INDEX(#REF!,ROW()-1)),"")</f>
        <v>0</v>
      </c>
      <c r="J73">
        <f>IFERROR(_xlfn.SINGLE(INDEX(#REF!,ROW()-1)),"")</f>
        <v>0</v>
      </c>
      <c r="K73">
        <f>IFERROR(_xlfn.SINGLE(INDEX(#REF!,ROW()-1)),"")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IFERROR(_xlfn.SINGLE(INDEX(#REF!,ROW()-1)),"")</f>
        <v>Cybernet</v>
      </c>
      <c r="C74" t="str">
        <f>IFERROR(_xlfn.SINGLE(INDEX(#REF!,ROW()-1)),"")</f>
        <v>Yes</v>
      </c>
      <c r="D74" t="str">
        <f>IFERROR(_xlfn.SINGLE(INDEX(#REF!,ROW()-1)),"")</f>
        <v>Yes</v>
      </c>
      <c r="E74" t="str">
        <f>IFERROR(_xlfn.SINGLE(INDEX(#REF!,ROW()-1)),"")</f>
        <v>WNH269OPR018</v>
      </c>
      <c r="F74">
        <f>IFERROR(_xlfn.SINGLE(INDEX(#REF!,ROW()-1)),"")</f>
        <v>0</v>
      </c>
      <c r="G74" t="str">
        <f>IFERROR(_xlfn.SINGLE(INDEX(#REF!,ROW()-1)),"")</f>
        <v>iPro
Epic Satellite
ALLSCRIPTS
EPIC BCA</v>
      </c>
      <c r="H74" t="str">
        <f>IFERROR(_xlfn.SINGLE(INDEX(#REF!,ROW()-1)),"")</f>
        <v>OR iPro Cybernet Workstation</v>
      </c>
      <c r="I74">
        <f>IFERROR(_xlfn.SINGLE(INDEX(#REF!,ROW()-1)),"")</f>
        <v>0</v>
      </c>
      <c r="J74">
        <f>IFERROR(_xlfn.SINGLE(INDEX(#REF!,ROW()-1)),"")</f>
        <v>0</v>
      </c>
      <c r="K74">
        <f>IFERROR(_xlfn.SINGLE(INDEX(#REF!,ROW()-1)),"")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IFERROR(_xlfn.SINGLE(INDEX(#REF!,ROW()-1)),"")</f>
        <v>Cybernet</v>
      </c>
      <c r="C75" t="str">
        <f>IFERROR(_xlfn.SINGLE(INDEX(#REF!,ROW()-1)),"")</f>
        <v>Yes</v>
      </c>
      <c r="D75" t="str">
        <f>IFERROR(_xlfn.SINGLE(INDEX(#REF!,ROW()-1)),"")</f>
        <v>Yes</v>
      </c>
      <c r="E75" t="str">
        <f>IFERROR(_xlfn.SINGLE(INDEX(#REF!,ROW()-1)),"")</f>
        <v>WNH269OPR019</v>
      </c>
      <c r="F75">
        <f>IFERROR(_xlfn.SINGLE(INDEX(#REF!,ROW()-1)),"")</f>
        <v>0</v>
      </c>
      <c r="G75" t="str">
        <f>IFERROR(_xlfn.SINGLE(INDEX(#REF!,ROW()-1)),"")</f>
        <v>iPro
Epic Satellite
ALLSCRIPTS
EPIC BCA</v>
      </c>
      <c r="H75" t="str">
        <f>IFERROR(_xlfn.SINGLE(INDEX(#REF!,ROW()-1)),"")</f>
        <v>OR iPro Cybernet Workstation</v>
      </c>
      <c r="I75">
        <f>IFERROR(_xlfn.SINGLE(INDEX(#REF!,ROW()-1)),"")</f>
        <v>0</v>
      </c>
      <c r="J75">
        <f>IFERROR(_xlfn.SINGLE(INDEX(#REF!,ROW()-1)),"")</f>
        <v>0</v>
      </c>
      <c r="K75">
        <f>IFERROR(_xlfn.SINGLE(INDEX(#REF!,ROW()-1)),"")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IFERROR(_xlfn.SINGLE(INDEX(#REF!,ROW()-1)),"")</f>
        <v>Cybernet</v>
      </c>
      <c r="C76" t="str">
        <f>IFERROR(_xlfn.SINGLE(INDEX(#REF!,ROW()-1)),"")</f>
        <v>Yes</v>
      </c>
      <c r="D76" t="str">
        <f>IFERROR(_xlfn.SINGLE(INDEX(#REF!,ROW()-1)),"")</f>
        <v>Yes</v>
      </c>
      <c r="E76" t="str">
        <f>IFERROR(_xlfn.SINGLE(INDEX(#REF!,ROW()-1)),"")</f>
        <v>WNH269OPR020</v>
      </c>
      <c r="F76">
        <f>IFERROR(_xlfn.SINGLE(INDEX(#REF!,ROW()-1)),"")</f>
        <v>0</v>
      </c>
      <c r="G76" t="str">
        <f>IFERROR(_xlfn.SINGLE(INDEX(#REF!,ROW()-1)),"")</f>
        <v>iPro
Epic Satellite
ALLSCRIPTS
EPIC BCA</v>
      </c>
      <c r="H76" t="str">
        <f>IFERROR(_xlfn.SINGLE(INDEX(#REF!,ROW()-1)),"")</f>
        <v>OR iPro Cybernet Workstation</v>
      </c>
      <c r="I76">
        <f>IFERROR(_xlfn.SINGLE(INDEX(#REF!,ROW()-1)),"")</f>
        <v>0</v>
      </c>
      <c r="J76">
        <f>IFERROR(_xlfn.SINGLE(INDEX(#REF!,ROW()-1)),"")</f>
        <v>0</v>
      </c>
      <c r="K76">
        <f>IFERROR(_xlfn.SINGLE(INDEX(#REF!,ROW()-1)),"")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IFERROR(_xlfn.SINGLE(INDEX(#REF!,ROW()-1)),"")</f>
        <v>Cybernet</v>
      </c>
      <c r="C77" t="str">
        <f>IFERROR(_xlfn.SINGLE(INDEX(#REF!,ROW()-1)),"")</f>
        <v>Yes</v>
      </c>
      <c r="D77" t="str">
        <f>IFERROR(_xlfn.SINGLE(INDEX(#REF!,ROW()-1)),"")</f>
        <v>Yes</v>
      </c>
      <c r="E77" t="str">
        <f>IFERROR(_xlfn.SINGLE(INDEX(#REF!,ROW()-1)),"")</f>
        <v>WNH269OPR021</v>
      </c>
      <c r="F77">
        <f>IFERROR(_xlfn.SINGLE(INDEX(#REF!,ROW()-1)),"")</f>
        <v>0</v>
      </c>
      <c r="G77" t="str">
        <f>IFERROR(_xlfn.SINGLE(INDEX(#REF!,ROW()-1)),"")</f>
        <v>iPro
Epic Satellite
ALLSCRIPTS
EPIC BCA</v>
      </c>
      <c r="H77" t="str">
        <f>IFERROR(_xlfn.SINGLE(INDEX(#REF!,ROW()-1)),"")</f>
        <v>OR iPro Cybernet Workstation</v>
      </c>
      <c r="I77">
        <f>IFERROR(_xlfn.SINGLE(INDEX(#REF!,ROW()-1)),"")</f>
        <v>0</v>
      </c>
      <c r="J77">
        <f>IFERROR(_xlfn.SINGLE(INDEX(#REF!,ROW()-1)),"")</f>
        <v>0</v>
      </c>
      <c r="K77">
        <f>IFERROR(_xlfn.SINGLE(INDEX(#REF!,ROW()-1)),"")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IFERROR(_xlfn.SINGLE(INDEX(#REF!,ROW()-1)),"")</f>
        <v>Cybernet</v>
      </c>
      <c r="C78" t="str">
        <f>IFERROR(_xlfn.SINGLE(INDEX(#REF!,ROW()-1)),"")</f>
        <v>No</v>
      </c>
      <c r="D78" t="str">
        <f>IFERROR(_xlfn.SINGLE(INDEX(#REF!,ROW()-1)),"")</f>
        <v>No</v>
      </c>
      <c r="E78" t="str">
        <f>IFERROR(_xlfn.SINGLE(INDEX(#REF!,ROW()-1)),"")</f>
        <v>WLS450OPR001</v>
      </c>
      <c r="F78">
        <f>IFERROR(_xlfn.SINGLE(INDEX(#REF!,ROW()-1)),"")</f>
        <v>0</v>
      </c>
      <c r="G78" t="str">
        <f>IFERROR(_xlfn.SINGLE(INDEX(#REF!,ROW()-1)),"")</f>
        <v>iPro
Epic Satellite
ALLSCRIPTS
EPIC BCA</v>
      </c>
      <c r="H78" t="str">
        <f>IFERROR(_xlfn.SINGLE(INDEX(#REF!,ROW()-1)),"")</f>
        <v>OR iPro Cybernet Workstation</v>
      </c>
      <c r="I78">
        <f>IFERROR(_xlfn.SINGLE(INDEX(#REF!,ROW()-1)),"")</f>
        <v>0</v>
      </c>
      <c r="J78">
        <f>IFERROR(_xlfn.SINGLE(INDEX(#REF!,ROW()-1)),"")</f>
        <v>0</v>
      </c>
      <c r="K78">
        <f>IFERROR(_xlfn.SINGLE(INDEX(#REF!,ROW()-1)),"")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IFERROR(_xlfn.SINGLE(INDEX(#REF!,ROW()-1)),"")</f>
        <v>Cybernet</v>
      </c>
      <c r="C79" t="str">
        <f>IFERROR(_xlfn.SINGLE(INDEX(#REF!,ROW()-1)),"")</f>
        <v>No</v>
      </c>
      <c r="D79" t="str">
        <f>IFERROR(_xlfn.SINGLE(INDEX(#REF!,ROW()-1)),"")</f>
        <v>No</v>
      </c>
      <c r="E79" t="str">
        <f>IFERROR(_xlfn.SINGLE(INDEX(#REF!,ROW()-1)),"")</f>
        <v>WLS450OPR002</v>
      </c>
      <c r="F79">
        <f>IFERROR(_xlfn.SINGLE(INDEX(#REF!,ROW()-1)),"")</f>
        <v>0</v>
      </c>
      <c r="G79" t="str">
        <f>IFERROR(_xlfn.SINGLE(INDEX(#REF!,ROW()-1)),"")</f>
        <v>iPro
Epic Satellite
ALLSCRIPTS
EPIC BCA</v>
      </c>
      <c r="H79" t="str">
        <f>IFERROR(_xlfn.SINGLE(INDEX(#REF!,ROW()-1)),"")</f>
        <v>OR iPro Cybernet Workstation</v>
      </c>
      <c r="I79">
        <f>IFERROR(_xlfn.SINGLE(INDEX(#REF!,ROW()-1)),"")</f>
        <v>0</v>
      </c>
      <c r="J79">
        <f>IFERROR(_xlfn.SINGLE(INDEX(#REF!,ROW()-1)),"")</f>
        <v>0</v>
      </c>
      <c r="K79">
        <f>IFERROR(_xlfn.SINGLE(INDEX(#REF!,ROW()-1)),"")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IFERROR(_xlfn.SINGLE(INDEX(#REF!,ROW()-1)),"")</f>
        <v>Cybernet</v>
      </c>
      <c r="C80" t="str">
        <f>IFERROR(_xlfn.SINGLE(INDEX(#REF!,ROW()-1)),"")</f>
        <v>No</v>
      </c>
      <c r="D80" t="str">
        <f>IFERROR(_xlfn.SINGLE(INDEX(#REF!,ROW()-1)),"")</f>
        <v>No</v>
      </c>
      <c r="E80" t="str">
        <f>IFERROR(_xlfn.SINGLE(INDEX(#REF!,ROW()-1)),"")</f>
        <v>WLS450OPR003</v>
      </c>
      <c r="F80">
        <f>IFERROR(_xlfn.SINGLE(INDEX(#REF!,ROW()-1)),"")</f>
        <v>0</v>
      </c>
      <c r="G80" t="str">
        <f>IFERROR(_xlfn.SINGLE(INDEX(#REF!,ROW()-1)),"")</f>
        <v>iPro
Epic Satellite
ALLSCRIPTS
EPIC BCA</v>
      </c>
      <c r="H80" t="str">
        <f>IFERROR(_xlfn.SINGLE(INDEX(#REF!,ROW()-1)),"")</f>
        <v>OR iPro Cybernet Workstation</v>
      </c>
      <c r="I80">
        <f>IFERROR(_xlfn.SINGLE(INDEX(#REF!,ROW()-1)),"")</f>
        <v>0</v>
      </c>
      <c r="J80">
        <f>IFERROR(_xlfn.SINGLE(INDEX(#REF!,ROW()-1)),"")</f>
        <v>0</v>
      </c>
      <c r="K80">
        <f>IFERROR(_xlfn.SINGLE(INDEX(#REF!,ROW()-1)),"")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IFERROR(_xlfn.SINGLE(INDEX(#REF!,ROW()-1)),"")</f>
        <v>Cybernet</v>
      </c>
      <c r="C81" t="str">
        <f>IFERROR(_xlfn.SINGLE(INDEX(#REF!,ROW()-1)),"")</f>
        <v>No</v>
      </c>
      <c r="D81" t="str">
        <f>IFERROR(_xlfn.SINGLE(INDEX(#REF!,ROW()-1)),"")</f>
        <v>No</v>
      </c>
      <c r="E81" t="str">
        <f>IFERROR(_xlfn.SINGLE(INDEX(#REF!,ROW()-1)),"")</f>
        <v>WLS450OPR004</v>
      </c>
      <c r="F81">
        <f>IFERROR(_xlfn.SINGLE(INDEX(#REF!,ROW()-1)),"")</f>
        <v>0</v>
      </c>
      <c r="G81" t="str">
        <f>IFERROR(_xlfn.SINGLE(INDEX(#REF!,ROW()-1)),"")</f>
        <v>iPro
Epic Satellite
ALLSCRIPTS
EPIC BCA</v>
      </c>
      <c r="H81" t="str">
        <f>IFERROR(_xlfn.SINGLE(INDEX(#REF!,ROW()-1)),"")</f>
        <v>OR iPro Cybernet Workstation</v>
      </c>
      <c r="I81">
        <f>IFERROR(_xlfn.SINGLE(INDEX(#REF!,ROW()-1)),"")</f>
        <v>0</v>
      </c>
      <c r="J81">
        <f>IFERROR(_xlfn.SINGLE(INDEX(#REF!,ROW()-1)),"")</f>
        <v>0</v>
      </c>
      <c r="K81">
        <f>IFERROR(_xlfn.SINGLE(INDEX(#REF!,ROW()-1)),"")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IFERROR(_xlfn.SINGLE(INDEX(#REF!,ROW()-1)),"")</f>
        <v>Cybernet</v>
      </c>
      <c r="C82" t="str">
        <f>IFERROR(_xlfn.SINGLE(INDEX(#REF!,ROW()-1)),"")</f>
        <v>No</v>
      </c>
      <c r="D82" t="str">
        <f>IFERROR(_xlfn.SINGLE(INDEX(#REF!,ROW()-1)),"")</f>
        <v>No</v>
      </c>
      <c r="E82" t="str">
        <f>IFERROR(_xlfn.SINGLE(INDEX(#REF!,ROW()-1)),"")</f>
        <v>WLS450OPR005</v>
      </c>
      <c r="F82">
        <f>IFERROR(_xlfn.SINGLE(INDEX(#REF!,ROW()-1)),"")</f>
        <v>0</v>
      </c>
      <c r="G82" t="str">
        <f>IFERROR(_xlfn.SINGLE(INDEX(#REF!,ROW()-1)),"")</f>
        <v>iPro
Epic Satellite
ALLSCRIPTS
EPIC BCA</v>
      </c>
      <c r="H82" t="str">
        <f>IFERROR(_xlfn.SINGLE(INDEX(#REF!,ROW()-1)),"")</f>
        <v>OR iPro Cybernet Workstation</v>
      </c>
      <c r="I82">
        <f>IFERROR(_xlfn.SINGLE(INDEX(#REF!,ROW()-1)),"")</f>
        <v>0</v>
      </c>
      <c r="J82">
        <f>IFERROR(_xlfn.SINGLE(INDEX(#REF!,ROW()-1)),"")</f>
        <v>0</v>
      </c>
      <c r="K82">
        <f>IFERROR(_xlfn.SINGLE(INDEX(#REF!,ROW()-1)),"")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IFERROR(_xlfn.SINGLE(INDEX(#REF!,ROW()-1)),"")</f>
        <v>Cybernet</v>
      </c>
      <c r="C83" t="str">
        <f>IFERROR(_xlfn.SINGLE(INDEX(#REF!,ROW()-1)),"")</f>
        <v>No</v>
      </c>
      <c r="D83" t="str">
        <f>IFERROR(_xlfn.SINGLE(INDEX(#REF!,ROW()-1)),"")</f>
        <v>No</v>
      </c>
      <c r="E83" t="str">
        <f>IFERROR(_xlfn.SINGLE(INDEX(#REF!,ROW()-1)),"")</f>
        <v>WLS450OPR006</v>
      </c>
      <c r="F83">
        <f>IFERROR(_xlfn.SINGLE(INDEX(#REF!,ROW()-1)),"")</f>
        <v>0</v>
      </c>
      <c r="G83" t="str">
        <f>IFERROR(_xlfn.SINGLE(INDEX(#REF!,ROW()-1)),"")</f>
        <v>iPro
Epic Satellite
ALLSCRIPTS
EPIC BCA</v>
      </c>
      <c r="H83" t="str">
        <f>IFERROR(_xlfn.SINGLE(INDEX(#REF!,ROW()-1)),"")</f>
        <v>OR iPro Cybernet Workstation</v>
      </c>
      <c r="I83">
        <f>IFERROR(_xlfn.SINGLE(INDEX(#REF!,ROW()-1)),"")</f>
        <v>0</v>
      </c>
      <c r="J83">
        <f>IFERROR(_xlfn.SINGLE(INDEX(#REF!,ROW()-1)),"")</f>
        <v>0</v>
      </c>
      <c r="K83">
        <f>IFERROR(_xlfn.SINGLE(INDEX(#REF!,ROW()-1)),"")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IFERROR(_xlfn.SINGLE(INDEX(#REF!,ROW()-1)),"")</f>
        <v>Cybernet</v>
      </c>
      <c r="C84" t="str">
        <f>IFERROR(_xlfn.SINGLE(INDEX(#REF!,ROW()-1)),"")</f>
        <v>No</v>
      </c>
      <c r="D84" t="str">
        <f>IFERROR(_xlfn.SINGLE(INDEX(#REF!,ROW()-1)),"")</f>
        <v>No</v>
      </c>
      <c r="E84" t="str">
        <f>IFERROR(_xlfn.SINGLE(INDEX(#REF!,ROW()-1)),"")</f>
        <v>WLS450OPR007</v>
      </c>
      <c r="F84">
        <f>IFERROR(_xlfn.SINGLE(INDEX(#REF!,ROW()-1)),"")</f>
        <v>0</v>
      </c>
      <c r="G84" t="str">
        <f>IFERROR(_xlfn.SINGLE(INDEX(#REF!,ROW()-1)),"")</f>
        <v>iPro
Epic Satellite
ALLSCRIPTS
EPIC BCA</v>
      </c>
      <c r="H84" t="str">
        <f>IFERROR(_xlfn.SINGLE(INDEX(#REF!,ROW()-1)),"")</f>
        <v>OR iPro Cybernet Workstation</v>
      </c>
      <c r="I84">
        <f>IFERROR(_xlfn.SINGLE(INDEX(#REF!,ROW()-1)),"")</f>
        <v>0</v>
      </c>
      <c r="J84">
        <f>IFERROR(_xlfn.SINGLE(INDEX(#REF!,ROW()-1)),"")</f>
        <v>0</v>
      </c>
      <c r="K84">
        <f>IFERROR(_xlfn.SINGLE(INDEX(#REF!,ROW()-1)),"")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IFERROR(_xlfn.SINGLE(INDEX(#REF!,ROW()-1)),"")</f>
        <v>Cybernet</v>
      </c>
      <c r="C85" t="str">
        <f>IFERROR(_xlfn.SINGLE(INDEX(#REF!,ROW()-1)),"")</f>
        <v>No</v>
      </c>
      <c r="D85" t="str">
        <f>IFERROR(_xlfn.SINGLE(INDEX(#REF!,ROW()-1)),"")</f>
        <v>No</v>
      </c>
      <c r="E85" t="str">
        <f>IFERROR(_xlfn.SINGLE(INDEX(#REF!,ROW()-1)),"")</f>
        <v>WNH269OPR022</v>
      </c>
      <c r="F85">
        <f>IFERROR(_xlfn.SINGLE(INDEX(#REF!,ROW()-1)),"")</f>
        <v>0</v>
      </c>
      <c r="G85" t="str">
        <f>IFERROR(_xlfn.SINGLE(INDEX(#REF!,ROW()-1)),"")</f>
        <v>iPro
Epic Satellite
ALLSCRIPTS
EPIC BCA</v>
      </c>
      <c r="H85" t="str">
        <f>IFERROR(_xlfn.SINGLE(INDEX(#REF!,ROW()-1)),"")</f>
        <v>OR iPro Cybernet Workstation</v>
      </c>
      <c r="I85">
        <f>IFERROR(_xlfn.SINGLE(INDEX(#REF!,ROW()-1)),"")</f>
        <v>0</v>
      </c>
      <c r="J85">
        <f>IFERROR(_xlfn.SINGLE(INDEX(#REF!,ROW()-1)),"")</f>
        <v>0</v>
      </c>
      <c r="K85">
        <f>IFERROR(_xlfn.SINGLE(INDEX(#REF!,ROW()-1)),"")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IFERROR(_xlfn.SINGLE(INDEX(#REF!,ROW()-1)),"")</f>
        <v>Cybernet</v>
      </c>
      <c r="C86" t="str">
        <f>IFERROR(_xlfn.SINGLE(INDEX(#REF!,ROW()-1)),"")</f>
        <v>No</v>
      </c>
      <c r="D86" t="str">
        <f>IFERROR(_xlfn.SINGLE(INDEX(#REF!,ROW()-1)),"")</f>
        <v>No</v>
      </c>
      <c r="E86" t="str">
        <f>IFERROR(_xlfn.SINGLE(INDEX(#REF!,ROW()-1)),"")</f>
        <v>WNH269OPR023</v>
      </c>
      <c r="F86">
        <f>IFERROR(_xlfn.SINGLE(INDEX(#REF!,ROW()-1)),"")</f>
        <v>0</v>
      </c>
      <c r="G86" t="str">
        <f>IFERROR(_xlfn.SINGLE(INDEX(#REF!,ROW()-1)),"")</f>
        <v>iPro
Epic Satellite
ALLSCRIPTS
EPIC BCA</v>
      </c>
      <c r="H86" t="str">
        <f>IFERROR(_xlfn.SINGLE(INDEX(#REF!,ROW()-1)),"")</f>
        <v>OR iPro Cybernet Workstation</v>
      </c>
      <c r="I86">
        <f>IFERROR(_xlfn.SINGLE(INDEX(#REF!,ROW()-1)),"")</f>
        <v>0</v>
      </c>
      <c r="J86">
        <f>IFERROR(_xlfn.SINGLE(INDEX(#REF!,ROW()-1)),"")</f>
        <v>0</v>
      </c>
      <c r="K86">
        <f>IFERROR(_xlfn.SINGLE(INDEX(#REF!,ROW()-1)),"")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IFERROR(_xlfn.SINGLE(INDEX(#REF!,ROW()-1)),"")</f>
        <v>Cybernet</v>
      </c>
      <c r="C87" t="str">
        <f>IFERROR(_xlfn.SINGLE(INDEX(#REF!,ROW()-1)),"")</f>
        <v>No</v>
      </c>
      <c r="D87" t="str">
        <f>IFERROR(_xlfn.SINGLE(INDEX(#REF!,ROW()-1)),"")</f>
        <v>No</v>
      </c>
      <c r="E87" t="str">
        <f>IFERROR(_xlfn.SINGLE(INDEX(#REF!,ROW()-1)),"")</f>
        <v>WNH269OPR024</v>
      </c>
      <c r="F87">
        <f>IFERROR(_xlfn.SINGLE(INDEX(#REF!,ROW()-1)),"")</f>
        <v>0</v>
      </c>
      <c r="G87" t="str">
        <f>IFERROR(_xlfn.SINGLE(INDEX(#REF!,ROW()-1)),"")</f>
        <v>iPro
Epic Satellite
ALLSCRIPTS
EPIC BCA</v>
      </c>
      <c r="H87" t="str">
        <f>IFERROR(_xlfn.SINGLE(INDEX(#REF!,ROW()-1)),"")</f>
        <v>OR iPro Cybernet Workstation</v>
      </c>
      <c r="I87">
        <f>IFERROR(_xlfn.SINGLE(INDEX(#REF!,ROW()-1)),"")</f>
        <v>0</v>
      </c>
      <c r="J87">
        <f>IFERROR(_xlfn.SINGLE(INDEX(#REF!,ROW()-1)),"")</f>
        <v>0</v>
      </c>
      <c r="K87">
        <f>IFERROR(_xlfn.SINGLE(INDEX(#REF!,ROW()-1)),"")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IFERROR(_xlfn.SINGLE(INDEX(#REF!,ROW()-1)),"")</f>
        <v>Cybernet</v>
      </c>
      <c r="C88" t="str">
        <f>IFERROR(_xlfn.SINGLE(INDEX(#REF!,ROW()-1)),"")</f>
        <v>No</v>
      </c>
      <c r="D88" t="str">
        <f>IFERROR(_xlfn.SINGLE(INDEX(#REF!,ROW()-1)),"")</f>
        <v>No</v>
      </c>
      <c r="E88" t="str">
        <f>IFERROR(_xlfn.SINGLE(INDEX(#REF!,ROW()-1)),"")</f>
        <v>WNH269OPR025</v>
      </c>
      <c r="F88">
        <f>IFERROR(_xlfn.SINGLE(INDEX(#REF!,ROW()-1)),"")</f>
        <v>0</v>
      </c>
      <c r="G88" t="str">
        <f>IFERROR(_xlfn.SINGLE(INDEX(#REF!,ROW()-1)),"")</f>
        <v>iPro
Epic Satellite
ALLSCRIPTS
EPIC BCA</v>
      </c>
      <c r="H88" t="str">
        <f>IFERROR(_xlfn.SINGLE(INDEX(#REF!,ROW()-1)),"")</f>
        <v>OR iPro Cybernet Workstation</v>
      </c>
      <c r="I88">
        <f>IFERROR(_xlfn.SINGLE(INDEX(#REF!,ROW()-1)),"")</f>
        <v>0</v>
      </c>
      <c r="J88">
        <f>IFERROR(_xlfn.SINGLE(INDEX(#REF!,ROW()-1)),"")</f>
        <v>0</v>
      </c>
      <c r="K88">
        <f>IFERROR(_xlfn.SINGLE(INDEX(#REF!,ROW()-1)),"")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IFERROR(_xlfn.SINGLE(INDEX(#REF!,ROW()-1)),"")</f>
        <v>Cybernet</v>
      </c>
      <c r="C89" t="str">
        <f>IFERROR(_xlfn.SINGLE(INDEX(#REF!,ROW()-1)),"")</f>
        <v>No</v>
      </c>
      <c r="D89" t="str">
        <f>IFERROR(_xlfn.SINGLE(INDEX(#REF!,ROW()-1)),"")</f>
        <v>No</v>
      </c>
      <c r="E89" t="str">
        <f>IFERROR(_xlfn.SINGLE(INDEX(#REF!,ROW()-1)),"")</f>
        <v>WNH269OPR026</v>
      </c>
      <c r="F89">
        <f>IFERROR(_xlfn.SINGLE(INDEX(#REF!,ROW()-1)),"")</f>
        <v>0</v>
      </c>
      <c r="G89" t="str">
        <f>IFERROR(_xlfn.SINGLE(INDEX(#REF!,ROW()-1)),"")</f>
        <v>iPro
Epic Satellite
ALLSCRIPTS
EPIC BCA</v>
      </c>
      <c r="H89" t="str">
        <f>IFERROR(_xlfn.SINGLE(INDEX(#REF!,ROW()-1)),"")</f>
        <v>OR iPro Cybernet Workstation</v>
      </c>
      <c r="I89">
        <f>IFERROR(_xlfn.SINGLE(INDEX(#REF!,ROW()-1)),"")</f>
        <v>0</v>
      </c>
      <c r="J89">
        <f>IFERROR(_xlfn.SINGLE(INDEX(#REF!,ROW()-1)),"")</f>
        <v>0</v>
      </c>
      <c r="K89">
        <f>IFERROR(_xlfn.SINGLE(INDEX(#REF!,ROW()-1)),"")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IFERROR(_xlfn.SINGLE(INDEX(#REF!,ROW()-1)),"")</f>
        <v>Cybernet</v>
      </c>
      <c r="C90" t="str">
        <f>IFERROR(_xlfn.SINGLE(INDEX(#REF!,ROW()-1)),"")</f>
        <v>Yes</v>
      </c>
      <c r="D90" t="str">
        <f>IFERROR(_xlfn.SINGLE(INDEX(#REF!,ROW()-1)),"")</f>
        <v>No</v>
      </c>
      <c r="E90" t="str">
        <f>IFERROR(_xlfn.SINGLE(INDEX(#REF!,ROW()-1)),"")</f>
        <v>WNH270OPR403</v>
      </c>
      <c r="F90">
        <f>IFERROR(_xlfn.SINGLE(INDEX(#REF!,ROW()-1)),"")</f>
        <v>0</v>
      </c>
      <c r="G90" t="str">
        <f>IFERROR(_xlfn.SINGLE(INDEX(#REF!,ROW()-1)),"")</f>
        <v>iPro
Epic Satellite
ALLSCRIPTS
EPIC BCA</v>
      </c>
      <c r="H90" t="str">
        <f>IFERROR(_xlfn.SINGLE(INDEX(#REF!,ROW()-1)),"")</f>
        <v>OR iPro Cybernet Workstation</v>
      </c>
      <c r="I90">
        <f>IFERROR(_xlfn.SINGLE(INDEX(#REF!,ROW()-1)),"")</f>
        <v>0</v>
      </c>
      <c r="J90">
        <f>IFERROR(_xlfn.SINGLE(INDEX(#REF!,ROW()-1)),"")</f>
        <v>0</v>
      </c>
      <c r="K90">
        <f>IFERROR(_xlfn.SINGLE(INDEX(#REF!,ROW()-1)),"")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IFERROR(_xlfn.SINGLE(INDEX(#REF!,ROW()-1)),"")</f>
        <v>Cybernet</v>
      </c>
      <c r="C91" t="str">
        <f>IFERROR(_xlfn.SINGLE(INDEX(#REF!,ROW()-1)),"")</f>
        <v>Yes</v>
      </c>
      <c r="D91" t="str">
        <f>IFERROR(_xlfn.SINGLE(INDEX(#REF!,ROW()-1)),"")</f>
        <v>Yes</v>
      </c>
      <c r="E91" t="str">
        <f>IFERROR(_xlfn.SINGLE(INDEX(#REF!,ROW()-1)),"")</f>
        <v>WNH270OPR404</v>
      </c>
      <c r="F91">
        <f>IFERROR(_xlfn.SINGLE(INDEX(#REF!,ROW()-1)),"")</f>
        <v>0</v>
      </c>
      <c r="G91" t="str">
        <f>IFERROR(_xlfn.SINGLE(INDEX(#REF!,ROW()-1)),"")</f>
        <v>iPro
Epic Satellite
ALLSCRIPTS
EPIC BCA</v>
      </c>
      <c r="H91" t="str">
        <f>IFERROR(_xlfn.SINGLE(INDEX(#REF!,ROW()-1)),"")</f>
        <v>OR iPro Cybernet Workstation</v>
      </c>
      <c r="I91">
        <f>IFERROR(_xlfn.SINGLE(INDEX(#REF!,ROW()-1)),"")</f>
        <v>0</v>
      </c>
      <c r="J91">
        <f>IFERROR(_xlfn.SINGLE(INDEX(#REF!,ROW()-1)),"")</f>
        <v>0</v>
      </c>
      <c r="K91">
        <f>IFERROR(_xlfn.SINGLE(INDEX(#REF!,ROW()-1)),"")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IFERROR(_xlfn.SINGLE(INDEX(#REF!,ROW()-1)),"")</f>
        <v>Cybernet</v>
      </c>
      <c r="C92" t="str">
        <f>IFERROR(_xlfn.SINGLE(INDEX(#REF!,ROW()-1)),"")</f>
        <v>No</v>
      </c>
      <c r="D92" t="str">
        <f>IFERROR(_xlfn.SINGLE(INDEX(#REF!,ROW()-1)),"")</f>
        <v>No</v>
      </c>
      <c r="E92" t="str">
        <f>IFERROR(_xlfn.SINGLE(INDEX(#REF!,ROW()-1)),"")</f>
        <v>WNH270OPR405</v>
      </c>
      <c r="F92">
        <f>IFERROR(_xlfn.SINGLE(INDEX(#REF!,ROW()-1)),"")</f>
        <v>0</v>
      </c>
      <c r="G92" t="str">
        <f>IFERROR(_xlfn.SINGLE(INDEX(#REF!,ROW()-1)),"")</f>
        <v>iPro
Epic Satellite
ALLSCRIPTS
EPIC BCA</v>
      </c>
      <c r="H92" t="str">
        <f>IFERROR(_xlfn.SINGLE(INDEX(#REF!,ROW()-1)),"")</f>
        <v>OR iPro Cybernet Workstation</v>
      </c>
      <c r="I92">
        <f>IFERROR(_xlfn.SINGLE(INDEX(#REF!,ROW()-1)),"")</f>
        <v>0</v>
      </c>
      <c r="J92">
        <f>IFERROR(_xlfn.SINGLE(INDEX(#REF!,ROW()-1)),"")</f>
        <v>0</v>
      </c>
      <c r="K92">
        <f>IFERROR(_xlfn.SINGLE(INDEX(#REF!,ROW()-1)),"")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IFERROR(_xlfn.SINGLE(INDEX(#REF!,ROW()-1)),"")</f>
        <v>Cybernet</v>
      </c>
      <c r="C93" t="str">
        <f>IFERROR(_xlfn.SINGLE(INDEX(#REF!,ROW()-1)),"")</f>
        <v>No</v>
      </c>
      <c r="D93" t="str">
        <f>IFERROR(_xlfn.SINGLE(INDEX(#REF!,ROW()-1)),"")</f>
        <v>No</v>
      </c>
      <c r="E93" t="str">
        <f>IFERROR(_xlfn.SINGLE(INDEX(#REF!,ROW()-1)),"")</f>
        <v>WNH270OPR406</v>
      </c>
      <c r="F93">
        <f>IFERROR(_xlfn.SINGLE(INDEX(#REF!,ROW()-1)),"")</f>
        <v>0</v>
      </c>
      <c r="G93" t="str">
        <f>IFERROR(_xlfn.SINGLE(INDEX(#REF!,ROW()-1)),"")</f>
        <v>iPro
Epic Satellite
ALLSCRIPTS
EPIC BCA</v>
      </c>
      <c r="H93" t="str">
        <f>IFERROR(_xlfn.SINGLE(INDEX(#REF!,ROW()-1)),"")</f>
        <v>OR iPro Cybernet Workstation</v>
      </c>
      <c r="I93">
        <f>IFERROR(_xlfn.SINGLE(INDEX(#REF!,ROW()-1)),"")</f>
        <v>0</v>
      </c>
      <c r="J93">
        <f>IFERROR(_xlfn.SINGLE(INDEX(#REF!,ROW()-1)),"")</f>
        <v>0</v>
      </c>
      <c r="K93">
        <f>IFERROR(_xlfn.SINGLE(INDEX(#REF!,ROW()-1)),"")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IFERROR(_xlfn.SINGLE(INDEX(#REF!,ROW()-1)),"")</f>
        <v>Cybernet</v>
      </c>
      <c r="C94" t="str">
        <f>IFERROR(_xlfn.SINGLE(INDEX(#REF!,ROW()-1)),"")</f>
        <v>Yes</v>
      </c>
      <c r="D94" t="str">
        <f>IFERROR(_xlfn.SINGLE(INDEX(#REF!,ROW()-1)),"")</f>
        <v>Yes</v>
      </c>
      <c r="E94" t="str">
        <f>IFERROR(_xlfn.SINGLE(INDEX(#REF!,ROW()-1)),"")</f>
        <v>WNH270OPR407</v>
      </c>
      <c r="F94">
        <f>IFERROR(_xlfn.SINGLE(INDEX(#REF!,ROW()-1)),"")</f>
        <v>0</v>
      </c>
      <c r="G94" t="str">
        <f>IFERROR(_xlfn.SINGLE(INDEX(#REF!,ROW()-1)),"")</f>
        <v>iPro
Epic Satellite
ALLSCRIPTS
EPIC BCA</v>
      </c>
      <c r="H94" t="str">
        <f>IFERROR(_xlfn.SINGLE(INDEX(#REF!,ROW()-1)),"")</f>
        <v>OR iPro Cybernet Workstation</v>
      </c>
      <c r="I94">
        <f>IFERROR(_xlfn.SINGLE(INDEX(#REF!,ROW()-1)),"")</f>
        <v>0</v>
      </c>
      <c r="J94">
        <f>IFERROR(_xlfn.SINGLE(INDEX(#REF!,ROW()-1)),"")</f>
        <v>0</v>
      </c>
      <c r="K94">
        <f>IFERROR(_xlfn.SINGLE(INDEX(#REF!,ROW()-1)),"")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IFERROR(_xlfn.SINGLE(INDEX(#REF!,ROW()-1)),"")</f>
        <v>Cybernet</v>
      </c>
      <c r="C95" t="str">
        <f>IFERROR(_xlfn.SINGLE(INDEX(#REF!,ROW()-1)),"")</f>
        <v>No</v>
      </c>
      <c r="D95" t="str">
        <f>IFERROR(_xlfn.SINGLE(INDEX(#REF!,ROW()-1)),"")</f>
        <v>No</v>
      </c>
      <c r="E95" t="str">
        <f>IFERROR(_xlfn.SINGLE(INDEX(#REF!,ROW()-1)),"")</f>
        <v>WNH270OPR408</v>
      </c>
      <c r="F95">
        <f>IFERROR(_xlfn.SINGLE(INDEX(#REF!,ROW()-1)),"")</f>
        <v>0</v>
      </c>
      <c r="G95" t="str">
        <f>IFERROR(_xlfn.SINGLE(INDEX(#REF!,ROW()-1)),"")</f>
        <v>iPro
Epic Satellite
ALLSCRIPTS
EPIC BCA</v>
      </c>
      <c r="H95" t="str">
        <f>IFERROR(_xlfn.SINGLE(INDEX(#REF!,ROW()-1)),"")</f>
        <v>OR iPro Cybernet Workstation</v>
      </c>
      <c r="I95">
        <f>IFERROR(_xlfn.SINGLE(INDEX(#REF!,ROW()-1)),"")</f>
        <v>0</v>
      </c>
      <c r="J95">
        <f>IFERROR(_xlfn.SINGLE(INDEX(#REF!,ROW()-1)),"")</f>
        <v>0</v>
      </c>
      <c r="K95">
        <f>IFERROR(_xlfn.SINGLE(INDEX(#REF!,ROW()-1)),"")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IFERROR(_xlfn.SINGLE(INDEX(#REF!,ROW()-1)),"")</f>
        <v>Cybernet</v>
      </c>
      <c r="C96" t="str">
        <f>IFERROR(_xlfn.SINGLE(INDEX(#REF!,ROW()-1)),"")</f>
        <v>No</v>
      </c>
      <c r="D96" t="str">
        <f>IFERROR(_xlfn.SINGLE(INDEX(#REF!,ROW()-1)),"")</f>
        <v>No</v>
      </c>
      <c r="E96" t="str">
        <f>IFERROR(_xlfn.SINGLE(INDEX(#REF!,ROW()-1)),"")</f>
        <v>WNH270OPR409</v>
      </c>
      <c r="F96">
        <f>IFERROR(_xlfn.SINGLE(INDEX(#REF!,ROW()-1)),"")</f>
        <v>0</v>
      </c>
      <c r="G96" t="str">
        <f>IFERROR(_xlfn.SINGLE(INDEX(#REF!,ROW()-1)),"")</f>
        <v>iPro
Epic Satellite
ALLSCRIPTS
EPIC BCA</v>
      </c>
      <c r="H96" t="str">
        <f>IFERROR(_xlfn.SINGLE(INDEX(#REF!,ROW()-1)),"")</f>
        <v>OR iPro Cybernet Workstation</v>
      </c>
      <c r="I96">
        <f>IFERROR(_xlfn.SINGLE(INDEX(#REF!,ROW()-1)),"")</f>
        <v>0</v>
      </c>
      <c r="J96">
        <f>IFERROR(_xlfn.SINGLE(INDEX(#REF!,ROW()-1)),"")</f>
        <v>0</v>
      </c>
      <c r="K96">
        <f>IFERROR(_xlfn.SINGLE(INDEX(#REF!,ROW()-1)),"")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IFERROR(_xlfn.SINGLE(INDEX(#REF!,ROW()-1)),"")</f>
        <v>Cybernet</v>
      </c>
      <c r="C97" t="str">
        <f>IFERROR(_xlfn.SINGLE(INDEX(#REF!,ROW()-1)),"")</f>
        <v>No</v>
      </c>
      <c r="D97" t="str">
        <f>IFERROR(_xlfn.SINGLE(INDEX(#REF!,ROW()-1)),"")</f>
        <v>No</v>
      </c>
      <c r="E97" t="str">
        <f>IFERROR(_xlfn.SINGLE(INDEX(#REF!,ROW()-1)),"")</f>
        <v>WNH270OPR410</v>
      </c>
      <c r="F97">
        <f>IFERROR(_xlfn.SINGLE(INDEX(#REF!,ROW()-1)),"")</f>
        <v>0</v>
      </c>
      <c r="G97" t="str">
        <f>IFERROR(_xlfn.SINGLE(INDEX(#REF!,ROW()-1)),"")</f>
        <v>iPro
Epic Satellite
ALLSCRIPTS
EPIC BCA</v>
      </c>
      <c r="H97" t="str">
        <f>IFERROR(_xlfn.SINGLE(INDEX(#REF!,ROW()-1)),"")</f>
        <v>OR iPro Cybernet Workstation</v>
      </c>
      <c r="I97">
        <f>IFERROR(_xlfn.SINGLE(INDEX(#REF!,ROW()-1)),"")</f>
        <v>0</v>
      </c>
      <c r="J97">
        <f>IFERROR(_xlfn.SINGLE(INDEX(#REF!,ROW()-1)),"")</f>
        <v>0</v>
      </c>
      <c r="K97">
        <f>IFERROR(_xlfn.SINGLE(INDEX(#REF!,ROW()-1)),"")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IFERROR(_xlfn.SINGLE(INDEX(#REF!,ROW()-1)),"")</f>
        <v>Cybernet</v>
      </c>
      <c r="C98" t="str">
        <f>IFERROR(_xlfn.SINGLE(INDEX(#REF!,ROW()-1)),"")</f>
        <v>Yes</v>
      </c>
      <c r="D98" t="str">
        <f>IFERROR(_xlfn.SINGLE(INDEX(#REF!,ROW()-1)),"")</f>
        <v>Yes</v>
      </c>
      <c r="E98" t="str">
        <f>IFERROR(_xlfn.SINGLE(INDEX(#REF!,ROW()-1)),"")</f>
        <v>WNH270OPR411</v>
      </c>
      <c r="F98">
        <f>IFERROR(_xlfn.SINGLE(INDEX(#REF!,ROW()-1)),"")</f>
        <v>0</v>
      </c>
      <c r="G98" t="str">
        <f>IFERROR(_xlfn.SINGLE(INDEX(#REF!,ROW()-1)),"")</f>
        <v>iPro
Epic Satellite
ALLSCRIPTS
EPIC BCA</v>
      </c>
      <c r="H98" t="str">
        <f>IFERROR(_xlfn.SINGLE(INDEX(#REF!,ROW()-1)),"")</f>
        <v>OR iPro Cybernet Workstation</v>
      </c>
      <c r="I98">
        <f>IFERROR(_xlfn.SINGLE(INDEX(#REF!,ROW()-1)),"")</f>
        <v>0</v>
      </c>
      <c r="J98">
        <f>IFERROR(_xlfn.SINGLE(INDEX(#REF!,ROW()-1)),"")</f>
        <v>0</v>
      </c>
      <c r="K98">
        <f>IFERROR(_xlfn.SINGLE(INDEX(#REF!,ROW()-1)),"")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IFERROR(_xlfn.SINGLE(INDEX(#REF!,ROW()-1)),"")</f>
        <v>Cybernet</v>
      </c>
      <c r="C99" t="str">
        <f>IFERROR(_xlfn.SINGLE(INDEX(#REF!,ROW()-1)),"")</f>
        <v>No</v>
      </c>
      <c r="D99" t="str">
        <f>IFERROR(_xlfn.SINGLE(INDEX(#REF!,ROW()-1)),"")</f>
        <v>No</v>
      </c>
      <c r="E99" t="str">
        <f>IFERROR(_xlfn.SINGLE(INDEX(#REF!,ROW()-1)),"")</f>
        <v>WNH270OPR412</v>
      </c>
      <c r="F99">
        <f>IFERROR(_xlfn.SINGLE(INDEX(#REF!,ROW()-1)),"")</f>
        <v>0</v>
      </c>
      <c r="G99" t="str">
        <f>IFERROR(_xlfn.SINGLE(INDEX(#REF!,ROW()-1)),"")</f>
        <v>iPro
Epic Satellite
ALLSCRIPTS
EPIC BCA</v>
      </c>
      <c r="H99" t="str">
        <f>IFERROR(_xlfn.SINGLE(INDEX(#REF!,ROW()-1)),"")</f>
        <v>OR iPro Cybernet Workstation</v>
      </c>
      <c r="I99">
        <f>IFERROR(_xlfn.SINGLE(INDEX(#REF!,ROW()-1)),"")</f>
        <v>0</v>
      </c>
      <c r="J99">
        <f>IFERROR(_xlfn.SINGLE(INDEX(#REF!,ROW()-1)),"")</f>
        <v>0</v>
      </c>
      <c r="K99">
        <f>IFERROR(_xlfn.SINGLE(INDEX(#REF!,ROW()-1)),"")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IFERROR(_xlfn.SINGLE(INDEX(#REF!,ROW()-1)),"")</f>
        <v>Cybernet</v>
      </c>
      <c r="C100" t="str">
        <f>IFERROR(_xlfn.SINGLE(INDEX(#REF!,ROW()-1)),"")</f>
        <v>No</v>
      </c>
      <c r="D100" t="str">
        <f>IFERROR(_xlfn.SINGLE(INDEX(#REF!,ROW()-1)),"")</f>
        <v>No</v>
      </c>
      <c r="E100" t="str">
        <f>IFERROR(_xlfn.SINGLE(INDEX(#REF!,ROW()-1)),"")</f>
        <v>BROKEN - Bluescreen@boot</v>
      </c>
      <c r="F100">
        <f>IFERROR(_xlfn.SINGLE(INDEX(#REF!,ROW()-1)),"")</f>
        <v>0</v>
      </c>
      <c r="G100" t="str">
        <f>IFERROR(_xlfn.SINGLE(INDEX(#REF!,ROW()-1)),"")</f>
        <v>iPro
Epic Satellite
ALLSCRIPTS
EPIC BCA</v>
      </c>
      <c r="H100" t="str">
        <f>IFERROR(_xlfn.SINGLE(INDEX(#REF!,ROW()-1)),"")</f>
        <v>OR iPro Cybernet Workstation</v>
      </c>
      <c r="I100">
        <f>IFERROR(_xlfn.SINGLE(INDEX(#REF!,ROW()-1)),"")</f>
        <v>0</v>
      </c>
      <c r="J100">
        <f>IFERROR(_xlfn.SINGLE(INDEX(#REF!,ROW()-1)),"")</f>
        <v>0</v>
      </c>
      <c r="K100">
        <f>IFERROR(_xlfn.SINGLE(INDEX(#REF!,ROW()-1)),"")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IFERROR(_xlfn.SINGLE(INDEX(#REF!,ROW()-1)),"")</f>
        <v>Cybernet</v>
      </c>
      <c r="C101" t="str">
        <f>IFERROR(_xlfn.SINGLE(INDEX(#REF!,ROW()-1)),"")</f>
        <v>Yes</v>
      </c>
      <c r="D101" t="str">
        <f>IFERROR(_xlfn.SINGLE(INDEX(#REF!,ROW()-1)),"")</f>
        <v>Yes</v>
      </c>
      <c r="E101" t="str">
        <f>IFERROR(_xlfn.SINGLE(INDEX(#REF!,ROW()-1)),"")</f>
        <v>WNH270OPR413</v>
      </c>
      <c r="F101" t="str">
        <f>IFERROR(_xlfn.SINGLE(INDEX(#REF!,ROW()-1)),"")</f>
        <v>LIJ-MACH-FF</v>
      </c>
      <c r="G101" t="str">
        <f>IFERROR(_xlfn.SINGLE(INDEX(#REF!,ROW()-1)),"")</f>
        <v>iPro
Epic Satellite
ALLSCRIPTS
EPIC BCA</v>
      </c>
      <c r="H101" t="str">
        <f>IFERROR(_xlfn.SINGLE(INDEX(#REF!,ROW()-1)),"")</f>
        <v>OR iPro Cybernet Workstation</v>
      </c>
      <c r="I101" t="str">
        <f>IFERROR(_xlfn.SINGLE(INDEX(#REF!,ROW()-1)),"")</f>
        <v>Pass</v>
      </c>
      <c r="J101" t="str">
        <f>IFERROR(_xlfn.SINGLE(INDEX(#REF!,ROW()-1)),"")</f>
        <v>1427182 LIJ Installation - Tim W. Seeberger, Akbar, Chris Perkins, Epic Team, Anesthesia Techs, and Admins</v>
      </c>
      <c r="K101">
        <f>IFERROR(_xlfn.SINGLE(INDEX(#REF!,ROW()-1)),"")</f>
        <v>46075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IFERROR(_xlfn.SINGLE(INDEX(#REF!,ROW()-1)),"")</f>
        <v>Cybernet</v>
      </c>
      <c r="C102" t="str">
        <f>IFERROR(_xlfn.SINGLE(INDEX(#REF!,ROW()-1)),"")</f>
        <v>Yes</v>
      </c>
      <c r="D102" t="str">
        <f>IFERROR(_xlfn.SINGLE(INDEX(#REF!,ROW()-1)),"")</f>
        <v>Yes</v>
      </c>
      <c r="E102" t="str">
        <f>IFERROR(_xlfn.SINGLE(INDEX(#REF!,ROW()-1)),"")</f>
        <v>WNH270OPR414</v>
      </c>
      <c r="F102" t="str">
        <f>IFERROR(_xlfn.SINGLE(INDEX(#REF!,ROW()-1)),"")</f>
        <v>LIJ-MACH-WW</v>
      </c>
      <c r="G102" t="str">
        <f>IFERROR(_xlfn.SINGLE(INDEX(#REF!,ROW()-1)),"")</f>
        <v>iPro
Epic Satellite
ALLSCRIPTS
EPIC BCA</v>
      </c>
      <c r="H102" t="str">
        <f>IFERROR(_xlfn.SINGLE(INDEX(#REF!,ROW()-1)),"")</f>
        <v>OR iPro Cybernet Workstation</v>
      </c>
      <c r="I102" t="str">
        <f>IFERROR(_xlfn.SINGLE(INDEX(#REF!,ROW()-1)),"")</f>
        <v>Pass</v>
      </c>
      <c r="J102" t="str">
        <f>IFERROR(_xlfn.SINGLE(INDEX(#REF!,ROW()-1)),"")</f>
        <v>1427182 LIJ Installation - Tim W. Seeberger, Akbar, Chris Perkins, Epic Team, Anesthesia Techs, and Admins</v>
      </c>
      <c r="K102">
        <f>IFERROR(_xlfn.SINGLE(INDEX(#REF!,ROW()-1)),"")</f>
        <v>46075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IFERROR(_xlfn.SINGLE(INDEX(#REF!,ROW()-1)),"")</f>
        <v>Cybernet</v>
      </c>
      <c r="C103" t="str">
        <f>IFERROR(_xlfn.SINGLE(INDEX(#REF!,ROW()-1)),"")</f>
        <v>Yes</v>
      </c>
      <c r="D103" t="str">
        <f>IFERROR(_xlfn.SINGLE(INDEX(#REF!,ROW()-1)),"")</f>
        <v>Yes</v>
      </c>
      <c r="E103" t="str">
        <f>IFERROR(_xlfn.SINGLE(INDEX(#REF!,ROW()-1)),"")</f>
        <v>WNH270OPR415</v>
      </c>
      <c r="F103" t="str">
        <f>IFERROR(_xlfn.SINGLE(INDEX(#REF!,ROW()-1)),"")</f>
        <v>LIJ-MACH-N</v>
      </c>
      <c r="G103" t="str">
        <f>IFERROR(_xlfn.SINGLE(INDEX(#REF!,ROW()-1)),"")</f>
        <v>iPro
Epic Satellite
ALLSCRIPTS
EPIC BCA</v>
      </c>
      <c r="H103" t="str">
        <f>IFERROR(_xlfn.SINGLE(INDEX(#REF!,ROW()-1)),"")</f>
        <v>OR iPro Cybernet Workstation</v>
      </c>
      <c r="I103" t="str">
        <f>IFERROR(_xlfn.SINGLE(INDEX(#REF!,ROW()-1)),"")</f>
        <v>Pass</v>
      </c>
      <c r="J103" t="str">
        <f>IFERROR(_xlfn.SINGLE(INDEX(#REF!,ROW()-1)),"")</f>
        <v>1427182 LIJ Installation - Tim W. Seeberger, Akbar, Chris Perkins, Epic Team, Anesthesia Techs, and Admins</v>
      </c>
      <c r="K103">
        <f>IFERROR(_xlfn.SINGLE(INDEX(#REF!,ROW()-1)),"")</f>
        <v>46075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IFERROR(_xlfn.SINGLE(INDEX(#REF!,ROW()-1)),"")</f>
        <v>Cybernet</v>
      </c>
      <c r="C104" t="str">
        <f>IFERROR(_xlfn.SINGLE(INDEX(#REF!,ROW()-1)),"")</f>
        <v>Yes</v>
      </c>
      <c r="D104" t="str">
        <f>IFERROR(_xlfn.SINGLE(INDEX(#REF!,ROW()-1)),"")</f>
        <v>Yes</v>
      </c>
      <c r="E104" t="str">
        <f>IFERROR(_xlfn.SINGLE(INDEX(#REF!,ROW()-1)),"")</f>
        <v>WNH270OPR416</v>
      </c>
      <c r="F104" t="str">
        <f>IFERROR(_xlfn.SINGLE(INDEX(#REF!,ROW()-1)),"")</f>
        <v>LIJ-MACH-DD</v>
      </c>
      <c r="G104" t="str">
        <f>IFERROR(_xlfn.SINGLE(INDEX(#REF!,ROW()-1)),"")</f>
        <v>iPro
Epic Satellite
ALLSCRIPTS
EPIC BCA</v>
      </c>
      <c r="H104" t="str">
        <f>IFERROR(_xlfn.SINGLE(INDEX(#REF!,ROW()-1)),"")</f>
        <v>OR iPro Cybernet Workstation</v>
      </c>
      <c r="I104" t="str">
        <f>IFERROR(_xlfn.SINGLE(INDEX(#REF!,ROW()-1)),"")</f>
        <v>Pass</v>
      </c>
      <c r="J104" t="str">
        <f>IFERROR(_xlfn.SINGLE(INDEX(#REF!,ROW()-1)),"")</f>
        <v>1427182 LIJ Installation - Tim W. Seeberger, Akbar, Chris Perkins, Epic Team, Anesthesia Techs, and Admins</v>
      </c>
      <c r="K104">
        <f>IFERROR(_xlfn.SINGLE(INDEX(#REF!,ROW()-1)),"")</f>
        <v>46075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IFERROR(_xlfn.SINGLE(INDEX(#REF!,ROW()-1)),"")</f>
        <v>Cybernet</v>
      </c>
      <c r="C105" t="str">
        <f>IFERROR(_xlfn.SINGLE(INDEX(#REF!,ROW()-1)),"")</f>
        <v>Yes</v>
      </c>
      <c r="D105" t="str">
        <f>IFERROR(_xlfn.SINGLE(INDEX(#REF!,ROW()-1)),"")</f>
        <v>Yes</v>
      </c>
      <c r="E105" t="str">
        <f>IFERROR(_xlfn.SINGLE(INDEX(#REF!,ROW()-1)),"")</f>
        <v>WNH270OPR417</v>
      </c>
      <c r="F105" t="str">
        <f>IFERROR(_xlfn.SINGLE(INDEX(#REF!,ROW()-1)),"")</f>
        <v>LIJ-MACH-RR</v>
      </c>
      <c r="G105" t="str">
        <f>IFERROR(_xlfn.SINGLE(INDEX(#REF!,ROW()-1)),"")</f>
        <v>iPro
Epic Satellite
ALLSCRIPTS
EPIC BCA</v>
      </c>
      <c r="H105" t="str">
        <f>IFERROR(_xlfn.SINGLE(INDEX(#REF!,ROW()-1)),"")</f>
        <v>OR iPro Cybernet Workstation</v>
      </c>
      <c r="I105" t="str">
        <f>IFERROR(_xlfn.SINGLE(INDEX(#REF!,ROW()-1)),"")</f>
        <v>Pass</v>
      </c>
      <c r="J105" t="str">
        <f>IFERROR(_xlfn.SINGLE(INDEX(#REF!,ROW()-1)),"")</f>
        <v>1427182 LIJ Installation - Tim W. Seeberger, Akbar, Chris Perkins, Epic Team, Anesthesia Techs, and Admins</v>
      </c>
      <c r="K105">
        <f>IFERROR(_xlfn.SINGLE(INDEX(#REF!,ROW()-1)),"")</f>
        <v>46075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IFERROR(_xlfn.SINGLE(INDEX(#REF!,ROW()-1)),"")</f>
        <v>Cybernet</v>
      </c>
      <c r="C106" t="str">
        <f>IFERROR(_xlfn.SINGLE(INDEX(#REF!,ROW()-1)),"")</f>
        <v>Yes</v>
      </c>
      <c r="D106" t="str">
        <f>IFERROR(_xlfn.SINGLE(INDEX(#REF!,ROW()-1)),"")</f>
        <v>Yes</v>
      </c>
      <c r="E106" t="str">
        <f>IFERROR(_xlfn.SINGLE(INDEX(#REF!,ROW()-1)),"")</f>
        <v>WNH270OPR418</v>
      </c>
      <c r="F106" t="str">
        <f>IFERROR(_xlfn.SINGLE(INDEX(#REF!,ROW()-1)),"")</f>
        <v>LIJ-MACH-O</v>
      </c>
      <c r="G106" t="str">
        <f>IFERROR(_xlfn.SINGLE(INDEX(#REF!,ROW()-1)),"")</f>
        <v>iPro
Epic Satellite
ALLSCRIPTS
EPIC BCA</v>
      </c>
      <c r="H106" t="str">
        <f>IFERROR(_xlfn.SINGLE(INDEX(#REF!,ROW()-1)),"")</f>
        <v>OR iPro Cybernet Workstation</v>
      </c>
      <c r="I106" t="str">
        <f>IFERROR(_xlfn.SINGLE(INDEX(#REF!,ROW()-1)),"")</f>
        <v>Pass</v>
      </c>
      <c r="J106" t="str">
        <f>IFERROR(_xlfn.SINGLE(INDEX(#REF!,ROW()-1)),"")</f>
        <v>1427182 LIJ Installation - Tim W. Seeberger, Akbar, Chris Perkins, Epic Team, Anesthesia Techs, and Admins</v>
      </c>
      <c r="K106">
        <f>IFERROR(_xlfn.SINGLE(INDEX(#REF!,ROW()-1)),"")</f>
        <v>46075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IFERROR(_xlfn.SINGLE(INDEX(#REF!,ROW()-1)),"")</f>
        <v>Cybernet</v>
      </c>
      <c r="C107" t="str">
        <f>IFERROR(_xlfn.SINGLE(INDEX(#REF!,ROW()-1)),"")</f>
        <v>Yes</v>
      </c>
      <c r="D107" t="str">
        <f>IFERROR(_xlfn.SINGLE(INDEX(#REF!,ROW()-1)),"")</f>
        <v>Yes</v>
      </c>
      <c r="E107" t="str">
        <f>IFERROR(_xlfn.SINGLE(INDEX(#REF!,ROW()-1)),"")</f>
        <v>WNH270OPR419</v>
      </c>
      <c r="F107" t="str">
        <f>IFERROR(_xlfn.SINGLE(INDEX(#REF!,ROW()-1)),"")</f>
        <v>LIJ-MACH-Z</v>
      </c>
      <c r="G107" t="str">
        <f>IFERROR(_xlfn.SINGLE(INDEX(#REF!,ROW()-1)),"")</f>
        <v>iPro
Epic Satellite
ALLSCRIPTS
EPIC BCA</v>
      </c>
      <c r="H107" t="str">
        <f>IFERROR(_xlfn.SINGLE(INDEX(#REF!,ROW()-1)),"")</f>
        <v>OR iPro Cybernet Workstation</v>
      </c>
      <c r="I107" t="str">
        <f>IFERROR(_xlfn.SINGLE(INDEX(#REF!,ROW()-1)),"")</f>
        <v>Pass</v>
      </c>
      <c r="J107" t="str">
        <f>IFERROR(_xlfn.SINGLE(INDEX(#REF!,ROW()-1)),"")</f>
        <v>1427182 LIJ Installation - Tim W. Seeberger, Akbar, Chris Perkins, Epic Team, Anesthesia Techs, and Admins</v>
      </c>
      <c r="K107">
        <f>IFERROR(_xlfn.SINGLE(INDEX(#REF!,ROW()-1)),"")</f>
        <v>46075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IFERROR(_xlfn.SINGLE(INDEX(#REF!,ROW()-1)),"")</f>
        <v>Cybernet</v>
      </c>
      <c r="C108" t="str">
        <f>IFERROR(_xlfn.SINGLE(INDEX(#REF!,ROW()-1)),"")</f>
        <v>Yes</v>
      </c>
      <c r="D108" t="str">
        <f>IFERROR(_xlfn.SINGLE(INDEX(#REF!,ROW()-1)),"")</f>
        <v>Yes</v>
      </c>
      <c r="E108" t="str">
        <f>IFERROR(_xlfn.SINGLE(INDEX(#REF!,ROW()-1)),"")</f>
        <v>WNH270OPR420</v>
      </c>
      <c r="F108" t="str">
        <f>IFERROR(_xlfn.SINGLE(INDEX(#REF!,ROW()-1)),"")</f>
        <v>LIJ-MACH-H</v>
      </c>
      <c r="G108" t="str">
        <f>IFERROR(_xlfn.SINGLE(INDEX(#REF!,ROW()-1)),"")</f>
        <v>iPro
Epic Satellite
ALLSCRIPTS
EPIC BCA</v>
      </c>
      <c r="H108" t="str">
        <f>IFERROR(_xlfn.SINGLE(INDEX(#REF!,ROW()-1)),"")</f>
        <v>OR iPro Cybernet Workstation</v>
      </c>
      <c r="I108" t="str">
        <f>IFERROR(_xlfn.SINGLE(INDEX(#REF!,ROW()-1)),"")</f>
        <v>Pass</v>
      </c>
      <c r="J108" t="str">
        <f>IFERROR(_xlfn.SINGLE(INDEX(#REF!,ROW()-1)),"")</f>
        <v>1427182 LIJ Installation - Tim W. Seeberger, Akbar, Chris Perkins, Epic Team, Anesthesia Techs, and Admins</v>
      </c>
      <c r="K108">
        <f>IFERROR(_xlfn.SINGLE(INDEX(#REF!,ROW()-1)),"")</f>
        <v>46075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IFERROR(_xlfn.SINGLE(INDEX(#REF!,ROW()-1)),"")</f>
        <v>Cybernet</v>
      </c>
      <c r="C109" t="str">
        <f>IFERROR(_xlfn.SINGLE(INDEX(#REF!,ROW()-1)),"")</f>
        <v>Yes</v>
      </c>
      <c r="D109" t="str">
        <f>IFERROR(_xlfn.SINGLE(INDEX(#REF!,ROW()-1)),"")</f>
        <v>Yes</v>
      </c>
      <c r="E109" t="str">
        <f>IFERROR(_xlfn.SINGLE(INDEX(#REF!,ROW()-1)),"")</f>
        <v>WNH270OPR421</v>
      </c>
      <c r="F109" t="str">
        <f>IFERROR(_xlfn.SINGLE(INDEX(#REF!,ROW()-1)),"")</f>
        <v>LIJ-MACH-B</v>
      </c>
      <c r="G109" t="str">
        <f>IFERROR(_xlfn.SINGLE(INDEX(#REF!,ROW()-1)),"")</f>
        <v>iPro
Epic Satellite
ALLSCRIPTS
EPIC BCA</v>
      </c>
      <c r="H109" t="str">
        <f>IFERROR(_xlfn.SINGLE(INDEX(#REF!,ROW()-1)),"")</f>
        <v>OR iPro Cybernet Workstation</v>
      </c>
      <c r="I109" t="str">
        <f>IFERROR(_xlfn.SINGLE(INDEX(#REF!,ROW()-1)),"")</f>
        <v>Pass</v>
      </c>
      <c r="J109" t="str">
        <f>IFERROR(_xlfn.SINGLE(INDEX(#REF!,ROW()-1)),"")</f>
        <v>1427182 LIJ Installation - Tim W. Seeberger, Akbar, Chris Perkins, Epic Team, Anesthesia Techs, and Admins</v>
      </c>
      <c r="K109">
        <f>IFERROR(_xlfn.SINGLE(INDEX(#REF!,ROW()-1)),"")</f>
        <v>46075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IFERROR(_xlfn.SINGLE(INDEX(#REF!,ROW()-1)),"")</f>
        <v>Cybernet</v>
      </c>
      <c r="C110" t="str">
        <f>IFERROR(_xlfn.SINGLE(INDEX(#REF!,ROW()-1)),"")</f>
        <v>Yes</v>
      </c>
      <c r="D110" t="str">
        <f>IFERROR(_xlfn.SINGLE(INDEX(#REF!,ROW()-1)),"")</f>
        <v>Yes</v>
      </c>
      <c r="E110" t="str">
        <f>IFERROR(_xlfn.SINGLE(INDEX(#REF!,ROW()-1)),"")</f>
        <v>WNH270OPR422</v>
      </c>
      <c r="F110" t="str">
        <f>IFERROR(_xlfn.SINGLE(INDEX(#REF!,ROW()-1)),"")</f>
        <v>LIJ-MACH-G</v>
      </c>
      <c r="G110" t="str">
        <f>IFERROR(_xlfn.SINGLE(INDEX(#REF!,ROW()-1)),"")</f>
        <v>iPro
Epic Satellite
ALLSCRIPTS
EPIC BCA</v>
      </c>
      <c r="H110" t="str">
        <f>IFERROR(_xlfn.SINGLE(INDEX(#REF!,ROW()-1)),"")</f>
        <v>OR iPro Cybernet Workstation</v>
      </c>
      <c r="I110" t="str">
        <f>IFERROR(_xlfn.SINGLE(INDEX(#REF!,ROW()-1)),"")</f>
        <v>Pass</v>
      </c>
      <c r="J110" t="str">
        <f>IFERROR(_xlfn.SINGLE(INDEX(#REF!,ROW()-1)),"")</f>
        <v>1427182 LIJ Installation - Tim W. Seeberger, Akbar, Chris Perkins, Epic Team, Anesthesia Techs, and Admins</v>
      </c>
      <c r="K110">
        <f>IFERROR(_xlfn.SINGLE(INDEX(#REF!,ROW()-1)),"")</f>
        <v>46075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IFERROR(_xlfn.SINGLE(INDEX(#REF!,ROW()-1)),"")</f>
        <v>Cybernet</v>
      </c>
      <c r="C111" t="str">
        <f>IFERROR(_xlfn.SINGLE(INDEX(#REF!,ROW()-1)),"")</f>
        <v>Yes</v>
      </c>
      <c r="D111" t="str">
        <f>IFERROR(_xlfn.SINGLE(INDEX(#REF!,ROW()-1)),"")</f>
        <v>Yes</v>
      </c>
      <c r="E111" t="str">
        <f>IFERROR(_xlfn.SINGLE(INDEX(#REF!,ROW()-1)),"")</f>
        <v>WNH270OPR423</v>
      </c>
      <c r="F111" t="str">
        <f>IFERROR(_xlfn.SINGLE(INDEX(#REF!,ROW()-1)),"")</f>
        <v>LIJ-MACH-AA</v>
      </c>
      <c r="G111" t="str">
        <f>IFERROR(_xlfn.SINGLE(INDEX(#REF!,ROW()-1)),"")</f>
        <v>iPro
Epic Satellite
ALLSCRIPTS
EPIC BCA</v>
      </c>
      <c r="H111" t="str">
        <f>IFERROR(_xlfn.SINGLE(INDEX(#REF!,ROW()-1)),"")</f>
        <v>OR iPro Cybernet Workstation</v>
      </c>
      <c r="I111" t="str">
        <f>IFERROR(_xlfn.SINGLE(INDEX(#REF!,ROW()-1)),"")</f>
        <v>Pass</v>
      </c>
      <c r="J111" t="str">
        <f>IFERROR(_xlfn.SINGLE(INDEX(#REF!,ROW()-1)),"")</f>
        <v>1427182 LIJ Installation - Tim W. Seeberger, Akbar, Chris Perkins, Epic Team, Anesthesia Techs, and Admins</v>
      </c>
      <c r="K111">
        <f>IFERROR(_xlfn.SINGLE(INDEX(#REF!,ROW()-1)),"")</f>
        <v>46075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IFERROR(_xlfn.SINGLE(INDEX(#REF!,ROW()-1)),"")</f>
        <v>Cybernet</v>
      </c>
      <c r="C112" t="str">
        <f>IFERROR(_xlfn.SINGLE(INDEX(#REF!,ROW()-1)),"")</f>
        <v>Yes</v>
      </c>
      <c r="D112" t="str">
        <f>IFERROR(_xlfn.SINGLE(INDEX(#REF!,ROW()-1)),"")</f>
        <v>Yes</v>
      </c>
      <c r="E112" t="str">
        <f>IFERROR(_xlfn.SINGLE(INDEX(#REF!,ROW()-1)),"")</f>
        <v>WNH270OPR424</v>
      </c>
      <c r="F112" t="str">
        <f>IFERROR(_xlfn.SINGLE(INDEX(#REF!,ROW()-1)),"")</f>
        <v>LIJ-MACH-W</v>
      </c>
      <c r="G112" t="str">
        <f>IFERROR(_xlfn.SINGLE(INDEX(#REF!,ROW()-1)),"")</f>
        <v>iPro
Epic Satellite
ALLSCRIPTS
EPIC BCA</v>
      </c>
      <c r="H112" t="str">
        <f>IFERROR(_xlfn.SINGLE(INDEX(#REF!,ROW()-1)),"")</f>
        <v>OR iPro Cybernet Workstation</v>
      </c>
      <c r="I112" t="str">
        <f>IFERROR(_xlfn.SINGLE(INDEX(#REF!,ROW()-1)),"")</f>
        <v>Pass</v>
      </c>
      <c r="J112" t="str">
        <f>IFERROR(_xlfn.SINGLE(INDEX(#REF!,ROW()-1)),"")</f>
        <v>1427182 LIJ Installation - Tim W. Seeberger, Akbar, Chris Perkins, Epic Team, Anesthesia Techs, and Admins</v>
      </c>
      <c r="K112">
        <f>IFERROR(_xlfn.SINGLE(INDEX(#REF!,ROW()-1)),"")</f>
        <v>46075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IFERROR(_xlfn.SINGLE(INDEX(#REF!,ROW()-1)),"")</f>
        <v>Cybernet</v>
      </c>
      <c r="C113" t="str">
        <f>IFERROR(_xlfn.SINGLE(INDEX(#REF!,ROW()-1)),"")</f>
        <v>No</v>
      </c>
      <c r="D113" t="str">
        <f>IFERROR(_xlfn.SINGLE(INDEX(#REF!,ROW()-1)),"")</f>
        <v>No</v>
      </c>
      <c r="E113" t="str">
        <f>IFERROR(_xlfn.SINGLE(INDEX(#REF!,ROW()-1)),"")</f>
        <v>WNH270OPR425</v>
      </c>
      <c r="F113">
        <f>IFERROR(_xlfn.SINGLE(INDEX(#REF!,ROW()-1)),"")</f>
        <v>0</v>
      </c>
      <c r="G113" t="str">
        <f>IFERROR(_xlfn.SINGLE(INDEX(#REF!,ROW()-1)),"")</f>
        <v>iPro
Epic Satellite
ALLSCRIPTS
EPIC BCA</v>
      </c>
      <c r="H113" t="str">
        <f>IFERROR(_xlfn.SINGLE(INDEX(#REF!,ROW()-1)),"")</f>
        <v>OR iPro Cybernet Workstation</v>
      </c>
      <c r="I113">
        <f>IFERROR(_xlfn.SINGLE(INDEX(#REF!,ROW()-1)),"")</f>
        <v>0</v>
      </c>
      <c r="J113">
        <f>IFERROR(_xlfn.SINGLE(INDEX(#REF!,ROW()-1)),"")</f>
        <v>0</v>
      </c>
      <c r="K113">
        <f>IFERROR(_xlfn.SINGLE(INDEX(#REF!,ROW()-1)),"")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IFERROR(_xlfn.SINGLE(INDEX(#REF!,ROW()-1)),"")</f>
        <v>Cybernet</v>
      </c>
      <c r="C114" t="str">
        <f>IFERROR(_xlfn.SINGLE(INDEX(#REF!,ROW()-1)),"")</f>
        <v>No</v>
      </c>
      <c r="D114" t="str">
        <f>IFERROR(_xlfn.SINGLE(INDEX(#REF!,ROW()-1)),"")</f>
        <v>No</v>
      </c>
      <c r="E114" t="str">
        <f>IFERROR(_xlfn.SINGLE(INDEX(#REF!,ROW()-1)),"")</f>
        <v>WNH270OPR426</v>
      </c>
      <c r="F114">
        <f>IFERROR(_xlfn.SINGLE(INDEX(#REF!,ROW()-1)),"")</f>
        <v>0</v>
      </c>
      <c r="G114" t="str">
        <f>IFERROR(_xlfn.SINGLE(INDEX(#REF!,ROW()-1)),"")</f>
        <v>iPro
Epic Satellite
ALLSCRIPTS
EPIC BCA</v>
      </c>
      <c r="H114" t="str">
        <f>IFERROR(_xlfn.SINGLE(INDEX(#REF!,ROW()-1)),"")</f>
        <v>OR iPro Cybernet Workstation</v>
      </c>
      <c r="I114">
        <f>IFERROR(_xlfn.SINGLE(INDEX(#REF!,ROW()-1)),"")</f>
        <v>0</v>
      </c>
      <c r="J114">
        <f>IFERROR(_xlfn.SINGLE(INDEX(#REF!,ROW()-1)),"")</f>
        <v>0</v>
      </c>
      <c r="K114">
        <f>IFERROR(_xlfn.SINGLE(INDEX(#REF!,ROW()-1)),"")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IFERROR(_xlfn.SINGLE(INDEX(#REF!,ROW()-1)),"")</f>
        <v>Cybernet</v>
      </c>
      <c r="C115" t="str">
        <f>IFERROR(_xlfn.SINGLE(INDEX(#REF!,ROW()-1)),"")</f>
        <v>No</v>
      </c>
      <c r="D115" t="str">
        <f>IFERROR(_xlfn.SINGLE(INDEX(#REF!,ROW()-1)),"")</f>
        <v>No</v>
      </c>
      <c r="E115" t="str">
        <f>IFERROR(_xlfn.SINGLE(INDEX(#REF!,ROW()-1)),"")</f>
        <v>WNH270OPR427</v>
      </c>
      <c r="F115">
        <f>IFERROR(_xlfn.SINGLE(INDEX(#REF!,ROW()-1)),"")</f>
        <v>0</v>
      </c>
      <c r="G115" t="str">
        <f>IFERROR(_xlfn.SINGLE(INDEX(#REF!,ROW()-1)),"")</f>
        <v>iPro
Epic Satellite
ALLSCRIPTS
EPIC BCA</v>
      </c>
      <c r="H115" t="str">
        <f>IFERROR(_xlfn.SINGLE(INDEX(#REF!,ROW()-1)),"")</f>
        <v>OR iPro Cybernet Workstation</v>
      </c>
      <c r="I115">
        <f>IFERROR(_xlfn.SINGLE(INDEX(#REF!,ROW()-1)),"")</f>
        <v>0</v>
      </c>
      <c r="J115">
        <f>IFERROR(_xlfn.SINGLE(INDEX(#REF!,ROW()-1)),"")</f>
        <v>0</v>
      </c>
      <c r="K115">
        <f>IFERROR(_xlfn.SINGLE(INDEX(#REF!,ROW()-1)),"")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IFERROR(_xlfn.SINGLE(INDEX(#REF!,ROW()-1)),"")</f>
        <v>Cybernet</v>
      </c>
      <c r="C116" t="str">
        <f>IFERROR(_xlfn.SINGLE(INDEX(#REF!,ROW()-1)),"")</f>
        <v>No</v>
      </c>
      <c r="D116" t="str">
        <f>IFERROR(_xlfn.SINGLE(INDEX(#REF!,ROW()-1)),"")</f>
        <v>No</v>
      </c>
      <c r="E116" t="str">
        <f>IFERROR(_xlfn.SINGLE(INDEX(#REF!,ROW()-1)),"")</f>
        <v>WNH270OPR428</v>
      </c>
      <c r="F116">
        <f>IFERROR(_xlfn.SINGLE(INDEX(#REF!,ROW()-1)),"")</f>
        <v>0</v>
      </c>
      <c r="G116" t="str">
        <f>IFERROR(_xlfn.SINGLE(INDEX(#REF!,ROW()-1)),"")</f>
        <v>iPro
Epic Satellite
ALLSCRIPTS
EPIC BCA</v>
      </c>
      <c r="H116" t="str">
        <f>IFERROR(_xlfn.SINGLE(INDEX(#REF!,ROW()-1)),"")</f>
        <v>OR iPro Cybernet Workstation</v>
      </c>
      <c r="I116">
        <f>IFERROR(_xlfn.SINGLE(INDEX(#REF!,ROW()-1)),"")</f>
        <v>0</v>
      </c>
      <c r="J116">
        <f>IFERROR(_xlfn.SINGLE(INDEX(#REF!,ROW()-1)),"")</f>
        <v>0</v>
      </c>
      <c r="K116">
        <f>IFERROR(_xlfn.SINGLE(INDEX(#REF!,ROW()-1)),"")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IFERROR(_xlfn.SINGLE(INDEX(#REF!,ROW()-1)),"")</f>
        <v>Cybernet</v>
      </c>
      <c r="C117" t="str">
        <f>IFERROR(_xlfn.SINGLE(INDEX(#REF!,ROW()-1)),"")</f>
        <v>Yes</v>
      </c>
      <c r="D117" t="str">
        <f>IFERROR(_xlfn.SINGLE(INDEX(#REF!,ROW()-1)),"")</f>
        <v>Yes</v>
      </c>
      <c r="E117" t="str">
        <f>IFERROR(_xlfn.SINGLE(INDEX(#REF!,ROW()-1)),"")</f>
        <v>WNH270OPR429</v>
      </c>
      <c r="F117" t="str">
        <f>IFERROR(_xlfn.SINGLE(INDEX(#REF!,ROW()-1)),"")</f>
        <v>LIJ-MACH-QQ</v>
      </c>
      <c r="G117" t="str">
        <f>IFERROR(_xlfn.SINGLE(INDEX(#REF!,ROW()-1)),"")</f>
        <v>iPro
Epic Satellite
ALLSCRIPTS
EPIC BCA</v>
      </c>
      <c r="H117" t="str">
        <f>IFERROR(_xlfn.SINGLE(INDEX(#REF!,ROW()-1)),"")</f>
        <v>OR iPro Cybernet Workstation</v>
      </c>
      <c r="I117" t="str">
        <f>IFERROR(_xlfn.SINGLE(INDEX(#REF!,ROW()-1)),"")</f>
        <v>Pass</v>
      </c>
      <c r="J117" t="str">
        <f>IFERROR(_xlfn.SINGLE(INDEX(#REF!,ROW()-1)),"")</f>
        <v>1427182 LIJ Installation - Tim W. Seeberger, Akbar, Chris Perkins, Epic Team, Anesthesia Techs, and Admins</v>
      </c>
      <c r="K117">
        <f>IFERROR(_xlfn.SINGLE(INDEX(#REF!,ROW()-1)),"")</f>
        <v>46075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IFERROR(_xlfn.SINGLE(INDEX(#REF!,ROW()-1)),"")</f>
        <v>Cybernet</v>
      </c>
      <c r="C118" t="str">
        <f>IFERROR(_xlfn.SINGLE(INDEX(#REF!,ROW()-1)),"")</f>
        <v>Yes</v>
      </c>
      <c r="D118" t="str">
        <f>IFERROR(_xlfn.SINGLE(INDEX(#REF!,ROW()-1)),"")</f>
        <v>Yes</v>
      </c>
      <c r="E118" t="str">
        <f>IFERROR(_xlfn.SINGLE(INDEX(#REF!,ROW()-1)),"")</f>
        <v>WNH270OPR430</v>
      </c>
      <c r="F118" t="str">
        <f>IFERROR(_xlfn.SINGLE(INDEX(#REF!,ROW()-1)),"")</f>
        <v>LIJ-MACH-I</v>
      </c>
      <c r="G118" t="str">
        <f>IFERROR(_xlfn.SINGLE(INDEX(#REF!,ROW()-1)),"")</f>
        <v>iPro
Epic Satellite
ALLSCRIPTS
EPIC BCA</v>
      </c>
      <c r="H118" t="str">
        <f>IFERROR(_xlfn.SINGLE(INDEX(#REF!,ROW()-1)),"")</f>
        <v>OR iPro Cybernet Workstation</v>
      </c>
      <c r="I118" t="str">
        <f>IFERROR(_xlfn.SINGLE(INDEX(#REF!,ROW()-1)),"")</f>
        <v>Pass</v>
      </c>
      <c r="J118" t="str">
        <f>IFERROR(_xlfn.SINGLE(INDEX(#REF!,ROW()-1)),"")</f>
        <v>1427182 LIJ Installation - Tim W. Seeberger, Akbar, Chris Perkins, Epic Team, Anesthesia Techs, and Admins</v>
      </c>
      <c r="K118">
        <f>IFERROR(_xlfn.SINGLE(INDEX(#REF!,ROW()-1)),"")</f>
        <v>46075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IFERROR(_xlfn.SINGLE(INDEX(#REF!,ROW()-1)),"")</f>
        <v>Cybernet</v>
      </c>
      <c r="C119" t="str">
        <f>IFERROR(_xlfn.SINGLE(INDEX(#REF!,ROW()-1)),"")</f>
        <v>No</v>
      </c>
      <c r="D119" t="str">
        <f>IFERROR(_xlfn.SINGLE(INDEX(#REF!,ROW()-1)),"")</f>
        <v>No</v>
      </c>
      <c r="E119" t="str">
        <f>IFERROR(_xlfn.SINGLE(INDEX(#REF!,ROW()-1)),"")</f>
        <v>WNH270OPR431</v>
      </c>
      <c r="F119">
        <f>IFERROR(_xlfn.SINGLE(INDEX(#REF!,ROW()-1)),"")</f>
        <v>0</v>
      </c>
      <c r="G119" t="str">
        <f>IFERROR(_xlfn.SINGLE(INDEX(#REF!,ROW()-1)),"")</f>
        <v>iPro
Epic Satellite
ALLSCRIPTS
EPIC BCA</v>
      </c>
      <c r="H119" t="str">
        <f>IFERROR(_xlfn.SINGLE(INDEX(#REF!,ROW()-1)),"")</f>
        <v>OR iPro Cybernet Workstation</v>
      </c>
      <c r="I119">
        <f>IFERROR(_xlfn.SINGLE(INDEX(#REF!,ROW()-1)),"")</f>
        <v>0</v>
      </c>
      <c r="J119">
        <f>IFERROR(_xlfn.SINGLE(INDEX(#REF!,ROW()-1)),"")</f>
        <v>0</v>
      </c>
      <c r="K119">
        <f>IFERROR(_xlfn.SINGLE(INDEX(#REF!,ROW()-1)),"")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IFERROR(_xlfn.SINGLE(INDEX(#REF!,ROW()-1)),"")</f>
        <v>Cybernet</v>
      </c>
      <c r="C120" t="str">
        <f>IFERROR(_xlfn.SINGLE(INDEX(#REF!,ROW()-1)),"")</f>
        <v>Yes</v>
      </c>
      <c r="D120" t="str">
        <f>IFERROR(_xlfn.SINGLE(INDEX(#REF!,ROW()-1)),"")</f>
        <v>Yes</v>
      </c>
      <c r="E120" t="str">
        <f>IFERROR(_xlfn.SINGLE(INDEX(#REF!,ROW()-1)),"")</f>
        <v>WNH270OPR432</v>
      </c>
      <c r="F120" t="str">
        <f>IFERROR(_xlfn.SINGLE(INDEX(#REF!,ROW()-1)),"")</f>
        <v>LIJ-MACH-D</v>
      </c>
      <c r="G120" t="str">
        <f>IFERROR(_xlfn.SINGLE(INDEX(#REF!,ROW()-1)),"")</f>
        <v>iPro
Epic Satellite
ALLSCRIPTS
EPIC BCA</v>
      </c>
      <c r="H120" t="str">
        <f>IFERROR(_xlfn.SINGLE(INDEX(#REF!,ROW()-1)),"")</f>
        <v>OR iPro Cybernet Workstation</v>
      </c>
      <c r="I120" t="str">
        <f>IFERROR(_xlfn.SINGLE(INDEX(#REF!,ROW()-1)),"")</f>
        <v>Pass</v>
      </c>
      <c r="J120" t="str">
        <f>IFERROR(_xlfn.SINGLE(INDEX(#REF!,ROW()-1)),"")</f>
        <v>1427182 LIJ Installation - Tim W. Seeberger, Akbar, Chris Perkins, Epic Team, Anesthesia Techs, and Admins</v>
      </c>
      <c r="K120">
        <f>IFERROR(_xlfn.SINGLE(INDEX(#REF!,ROW()-1)),"")</f>
        <v>46075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IFERROR(_xlfn.SINGLE(INDEX(#REF!,ROW()-1)),"")</f>
        <v>Cybernet</v>
      </c>
      <c r="C121" t="str">
        <f>IFERROR(_xlfn.SINGLE(INDEX(#REF!,ROW()-1)),"")</f>
        <v>Yes</v>
      </c>
      <c r="D121" t="str">
        <f>IFERROR(_xlfn.SINGLE(INDEX(#REF!,ROW()-1)),"")</f>
        <v>No</v>
      </c>
      <c r="E121" t="str">
        <f>IFERROR(_xlfn.SINGLE(INDEX(#REF!,ROW()-1)),"")</f>
        <v>WNH270OPR433</v>
      </c>
      <c r="F121">
        <f>IFERROR(_xlfn.SINGLE(INDEX(#REF!,ROW()-1)),"")</f>
        <v>0</v>
      </c>
      <c r="G121" t="str">
        <f>IFERROR(_xlfn.SINGLE(INDEX(#REF!,ROW()-1)),"")</f>
        <v>iPro
Epic Satellite
ALLSCRIPTS
EPIC BCA</v>
      </c>
      <c r="H121" t="str">
        <f>IFERROR(_xlfn.SINGLE(INDEX(#REF!,ROW()-1)),"")</f>
        <v>OR iPro Cybernet Workstation</v>
      </c>
      <c r="I121">
        <f>IFERROR(_xlfn.SINGLE(INDEX(#REF!,ROW()-1)),"")</f>
        <v>0</v>
      </c>
      <c r="J121">
        <f>IFERROR(_xlfn.SINGLE(INDEX(#REF!,ROW()-1)),"")</f>
        <v>0</v>
      </c>
      <c r="K121">
        <f>IFERROR(_xlfn.SINGLE(INDEX(#REF!,ROW()-1)),"")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IFERROR(_xlfn.SINGLE(INDEX(#REF!,ROW()-1)),"")</f>
        <v>Cybernet</v>
      </c>
      <c r="C122" t="str">
        <f>IFERROR(_xlfn.SINGLE(INDEX(#REF!,ROW()-1)),"")</f>
        <v>No</v>
      </c>
      <c r="D122" t="str">
        <f>IFERROR(_xlfn.SINGLE(INDEX(#REF!,ROW()-1)),"")</f>
        <v>No</v>
      </c>
      <c r="E122" t="str">
        <f>IFERROR(_xlfn.SINGLE(INDEX(#REF!,ROW()-1)),"")</f>
        <v>WNH270OPR434</v>
      </c>
      <c r="F122">
        <f>IFERROR(_xlfn.SINGLE(INDEX(#REF!,ROW()-1)),"")</f>
        <v>0</v>
      </c>
      <c r="G122" t="str">
        <f>IFERROR(_xlfn.SINGLE(INDEX(#REF!,ROW()-1)),"")</f>
        <v>iPro
Epic Satellite
ALLSCRIPTS
EPIC BCA</v>
      </c>
      <c r="H122" t="str">
        <f>IFERROR(_xlfn.SINGLE(INDEX(#REF!,ROW()-1)),"")</f>
        <v>OR iPro Cybernet Workstation</v>
      </c>
      <c r="I122">
        <f>IFERROR(_xlfn.SINGLE(INDEX(#REF!,ROW()-1)),"")</f>
        <v>0</v>
      </c>
      <c r="J122">
        <f>IFERROR(_xlfn.SINGLE(INDEX(#REF!,ROW()-1)),"")</f>
        <v>0</v>
      </c>
      <c r="K122">
        <f>IFERROR(_xlfn.SINGLE(INDEX(#REF!,ROW()-1)),"")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IFERROR(_xlfn.SINGLE(INDEX(#REF!,ROW()-1)),"")</f>
        <v>Cybernet</v>
      </c>
      <c r="C123" t="str">
        <f>IFERROR(_xlfn.SINGLE(INDEX(#REF!,ROW()-1)),"")</f>
        <v>Yes</v>
      </c>
      <c r="D123" t="str">
        <f>IFERROR(_xlfn.SINGLE(INDEX(#REF!,ROW()-1)),"")</f>
        <v>Yes</v>
      </c>
      <c r="E123" t="str">
        <f>IFERROR(_xlfn.SINGLE(INDEX(#REF!,ROW()-1)),"")</f>
        <v>WNH270OPR435</v>
      </c>
      <c r="F123" t="str">
        <f>IFERROR(_xlfn.SINGLE(INDEX(#REF!,ROW()-1)),"")</f>
        <v>LIJ-MACH-F</v>
      </c>
      <c r="G123" t="str">
        <f>IFERROR(_xlfn.SINGLE(INDEX(#REF!,ROW()-1)),"")</f>
        <v>iPro
Epic Satellite
ALLSCRIPTS
EPIC BCA</v>
      </c>
      <c r="H123" t="str">
        <f>IFERROR(_xlfn.SINGLE(INDEX(#REF!,ROW()-1)),"")</f>
        <v>OR iPro Cybernet Workstation</v>
      </c>
      <c r="I123" t="str">
        <f>IFERROR(_xlfn.SINGLE(INDEX(#REF!,ROW()-1)),"")</f>
        <v>Pass</v>
      </c>
      <c r="J123" t="str">
        <f>IFERROR(_xlfn.SINGLE(INDEX(#REF!,ROW()-1)),"")</f>
        <v>1427182 LIJ Installation - Tim W. Seeberger, Akbar, Chris Perkins, Epic Team, Anesthesia Techs, and Admins</v>
      </c>
      <c r="K123">
        <f>IFERROR(_xlfn.SINGLE(INDEX(#REF!,ROW()-1)),"")</f>
        <v>46075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IFERROR(_xlfn.SINGLE(INDEX(#REF!,ROW()-1)),"")</f>
        <v>Cybernet</v>
      </c>
      <c r="C124" t="str">
        <f>IFERROR(_xlfn.SINGLE(INDEX(#REF!,ROW()-1)),"")</f>
        <v>Yes</v>
      </c>
      <c r="D124" t="str">
        <f>IFERROR(_xlfn.SINGLE(INDEX(#REF!,ROW()-1)),"")</f>
        <v>Yes</v>
      </c>
      <c r="E124" t="str">
        <f>IFERROR(_xlfn.SINGLE(INDEX(#REF!,ROW()-1)),"")</f>
        <v>WNH270OPR436</v>
      </c>
      <c r="F124" t="str">
        <f>IFERROR(_xlfn.SINGLE(INDEX(#REF!,ROW()-1)),"")</f>
        <v>LIJ-MACH-L</v>
      </c>
      <c r="G124" t="str">
        <f>IFERROR(_xlfn.SINGLE(INDEX(#REF!,ROW()-1)),"")</f>
        <v>iPro
Epic Satellite
ALLSCRIPTS
EPIC BCA</v>
      </c>
      <c r="H124" t="str">
        <f>IFERROR(_xlfn.SINGLE(INDEX(#REF!,ROW()-1)),"")</f>
        <v>OR iPro Cybernet Workstation</v>
      </c>
      <c r="I124" t="str">
        <f>IFERROR(_xlfn.SINGLE(INDEX(#REF!,ROW()-1)),"")</f>
        <v>Pass</v>
      </c>
      <c r="J124" t="str">
        <f>IFERROR(_xlfn.SINGLE(INDEX(#REF!,ROW()-1)),"")</f>
        <v>1427182 LIJ Installation - Tim W. Seeberger, Akbar, Chris Perkins, Epic Team, Anesthesia Techs, and Admins</v>
      </c>
      <c r="K124">
        <f>IFERROR(_xlfn.SINGLE(INDEX(#REF!,ROW()-1)),"")</f>
        <v>46075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IFERROR(_xlfn.SINGLE(INDEX(#REF!,ROW()-1)),"")</f>
        <v>Cybernet</v>
      </c>
      <c r="C125" t="str">
        <f>IFERROR(_xlfn.SINGLE(INDEX(#REF!,ROW()-1)),"")</f>
        <v>Yes</v>
      </c>
      <c r="D125" t="str">
        <f>IFERROR(_xlfn.SINGLE(INDEX(#REF!,ROW()-1)),"")</f>
        <v>Yes</v>
      </c>
      <c r="E125" t="str">
        <f>IFERROR(_xlfn.SINGLE(INDEX(#REF!,ROW()-1)),"")</f>
        <v>WNH270OPR437</v>
      </c>
      <c r="F125" t="str">
        <f>IFERROR(_xlfn.SINGLE(INDEX(#REF!,ROW()-1)),"")</f>
        <v>LIJ-MACH-A</v>
      </c>
      <c r="G125" t="str">
        <f>IFERROR(_xlfn.SINGLE(INDEX(#REF!,ROW()-1)),"")</f>
        <v>iPro
Epic Satellite
ALLSCRIPTS
EPIC BCA</v>
      </c>
      <c r="H125" t="str">
        <f>IFERROR(_xlfn.SINGLE(INDEX(#REF!,ROW()-1)),"")</f>
        <v>OR iPro Cybernet Workstation</v>
      </c>
      <c r="I125" t="str">
        <f>IFERROR(_xlfn.SINGLE(INDEX(#REF!,ROW()-1)),"")</f>
        <v>Pass</v>
      </c>
      <c r="J125" t="str">
        <f>IFERROR(_xlfn.SINGLE(INDEX(#REF!,ROW()-1)),"")</f>
        <v>1427182 LIJ Installation - Tim W. Seeberger, Akbar, Chris Perkins, Epic Team, Anesthesia Techs, and Admins</v>
      </c>
      <c r="K125">
        <f>IFERROR(_xlfn.SINGLE(INDEX(#REF!,ROW()-1)),"")</f>
        <v>46075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IFERROR(_xlfn.SINGLE(INDEX(#REF!,ROW()-1)),"")</f>
        <v>Cybernet</v>
      </c>
      <c r="C126" t="str">
        <f>IFERROR(_xlfn.SINGLE(INDEX(#REF!,ROW()-1)),"")</f>
        <v>Yes</v>
      </c>
      <c r="D126" t="str">
        <f>IFERROR(_xlfn.SINGLE(INDEX(#REF!,ROW()-1)),"")</f>
        <v>Yes</v>
      </c>
      <c r="E126" t="str">
        <f>IFERROR(_xlfn.SINGLE(INDEX(#REF!,ROW()-1)),"")</f>
        <v>WNH270OPR438</v>
      </c>
      <c r="F126" t="str">
        <f>IFERROR(_xlfn.SINGLE(INDEX(#REF!,ROW()-1)),"")</f>
        <v>LIJ-MACH-E</v>
      </c>
      <c r="G126" t="str">
        <f>IFERROR(_xlfn.SINGLE(INDEX(#REF!,ROW()-1)),"")</f>
        <v>iPro
Epic Satellite
ALLSCRIPTS
EPIC BCA</v>
      </c>
      <c r="H126" t="str">
        <f>IFERROR(_xlfn.SINGLE(INDEX(#REF!,ROW()-1)),"")</f>
        <v>OR iPro Cybernet Workstation</v>
      </c>
      <c r="I126" t="str">
        <f>IFERROR(_xlfn.SINGLE(INDEX(#REF!,ROW()-1)),"")</f>
        <v>Pass</v>
      </c>
      <c r="J126" t="str">
        <f>IFERROR(_xlfn.SINGLE(INDEX(#REF!,ROW()-1)),"")</f>
        <v>1427182 LIJ Installation - Tim W. Seeberger, Akbar, Chris Perkins, Epic Team, Anesthesia Techs, and Admins</v>
      </c>
      <c r="K126">
        <f>IFERROR(_xlfn.SINGLE(INDEX(#REF!,ROW()-1)),"")</f>
        <v>46075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IFERROR(_xlfn.SINGLE(INDEX(#REF!,ROW()-1)),"")</f>
        <v>Cybernet</v>
      </c>
      <c r="C127" t="str">
        <f>IFERROR(_xlfn.SINGLE(INDEX(#REF!,ROW()-1)),"")</f>
        <v>Yes</v>
      </c>
      <c r="D127" t="str">
        <f>IFERROR(_xlfn.SINGLE(INDEX(#REF!,ROW()-1)),"")</f>
        <v>Yes</v>
      </c>
      <c r="E127" t="str">
        <f>IFERROR(_xlfn.SINGLE(INDEX(#REF!,ROW()-1)),"")</f>
        <v>WNH270OPR439</v>
      </c>
      <c r="F127" t="str">
        <f>IFERROR(_xlfn.SINGLE(INDEX(#REF!,ROW()-1)),"")</f>
        <v>LIJ-MACH-S</v>
      </c>
      <c r="G127">
        <f>IFERROR(_xlfn.SINGLE(INDEX(#REF!,ROW()-1)),"")</f>
        <v>0</v>
      </c>
      <c r="H127" t="str">
        <f>IFERROR(_xlfn.SINGLE(INDEX(#REF!,ROW()-1)),"")</f>
        <v>OR iPro Cybernet Workstation</v>
      </c>
      <c r="I127" t="str">
        <f>IFERROR(_xlfn.SINGLE(INDEX(#REF!,ROW()-1)),"")</f>
        <v>Pass</v>
      </c>
      <c r="J127" t="str">
        <f>IFERROR(_xlfn.SINGLE(INDEX(#REF!,ROW()-1)),"")</f>
        <v>1427182 LIJ Installation - Tim W. Seeberger, Akbar, Chris Perkins, Epic Team, Anesthesia Techs, and Admins</v>
      </c>
      <c r="K127">
        <f>IFERROR(_xlfn.SINGLE(INDEX(#REF!,ROW()-1)),"")</f>
        <v>46075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IFERROR(_xlfn.SINGLE(INDEX(#REF!,ROW()-1)),"")</f>
        <v>Cybernet</v>
      </c>
      <c r="C128" t="str">
        <f>IFERROR(_xlfn.SINGLE(INDEX(#REF!,ROW()-1)),"")</f>
        <v>Yes</v>
      </c>
      <c r="D128" t="str">
        <f>IFERROR(_xlfn.SINGLE(INDEX(#REF!,ROW()-1)),"")</f>
        <v>Yes</v>
      </c>
      <c r="E128" t="str">
        <f>IFERROR(_xlfn.SINGLE(INDEX(#REF!,ROW()-1)),"")</f>
        <v>WNH270OPR440</v>
      </c>
      <c r="F128" t="str">
        <f>IFERROR(_xlfn.SINGLE(INDEX(#REF!,ROW()-1)),"")</f>
        <v>LIJ-MACH-M</v>
      </c>
      <c r="G128" t="str">
        <f>IFERROR(_xlfn.SINGLE(INDEX(#REF!,ROW()-1)),"")</f>
        <v>iPro
Epic Satellite
ALLSCRIPTS
EPIC BCA</v>
      </c>
      <c r="H128" t="str">
        <f>IFERROR(_xlfn.SINGLE(INDEX(#REF!,ROW()-1)),"")</f>
        <v>OR iPro Cybernet Workstation</v>
      </c>
      <c r="I128" t="str">
        <f>IFERROR(_xlfn.SINGLE(INDEX(#REF!,ROW()-1)),"")</f>
        <v>Pass</v>
      </c>
      <c r="J128" t="str">
        <f>IFERROR(_xlfn.SINGLE(INDEX(#REF!,ROW()-1)),"")</f>
        <v>1427182 LIJ Installation - Tim W. Seeberger, Akbar, Chris Perkins, Epic Team, Anesthesia Techs, and Admins</v>
      </c>
      <c r="K128">
        <f>IFERROR(_xlfn.SINGLE(INDEX(#REF!,ROW()-1)),"")</f>
        <v>46075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IFERROR(_xlfn.SINGLE(INDEX(#REF!,ROW()-1)),"")</f>
        <v>Cybernet</v>
      </c>
      <c r="C129" t="str">
        <f>IFERROR(_xlfn.SINGLE(INDEX(#REF!,ROW()-1)),"")</f>
        <v>Yes</v>
      </c>
      <c r="D129" t="str">
        <f>IFERROR(_xlfn.SINGLE(INDEX(#REF!,ROW()-1)),"")</f>
        <v>Yes</v>
      </c>
      <c r="E129" t="str">
        <f>IFERROR(_xlfn.SINGLE(INDEX(#REF!,ROW()-1)),"")</f>
        <v>WNH270OPR441</v>
      </c>
      <c r="F129" t="str">
        <f>IFERROR(_xlfn.SINGLE(INDEX(#REF!,ROW()-1)),"")</f>
        <v>LIJ-MACH-U</v>
      </c>
      <c r="G129" t="str">
        <f>IFERROR(_xlfn.SINGLE(INDEX(#REF!,ROW()-1)),"")</f>
        <v>iPro
Epic Satellite
ALLSCRIPTS
EPIC BCA</v>
      </c>
      <c r="H129" t="str">
        <f>IFERROR(_xlfn.SINGLE(INDEX(#REF!,ROW()-1)),"")</f>
        <v>OR iPro Cybernet Workstation</v>
      </c>
      <c r="I129" t="str">
        <f>IFERROR(_xlfn.SINGLE(INDEX(#REF!,ROW()-1)),"")</f>
        <v>Pass</v>
      </c>
      <c r="J129" t="str">
        <f>IFERROR(_xlfn.SINGLE(INDEX(#REF!,ROW()-1)),"")</f>
        <v>1427182 LIJ Installation - Tim W. Seeberger, Akbar, Chris Perkins, Epic Team, Anesthesia Techs, and Admins</v>
      </c>
      <c r="K129">
        <f>IFERROR(_xlfn.SINGLE(INDEX(#REF!,ROW()-1)),"")</f>
        <v>46075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IFERROR(_xlfn.SINGLE(INDEX(#REF!,ROW()-1)),"")</f>
        <v>Cybernet</v>
      </c>
      <c r="C130" t="str">
        <f>IFERROR(_xlfn.SINGLE(INDEX(#REF!,ROW()-1)),"")</f>
        <v>Yes</v>
      </c>
      <c r="D130" t="str">
        <f>IFERROR(_xlfn.SINGLE(INDEX(#REF!,ROW()-1)),"")</f>
        <v>Yes</v>
      </c>
      <c r="E130" t="str">
        <f>IFERROR(_xlfn.SINGLE(INDEX(#REF!,ROW()-1)),"")</f>
        <v>WNH270OPR442</v>
      </c>
      <c r="F130" t="str">
        <f>IFERROR(_xlfn.SINGLE(INDEX(#REF!,ROW()-1)),"")</f>
        <v>LIJ-MACH-EE</v>
      </c>
      <c r="G130" t="str">
        <f>IFERROR(_xlfn.SINGLE(INDEX(#REF!,ROW()-1)),"")</f>
        <v>iPro
Epic Satellite
ALLSCRIPTS
EPIC BCA</v>
      </c>
      <c r="H130" t="str">
        <f>IFERROR(_xlfn.SINGLE(INDEX(#REF!,ROW()-1)),"")</f>
        <v>OR iPro Cybernet Workstation</v>
      </c>
      <c r="I130" t="str">
        <f>IFERROR(_xlfn.SINGLE(INDEX(#REF!,ROW()-1)),"")</f>
        <v>Pass</v>
      </c>
      <c r="J130" t="str">
        <f>IFERROR(_xlfn.SINGLE(INDEX(#REF!,ROW()-1)),"")</f>
        <v>1427182 LIJ Installation - Tim W. Seeberger, Akbar, Chris Perkins, Epic Team, Anesthesia Techs, and Admins</v>
      </c>
      <c r="K130">
        <f>IFERROR(_xlfn.SINGLE(INDEX(#REF!,ROW()-1)),"")</f>
        <v>46075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IFERROR(_xlfn.SINGLE(INDEX(#REF!,ROW()-1)),"")</f>
        <v>Cybernet</v>
      </c>
      <c r="C131" t="str">
        <f>IFERROR(_xlfn.SINGLE(INDEX(#REF!,ROW()-1)),"")</f>
        <v>No</v>
      </c>
      <c r="D131" t="str">
        <f>IFERROR(_xlfn.SINGLE(INDEX(#REF!,ROW()-1)),"")</f>
        <v>No</v>
      </c>
      <c r="E131" t="str">
        <f>IFERROR(_xlfn.SINGLE(INDEX(#REF!,ROW()-1)),"")</f>
        <v>WNH270OPR443</v>
      </c>
      <c r="F131">
        <f>IFERROR(_xlfn.SINGLE(INDEX(#REF!,ROW()-1)),"")</f>
        <v>0</v>
      </c>
      <c r="G131" t="str">
        <f>IFERROR(_xlfn.SINGLE(INDEX(#REF!,ROW()-1)),"")</f>
        <v>iPro
Epic Satellite
ALLSCRIPTS
EPIC BCA</v>
      </c>
      <c r="H131" t="str">
        <f>IFERROR(_xlfn.SINGLE(INDEX(#REF!,ROW()-1)),"")</f>
        <v>OR iPro Cybernet Workstation</v>
      </c>
      <c r="I131">
        <f>IFERROR(_xlfn.SINGLE(INDEX(#REF!,ROW()-1)),"")</f>
        <v>0</v>
      </c>
      <c r="J131">
        <f>IFERROR(_xlfn.SINGLE(INDEX(#REF!,ROW()-1)),"")</f>
        <v>0</v>
      </c>
      <c r="K131">
        <f>IFERROR(_xlfn.SINGLE(INDEX(#REF!,ROW()-1)),"")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IFERROR(_xlfn.SINGLE(INDEX(#REF!,ROW()-1)),"")</f>
        <v>Cybernet</v>
      </c>
      <c r="C132" t="str">
        <f>IFERROR(_xlfn.SINGLE(INDEX(#REF!,ROW()-1)),"")</f>
        <v>No</v>
      </c>
      <c r="D132" t="str">
        <f>IFERROR(_xlfn.SINGLE(INDEX(#REF!,ROW()-1)),"")</f>
        <v>No</v>
      </c>
      <c r="E132" t="str">
        <f>IFERROR(_xlfn.SINGLE(INDEX(#REF!,ROW()-1)),"")</f>
        <v>WNH270OPR444</v>
      </c>
      <c r="F132">
        <f>IFERROR(_xlfn.SINGLE(INDEX(#REF!,ROW()-1)),"")</f>
        <v>0</v>
      </c>
      <c r="G132" t="str">
        <f>IFERROR(_xlfn.SINGLE(INDEX(#REF!,ROW()-1)),"")</f>
        <v>iPro
Epic Satellite
ALLSCRIPTS
EPIC BCA</v>
      </c>
      <c r="H132" t="str">
        <f>IFERROR(_xlfn.SINGLE(INDEX(#REF!,ROW()-1)),"")</f>
        <v>OR iPro Cybernet Workstation</v>
      </c>
      <c r="I132">
        <f>IFERROR(_xlfn.SINGLE(INDEX(#REF!,ROW()-1)),"")</f>
        <v>0</v>
      </c>
      <c r="J132">
        <f>IFERROR(_xlfn.SINGLE(INDEX(#REF!,ROW()-1)),"")</f>
        <v>0</v>
      </c>
      <c r="K132">
        <f>IFERROR(_xlfn.SINGLE(INDEX(#REF!,ROW()-1)),"")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IFERROR(_xlfn.SINGLE(INDEX(#REF!,ROW()-1)),"")</f>
        <v>Cybernet</v>
      </c>
      <c r="C133" t="str">
        <f>IFERROR(_xlfn.SINGLE(INDEX(#REF!,ROW()-1)),"")</f>
        <v>No</v>
      </c>
      <c r="D133" t="str">
        <f>IFERROR(_xlfn.SINGLE(INDEX(#REF!,ROW()-1)),"")</f>
        <v>No</v>
      </c>
      <c r="E133" t="str">
        <f>IFERROR(_xlfn.SINGLE(INDEX(#REF!,ROW()-1)),"")</f>
        <v>WNH270OPR445</v>
      </c>
      <c r="F133">
        <f>IFERROR(_xlfn.SINGLE(INDEX(#REF!,ROW()-1)),"")</f>
        <v>0</v>
      </c>
      <c r="G133" t="str">
        <f>IFERROR(_xlfn.SINGLE(INDEX(#REF!,ROW()-1)),"")</f>
        <v>iPro
Epic Satellite
ALLSCRIPTS
EPIC BCA</v>
      </c>
      <c r="H133" t="str">
        <f>IFERROR(_xlfn.SINGLE(INDEX(#REF!,ROW()-1)),"")</f>
        <v>OR iPro Cybernet Workstation</v>
      </c>
      <c r="I133">
        <f>IFERROR(_xlfn.SINGLE(INDEX(#REF!,ROW()-1)),"")</f>
        <v>0</v>
      </c>
      <c r="J133">
        <f>IFERROR(_xlfn.SINGLE(INDEX(#REF!,ROW()-1)),"")</f>
        <v>0</v>
      </c>
      <c r="K133">
        <f>IFERROR(_xlfn.SINGLE(INDEX(#REF!,ROW()-1)),"")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IFERROR(_xlfn.SINGLE(INDEX(#REF!,ROW()-1)),"")</f>
        <v>Cybernet</v>
      </c>
      <c r="C134" t="str">
        <f>IFERROR(_xlfn.SINGLE(INDEX(#REF!,ROW()-1)),"")</f>
        <v>No</v>
      </c>
      <c r="D134" t="str">
        <f>IFERROR(_xlfn.SINGLE(INDEX(#REF!,ROW()-1)),"")</f>
        <v>No</v>
      </c>
      <c r="E134" t="str">
        <f>IFERROR(_xlfn.SINGLE(INDEX(#REF!,ROW()-1)),"")</f>
        <v>WNH270OPR446</v>
      </c>
      <c r="F134">
        <f>IFERROR(_xlfn.SINGLE(INDEX(#REF!,ROW()-1)),"")</f>
        <v>0</v>
      </c>
      <c r="G134" t="str">
        <f>IFERROR(_xlfn.SINGLE(INDEX(#REF!,ROW()-1)),"")</f>
        <v>iPro
Epic Satellite
ALLSCRIPTS
EPIC BCA</v>
      </c>
      <c r="H134" t="str">
        <f>IFERROR(_xlfn.SINGLE(INDEX(#REF!,ROW()-1)),"")</f>
        <v>OR iPro Cybernet Workstation</v>
      </c>
      <c r="I134">
        <f>IFERROR(_xlfn.SINGLE(INDEX(#REF!,ROW()-1)),"")</f>
        <v>0</v>
      </c>
      <c r="J134">
        <f>IFERROR(_xlfn.SINGLE(INDEX(#REF!,ROW()-1)),"")</f>
        <v>0</v>
      </c>
      <c r="K134">
        <f>IFERROR(_xlfn.SINGLE(INDEX(#REF!,ROW()-1)),"")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IFERROR(_xlfn.SINGLE(INDEX(#REF!,ROW()-1)),"")</f>
        <v>Cybernet</v>
      </c>
      <c r="C135" t="str">
        <f>IFERROR(_xlfn.SINGLE(INDEX(#REF!,ROW()-1)),"")</f>
        <v>No</v>
      </c>
      <c r="D135" t="str">
        <f>IFERROR(_xlfn.SINGLE(INDEX(#REF!,ROW()-1)),"")</f>
        <v>No</v>
      </c>
      <c r="E135" t="str">
        <f>IFERROR(_xlfn.SINGLE(INDEX(#REF!,ROW()-1)),"")</f>
        <v>WNH270OPR447</v>
      </c>
      <c r="F135">
        <f>IFERROR(_xlfn.SINGLE(INDEX(#REF!,ROW()-1)),"")</f>
        <v>0</v>
      </c>
      <c r="G135" t="str">
        <f>IFERROR(_xlfn.SINGLE(INDEX(#REF!,ROW()-1)),"")</f>
        <v>iPro
Epic Satellite
ALLSCRIPTS
EPIC BCA</v>
      </c>
      <c r="H135" t="str">
        <f>IFERROR(_xlfn.SINGLE(INDEX(#REF!,ROW()-1)),"")</f>
        <v>OR iPro Cybernet Workstation</v>
      </c>
      <c r="I135">
        <f>IFERROR(_xlfn.SINGLE(INDEX(#REF!,ROW()-1)),"")</f>
        <v>0</v>
      </c>
      <c r="J135">
        <f>IFERROR(_xlfn.SINGLE(INDEX(#REF!,ROW()-1)),"")</f>
        <v>0</v>
      </c>
      <c r="K135">
        <f>IFERROR(_xlfn.SINGLE(INDEX(#REF!,ROW()-1)),"")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IFERROR(_xlfn.SINGLE(INDEX(#REF!,ROW()-1)),"")</f>
        <v>Cybernet</v>
      </c>
      <c r="C136" t="str">
        <f>IFERROR(_xlfn.SINGLE(INDEX(#REF!,ROW()-1)),"")</f>
        <v>No</v>
      </c>
      <c r="D136" t="str">
        <f>IFERROR(_xlfn.SINGLE(INDEX(#REF!,ROW()-1)),"")</f>
        <v>No</v>
      </c>
      <c r="E136" t="str">
        <f>IFERROR(_xlfn.SINGLE(INDEX(#REF!,ROW()-1)),"")</f>
        <v>WNH270OPR448</v>
      </c>
      <c r="F136">
        <f>IFERROR(_xlfn.SINGLE(INDEX(#REF!,ROW()-1)),"")</f>
        <v>0</v>
      </c>
      <c r="G136" t="str">
        <f>IFERROR(_xlfn.SINGLE(INDEX(#REF!,ROW()-1)),"")</f>
        <v>iPro
Epic Satellite
ALLSCRIPTS
EPIC BCA</v>
      </c>
      <c r="H136" t="str">
        <f>IFERROR(_xlfn.SINGLE(INDEX(#REF!,ROW()-1)),"")</f>
        <v>OR iPro Cybernet Workstation</v>
      </c>
      <c r="I136">
        <f>IFERROR(_xlfn.SINGLE(INDEX(#REF!,ROW()-1)),"")</f>
        <v>0</v>
      </c>
      <c r="J136">
        <f>IFERROR(_xlfn.SINGLE(INDEX(#REF!,ROW()-1)),"")</f>
        <v>0</v>
      </c>
      <c r="K136">
        <f>IFERROR(_xlfn.SINGLE(INDEX(#REF!,ROW()-1)),"")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IFERROR(_xlfn.SINGLE(INDEX(#REF!,ROW()-1)),"")</f>
        <v>Cybernet</v>
      </c>
      <c r="C137" t="str">
        <f>IFERROR(_xlfn.SINGLE(INDEX(#REF!,ROW()-1)),"")</f>
        <v>No</v>
      </c>
      <c r="D137" t="str">
        <f>IFERROR(_xlfn.SINGLE(INDEX(#REF!,ROW()-1)),"")</f>
        <v>No</v>
      </c>
      <c r="E137" t="str">
        <f>IFERROR(_xlfn.SINGLE(INDEX(#REF!,ROW()-1)),"")</f>
        <v>WNH270OPR449</v>
      </c>
      <c r="F137">
        <f>IFERROR(_xlfn.SINGLE(INDEX(#REF!,ROW()-1)),"")</f>
        <v>0</v>
      </c>
      <c r="G137" t="str">
        <f>IFERROR(_xlfn.SINGLE(INDEX(#REF!,ROW()-1)),"")</f>
        <v>iPro
Epic Satellite
ALLSCRIPTS
EPIC BCA</v>
      </c>
      <c r="H137" t="str">
        <f>IFERROR(_xlfn.SINGLE(INDEX(#REF!,ROW()-1)),"")</f>
        <v>OR iPro Cybernet Workstation</v>
      </c>
      <c r="I137">
        <f>IFERROR(_xlfn.SINGLE(INDEX(#REF!,ROW()-1)),"")</f>
        <v>0</v>
      </c>
      <c r="J137">
        <f>IFERROR(_xlfn.SINGLE(INDEX(#REF!,ROW()-1)),"")</f>
        <v>0</v>
      </c>
      <c r="K137">
        <f>IFERROR(_xlfn.SINGLE(INDEX(#REF!,ROW()-1)),"")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IFERROR(_xlfn.SINGLE(INDEX(#REF!,ROW()-1)),"")</f>
        <v>Cybernet</v>
      </c>
      <c r="C138" t="str">
        <f>IFERROR(_xlfn.SINGLE(INDEX(#REF!,ROW()-1)),"")</f>
        <v>No</v>
      </c>
      <c r="D138" t="str">
        <f>IFERROR(_xlfn.SINGLE(INDEX(#REF!,ROW()-1)),"")</f>
        <v>No</v>
      </c>
      <c r="E138" t="str">
        <f>IFERROR(_xlfn.SINGLE(INDEX(#REF!,ROW()-1)),"")</f>
        <v>WNH270OPR450</v>
      </c>
      <c r="F138">
        <f>IFERROR(_xlfn.SINGLE(INDEX(#REF!,ROW()-1)),"")</f>
        <v>0</v>
      </c>
      <c r="G138" t="str">
        <f>IFERROR(_xlfn.SINGLE(INDEX(#REF!,ROW()-1)),"")</f>
        <v>iPro
Epic Satellite
ALLSCRIPTS
EPIC BCA</v>
      </c>
      <c r="H138" t="str">
        <f>IFERROR(_xlfn.SINGLE(INDEX(#REF!,ROW()-1)),"")</f>
        <v>OR iPro Cybernet Workstation</v>
      </c>
      <c r="I138">
        <f>IFERROR(_xlfn.SINGLE(INDEX(#REF!,ROW()-1)),"")</f>
        <v>0</v>
      </c>
      <c r="J138">
        <f>IFERROR(_xlfn.SINGLE(INDEX(#REF!,ROW()-1)),"")</f>
        <v>0</v>
      </c>
      <c r="K138">
        <f>IFERROR(_xlfn.SINGLE(INDEX(#REF!,ROW()-1)),"")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IFERROR(_xlfn.SINGLE(INDEX(#REF!,ROW()-1)),"")</f>
        <v>Cybernet</v>
      </c>
      <c r="C139" t="str">
        <f>IFERROR(_xlfn.SINGLE(INDEX(#REF!,ROW()-1)),"")</f>
        <v>No</v>
      </c>
      <c r="D139" t="str">
        <f>IFERROR(_xlfn.SINGLE(INDEX(#REF!,ROW()-1)),"")</f>
        <v>No</v>
      </c>
      <c r="E139" t="str">
        <f>IFERROR(_xlfn.SINGLE(INDEX(#REF!,ROW()-1)),"")</f>
        <v>WNH270OPR451</v>
      </c>
      <c r="F139">
        <f>IFERROR(_xlfn.SINGLE(INDEX(#REF!,ROW()-1)),"")</f>
        <v>0</v>
      </c>
      <c r="G139" t="str">
        <f>IFERROR(_xlfn.SINGLE(INDEX(#REF!,ROW()-1)),"")</f>
        <v>iPro
Epic Satellite
ALLSCRIPTS
EPIC BCA</v>
      </c>
      <c r="H139" t="str">
        <f>IFERROR(_xlfn.SINGLE(INDEX(#REF!,ROW()-1)),"")</f>
        <v>OR iPro Cybernet Workstation</v>
      </c>
      <c r="I139">
        <f>IFERROR(_xlfn.SINGLE(INDEX(#REF!,ROW()-1)),"")</f>
        <v>0</v>
      </c>
      <c r="J139">
        <f>IFERROR(_xlfn.SINGLE(INDEX(#REF!,ROW()-1)),"")</f>
        <v>0</v>
      </c>
      <c r="K139">
        <f>IFERROR(_xlfn.SINGLE(INDEX(#REF!,ROW()-1)),"")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IFERROR(_xlfn.SINGLE(INDEX(#REF!,ROW()-1)),"")</f>
        <v>Cybernet</v>
      </c>
      <c r="C140" t="str">
        <f>IFERROR(_xlfn.SINGLE(INDEX(#REF!,ROW()-1)),"")</f>
        <v>No</v>
      </c>
      <c r="D140" t="str">
        <f>IFERROR(_xlfn.SINGLE(INDEX(#REF!,ROW()-1)),"")</f>
        <v>No</v>
      </c>
      <c r="E140" t="str">
        <f>IFERROR(_xlfn.SINGLE(INDEX(#REF!,ROW()-1)),"")</f>
        <v>WNH270OPR452</v>
      </c>
      <c r="F140">
        <f>IFERROR(_xlfn.SINGLE(INDEX(#REF!,ROW()-1)),"")</f>
        <v>0</v>
      </c>
      <c r="G140" t="str">
        <f>IFERROR(_xlfn.SINGLE(INDEX(#REF!,ROW()-1)),"")</f>
        <v>iPro
Epic Satellite
ALLSCRIPTS
EPIC BCA</v>
      </c>
      <c r="H140" t="str">
        <f>IFERROR(_xlfn.SINGLE(INDEX(#REF!,ROW()-1)),"")</f>
        <v>OR iPro Cybernet Workstation</v>
      </c>
      <c r="I140">
        <f>IFERROR(_xlfn.SINGLE(INDEX(#REF!,ROW()-1)),"")</f>
        <v>0</v>
      </c>
      <c r="J140">
        <f>IFERROR(_xlfn.SINGLE(INDEX(#REF!,ROW()-1)),"")</f>
        <v>0</v>
      </c>
      <c r="K140">
        <f>IFERROR(_xlfn.SINGLE(INDEX(#REF!,ROW()-1)),"")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IFERROR(_xlfn.SINGLE(INDEX(#REF!,ROW()-1)),"")</f>
        <v>Cybernet</v>
      </c>
      <c r="C141" t="str">
        <f>IFERROR(_xlfn.SINGLE(INDEX(#REF!,ROW()-1)),"")</f>
        <v>Yes</v>
      </c>
      <c r="D141" t="str">
        <f>IFERROR(_xlfn.SINGLE(INDEX(#REF!,ROW()-1)),"")</f>
        <v>No</v>
      </c>
      <c r="E141" t="str">
        <f>IFERROR(_xlfn.SINGLE(INDEX(#REF!,ROW()-1)),"")</f>
        <v>WNH270OPR453</v>
      </c>
      <c r="F141">
        <f>IFERROR(_xlfn.SINGLE(INDEX(#REF!,ROW()-1)),"")</f>
        <v>0</v>
      </c>
      <c r="G141" t="str">
        <f>IFERROR(_xlfn.SINGLE(INDEX(#REF!,ROW()-1)),"")</f>
        <v>iPro
Epic Satellite
ALLSCRIPTS
EPIC BCA</v>
      </c>
      <c r="H141" t="str">
        <f>IFERROR(_xlfn.SINGLE(INDEX(#REF!,ROW()-1)),"")</f>
        <v>OR iPro Cybernet Workstation</v>
      </c>
      <c r="I141">
        <f>IFERROR(_xlfn.SINGLE(INDEX(#REF!,ROW()-1)),"")</f>
        <v>0</v>
      </c>
      <c r="J141">
        <f>IFERROR(_xlfn.SINGLE(INDEX(#REF!,ROW()-1)),"")</f>
        <v>0</v>
      </c>
      <c r="K141">
        <f>IFERROR(_xlfn.SINGLE(INDEX(#REF!,ROW()-1)),"")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IFERROR(_xlfn.SINGLE(INDEX(#REF!,ROW()-1)),"")</f>
        <v>Cybernet</v>
      </c>
      <c r="C142" t="str">
        <f>IFERROR(_xlfn.SINGLE(INDEX(#REF!,ROW()-1)),"")</f>
        <v>No</v>
      </c>
      <c r="D142" t="str">
        <f>IFERROR(_xlfn.SINGLE(INDEX(#REF!,ROW()-1)),"")</f>
        <v>No</v>
      </c>
      <c r="E142" t="str">
        <f>IFERROR(_xlfn.SINGLE(INDEX(#REF!,ROW()-1)),"")</f>
        <v>WNH270OPR454</v>
      </c>
      <c r="F142">
        <f>IFERROR(_xlfn.SINGLE(INDEX(#REF!,ROW()-1)),"")</f>
        <v>0</v>
      </c>
      <c r="G142" t="str">
        <f>IFERROR(_xlfn.SINGLE(INDEX(#REF!,ROW()-1)),"")</f>
        <v>iPro
Epic Satellite
ALLSCRIPTS
EPIC BCA</v>
      </c>
      <c r="H142" t="str">
        <f>IFERROR(_xlfn.SINGLE(INDEX(#REF!,ROW()-1)),"")</f>
        <v>OR iPro Cybernet Workstation</v>
      </c>
      <c r="I142">
        <f>IFERROR(_xlfn.SINGLE(INDEX(#REF!,ROW()-1)),"")</f>
        <v>0</v>
      </c>
      <c r="J142">
        <f>IFERROR(_xlfn.SINGLE(INDEX(#REF!,ROW()-1)),"")</f>
        <v>0</v>
      </c>
      <c r="K142">
        <f>IFERROR(_xlfn.SINGLE(INDEX(#REF!,ROW()-1)),"")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IFERROR(_xlfn.SINGLE(INDEX(#REF!,ROW()-1)),"")</f>
        <v>Peripherals</v>
      </c>
      <c r="C143" t="str">
        <f>IFERROR(_xlfn.SINGLE(INDEX(#REF!,ROW()-1)),"")</f>
        <v>Yes</v>
      </c>
      <c r="D143" t="str">
        <f>IFERROR(_xlfn.SINGLE(INDEX(#REF!,ROW()-1)),"")</f>
        <v>Yes</v>
      </c>
      <c r="E143" t="str">
        <f>IFERROR(_xlfn.SINGLE(INDEX(#REF!,ROW()-1)),"")</f>
        <v>WVS900OPR028</v>
      </c>
      <c r="F143">
        <f>IFERROR(_xlfn.SINGLE(INDEX(#REF!,ROW()-1)),"")</f>
        <v>0</v>
      </c>
      <c r="G143">
        <f>IFERROR(_xlfn.SINGLE(INDEX(#REF!,ROW()-1)),"")</f>
        <v>0</v>
      </c>
      <c r="H143">
        <f>IFERROR(_xlfn.SINGLE(INDEX(#REF!,ROW()-1)),"")</f>
        <v>0</v>
      </c>
      <c r="I143">
        <f>IFERROR(_xlfn.SINGLE(INDEX(#REF!,ROW()-1)),"")</f>
        <v>0</v>
      </c>
      <c r="J143">
        <f>IFERROR(_xlfn.SINGLE(INDEX(#REF!,ROW()-1)),"")</f>
        <v>0</v>
      </c>
      <c r="K143">
        <f>IFERROR(_xlfn.SINGLE(INDEX(#REF!,ROW()-1)),"")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IFERROR(_xlfn.SINGLE(INDEX(#REF!,ROW()-1)),"")</f>
        <v>Peripherals</v>
      </c>
      <c r="C144" t="str">
        <f>IFERROR(_xlfn.SINGLE(INDEX(#REF!,ROW()-1)),"")</f>
        <v>Yes</v>
      </c>
      <c r="D144" t="str">
        <f>IFERROR(_xlfn.SINGLE(INDEX(#REF!,ROW()-1)),"")</f>
        <v>Yes</v>
      </c>
      <c r="E144" t="str">
        <f>IFERROR(_xlfn.SINGLE(INDEX(#REF!,ROW()-1)),"")</f>
        <v>WVS900OPR023</v>
      </c>
      <c r="F144">
        <f>IFERROR(_xlfn.SINGLE(INDEX(#REF!,ROW()-1)),"")</f>
        <v>0</v>
      </c>
      <c r="G144">
        <f>IFERROR(_xlfn.SINGLE(INDEX(#REF!,ROW()-1)),"")</f>
        <v>0</v>
      </c>
      <c r="H144">
        <f>IFERROR(_xlfn.SINGLE(INDEX(#REF!,ROW()-1)),"")</f>
        <v>0</v>
      </c>
      <c r="I144">
        <f>IFERROR(_xlfn.SINGLE(INDEX(#REF!,ROW()-1)),"")</f>
        <v>0</v>
      </c>
      <c r="J144">
        <f>IFERROR(_xlfn.SINGLE(INDEX(#REF!,ROW()-1)),"")</f>
        <v>0</v>
      </c>
      <c r="K144">
        <f>IFERROR(_xlfn.SINGLE(INDEX(#REF!,ROW()-1)),"")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IFERROR(_xlfn.SINGLE(INDEX(#REF!,ROW()-1)),"")</f>
        <v>Peripherals</v>
      </c>
      <c r="C145" t="str">
        <f>IFERROR(_xlfn.SINGLE(INDEX(#REF!,ROW()-1)),"")</f>
        <v>Yes</v>
      </c>
      <c r="D145" t="str">
        <f>IFERROR(_xlfn.SINGLE(INDEX(#REF!,ROW()-1)),"")</f>
        <v>Yes</v>
      </c>
      <c r="E145" t="str">
        <f>IFERROR(_xlfn.SINGLE(INDEX(#REF!,ROW()-1)),"")</f>
        <v>WVS900OPR026</v>
      </c>
      <c r="F145">
        <f>IFERROR(_xlfn.SINGLE(INDEX(#REF!,ROW()-1)),"")</f>
        <v>0</v>
      </c>
      <c r="G145">
        <f>IFERROR(_xlfn.SINGLE(INDEX(#REF!,ROW()-1)),"")</f>
        <v>0</v>
      </c>
      <c r="H145">
        <f>IFERROR(_xlfn.SINGLE(INDEX(#REF!,ROW()-1)),"")</f>
        <v>0</v>
      </c>
      <c r="I145">
        <f>IFERROR(_xlfn.SINGLE(INDEX(#REF!,ROW()-1)),"")</f>
        <v>0</v>
      </c>
      <c r="J145">
        <f>IFERROR(_xlfn.SINGLE(INDEX(#REF!,ROW()-1)),"")</f>
        <v>0</v>
      </c>
      <c r="K145">
        <f>IFERROR(_xlfn.SINGLE(INDEX(#REF!,ROW()-1)),"")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IFERROR(_xlfn.SINGLE(INDEX(#REF!,ROW()-1)),"")</f>
        <v>Peripherals</v>
      </c>
      <c r="C146" t="str">
        <f>IFERROR(_xlfn.SINGLE(INDEX(#REF!,ROW()-1)),"")</f>
        <v>Yes</v>
      </c>
      <c r="D146" t="str">
        <f>IFERROR(_xlfn.SINGLE(INDEX(#REF!,ROW()-1)),"")</f>
        <v>Yes</v>
      </c>
      <c r="E146" t="str">
        <f>IFERROR(_xlfn.SINGLE(INDEX(#REF!,ROW()-1)),"")</f>
        <v>WVS900OPR030</v>
      </c>
      <c r="F146">
        <f>IFERROR(_xlfn.SINGLE(INDEX(#REF!,ROW()-1)),"")</f>
        <v>0</v>
      </c>
      <c r="G146">
        <f>IFERROR(_xlfn.SINGLE(INDEX(#REF!,ROW()-1)),"")</f>
        <v>0</v>
      </c>
      <c r="H146">
        <f>IFERROR(_xlfn.SINGLE(INDEX(#REF!,ROW()-1)),"")</f>
        <v>0</v>
      </c>
      <c r="I146">
        <f>IFERROR(_xlfn.SINGLE(INDEX(#REF!,ROW()-1)),"")</f>
        <v>0</v>
      </c>
      <c r="J146">
        <f>IFERROR(_xlfn.SINGLE(INDEX(#REF!,ROW()-1)),"")</f>
        <v>0</v>
      </c>
      <c r="K146">
        <f>IFERROR(_xlfn.SINGLE(INDEX(#REF!,ROW()-1)),"")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IFERROR(_xlfn.SINGLE(INDEX(#REF!,ROW()-1)),"")</f>
        <v>Peripherals</v>
      </c>
      <c r="C147" t="str">
        <f>IFERROR(_xlfn.SINGLE(INDEX(#REF!,ROW()-1)),"")</f>
        <v>Yes</v>
      </c>
      <c r="D147" t="str">
        <f>IFERROR(_xlfn.SINGLE(INDEX(#REF!,ROW()-1)),"")</f>
        <v>Yes</v>
      </c>
      <c r="E147" t="str">
        <f>IFERROR(_xlfn.SINGLE(INDEX(#REF!,ROW()-1)),"")</f>
        <v>WVS900OPR029</v>
      </c>
      <c r="F147">
        <f>IFERROR(_xlfn.SINGLE(INDEX(#REF!,ROW()-1)),"")</f>
        <v>0</v>
      </c>
      <c r="G147">
        <f>IFERROR(_xlfn.SINGLE(INDEX(#REF!,ROW()-1)),"")</f>
        <v>0</v>
      </c>
      <c r="H147">
        <f>IFERROR(_xlfn.SINGLE(INDEX(#REF!,ROW()-1)),"")</f>
        <v>0</v>
      </c>
      <c r="I147">
        <f>IFERROR(_xlfn.SINGLE(INDEX(#REF!,ROW()-1)),"")</f>
        <v>0</v>
      </c>
      <c r="J147">
        <f>IFERROR(_xlfn.SINGLE(INDEX(#REF!,ROW()-1)),"")</f>
        <v>0</v>
      </c>
      <c r="K147">
        <f>IFERROR(_xlfn.SINGLE(INDEX(#REF!,ROW()-1)),"")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IFERROR(_xlfn.SINGLE(INDEX(#REF!,ROW()-1)),"")</f>
        <v>Peripherals</v>
      </c>
      <c r="C148" t="str">
        <f>IFERROR(_xlfn.SINGLE(INDEX(#REF!,ROW()-1)),"")</f>
        <v>Yes</v>
      </c>
      <c r="D148" t="str">
        <f>IFERROR(_xlfn.SINGLE(INDEX(#REF!,ROW()-1)),"")</f>
        <v>Yes</v>
      </c>
      <c r="E148" t="str">
        <f>IFERROR(_xlfn.SINGLE(INDEX(#REF!,ROW()-1)),"")</f>
        <v>WVS900OPR024</v>
      </c>
      <c r="F148">
        <f>IFERROR(_xlfn.SINGLE(INDEX(#REF!,ROW()-1)),"")</f>
        <v>0</v>
      </c>
      <c r="G148">
        <f>IFERROR(_xlfn.SINGLE(INDEX(#REF!,ROW()-1)),"")</f>
        <v>0</v>
      </c>
      <c r="H148">
        <f>IFERROR(_xlfn.SINGLE(INDEX(#REF!,ROW()-1)),"")</f>
        <v>0</v>
      </c>
      <c r="I148">
        <f>IFERROR(_xlfn.SINGLE(INDEX(#REF!,ROW()-1)),"")</f>
        <v>0</v>
      </c>
      <c r="J148">
        <f>IFERROR(_xlfn.SINGLE(INDEX(#REF!,ROW()-1)),"")</f>
        <v>0</v>
      </c>
      <c r="K148">
        <f>IFERROR(_xlfn.SINGLE(INDEX(#REF!,ROW()-1)),"")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IFERROR(_xlfn.SINGLE(INDEX(#REF!,ROW()-1)),"")</f>
        <v>Peripherals</v>
      </c>
      <c r="C149" t="str">
        <f>IFERROR(_xlfn.SINGLE(INDEX(#REF!,ROW()-1)),"")</f>
        <v>Yes</v>
      </c>
      <c r="D149" t="str">
        <f>IFERROR(_xlfn.SINGLE(INDEX(#REF!,ROW()-1)),"")</f>
        <v>Yes</v>
      </c>
      <c r="E149" t="str">
        <f>IFERROR(_xlfn.SINGLE(INDEX(#REF!,ROW()-1)),"")</f>
        <v>WVS900OPR025</v>
      </c>
      <c r="F149">
        <f>IFERROR(_xlfn.SINGLE(INDEX(#REF!,ROW()-1)),"")</f>
        <v>0</v>
      </c>
      <c r="G149">
        <f>IFERROR(_xlfn.SINGLE(INDEX(#REF!,ROW()-1)),"")</f>
        <v>0</v>
      </c>
      <c r="H149">
        <f>IFERROR(_xlfn.SINGLE(INDEX(#REF!,ROW()-1)),"")</f>
        <v>0</v>
      </c>
      <c r="I149">
        <f>IFERROR(_xlfn.SINGLE(INDEX(#REF!,ROW()-1)),"")</f>
        <v>0</v>
      </c>
      <c r="J149">
        <f>IFERROR(_xlfn.SINGLE(INDEX(#REF!,ROW()-1)),"")</f>
        <v>0</v>
      </c>
      <c r="K149">
        <f>IFERROR(_xlfn.SINGLE(INDEX(#REF!,ROW()-1)),"")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IFERROR(_xlfn.SINGLE(INDEX(#REF!,ROW()-1)),"")</f>
        <v>Peripherals</v>
      </c>
      <c r="C150" t="str">
        <f>IFERROR(_xlfn.SINGLE(INDEX(#REF!,ROW()-1)),"")</f>
        <v>No</v>
      </c>
      <c r="D150" t="str">
        <f>IFERROR(_xlfn.SINGLE(INDEX(#REF!,ROW()-1)),"")</f>
        <v>No</v>
      </c>
      <c r="E150">
        <f>IFERROR(_xlfn.SINGLE(INDEX(#REF!,ROW()-1)),"")</f>
        <v>0</v>
      </c>
      <c r="F150">
        <f>IFERROR(_xlfn.SINGLE(INDEX(#REF!,ROW()-1)),"")</f>
        <v>0</v>
      </c>
      <c r="G150">
        <f>IFERROR(_xlfn.SINGLE(INDEX(#REF!,ROW()-1)),"")</f>
        <v>0</v>
      </c>
      <c r="H150">
        <f>IFERROR(_xlfn.SINGLE(INDEX(#REF!,ROW()-1)),"")</f>
        <v>0</v>
      </c>
      <c r="I150">
        <f>IFERROR(_xlfn.SINGLE(INDEX(#REF!,ROW()-1)),"")</f>
        <v>0</v>
      </c>
      <c r="J150">
        <f>IFERROR(_xlfn.SINGLE(INDEX(#REF!,ROW()-1)),"")</f>
        <v>0</v>
      </c>
      <c r="K150">
        <f>IFERROR(_xlfn.SINGLE(INDEX(#REF!,ROW()-1)),"")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IFERROR(_xlfn.SINGLE(INDEX(#REF!,ROW()-1)),"")</f>
        <v>Peripherals</v>
      </c>
      <c r="C151" t="str">
        <f>IFERROR(_xlfn.SINGLE(INDEX(#REF!,ROW()-1)),"")</f>
        <v>No</v>
      </c>
      <c r="D151" t="str">
        <f>IFERROR(_xlfn.SINGLE(INDEX(#REF!,ROW()-1)),"")</f>
        <v>No</v>
      </c>
      <c r="E151">
        <f>IFERROR(_xlfn.SINGLE(INDEX(#REF!,ROW()-1)),"")</f>
        <v>0</v>
      </c>
      <c r="F151">
        <f>IFERROR(_xlfn.SINGLE(INDEX(#REF!,ROW()-1)),"")</f>
        <v>0</v>
      </c>
      <c r="G151">
        <f>IFERROR(_xlfn.SINGLE(INDEX(#REF!,ROW()-1)),"")</f>
        <v>0</v>
      </c>
      <c r="H151">
        <f>IFERROR(_xlfn.SINGLE(INDEX(#REF!,ROW()-1)),"")</f>
        <v>0</v>
      </c>
      <c r="I151">
        <f>IFERROR(_xlfn.SINGLE(INDEX(#REF!,ROW()-1)),"")</f>
        <v>0</v>
      </c>
      <c r="J151">
        <f>IFERROR(_xlfn.SINGLE(INDEX(#REF!,ROW()-1)),"")</f>
        <v>0</v>
      </c>
      <c r="K151">
        <f>IFERROR(_xlfn.SINGLE(INDEX(#REF!,ROW()-1)),"")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IFERROR(_xlfn.SINGLE(INDEX(#REF!,ROW()-1)),"")</f>
        <v>Peripherals</v>
      </c>
      <c r="C152" t="str">
        <f>IFERROR(_xlfn.SINGLE(INDEX(#REF!,ROW()-1)),"")</f>
        <v>No</v>
      </c>
      <c r="D152" t="str">
        <f>IFERROR(_xlfn.SINGLE(INDEX(#REF!,ROW()-1)),"")</f>
        <v>No</v>
      </c>
      <c r="E152">
        <f>IFERROR(_xlfn.SINGLE(INDEX(#REF!,ROW()-1)),"")</f>
        <v>0</v>
      </c>
      <c r="F152">
        <f>IFERROR(_xlfn.SINGLE(INDEX(#REF!,ROW()-1)),"")</f>
        <v>0</v>
      </c>
      <c r="G152">
        <f>IFERROR(_xlfn.SINGLE(INDEX(#REF!,ROW()-1)),"")</f>
        <v>0</v>
      </c>
      <c r="H152">
        <f>IFERROR(_xlfn.SINGLE(INDEX(#REF!,ROW()-1)),"")</f>
        <v>0</v>
      </c>
      <c r="I152">
        <f>IFERROR(_xlfn.SINGLE(INDEX(#REF!,ROW()-1)),"")</f>
        <v>0</v>
      </c>
      <c r="J152">
        <f>IFERROR(_xlfn.SINGLE(INDEX(#REF!,ROW()-1)),"")</f>
        <v>0</v>
      </c>
      <c r="K152">
        <f>IFERROR(_xlfn.SINGLE(INDEX(#REF!,ROW()-1)),"")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IFERROR(_xlfn.SINGLE(INDEX(#REF!,ROW()-1)),"")</f>
        <v>Cybernet</v>
      </c>
      <c r="C153" t="str">
        <f>IFERROR(_xlfn.SINGLE(INDEX(#REF!,ROW()-1)),"")</f>
        <v>Yes</v>
      </c>
      <c r="D153" t="str">
        <f>IFERROR(_xlfn.SINGLE(INDEX(#REF!,ROW()-1)),"")</f>
        <v>Yes</v>
      </c>
      <c r="E153" t="str">
        <f>IFERROR(_xlfn.SINGLE(INDEX(#REF!,ROW()-1)),"")</f>
        <v>WNH269OPR020</v>
      </c>
      <c r="F153">
        <f>IFERROR(_xlfn.SINGLE(INDEX(#REF!,ROW()-1)),"")</f>
        <v>0</v>
      </c>
      <c r="G153" t="str">
        <f>IFERROR(_xlfn.SINGLE(INDEX(#REF!,ROW()-1)),"")</f>
        <v>iPro
Epic Satellite
ALLSCRIPTS
EPIC BCA</v>
      </c>
      <c r="H153" t="str">
        <f>IFERROR(_xlfn.SINGLE(INDEX(#REF!,ROW()-1)),"")</f>
        <v>iPro OR Workstation</v>
      </c>
      <c r="I153" t="str">
        <f>IFERROR(_xlfn.SINGLE(INDEX(#REF!,ROW()-1)),"")</f>
        <v>pass</v>
      </c>
      <c r="J153" t="str">
        <f>IFERROR(_xlfn.SINGLE(INDEX(#REF!,ROW()-1)),"")</f>
        <v>akbar, Diane from Anesthesia, and Metasource badge-in TDR</v>
      </c>
      <c r="K153">
        <f>IFERROR(_xlfn.SINGLE(INDEX(#REF!,ROW()-1)),"")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IFERROR(_xlfn.SINGLE(INDEX(#REF!,ROW()-1)),"")</f>
        <v>Cybernet</v>
      </c>
      <c r="C154" t="str">
        <f>IFERROR(_xlfn.SINGLE(INDEX(#REF!,ROW()-1)),"")</f>
        <v>Yes</v>
      </c>
      <c r="D154" t="str">
        <f>IFERROR(_xlfn.SINGLE(INDEX(#REF!,ROW()-1)),"")</f>
        <v>Yes</v>
      </c>
      <c r="E154" t="str">
        <f>IFERROR(_xlfn.SINGLE(INDEX(#REF!,ROW()-1)),"")</f>
        <v>WNH269OPR021</v>
      </c>
      <c r="F154">
        <f>IFERROR(_xlfn.SINGLE(INDEX(#REF!,ROW()-1)),"")</f>
        <v>0</v>
      </c>
      <c r="G154" t="str">
        <f>IFERROR(_xlfn.SINGLE(INDEX(#REF!,ROW()-1)),"")</f>
        <v>iPro
Epic Satellite
ALLSCRIPTS
EPIC BCA</v>
      </c>
      <c r="H154" t="str">
        <f>IFERROR(_xlfn.SINGLE(INDEX(#REF!,ROW()-1)),"")</f>
        <v>iPro OR Workstation</v>
      </c>
      <c r="I154" t="str">
        <f>IFERROR(_xlfn.SINGLE(INDEX(#REF!,ROW()-1)),"")</f>
        <v>pass</v>
      </c>
      <c r="J154" t="str">
        <f>IFERROR(_xlfn.SINGLE(INDEX(#REF!,ROW()-1)),"")</f>
        <v>akbar, Diane from Anesthesia, and Metasource badge-in TDR</v>
      </c>
      <c r="K154">
        <f>IFERROR(_xlfn.SINGLE(INDEX(#REF!,ROW()-1)),"")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IFERROR(_xlfn.SINGLE(INDEX(#REF!,ROW()-1)),"")</f>
        <v>Cybernet</v>
      </c>
      <c r="C155" t="str">
        <f>IFERROR(_xlfn.SINGLE(INDEX(#REF!,ROW()-1)),"")</f>
        <v>Yes</v>
      </c>
      <c r="D155" t="str">
        <f>IFERROR(_xlfn.SINGLE(INDEX(#REF!,ROW()-1)),"")</f>
        <v>Yes</v>
      </c>
      <c r="E155" t="str">
        <f>IFERROR(_xlfn.SINGLE(INDEX(#REF!,ROW()-1)),"")</f>
        <v>WNH269OPR017</v>
      </c>
      <c r="F155">
        <f>IFERROR(_xlfn.SINGLE(INDEX(#REF!,ROW()-1)),"")</f>
        <v>0</v>
      </c>
      <c r="G155" t="str">
        <f>IFERROR(_xlfn.SINGLE(INDEX(#REF!,ROW()-1)),"")</f>
        <v>iPro
Epic Satellite
ALLSCRIPTS
EPIC BCA</v>
      </c>
      <c r="H155" t="str">
        <f>IFERROR(_xlfn.SINGLE(INDEX(#REF!,ROW()-1)),"")</f>
        <v>iPro OR Workstation</v>
      </c>
      <c r="I155" t="str">
        <f>IFERROR(_xlfn.SINGLE(INDEX(#REF!,ROW()-1)),"")</f>
        <v>pass</v>
      </c>
      <c r="J155" t="str">
        <f>IFERROR(_xlfn.SINGLE(INDEX(#REF!,ROW()-1)),"")</f>
        <v>akbar, Diane from Anesthesia, and Metasource badge-in TDR</v>
      </c>
      <c r="K155">
        <f>IFERROR(_xlfn.SINGLE(INDEX(#REF!,ROW()-1)),"")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IFERROR(_xlfn.SINGLE(INDEX(#REF!,ROW()-1)),"")</f>
        <v>Cybernet</v>
      </c>
      <c r="C156" t="str">
        <f>IFERROR(_xlfn.SINGLE(INDEX(#REF!,ROW()-1)),"")</f>
        <v>Yes</v>
      </c>
      <c r="D156" t="str">
        <f>IFERROR(_xlfn.SINGLE(INDEX(#REF!,ROW()-1)),"")</f>
        <v>Yes</v>
      </c>
      <c r="E156" t="str">
        <f>IFERROR(_xlfn.SINGLE(INDEX(#REF!,ROW()-1)),"")</f>
        <v>WNH269OPR018</v>
      </c>
      <c r="F156">
        <f>IFERROR(_xlfn.SINGLE(INDEX(#REF!,ROW()-1)),"")</f>
        <v>0</v>
      </c>
      <c r="G156" t="str">
        <f>IFERROR(_xlfn.SINGLE(INDEX(#REF!,ROW()-1)),"")</f>
        <v>iPro
Epic Satellite
ALLSCRIPTS
EPIC BCA</v>
      </c>
      <c r="H156" t="str">
        <f>IFERROR(_xlfn.SINGLE(INDEX(#REF!,ROW()-1)),"")</f>
        <v>iPro OR Workstation</v>
      </c>
      <c r="I156" t="str">
        <f>IFERROR(_xlfn.SINGLE(INDEX(#REF!,ROW()-1)),"")</f>
        <v>pass</v>
      </c>
      <c r="J156" t="str">
        <f>IFERROR(_xlfn.SINGLE(INDEX(#REF!,ROW()-1)),"")</f>
        <v>akbar, Diane from Anesthesia, and Metasource badge-in TDR</v>
      </c>
      <c r="K156">
        <f>IFERROR(_xlfn.SINGLE(INDEX(#REF!,ROW()-1)),"")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IFERROR(_xlfn.SINGLE(INDEX(#REF!,ROW()-1)),"")</f>
        <v>Cybernet</v>
      </c>
      <c r="C157" t="str">
        <f>IFERROR(_xlfn.SINGLE(INDEX(#REF!,ROW()-1)),"")</f>
        <v>Yes</v>
      </c>
      <c r="D157" t="str">
        <f>IFERROR(_xlfn.SINGLE(INDEX(#REF!,ROW()-1)),"")</f>
        <v>Yes</v>
      </c>
      <c r="E157" t="str">
        <f>IFERROR(_xlfn.SINGLE(INDEX(#REF!,ROW()-1)),"")</f>
        <v>WNH269OPR019</v>
      </c>
      <c r="F157">
        <f>IFERROR(_xlfn.SINGLE(INDEX(#REF!,ROW()-1)),"")</f>
        <v>0</v>
      </c>
      <c r="G157" t="str">
        <f>IFERROR(_xlfn.SINGLE(INDEX(#REF!,ROW()-1)),"")</f>
        <v>iPro
Epic Satellite
ALLSCRIPTS
EPIC BCA</v>
      </c>
      <c r="H157" t="str">
        <f>IFERROR(_xlfn.SINGLE(INDEX(#REF!,ROW()-1)),"")</f>
        <v>iPro OR Workstation</v>
      </c>
      <c r="I157" t="str">
        <f>IFERROR(_xlfn.SINGLE(INDEX(#REF!,ROW()-1)),"")</f>
        <v>pass</v>
      </c>
      <c r="J157" t="str">
        <f>IFERROR(_xlfn.SINGLE(INDEX(#REF!,ROW()-1)),"")</f>
        <v>akbar, Diane from Anesthesia, and Metasource badge-in TDR</v>
      </c>
      <c r="K157">
        <f>IFERROR(_xlfn.SINGLE(INDEX(#REF!,ROW()-1)),"")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 t="str">
        <f>IFERROR(_xlfn.SINGLE(INDEX(#REF!,ROW()-1)),"")</f>
        <v>Cybernet</v>
      </c>
      <c r="C158" t="str">
        <f>IFERROR(_xlfn.SINGLE(INDEX(#REF!,ROW()-1)),"")</f>
        <v>Yes</v>
      </c>
      <c r="D158" t="str">
        <f>IFERROR(_xlfn.SINGLE(INDEX(#REF!,ROW()-1)),"")</f>
        <v>Yes</v>
      </c>
      <c r="E158" t="str">
        <f>IFERROR(_xlfn.SINGLE(INDEX(#REF!,ROW()-1)),"")</f>
        <v>WNH269OPR015</v>
      </c>
      <c r="F158">
        <f>IFERROR(_xlfn.SINGLE(INDEX(#REF!,ROW()-1)),"")</f>
        <v>0</v>
      </c>
      <c r="G158" t="str">
        <f>IFERROR(_xlfn.SINGLE(INDEX(#REF!,ROW()-1)),"")</f>
        <v>iPro
Epic Satellite
ALLSCRIPTS
EPIC BCA</v>
      </c>
      <c r="H158" t="str">
        <f>IFERROR(_xlfn.SINGLE(INDEX(#REF!,ROW()-1)),"")</f>
        <v>iPro OR Workstation</v>
      </c>
      <c r="I158" t="str">
        <f>IFERROR(_xlfn.SINGLE(INDEX(#REF!,ROW()-1)),"")</f>
        <v>pass</v>
      </c>
      <c r="J158" t="str">
        <f>IFERROR(_xlfn.SINGLE(INDEX(#REF!,ROW()-1)),"")</f>
        <v>akbar, Diane from Anesthesia, and Metasource badge-in TDR</v>
      </c>
      <c r="K158">
        <f>IFERROR(_xlfn.SINGLE(INDEX(#REF!,ROW()-1)),"")</f>
        <v>46067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 t="str">
        <f>IFERROR(_xlfn.SINGLE(INDEX(#REF!,ROW()-1)),"")</f>
        <v>Cybernet</v>
      </c>
      <c r="C159" t="str">
        <f>IFERROR(_xlfn.SINGLE(INDEX(#REF!,ROW()-1)),"")</f>
        <v>Yes</v>
      </c>
      <c r="D159" t="str">
        <f>IFERROR(_xlfn.SINGLE(INDEX(#REF!,ROW()-1)),"")</f>
        <v>Yes</v>
      </c>
      <c r="E159" t="str">
        <f>IFERROR(_xlfn.SINGLE(INDEX(#REF!,ROW()-1)),"")</f>
        <v>WNH269OPR016</v>
      </c>
      <c r="F159">
        <f>IFERROR(_xlfn.SINGLE(INDEX(#REF!,ROW()-1)),"")</f>
        <v>0</v>
      </c>
      <c r="G159" t="str">
        <f>IFERROR(_xlfn.SINGLE(INDEX(#REF!,ROW()-1)),"")</f>
        <v>iPro
Epic Satellite
ALLSCRIPTS
EPIC BCA</v>
      </c>
      <c r="H159" t="str">
        <f>IFERROR(_xlfn.SINGLE(INDEX(#REF!,ROW()-1)),"")</f>
        <v>iPro OR Workstation</v>
      </c>
      <c r="I159" t="str">
        <f>IFERROR(_xlfn.SINGLE(INDEX(#REF!,ROW()-1)),"")</f>
        <v>pass</v>
      </c>
      <c r="J159" t="str">
        <f>IFERROR(_xlfn.SINGLE(INDEX(#REF!,ROW()-1)),"")</f>
        <v>akbar, Diane from Anesthesia, and Metasource badge-in TDR</v>
      </c>
      <c r="K159">
        <f>IFERROR(_xlfn.SINGLE(INDEX(#REF!,ROW()-1)),"")</f>
        <v>46067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 t="str">
        <f>IFERROR(_xlfn.SINGLE(INDEX(#REF!,ROW()-1)),"")</f>
        <v>Cybernet</v>
      </c>
      <c r="C160" t="str">
        <f>IFERROR(_xlfn.SINGLE(INDEX(#REF!,ROW()-1)),"")</f>
        <v>Yes</v>
      </c>
      <c r="D160" t="str">
        <f>IFERROR(_xlfn.SINGLE(INDEX(#REF!,ROW()-1)),"")</f>
        <v>Yes</v>
      </c>
      <c r="E160" t="str">
        <f>IFERROR(_xlfn.SINGLE(INDEX(#REF!,ROW()-1)),"")</f>
        <v>WNH269OPR014</v>
      </c>
      <c r="F160">
        <f>IFERROR(_xlfn.SINGLE(INDEX(#REF!,ROW()-1)),"")</f>
        <v>0</v>
      </c>
      <c r="G160" t="str">
        <f>IFERROR(_xlfn.SINGLE(INDEX(#REF!,ROW()-1)),"")</f>
        <v>iPro
Epic Satellite
ALLSCRIPTS
EPIC BCA</v>
      </c>
      <c r="H160" t="str">
        <f>IFERROR(_xlfn.SINGLE(INDEX(#REF!,ROW()-1)),"")</f>
        <v>iPro OR Workstation</v>
      </c>
      <c r="I160" t="str">
        <f>IFERROR(_xlfn.SINGLE(INDEX(#REF!,ROW()-1)),"")</f>
        <v>pass</v>
      </c>
      <c r="J160" t="str">
        <f>IFERROR(_xlfn.SINGLE(INDEX(#REF!,ROW()-1)),"")</f>
        <v>akbar, Diane from Anesthesia, and Metasource badge-in TDR</v>
      </c>
      <c r="K160">
        <f>IFERROR(_xlfn.SINGLE(INDEX(#REF!,ROW()-1)),"")</f>
        <v>46067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 t="str">
        <f>IFERROR(_xlfn.SINGLE(INDEX(#REF!,ROW()-1)),"")</f>
        <v>Cybernet</v>
      </c>
      <c r="C161" t="str">
        <f>IFERROR(_xlfn.SINGLE(INDEX(#REF!,ROW()-1)),"")</f>
        <v>Yes</v>
      </c>
      <c r="D161" t="str">
        <f>IFERROR(_xlfn.SINGLE(INDEX(#REF!,ROW()-1)),"")</f>
        <v>Yes</v>
      </c>
      <c r="E161" t="str">
        <f>IFERROR(_xlfn.SINGLE(INDEX(#REF!,ROW()-1)),"")</f>
        <v>WNH269OPR022</v>
      </c>
      <c r="F161">
        <f>IFERROR(_xlfn.SINGLE(INDEX(#REF!,ROW()-1)),"")</f>
        <v>0</v>
      </c>
      <c r="G161" t="str">
        <f>IFERROR(_xlfn.SINGLE(INDEX(#REF!,ROW()-1)),"")</f>
        <v>iPro
Epic Satellite
ALLSCRIPTS
EPIC BCA</v>
      </c>
      <c r="H161" t="str">
        <f>IFERROR(_xlfn.SINGLE(INDEX(#REF!,ROW()-1)),"")</f>
        <v>iPro OR Workstation</v>
      </c>
      <c r="I161" t="str">
        <f>IFERROR(_xlfn.SINGLE(INDEX(#REF!,ROW()-1)),"")</f>
        <v>pass</v>
      </c>
      <c r="J161" t="str">
        <f>IFERROR(_xlfn.SINGLE(INDEX(#REF!,ROW()-1)),"")</f>
        <v>akbar, Diane from Anesthesia, and Metasource badge-in TDR</v>
      </c>
      <c r="K161">
        <f>IFERROR(_xlfn.SINGLE(INDEX(#REF!,ROW()-1)),"")</f>
        <v>46067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 t="str">
        <f>IFERROR(_xlfn.SINGLE(INDEX(#REF!,ROW()-1)),"")</f>
        <v>Cybernet</v>
      </c>
      <c r="C162" t="str">
        <f>IFERROR(_xlfn.SINGLE(INDEX(#REF!,ROW()-1)),"")</f>
        <v>No</v>
      </c>
      <c r="D162" t="str">
        <f>IFERROR(_xlfn.SINGLE(INDEX(#REF!,ROW()-1)),"")</f>
        <v>NO</v>
      </c>
      <c r="E162" t="str">
        <f>IFERROR(_xlfn.SINGLE(INDEX(#REF!,ROW()-1)),"")</f>
        <v>WNH270OPR457</v>
      </c>
      <c r="F162">
        <f>IFERROR(_xlfn.SINGLE(INDEX(#REF!,ROW()-1)),"")</f>
        <v>0</v>
      </c>
      <c r="G162" t="str">
        <f>IFERROR(_xlfn.SINGLE(INDEX(#REF!,ROW()-1)),"")</f>
        <v>iPro
Epic Satellite
ALLSCRIPTS
EPIC BCA</v>
      </c>
      <c r="H162" t="str">
        <f>IFERROR(_xlfn.SINGLE(INDEX(#REF!,ROW()-1)),"")</f>
        <v>OR iPro Cybernet Workstation</v>
      </c>
      <c r="I162">
        <f>IFERROR(_xlfn.SINGLE(INDEX(#REF!,ROW()-1)),"")</f>
        <v>0</v>
      </c>
      <c r="J162">
        <f>IFERROR(_xlfn.SINGLE(INDEX(#REF!,ROW()-1)),"")</f>
        <v>0</v>
      </c>
      <c r="K162">
        <f>IFERROR(_xlfn.SINGLE(INDEX(#REF!,ROW()-1)),"")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 t="str">
        <f>IFERROR(_xlfn.SINGLE(INDEX(#REF!,ROW()-1)),"")</f>
        <v>Cybernet</v>
      </c>
      <c r="C163" t="str">
        <f>IFERROR(_xlfn.SINGLE(INDEX(#REF!,ROW()-1)),"")</f>
        <v>No</v>
      </c>
      <c r="D163">
        <f>IFERROR(_xlfn.SINGLE(INDEX(#REF!,ROW()-1)),"")</f>
        <v>0</v>
      </c>
      <c r="E163" t="str">
        <f>IFERROR(_xlfn.SINGLE(INDEX(#REF!,ROW()-1)),"")</f>
        <v>WNH270OPR458</v>
      </c>
      <c r="F163">
        <f>IFERROR(_xlfn.SINGLE(INDEX(#REF!,ROW()-1)),"")</f>
        <v>0</v>
      </c>
      <c r="G163">
        <f>IFERROR(_xlfn.SINGLE(INDEX(#REF!,ROW()-1)),"")</f>
        <v>0</v>
      </c>
      <c r="H163" t="str">
        <f>IFERROR(_xlfn.SINGLE(INDEX(#REF!,ROW()-1)),"")</f>
        <v>OR iPro Cybernet Workstation</v>
      </c>
      <c r="I163">
        <f>IFERROR(_xlfn.SINGLE(INDEX(#REF!,ROW()-1)),"")</f>
        <v>0</v>
      </c>
      <c r="J163">
        <f>IFERROR(_xlfn.SINGLE(INDEX(#REF!,ROW()-1)),"")</f>
        <v>0</v>
      </c>
      <c r="K163">
        <f>IFERROR(_xlfn.SINGLE(INDEX(#REF!,ROW()-1)),"")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 t="str">
        <f>IFERROR(_xlfn.SINGLE(INDEX(#REF!,ROW()-1)),"")</f>
        <v>Cybernet</v>
      </c>
      <c r="C164" t="str">
        <f>IFERROR(_xlfn.SINGLE(INDEX(#REF!,ROW()-1)),"")</f>
        <v>Yes</v>
      </c>
      <c r="D164" t="str">
        <f>IFERROR(_xlfn.SINGLE(INDEX(#REF!,ROW()-1)),"")</f>
        <v>Yes</v>
      </c>
      <c r="E164" t="str">
        <f>IFERROR(_xlfn.SINGLE(INDEX(#REF!,ROW()-1)),"")</f>
        <v>WNH270OPR459</v>
      </c>
      <c r="F164">
        <f>IFERROR(_xlfn.SINGLE(INDEX(#REF!,ROW()-1)),"")</f>
        <v>0</v>
      </c>
      <c r="G164">
        <f>IFERROR(_xlfn.SINGLE(INDEX(#REF!,ROW()-1)),"")</f>
        <v>0</v>
      </c>
      <c r="H164" t="str">
        <f>IFERROR(_xlfn.SINGLE(INDEX(#REF!,ROW()-1)),"")</f>
        <v>OR iPro Cybernet Workstation</v>
      </c>
      <c r="I164">
        <f>IFERROR(_xlfn.SINGLE(INDEX(#REF!,ROW()-1)),"")</f>
        <v>0</v>
      </c>
      <c r="J164">
        <f>IFERROR(_xlfn.SINGLE(INDEX(#REF!,ROW()-1)),"")</f>
        <v>0</v>
      </c>
      <c r="K164">
        <f>IFERROR(_xlfn.SINGLE(INDEX(#REF!,ROW()-1)),"")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 t="str">
        <f>IFERROR(_xlfn.SINGLE(INDEX(#REF!,ROW()-1)),"")</f>
        <v>Cybernet</v>
      </c>
      <c r="C165" t="str">
        <f>IFERROR(_xlfn.SINGLE(INDEX(#REF!,ROW()-1)),"")</f>
        <v>No</v>
      </c>
      <c r="D165">
        <f>IFERROR(_xlfn.SINGLE(INDEX(#REF!,ROW()-1)),"")</f>
        <v>0</v>
      </c>
      <c r="E165" t="str">
        <f>IFERROR(_xlfn.SINGLE(INDEX(#REF!,ROW()-1)),"")</f>
        <v>WNH270OPR460</v>
      </c>
      <c r="F165">
        <f>IFERROR(_xlfn.SINGLE(INDEX(#REF!,ROW()-1)),"")</f>
        <v>0</v>
      </c>
      <c r="G165">
        <f>IFERROR(_xlfn.SINGLE(INDEX(#REF!,ROW()-1)),"")</f>
        <v>0</v>
      </c>
      <c r="H165" t="str">
        <f>IFERROR(_xlfn.SINGLE(INDEX(#REF!,ROW()-1)),"")</f>
        <v>OR iPro Cybernet Workstation</v>
      </c>
      <c r="I165">
        <f>IFERROR(_xlfn.SINGLE(INDEX(#REF!,ROW()-1)),"")</f>
        <v>0</v>
      </c>
      <c r="J165">
        <f>IFERROR(_xlfn.SINGLE(INDEX(#REF!,ROW()-1)),"")</f>
        <v>0</v>
      </c>
      <c r="K165">
        <f>IFERROR(_xlfn.SINGLE(INDEX(#REF!,ROW()-1)),"")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 t="str">
        <f>IFERROR(_xlfn.SINGLE(INDEX(#REF!,ROW()-1)),"")</f>
        <v>Cybernet</v>
      </c>
      <c r="C166" t="str">
        <f>IFERROR(_xlfn.SINGLE(INDEX(#REF!,ROW()-1)),"")</f>
        <v>No</v>
      </c>
      <c r="D166">
        <f>IFERROR(_xlfn.SINGLE(INDEX(#REF!,ROW()-1)),"")</f>
        <v>0</v>
      </c>
      <c r="E166" t="str">
        <f>IFERROR(_xlfn.SINGLE(INDEX(#REF!,ROW()-1)),"")</f>
        <v>WNH270OPR461</v>
      </c>
      <c r="F166">
        <f>IFERROR(_xlfn.SINGLE(INDEX(#REF!,ROW()-1)),"")</f>
        <v>0</v>
      </c>
      <c r="G166">
        <f>IFERROR(_xlfn.SINGLE(INDEX(#REF!,ROW()-1)),"")</f>
        <v>0</v>
      </c>
      <c r="H166" t="str">
        <f>IFERROR(_xlfn.SINGLE(INDEX(#REF!,ROW()-1)),"")</f>
        <v>OR iPro Cybernet Workstation</v>
      </c>
      <c r="I166">
        <f>IFERROR(_xlfn.SINGLE(INDEX(#REF!,ROW()-1)),"")</f>
        <v>0</v>
      </c>
      <c r="J166">
        <f>IFERROR(_xlfn.SINGLE(INDEX(#REF!,ROW()-1)),"")</f>
        <v>0</v>
      </c>
      <c r="K166">
        <f>IFERROR(_xlfn.SINGLE(INDEX(#REF!,ROW()-1)),"")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IFERROR(_xlfn.SINGLE(INDEX(#REF!,ROW()-1)),"")</f>
        <v>0</v>
      </c>
      <c r="C167">
        <f>IFERROR(_xlfn.SINGLE(INDEX(#REF!,ROW()-1)),"")</f>
        <v>0</v>
      </c>
      <c r="D167">
        <f>IFERROR(_xlfn.SINGLE(INDEX(#REF!,ROW()-1)),"")</f>
        <v>0</v>
      </c>
      <c r="E167">
        <f>IFERROR(_xlfn.SINGLE(INDEX(#REF!,ROW()-1)),"")</f>
        <v>0</v>
      </c>
      <c r="F167">
        <f>IFERROR(_xlfn.SINGLE(INDEX(#REF!,ROW()-1)),"")</f>
        <v>0</v>
      </c>
      <c r="G167">
        <f>IFERROR(_xlfn.SINGLE(INDEX(#REF!,ROW()-1)),"")</f>
        <v>0</v>
      </c>
      <c r="H167">
        <f>IFERROR(_xlfn.SINGLE(INDEX(#REF!,ROW()-1)),"")</f>
        <v>0</v>
      </c>
      <c r="I167">
        <f>IFERROR(_xlfn.SINGLE(INDEX(#REF!,ROW()-1)),"")</f>
        <v>0</v>
      </c>
      <c r="J167">
        <f>IFERROR(_xlfn.SINGLE(INDEX(#REF!,ROW()-1)),"")</f>
        <v>0</v>
      </c>
      <c r="K167">
        <f>IFERROR(_xlfn.SINGLE(INDEX(#REF!,ROW()-1)),"")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IFERROR(_xlfn.SINGLE(INDEX(#REF!,ROW()-1)),"")</f>
        <v>0</v>
      </c>
      <c r="C168">
        <f>IFERROR(_xlfn.SINGLE(INDEX(#REF!,ROW()-1)),"")</f>
        <v>0</v>
      </c>
      <c r="D168">
        <f>IFERROR(_xlfn.SINGLE(INDEX(#REF!,ROW()-1)),"")</f>
        <v>0</v>
      </c>
      <c r="E168">
        <f>IFERROR(_xlfn.SINGLE(INDEX(#REF!,ROW()-1)),"")</f>
        <v>0</v>
      </c>
      <c r="F168">
        <f>IFERROR(_xlfn.SINGLE(INDEX(#REF!,ROW()-1)),"")</f>
        <v>0</v>
      </c>
      <c r="G168">
        <f>IFERROR(_xlfn.SINGLE(INDEX(#REF!,ROW()-1)),"")</f>
        <v>0</v>
      </c>
      <c r="H168">
        <f>IFERROR(_xlfn.SINGLE(INDEX(#REF!,ROW()-1)),"")</f>
        <v>0</v>
      </c>
      <c r="I168">
        <f>IFERROR(_xlfn.SINGLE(INDEX(#REF!,ROW()-1)),"")</f>
        <v>0</v>
      </c>
      <c r="J168">
        <f>IFERROR(_xlfn.SINGLE(INDEX(#REF!,ROW()-1)),"")</f>
        <v>0</v>
      </c>
      <c r="K168">
        <f>IFERROR(_xlfn.SINGLE(INDEX(#REF!,ROW()-1)),"")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IFERROR(_xlfn.SINGLE(INDEX(#REF!,ROW()-1)),"")</f>
        <v>0</v>
      </c>
      <c r="C169">
        <f>IFERROR(_xlfn.SINGLE(INDEX(#REF!,ROW()-1)),"")</f>
        <v>0</v>
      </c>
      <c r="D169">
        <f>IFERROR(_xlfn.SINGLE(INDEX(#REF!,ROW()-1)),"")</f>
        <v>0</v>
      </c>
      <c r="E169">
        <f>IFERROR(_xlfn.SINGLE(INDEX(#REF!,ROW()-1)),"")</f>
        <v>0</v>
      </c>
      <c r="F169">
        <f>IFERROR(_xlfn.SINGLE(INDEX(#REF!,ROW()-1)),"")</f>
        <v>0</v>
      </c>
      <c r="G169">
        <f>IFERROR(_xlfn.SINGLE(INDEX(#REF!,ROW()-1)),"")</f>
        <v>0</v>
      </c>
      <c r="H169">
        <f>IFERROR(_xlfn.SINGLE(INDEX(#REF!,ROW()-1)),"")</f>
        <v>0</v>
      </c>
      <c r="I169">
        <f>IFERROR(_xlfn.SINGLE(INDEX(#REF!,ROW()-1)),"")</f>
        <v>0</v>
      </c>
      <c r="J169">
        <f>IFERROR(_xlfn.SINGLE(INDEX(#REF!,ROW()-1)),"")</f>
        <v>0</v>
      </c>
      <c r="K169">
        <f>IFERROR(_xlfn.SINGLE(INDEX(#REF!,ROW()-1)),"")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IFERROR(_xlfn.SINGLE(INDEX(#REF!,ROW()-1)),"")</f>
        <v>0</v>
      </c>
      <c r="C170">
        <f>IFERROR(_xlfn.SINGLE(INDEX(#REF!,ROW()-1)),"")</f>
        <v>0</v>
      </c>
      <c r="D170">
        <f>IFERROR(_xlfn.SINGLE(INDEX(#REF!,ROW()-1)),"")</f>
        <v>0</v>
      </c>
      <c r="E170">
        <f>IFERROR(_xlfn.SINGLE(INDEX(#REF!,ROW()-1)),"")</f>
        <v>0</v>
      </c>
      <c r="F170">
        <f>IFERROR(_xlfn.SINGLE(INDEX(#REF!,ROW()-1)),"")</f>
        <v>0</v>
      </c>
      <c r="G170">
        <f>IFERROR(_xlfn.SINGLE(INDEX(#REF!,ROW()-1)),"")</f>
        <v>0</v>
      </c>
      <c r="H170">
        <f>IFERROR(_xlfn.SINGLE(INDEX(#REF!,ROW()-1)),"")</f>
        <v>0</v>
      </c>
      <c r="I170">
        <f>IFERROR(_xlfn.SINGLE(INDEX(#REF!,ROW()-1)),"")</f>
        <v>0</v>
      </c>
      <c r="J170">
        <f>IFERROR(_xlfn.SINGLE(INDEX(#REF!,ROW()-1)),"")</f>
        <v>0</v>
      </c>
      <c r="K170">
        <f>IFERROR(_xlfn.SINGLE(INDEX(#REF!,ROW()-1)),"")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IFERROR(_xlfn.SINGLE(INDEX(#REF!,ROW()-1)),"")</f>
        <v>0</v>
      </c>
      <c r="C171">
        <f>IFERROR(_xlfn.SINGLE(INDEX(#REF!,ROW()-1)),"")</f>
        <v>0</v>
      </c>
      <c r="D171">
        <f>IFERROR(_xlfn.SINGLE(INDEX(#REF!,ROW()-1)),"")</f>
        <v>0</v>
      </c>
      <c r="E171">
        <f>IFERROR(_xlfn.SINGLE(INDEX(#REF!,ROW()-1)),"")</f>
        <v>0</v>
      </c>
      <c r="F171">
        <f>IFERROR(_xlfn.SINGLE(INDEX(#REF!,ROW()-1)),"")</f>
        <v>0</v>
      </c>
      <c r="G171">
        <f>IFERROR(_xlfn.SINGLE(INDEX(#REF!,ROW()-1)),"")</f>
        <v>0</v>
      </c>
      <c r="H171">
        <f>IFERROR(_xlfn.SINGLE(INDEX(#REF!,ROW()-1)),"")</f>
        <v>0</v>
      </c>
      <c r="I171">
        <f>IFERROR(_xlfn.SINGLE(INDEX(#REF!,ROW()-1)),"")</f>
        <v>0</v>
      </c>
      <c r="J171">
        <f>IFERROR(_xlfn.SINGLE(INDEX(#REF!,ROW()-1)),"")</f>
        <v>0</v>
      </c>
      <c r="K171">
        <f>IFERROR(_xlfn.SINGLE(INDEX(#REF!,ROW()-1)),"")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IFERROR(_xlfn.SINGLE(INDEX(#REF!,ROW()-1)),"")</f>
        <v>0</v>
      </c>
      <c r="C172">
        <f>IFERROR(_xlfn.SINGLE(INDEX(#REF!,ROW()-1)),"")</f>
        <v>0</v>
      </c>
      <c r="D172">
        <f>IFERROR(_xlfn.SINGLE(INDEX(#REF!,ROW()-1)),"")</f>
        <v>0</v>
      </c>
      <c r="E172">
        <f>IFERROR(_xlfn.SINGLE(INDEX(#REF!,ROW()-1)),"")</f>
        <v>0</v>
      </c>
      <c r="F172">
        <f>IFERROR(_xlfn.SINGLE(INDEX(#REF!,ROW()-1)),"")</f>
        <v>0</v>
      </c>
      <c r="G172">
        <f>IFERROR(_xlfn.SINGLE(INDEX(#REF!,ROW()-1)),"")</f>
        <v>0</v>
      </c>
      <c r="H172">
        <f>IFERROR(_xlfn.SINGLE(INDEX(#REF!,ROW()-1)),"")</f>
        <v>0</v>
      </c>
      <c r="I172">
        <f>IFERROR(_xlfn.SINGLE(INDEX(#REF!,ROW()-1)),"")</f>
        <v>0</v>
      </c>
      <c r="J172">
        <f>IFERROR(_xlfn.SINGLE(INDEX(#REF!,ROW()-1)),"")</f>
        <v>0</v>
      </c>
      <c r="K172">
        <f>IFERROR(_xlfn.SINGLE(INDEX(#REF!,ROW()-1)),"")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IFERROR(_xlfn.SINGLE(INDEX(#REF!,ROW()-1)),"")</f>
        <v>0</v>
      </c>
      <c r="C173">
        <f>IFERROR(_xlfn.SINGLE(INDEX(#REF!,ROW()-1)),"")</f>
        <v>0</v>
      </c>
      <c r="D173">
        <f>IFERROR(_xlfn.SINGLE(INDEX(#REF!,ROW()-1)),"")</f>
        <v>0</v>
      </c>
      <c r="E173">
        <f>IFERROR(_xlfn.SINGLE(INDEX(#REF!,ROW()-1)),"")</f>
        <v>0</v>
      </c>
      <c r="F173">
        <f>IFERROR(_xlfn.SINGLE(INDEX(#REF!,ROW()-1)),"")</f>
        <v>0</v>
      </c>
      <c r="G173">
        <f>IFERROR(_xlfn.SINGLE(INDEX(#REF!,ROW()-1)),"")</f>
        <v>0</v>
      </c>
      <c r="H173">
        <f>IFERROR(_xlfn.SINGLE(INDEX(#REF!,ROW()-1)),"")</f>
        <v>0</v>
      </c>
      <c r="I173">
        <f>IFERROR(_xlfn.SINGLE(INDEX(#REF!,ROW()-1)),"")</f>
        <v>0</v>
      </c>
      <c r="J173">
        <f>IFERROR(_xlfn.SINGLE(INDEX(#REF!,ROW()-1)),"")</f>
        <v>0</v>
      </c>
      <c r="K173">
        <f>IFERROR(_xlfn.SINGLE(INDEX(#REF!,ROW()-1)),"")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IFERROR(_xlfn.SINGLE(INDEX(#REF!,ROW()-1)),"")</f>
        <v>0</v>
      </c>
      <c r="C174">
        <f>IFERROR(_xlfn.SINGLE(INDEX(#REF!,ROW()-1)),"")</f>
        <v>0</v>
      </c>
      <c r="D174">
        <f>IFERROR(_xlfn.SINGLE(INDEX(#REF!,ROW()-1)),"")</f>
        <v>0</v>
      </c>
      <c r="E174">
        <f>IFERROR(_xlfn.SINGLE(INDEX(#REF!,ROW()-1)),"")</f>
        <v>0</v>
      </c>
      <c r="F174">
        <f>IFERROR(_xlfn.SINGLE(INDEX(#REF!,ROW()-1)),"")</f>
        <v>0</v>
      </c>
      <c r="G174">
        <f>IFERROR(_xlfn.SINGLE(INDEX(#REF!,ROW()-1)),"")</f>
        <v>0</v>
      </c>
      <c r="H174">
        <f>IFERROR(_xlfn.SINGLE(INDEX(#REF!,ROW()-1)),"")</f>
        <v>0</v>
      </c>
      <c r="I174">
        <f>IFERROR(_xlfn.SINGLE(INDEX(#REF!,ROW()-1)),"")</f>
        <v>0</v>
      </c>
      <c r="J174">
        <f>IFERROR(_xlfn.SINGLE(INDEX(#REF!,ROW()-1)),"")</f>
        <v>0</v>
      </c>
      <c r="K174">
        <f>IFERROR(_xlfn.SINGLE(INDEX(#REF!,ROW()-1)),"")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IFERROR(_xlfn.SINGLE(INDEX(#REF!,ROW()-1)),"")</f>
        <v>0</v>
      </c>
      <c r="C175">
        <f>IFERROR(_xlfn.SINGLE(INDEX(#REF!,ROW()-1)),"")</f>
        <v>0</v>
      </c>
      <c r="D175">
        <f>IFERROR(_xlfn.SINGLE(INDEX(#REF!,ROW()-1)),"")</f>
        <v>0</v>
      </c>
      <c r="E175">
        <f>IFERROR(_xlfn.SINGLE(INDEX(#REF!,ROW()-1)),"")</f>
        <v>0</v>
      </c>
      <c r="F175">
        <f>IFERROR(_xlfn.SINGLE(INDEX(#REF!,ROW()-1)),"")</f>
        <v>0</v>
      </c>
      <c r="G175">
        <f>IFERROR(_xlfn.SINGLE(INDEX(#REF!,ROW()-1)),"")</f>
        <v>0</v>
      </c>
      <c r="H175">
        <f>IFERROR(_xlfn.SINGLE(INDEX(#REF!,ROW()-1)),"")</f>
        <v>0</v>
      </c>
      <c r="I175">
        <f>IFERROR(_xlfn.SINGLE(INDEX(#REF!,ROW()-1)),"")</f>
        <v>0</v>
      </c>
      <c r="J175">
        <f>IFERROR(_xlfn.SINGLE(INDEX(#REF!,ROW()-1)),"")</f>
        <v>0</v>
      </c>
      <c r="K175">
        <f>IFERROR(_xlfn.SINGLE(INDEX(#REF!,ROW()-1)),"")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IFERROR(_xlfn.SINGLE(INDEX(#REF!,ROW()-1)),"")</f>
        <v>0</v>
      </c>
      <c r="C176">
        <f>IFERROR(_xlfn.SINGLE(INDEX(#REF!,ROW()-1)),"")</f>
        <v>0</v>
      </c>
      <c r="D176">
        <f>IFERROR(_xlfn.SINGLE(INDEX(#REF!,ROW()-1)),"")</f>
        <v>0</v>
      </c>
      <c r="E176">
        <f>IFERROR(_xlfn.SINGLE(INDEX(#REF!,ROW()-1)),"")</f>
        <v>0</v>
      </c>
      <c r="F176">
        <f>IFERROR(_xlfn.SINGLE(INDEX(#REF!,ROW()-1)),"")</f>
        <v>0</v>
      </c>
      <c r="G176">
        <f>IFERROR(_xlfn.SINGLE(INDEX(#REF!,ROW()-1)),"")</f>
        <v>0</v>
      </c>
      <c r="H176">
        <f>IFERROR(_xlfn.SINGLE(INDEX(#REF!,ROW()-1)),"")</f>
        <v>0</v>
      </c>
      <c r="I176">
        <f>IFERROR(_xlfn.SINGLE(INDEX(#REF!,ROW()-1)),"")</f>
        <v>0</v>
      </c>
      <c r="J176">
        <f>IFERROR(_xlfn.SINGLE(INDEX(#REF!,ROW()-1)),"")</f>
        <v>0</v>
      </c>
      <c r="K176">
        <f>IFERROR(_xlfn.SINGLE(INDEX(#REF!,ROW()-1)),"")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IFERROR(_xlfn.SINGLE(INDEX(#REF!,ROW()-1)),"")</f>
        <v>0</v>
      </c>
      <c r="C177">
        <f>IFERROR(_xlfn.SINGLE(INDEX(#REF!,ROW()-1)),"")</f>
        <v>0</v>
      </c>
      <c r="D177">
        <f>IFERROR(_xlfn.SINGLE(INDEX(#REF!,ROW()-1)),"")</f>
        <v>0</v>
      </c>
      <c r="E177">
        <f>IFERROR(_xlfn.SINGLE(INDEX(#REF!,ROW()-1)),"")</f>
        <v>0</v>
      </c>
      <c r="F177">
        <f>IFERROR(_xlfn.SINGLE(INDEX(#REF!,ROW()-1)),"")</f>
        <v>0</v>
      </c>
      <c r="G177">
        <f>IFERROR(_xlfn.SINGLE(INDEX(#REF!,ROW()-1)),"")</f>
        <v>0</v>
      </c>
      <c r="H177">
        <f>IFERROR(_xlfn.SINGLE(INDEX(#REF!,ROW()-1)),"")</f>
        <v>0</v>
      </c>
      <c r="I177">
        <f>IFERROR(_xlfn.SINGLE(INDEX(#REF!,ROW()-1)),"")</f>
        <v>0</v>
      </c>
      <c r="J177">
        <f>IFERROR(_xlfn.SINGLE(INDEX(#REF!,ROW()-1)),"")</f>
        <v>0</v>
      </c>
      <c r="K177">
        <f>IFERROR(_xlfn.SINGLE(INDEX(#REF!,ROW()-1)),"")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IFERROR(_xlfn.SINGLE(INDEX(#REF!,ROW()-1)),"")</f>
        <v>0</v>
      </c>
      <c r="C178">
        <f>IFERROR(_xlfn.SINGLE(INDEX(#REF!,ROW()-1)),"")</f>
        <v>0</v>
      </c>
      <c r="D178">
        <f>IFERROR(_xlfn.SINGLE(INDEX(#REF!,ROW()-1)),"")</f>
        <v>0</v>
      </c>
      <c r="E178">
        <f>IFERROR(_xlfn.SINGLE(INDEX(#REF!,ROW()-1)),"")</f>
        <v>0</v>
      </c>
      <c r="F178">
        <f>IFERROR(_xlfn.SINGLE(INDEX(#REF!,ROW()-1)),"")</f>
        <v>0</v>
      </c>
      <c r="G178">
        <f>IFERROR(_xlfn.SINGLE(INDEX(#REF!,ROW()-1)),"")</f>
        <v>0</v>
      </c>
      <c r="H178">
        <f>IFERROR(_xlfn.SINGLE(INDEX(#REF!,ROW()-1)),"")</f>
        <v>0</v>
      </c>
      <c r="I178">
        <f>IFERROR(_xlfn.SINGLE(INDEX(#REF!,ROW()-1)),"")</f>
        <v>0</v>
      </c>
      <c r="J178">
        <f>IFERROR(_xlfn.SINGLE(INDEX(#REF!,ROW()-1)),"")</f>
        <v>0</v>
      </c>
      <c r="K178">
        <f>IFERROR(_xlfn.SINGLE(INDEX(#REF!,ROW()-1)),"")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IFERROR(_xlfn.SINGLE(INDEX(#REF!,ROW()-1)),"")</f>
        <v>0</v>
      </c>
      <c r="C179">
        <f>IFERROR(_xlfn.SINGLE(INDEX(#REF!,ROW()-1)),"")</f>
        <v>0</v>
      </c>
      <c r="D179">
        <f>IFERROR(_xlfn.SINGLE(INDEX(#REF!,ROW()-1)),"")</f>
        <v>0</v>
      </c>
      <c r="E179">
        <f>IFERROR(_xlfn.SINGLE(INDEX(#REF!,ROW()-1)),"")</f>
        <v>0</v>
      </c>
      <c r="F179">
        <f>IFERROR(_xlfn.SINGLE(INDEX(#REF!,ROW()-1)),"")</f>
        <v>0</v>
      </c>
      <c r="G179">
        <f>IFERROR(_xlfn.SINGLE(INDEX(#REF!,ROW()-1)),"")</f>
        <v>0</v>
      </c>
      <c r="H179">
        <f>IFERROR(_xlfn.SINGLE(INDEX(#REF!,ROW()-1)),"")</f>
        <v>0</v>
      </c>
      <c r="I179">
        <f>IFERROR(_xlfn.SINGLE(INDEX(#REF!,ROW()-1)),"")</f>
        <v>0</v>
      </c>
      <c r="J179">
        <f>IFERROR(_xlfn.SINGLE(INDEX(#REF!,ROW()-1)),"")</f>
        <v>0</v>
      </c>
      <c r="K179">
        <f>IFERROR(_xlfn.SINGLE(INDEX(#REF!,ROW()-1)),"")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IFERROR(_xlfn.SINGLE(INDEX(#REF!,ROW()-1)),"")</f>
        <v>0</v>
      </c>
      <c r="C180">
        <f>IFERROR(_xlfn.SINGLE(INDEX(#REF!,ROW()-1)),"")</f>
        <v>0</v>
      </c>
      <c r="D180">
        <f>IFERROR(_xlfn.SINGLE(INDEX(#REF!,ROW()-1)),"")</f>
        <v>0</v>
      </c>
      <c r="E180">
        <f>IFERROR(_xlfn.SINGLE(INDEX(#REF!,ROW()-1)),"")</f>
        <v>0</v>
      </c>
      <c r="F180">
        <f>IFERROR(_xlfn.SINGLE(INDEX(#REF!,ROW()-1)),"")</f>
        <v>0</v>
      </c>
      <c r="G180">
        <f>IFERROR(_xlfn.SINGLE(INDEX(#REF!,ROW()-1)),"")</f>
        <v>0</v>
      </c>
      <c r="H180">
        <f>IFERROR(_xlfn.SINGLE(INDEX(#REF!,ROW()-1)),"")</f>
        <v>0</v>
      </c>
      <c r="I180">
        <f>IFERROR(_xlfn.SINGLE(INDEX(#REF!,ROW()-1)),"")</f>
        <v>0</v>
      </c>
      <c r="J180">
        <f>IFERROR(_xlfn.SINGLE(INDEX(#REF!,ROW()-1)),"")</f>
        <v>0</v>
      </c>
      <c r="K180">
        <f>IFERROR(_xlfn.SINGLE(INDEX(#REF!,ROW()-1)),"")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IFERROR(_xlfn.SINGLE(INDEX(#REF!,ROW()-1)),"")</f>
        <v>0</v>
      </c>
      <c r="C181">
        <f>IFERROR(_xlfn.SINGLE(INDEX(#REF!,ROW()-1)),"")</f>
        <v>0</v>
      </c>
      <c r="D181">
        <f>IFERROR(_xlfn.SINGLE(INDEX(#REF!,ROW()-1)),"")</f>
        <v>0</v>
      </c>
      <c r="E181">
        <f>IFERROR(_xlfn.SINGLE(INDEX(#REF!,ROW()-1)),"")</f>
        <v>0</v>
      </c>
      <c r="F181">
        <f>IFERROR(_xlfn.SINGLE(INDEX(#REF!,ROW()-1)),"")</f>
        <v>0</v>
      </c>
      <c r="G181">
        <f>IFERROR(_xlfn.SINGLE(INDEX(#REF!,ROW()-1)),"")</f>
        <v>0</v>
      </c>
      <c r="H181">
        <f>IFERROR(_xlfn.SINGLE(INDEX(#REF!,ROW()-1)),"")</f>
        <v>0</v>
      </c>
      <c r="I181">
        <f>IFERROR(_xlfn.SINGLE(INDEX(#REF!,ROW()-1)),"")</f>
        <v>0</v>
      </c>
      <c r="J181">
        <f>IFERROR(_xlfn.SINGLE(INDEX(#REF!,ROW()-1)),"")</f>
        <v>0</v>
      </c>
      <c r="K181">
        <f>IFERROR(_xlfn.SINGLE(INDEX(#REF!,ROW()-1)),"")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IFERROR(_xlfn.SINGLE(INDEX(#REF!,ROW()-1)),"")</f>
        <v>0</v>
      </c>
      <c r="C182">
        <f>IFERROR(_xlfn.SINGLE(INDEX(#REF!,ROW()-1)),"")</f>
        <v>0</v>
      </c>
      <c r="D182">
        <f>IFERROR(_xlfn.SINGLE(INDEX(#REF!,ROW()-1)),"")</f>
        <v>0</v>
      </c>
      <c r="E182">
        <f>IFERROR(_xlfn.SINGLE(INDEX(#REF!,ROW()-1)),"")</f>
        <v>0</v>
      </c>
      <c r="F182">
        <f>IFERROR(_xlfn.SINGLE(INDEX(#REF!,ROW()-1)),"")</f>
        <v>0</v>
      </c>
      <c r="G182">
        <f>IFERROR(_xlfn.SINGLE(INDEX(#REF!,ROW()-1)),"")</f>
        <v>0</v>
      </c>
      <c r="H182">
        <f>IFERROR(_xlfn.SINGLE(INDEX(#REF!,ROW()-1)),"")</f>
        <v>0</v>
      </c>
      <c r="I182">
        <f>IFERROR(_xlfn.SINGLE(INDEX(#REF!,ROW()-1)),"")</f>
        <v>0</v>
      </c>
      <c r="J182">
        <f>IFERROR(_xlfn.SINGLE(INDEX(#REF!,ROW()-1)),"")</f>
        <v>0</v>
      </c>
      <c r="K182">
        <f>IFERROR(_xlfn.SINGLE(INDEX(#REF!,ROW()-1)),"")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IFERROR(_xlfn.SINGLE(INDEX(#REF!,ROW()-1)),"")</f>
        <v>0</v>
      </c>
      <c r="C183">
        <f>IFERROR(_xlfn.SINGLE(INDEX(#REF!,ROW()-1)),"")</f>
        <v>0</v>
      </c>
      <c r="D183">
        <f>IFERROR(_xlfn.SINGLE(INDEX(#REF!,ROW()-1)),"")</f>
        <v>0</v>
      </c>
      <c r="E183">
        <f>IFERROR(_xlfn.SINGLE(INDEX(#REF!,ROW()-1)),"")</f>
        <v>0</v>
      </c>
      <c r="F183">
        <f>IFERROR(_xlfn.SINGLE(INDEX(#REF!,ROW()-1)),"")</f>
        <v>0</v>
      </c>
      <c r="G183">
        <f>IFERROR(_xlfn.SINGLE(INDEX(#REF!,ROW()-1)),"")</f>
        <v>0</v>
      </c>
      <c r="H183">
        <f>IFERROR(_xlfn.SINGLE(INDEX(#REF!,ROW()-1)),"")</f>
        <v>0</v>
      </c>
      <c r="I183">
        <f>IFERROR(_xlfn.SINGLE(INDEX(#REF!,ROW()-1)),"")</f>
        <v>0</v>
      </c>
      <c r="J183">
        <f>IFERROR(_xlfn.SINGLE(INDEX(#REF!,ROW()-1)),"")</f>
        <v>0</v>
      </c>
      <c r="K183">
        <f>IFERROR(_xlfn.SINGLE(INDEX(#REF!,ROW()-1)),"")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IFERROR(_xlfn.SINGLE(INDEX(#REF!,ROW()-1)),"")</f>
        <v>0</v>
      </c>
      <c r="C184">
        <f>IFERROR(_xlfn.SINGLE(INDEX(#REF!,ROW()-1)),"")</f>
        <v>0</v>
      </c>
      <c r="D184">
        <f>IFERROR(_xlfn.SINGLE(INDEX(#REF!,ROW()-1)),"")</f>
        <v>0</v>
      </c>
      <c r="E184">
        <f>IFERROR(_xlfn.SINGLE(INDEX(#REF!,ROW()-1)),"")</f>
        <v>0</v>
      </c>
      <c r="F184">
        <f>IFERROR(_xlfn.SINGLE(INDEX(#REF!,ROW()-1)),"")</f>
        <v>0</v>
      </c>
      <c r="G184">
        <f>IFERROR(_xlfn.SINGLE(INDEX(#REF!,ROW()-1)),"")</f>
        <v>0</v>
      </c>
      <c r="H184">
        <f>IFERROR(_xlfn.SINGLE(INDEX(#REF!,ROW()-1)),"")</f>
        <v>0</v>
      </c>
      <c r="I184">
        <f>IFERROR(_xlfn.SINGLE(INDEX(#REF!,ROW()-1)),"")</f>
        <v>0</v>
      </c>
      <c r="J184">
        <f>IFERROR(_xlfn.SINGLE(INDEX(#REF!,ROW()-1)),"")</f>
        <v>0</v>
      </c>
      <c r="K184">
        <f>IFERROR(_xlfn.SINGLE(INDEX(#REF!,ROW()-1)),"")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IFERROR(_xlfn.SINGLE(INDEX(#REF!,ROW()-1)),"")</f>
        <v>0</v>
      </c>
      <c r="C185">
        <f>IFERROR(_xlfn.SINGLE(INDEX(#REF!,ROW()-1)),"")</f>
        <v>0</v>
      </c>
      <c r="D185">
        <f>IFERROR(_xlfn.SINGLE(INDEX(#REF!,ROW()-1)),"")</f>
        <v>0</v>
      </c>
      <c r="E185">
        <f>IFERROR(_xlfn.SINGLE(INDEX(#REF!,ROW()-1)),"")</f>
        <v>0</v>
      </c>
      <c r="F185">
        <f>IFERROR(_xlfn.SINGLE(INDEX(#REF!,ROW()-1)),"")</f>
        <v>0</v>
      </c>
      <c r="G185">
        <f>IFERROR(_xlfn.SINGLE(INDEX(#REF!,ROW()-1)),"")</f>
        <v>0</v>
      </c>
      <c r="H185">
        <f>IFERROR(_xlfn.SINGLE(INDEX(#REF!,ROW()-1)),"")</f>
        <v>0</v>
      </c>
      <c r="I185">
        <f>IFERROR(_xlfn.SINGLE(INDEX(#REF!,ROW()-1)),"")</f>
        <v>0</v>
      </c>
      <c r="J185">
        <f>IFERROR(_xlfn.SINGLE(INDEX(#REF!,ROW()-1)),"")</f>
        <v>0</v>
      </c>
      <c r="K185">
        <f>IFERROR(_xlfn.SINGLE(INDEX(#REF!,ROW()-1)),"")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IFERROR(_xlfn.SINGLE(INDEX(#REF!,ROW()-1)),"")</f>
        <v>0</v>
      </c>
      <c r="C186">
        <f>IFERROR(_xlfn.SINGLE(INDEX(#REF!,ROW()-1)),"")</f>
        <v>0</v>
      </c>
      <c r="D186">
        <f>IFERROR(_xlfn.SINGLE(INDEX(#REF!,ROW()-1)),"")</f>
        <v>0</v>
      </c>
      <c r="E186">
        <f>IFERROR(_xlfn.SINGLE(INDEX(#REF!,ROW()-1)),"")</f>
        <v>0</v>
      </c>
      <c r="F186">
        <f>IFERROR(_xlfn.SINGLE(INDEX(#REF!,ROW()-1)),"")</f>
        <v>0</v>
      </c>
      <c r="G186">
        <f>IFERROR(_xlfn.SINGLE(INDEX(#REF!,ROW()-1)),"")</f>
        <v>0</v>
      </c>
      <c r="H186">
        <f>IFERROR(_xlfn.SINGLE(INDEX(#REF!,ROW()-1)),"")</f>
        <v>0</v>
      </c>
      <c r="I186">
        <f>IFERROR(_xlfn.SINGLE(INDEX(#REF!,ROW()-1)),"")</f>
        <v>0</v>
      </c>
      <c r="J186">
        <f>IFERROR(_xlfn.SINGLE(INDEX(#REF!,ROW()-1)),"")</f>
        <v>0</v>
      </c>
      <c r="K186">
        <f>IFERROR(_xlfn.SINGLE(INDEX(#REF!,ROW()-1)),"")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IFERROR(_xlfn.SINGLE(INDEX(#REF!,ROW()-1)),"")</f>
        <v>0</v>
      </c>
      <c r="C187">
        <f>IFERROR(_xlfn.SINGLE(INDEX(#REF!,ROW()-1)),"")</f>
        <v>0</v>
      </c>
      <c r="D187">
        <f>IFERROR(_xlfn.SINGLE(INDEX(#REF!,ROW()-1)),"")</f>
        <v>0</v>
      </c>
      <c r="E187">
        <f>IFERROR(_xlfn.SINGLE(INDEX(#REF!,ROW()-1)),"")</f>
        <v>0</v>
      </c>
      <c r="F187">
        <f>IFERROR(_xlfn.SINGLE(INDEX(#REF!,ROW()-1)),"")</f>
        <v>0</v>
      </c>
      <c r="G187">
        <f>IFERROR(_xlfn.SINGLE(INDEX(#REF!,ROW()-1)),"")</f>
        <v>0</v>
      </c>
      <c r="H187">
        <f>IFERROR(_xlfn.SINGLE(INDEX(#REF!,ROW()-1)),"")</f>
        <v>0</v>
      </c>
      <c r="I187">
        <f>IFERROR(_xlfn.SINGLE(INDEX(#REF!,ROW()-1)),"")</f>
        <v>0</v>
      </c>
      <c r="J187">
        <f>IFERROR(_xlfn.SINGLE(INDEX(#REF!,ROW()-1)),"")</f>
        <v>0</v>
      </c>
      <c r="K187">
        <f>IFERROR(_xlfn.SINGLE(INDEX(#REF!,ROW()-1)),"")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IFERROR(_xlfn.SINGLE(INDEX(#REF!,ROW()-1)),"")</f>
        <v>0</v>
      </c>
      <c r="C188">
        <f>IFERROR(_xlfn.SINGLE(INDEX(#REF!,ROW()-1)),"")</f>
        <v>0</v>
      </c>
      <c r="D188">
        <f>IFERROR(_xlfn.SINGLE(INDEX(#REF!,ROW()-1)),"")</f>
        <v>0</v>
      </c>
      <c r="E188">
        <f>IFERROR(_xlfn.SINGLE(INDEX(#REF!,ROW()-1)),"")</f>
        <v>0</v>
      </c>
      <c r="F188">
        <f>IFERROR(_xlfn.SINGLE(INDEX(#REF!,ROW()-1)),"")</f>
        <v>0</v>
      </c>
      <c r="G188">
        <f>IFERROR(_xlfn.SINGLE(INDEX(#REF!,ROW()-1)),"")</f>
        <v>0</v>
      </c>
      <c r="H188">
        <f>IFERROR(_xlfn.SINGLE(INDEX(#REF!,ROW()-1)),"")</f>
        <v>0</v>
      </c>
      <c r="I188">
        <f>IFERROR(_xlfn.SINGLE(INDEX(#REF!,ROW()-1)),"")</f>
        <v>0</v>
      </c>
      <c r="J188">
        <f>IFERROR(_xlfn.SINGLE(INDEX(#REF!,ROW()-1)),"")</f>
        <v>0</v>
      </c>
      <c r="K188">
        <f>IFERROR(_xlfn.SINGLE(INDEX(#REF!,ROW()-1)),"")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IFERROR(_xlfn.SINGLE(INDEX(#REF!,ROW()-1)),"")</f>
        <v>0</v>
      </c>
      <c r="C189">
        <f>IFERROR(_xlfn.SINGLE(INDEX(#REF!,ROW()-1)),"")</f>
        <v>0</v>
      </c>
      <c r="D189">
        <f>IFERROR(_xlfn.SINGLE(INDEX(#REF!,ROW()-1)),"")</f>
        <v>0</v>
      </c>
      <c r="E189">
        <f>IFERROR(_xlfn.SINGLE(INDEX(#REF!,ROW()-1)),"")</f>
        <v>0</v>
      </c>
      <c r="F189">
        <f>IFERROR(_xlfn.SINGLE(INDEX(#REF!,ROW()-1)),"")</f>
        <v>0</v>
      </c>
      <c r="G189">
        <f>IFERROR(_xlfn.SINGLE(INDEX(#REF!,ROW()-1)),"")</f>
        <v>0</v>
      </c>
      <c r="H189">
        <f>IFERROR(_xlfn.SINGLE(INDEX(#REF!,ROW()-1)),"")</f>
        <v>0</v>
      </c>
      <c r="I189">
        <f>IFERROR(_xlfn.SINGLE(INDEX(#REF!,ROW()-1)),"")</f>
        <v>0</v>
      </c>
      <c r="J189">
        <f>IFERROR(_xlfn.SINGLE(INDEX(#REF!,ROW()-1)),"")</f>
        <v>0</v>
      </c>
      <c r="K189">
        <f>IFERROR(_xlfn.SINGLE(INDEX(#REF!,ROW()-1)),"")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IFERROR(_xlfn.SINGLE(INDEX(#REF!,ROW()-1)),"")</f>
        <v>0</v>
      </c>
      <c r="C190">
        <f>IFERROR(_xlfn.SINGLE(INDEX(#REF!,ROW()-1)),"")</f>
        <v>0</v>
      </c>
      <c r="D190">
        <f>IFERROR(_xlfn.SINGLE(INDEX(#REF!,ROW()-1)),"")</f>
        <v>0</v>
      </c>
      <c r="E190">
        <f>IFERROR(_xlfn.SINGLE(INDEX(#REF!,ROW()-1)),"")</f>
        <v>0</v>
      </c>
      <c r="F190">
        <f>IFERROR(_xlfn.SINGLE(INDEX(#REF!,ROW()-1)),"")</f>
        <v>0</v>
      </c>
      <c r="G190">
        <f>IFERROR(_xlfn.SINGLE(INDEX(#REF!,ROW()-1)),"")</f>
        <v>0</v>
      </c>
      <c r="H190">
        <f>IFERROR(_xlfn.SINGLE(INDEX(#REF!,ROW()-1)),"")</f>
        <v>0</v>
      </c>
      <c r="I190">
        <f>IFERROR(_xlfn.SINGLE(INDEX(#REF!,ROW()-1)),"")</f>
        <v>0</v>
      </c>
      <c r="J190">
        <f>IFERROR(_xlfn.SINGLE(INDEX(#REF!,ROW()-1)),"")</f>
        <v>0</v>
      </c>
      <c r="K190">
        <f>IFERROR(_xlfn.SINGLE(INDEX(#REF!,ROW()-1)),"")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IFERROR(_xlfn.SINGLE(INDEX(#REF!,ROW()-1)),"")</f>
        <v>0</v>
      </c>
      <c r="C191">
        <f>IFERROR(_xlfn.SINGLE(INDEX(#REF!,ROW()-1)),"")</f>
        <v>0</v>
      </c>
      <c r="D191">
        <f>IFERROR(_xlfn.SINGLE(INDEX(#REF!,ROW()-1)),"")</f>
        <v>0</v>
      </c>
      <c r="E191">
        <f>IFERROR(_xlfn.SINGLE(INDEX(#REF!,ROW()-1)),"")</f>
        <v>0</v>
      </c>
      <c r="F191">
        <f>IFERROR(_xlfn.SINGLE(INDEX(#REF!,ROW()-1)),"")</f>
        <v>0</v>
      </c>
      <c r="G191">
        <f>IFERROR(_xlfn.SINGLE(INDEX(#REF!,ROW()-1)),"")</f>
        <v>0</v>
      </c>
      <c r="H191">
        <f>IFERROR(_xlfn.SINGLE(INDEX(#REF!,ROW()-1)),"")</f>
        <v>0</v>
      </c>
      <c r="I191">
        <f>IFERROR(_xlfn.SINGLE(INDEX(#REF!,ROW()-1)),"")</f>
        <v>0</v>
      </c>
      <c r="J191">
        <f>IFERROR(_xlfn.SINGLE(INDEX(#REF!,ROW()-1)),"")</f>
        <v>0</v>
      </c>
      <c r="K191">
        <f>IFERROR(_xlfn.SINGLE(INDEX(#REF!,ROW()-1)),"")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IFERROR(_xlfn.SINGLE(INDEX(#REF!,ROW()-1)),"")</f>
        <v>0</v>
      </c>
      <c r="C192">
        <f>IFERROR(_xlfn.SINGLE(INDEX(#REF!,ROW()-1)),"")</f>
        <v>0</v>
      </c>
      <c r="D192">
        <f>IFERROR(_xlfn.SINGLE(INDEX(#REF!,ROW()-1)),"")</f>
        <v>0</v>
      </c>
      <c r="E192">
        <f>IFERROR(_xlfn.SINGLE(INDEX(#REF!,ROW()-1)),"")</f>
        <v>0</v>
      </c>
      <c r="F192">
        <f>IFERROR(_xlfn.SINGLE(INDEX(#REF!,ROW()-1)),"")</f>
        <v>0</v>
      </c>
      <c r="G192">
        <f>IFERROR(_xlfn.SINGLE(INDEX(#REF!,ROW()-1)),"")</f>
        <v>0</v>
      </c>
      <c r="H192">
        <f>IFERROR(_xlfn.SINGLE(INDEX(#REF!,ROW()-1)),"")</f>
        <v>0</v>
      </c>
      <c r="I192">
        <f>IFERROR(_xlfn.SINGLE(INDEX(#REF!,ROW()-1)),"")</f>
        <v>0</v>
      </c>
      <c r="J192">
        <f>IFERROR(_xlfn.SINGLE(INDEX(#REF!,ROW()-1)),"")</f>
        <v>0</v>
      </c>
      <c r="K192">
        <f>IFERROR(_xlfn.SINGLE(INDEX(#REF!,ROW()-1)),"")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IFERROR(_xlfn.SINGLE(INDEX(#REF!,ROW()-1)),"")</f>
        <v>0</v>
      </c>
      <c r="C193">
        <f>IFERROR(_xlfn.SINGLE(INDEX(#REF!,ROW()-1)),"")</f>
        <v>0</v>
      </c>
      <c r="D193">
        <f>IFERROR(_xlfn.SINGLE(INDEX(#REF!,ROW()-1)),"")</f>
        <v>0</v>
      </c>
      <c r="E193">
        <f>IFERROR(_xlfn.SINGLE(INDEX(#REF!,ROW()-1)),"")</f>
        <v>0</v>
      </c>
      <c r="F193">
        <f>IFERROR(_xlfn.SINGLE(INDEX(#REF!,ROW()-1)),"")</f>
        <v>0</v>
      </c>
      <c r="G193">
        <f>IFERROR(_xlfn.SINGLE(INDEX(#REF!,ROW()-1)),"")</f>
        <v>0</v>
      </c>
      <c r="H193">
        <f>IFERROR(_xlfn.SINGLE(INDEX(#REF!,ROW()-1)),"")</f>
        <v>0</v>
      </c>
      <c r="I193">
        <f>IFERROR(_xlfn.SINGLE(INDEX(#REF!,ROW()-1)),"")</f>
        <v>0</v>
      </c>
      <c r="J193">
        <f>IFERROR(_xlfn.SINGLE(INDEX(#REF!,ROW()-1)),"")</f>
        <v>0</v>
      </c>
      <c r="K193">
        <f>IFERROR(_xlfn.SINGLE(INDEX(#REF!,ROW()-1)),"")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IFERROR(_xlfn.SINGLE(INDEX(#REF!,ROW()-1)),"")</f>
        <v>0</v>
      </c>
      <c r="C194">
        <f>IFERROR(_xlfn.SINGLE(INDEX(#REF!,ROW()-1)),"")</f>
        <v>0</v>
      </c>
      <c r="D194">
        <f>IFERROR(_xlfn.SINGLE(INDEX(#REF!,ROW()-1)),"")</f>
        <v>0</v>
      </c>
      <c r="E194">
        <f>IFERROR(_xlfn.SINGLE(INDEX(#REF!,ROW()-1)),"")</f>
        <v>0</v>
      </c>
      <c r="F194">
        <f>IFERROR(_xlfn.SINGLE(INDEX(#REF!,ROW()-1)),"")</f>
        <v>0</v>
      </c>
      <c r="G194">
        <f>IFERROR(_xlfn.SINGLE(INDEX(#REF!,ROW()-1)),"")</f>
        <v>0</v>
      </c>
      <c r="H194">
        <f>IFERROR(_xlfn.SINGLE(INDEX(#REF!,ROW()-1)),"")</f>
        <v>0</v>
      </c>
      <c r="I194">
        <f>IFERROR(_xlfn.SINGLE(INDEX(#REF!,ROW()-1)),"")</f>
        <v>0</v>
      </c>
      <c r="J194">
        <f>IFERROR(_xlfn.SINGLE(INDEX(#REF!,ROW()-1)),"")</f>
        <v>0</v>
      </c>
      <c r="K194">
        <f>IFERROR(_xlfn.SINGLE(INDEX(#REF!,ROW()-1)),"")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IFERROR(_xlfn.SINGLE(INDEX(#REF!,ROW()-1)),"")</f>
        <v>0</v>
      </c>
      <c r="C195">
        <f>IFERROR(_xlfn.SINGLE(INDEX(#REF!,ROW()-1)),"")</f>
        <v>0</v>
      </c>
      <c r="D195">
        <f>IFERROR(_xlfn.SINGLE(INDEX(#REF!,ROW()-1)),"")</f>
        <v>0</v>
      </c>
      <c r="E195">
        <f>IFERROR(_xlfn.SINGLE(INDEX(#REF!,ROW()-1)),"")</f>
        <v>0</v>
      </c>
      <c r="F195">
        <f>IFERROR(_xlfn.SINGLE(INDEX(#REF!,ROW()-1)),"")</f>
        <v>0</v>
      </c>
      <c r="G195">
        <f>IFERROR(_xlfn.SINGLE(INDEX(#REF!,ROW()-1)),"")</f>
        <v>0</v>
      </c>
      <c r="H195">
        <f>IFERROR(_xlfn.SINGLE(INDEX(#REF!,ROW()-1)),"")</f>
        <v>0</v>
      </c>
      <c r="I195">
        <f>IFERROR(_xlfn.SINGLE(INDEX(#REF!,ROW()-1)),"")</f>
        <v>0</v>
      </c>
      <c r="J195">
        <f>IFERROR(_xlfn.SINGLE(INDEX(#REF!,ROW()-1)),"")</f>
        <v>0</v>
      </c>
      <c r="K195">
        <f>IFERROR(_xlfn.SINGLE(INDEX(#REF!,ROW()-1)),"")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IFERROR(_xlfn.SINGLE(INDEX(#REF!,ROW()-1)),"")</f>
        <v>0</v>
      </c>
      <c r="C196">
        <f>IFERROR(_xlfn.SINGLE(INDEX(#REF!,ROW()-1)),"")</f>
        <v>0</v>
      </c>
      <c r="D196">
        <f>IFERROR(_xlfn.SINGLE(INDEX(#REF!,ROW()-1)),"")</f>
        <v>0</v>
      </c>
      <c r="E196">
        <f>IFERROR(_xlfn.SINGLE(INDEX(#REF!,ROW()-1)),"")</f>
        <v>0</v>
      </c>
      <c r="F196">
        <f>IFERROR(_xlfn.SINGLE(INDEX(#REF!,ROW()-1)),"")</f>
        <v>0</v>
      </c>
      <c r="G196">
        <f>IFERROR(_xlfn.SINGLE(INDEX(#REF!,ROW()-1)),"")</f>
        <v>0</v>
      </c>
      <c r="H196">
        <f>IFERROR(_xlfn.SINGLE(INDEX(#REF!,ROW()-1)),"")</f>
        <v>0</v>
      </c>
      <c r="I196">
        <f>IFERROR(_xlfn.SINGLE(INDEX(#REF!,ROW()-1)),"")</f>
        <v>0</v>
      </c>
      <c r="J196">
        <f>IFERROR(_xlfn.SINGLE(INDEX(#REF!,ROW()-1)),"")</f>
        <v>0</v>
      </c>
      <c r="K196">
        <f>IFERROR(_xlfn.SINGLE(INDEX(#REF!,ROW()-1)),"")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IFERROR(_xlfn.SINGLE(INDEX(#REF!,ROW()-1)),"")</f>
        <v>0</v>
      </c>
      <c r="C197">
        <f>IFERROR(_xlfn.SINGLE(INDEX(#REF!,ROW()-1)),"")</f>
        <v>0</v>
      </c>
      <c r="D197">
        <f>IFERROR(_xlfn.SINGLE(INDEX(#REF!,ROW()-1)),"")</f>
        <v>0</v>
      </c>
      <c r="E197">
        <f>IFERROR(_xlfn.SINGLE(INDEX(#REF!,ROW()-1)),"")</f>
        <v>0</v>
      </c>
      <c r="F197">
        <f>IFERROR(_xlfn.SINGLE(INDEX(#REF!,ROW()-1)),"")</f>
        <v>0</v>
      </c>
      <c r="G197">
        <f>IFERROR(_xlfn.SINGLE(INDEX(#REF!,ROW()-1)),"")</f>
        <v>0</v>
      </c>
      <c r="H197">
        <f>IFERROR(_xlfn.SINGLE(INDEX(#REF!,ROW()-1)),"")</f>
        <v>0</v>
      </c>
      <c r="I197">
        <f>IFERROR(_xlfn.SINGLE(INDEX(#REF!,ROW()-1)),"")</f>
        <v>0</v>
      </c>
      <c r="J197">
        <f>IFERROR(_xlfn.SINGLE(INDEX(#REF!,ROW()-1)),"")</f>
        <v>0</v>
      </c>
      <c r="K197">
        <f>IFERROR(_xlfn.SINGLE(INDEX(#REF!,ROW()-1)),"")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IFERROR(_xlfn.SINGLE(INDEX(#REF!,ROW()-1)),"")</f>
        <v>0</v>
      </c>
      <c r="C198">
        <f>IFERROR(_xlfn.SINGLE(INDEX(#REF!,ROW()-1)),"")</f>
        <v>0</v>
      </c>
      <c r="D198">
        <f>IFERROR(_xlfn.SINGLE(INDEX(#REF!,ROW()-1)),"")</f>
        <v>0</v>
      </c>
      <c r="E198">
        <f>IFERROR(_xlfn.SINGLE(INDEX(#REF!,ROW()-1)),"")</f>
        <v>0</v>
      </c>
      <c r="F198">
        <f>IFERROR(_xlfn.SINGLE(INDEX(#REF!,ROW()-1)),"")</f>
        <v>0</v>
      </c>
      <c r="G198">
        <f>IFERROR(_xlfn.SINGLE(INDEX(#REF!,ROW()-1)),"")</f>
        <v>0</v>
      </c>
      <c r="H198">
        <f>IFERROR(_xlfn.SINGLE(INDEX(#REF!,ROW()-1)),"")</f>
        <v>0</v>
      </c>
      <c r="I198">
        <f>IFERROR(_xlfn.SINGLE(INDEX(#REF!,ROW()-1)),"")</f>
        <v>0</v>
      </c>
      <c r="J198">
        <f>IFERROR(_xlfn.SINGLE(INDEX(#REF!,ROW()-1)),"")</f>
        <v>0</v>
      </c>
      <c r="K198">
        <f>IFERROR(_xlfn.SINGLE(INDEX(#REF!,ROW()-1)),"")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IFERROR(_xlfn.SINGLE(INDEX(#REF!,ROW()-1)),"")</f>
        <v>0</v>
      </c>
      <c r="C199">
        <f>IFERROR(_xlfn.SINGLE(INDEX(#REF!,ROW()-1)),"")</f>
        <v>0</v>
      </c>
      <c r="D199">
        <f>IFERROR(_xlfn.SINGLE(INDEX(#REF!,ROW()-1)),"")</f>
        <v>0</v>
      </c>
      <c r="E199">
        <f>IFERROR(_xlfn.SINGLE(INDEX(#REF!,ROW()-1)),"")</f>
        <v>0</v>
      </c>
      <c r="F199">
        <f>IFERROR(_xlfn.SINGLE(INDEX(#REF!,ROW()-1)),"")</f>
        <v>0</v>
      </c>
      <c r="G199">
        <f>IFERROR(_xlfn.SINGLE(INDEX(#REF!,ROW()-1)),"")</f>
        <v>0</v>
      </c>
      <c r="H199">
        <f>IFERROR(_xlfn.SINGLE(INDEX(#REF!,ROW()-1)),"")</f>
        <v>0</v>
      </c>
      <c r="I199">
        <f>IFERROR(_xlfn.SINGLE(INDEX(#REF!,ROW()-1)),"")</f>
        <v>0</v>
      </c>
      <c r="J199">
        <f>IFERROR(_xlfn.SINGLE(INDEX(#REF!,ROW()-1)),"")</f>
        <v>0</v>
      </c>
      <c r="K199">
        <f>IFERROR(_xlfn.SINGLE(INDEX(#REF!,ROW()-1)),"")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IFERROR(_xlfn.SINGLE(INDEX(#REF!,ROW()-1)),"")</f>
        <v>0</v>
      </c>
      <c r="C200">
        <f>IFERROR(_xlfn.SINGLE(INDEX(#REF!,ROW()-1)),"")</f>
        <v>0</v>
      </c>
      <c r="D200">
        <f>IFERROR(_xlfn.SINGLE(INDEX(#REF!,ROW()-1)),"")</f>
        <v>0</v>
      </c>
      <c r="E200">
        <f>IFERROR(_xlfn.SINGLE(INDEX(#REF!,ROW()-1)),"")</f>
        <v>0</v>
      </c>
      <c r="F200">
        <f>IFERROR(_xlfn.SINGLE(INDEX(#REF!,ROW()-1)),"")</f>
        <v>0</v>
      </c>
      <c r="G200">
        <f>IFERROR(_xlfn.SINGLE(INDEX(#REF!,ROW()-1)),"")</f>
        <v>0</v>
      </c>
      <c r="H200">
        <f>IFERROR(_xlfn.SINGLE(INDEX(#REF!,ROW()-1)),"")</f>
        <v>0</v>
      </c>
      <c r="I200">
        <f>IFERROR(_xlfn.SINGLE(INDEX(#REF!,ROW()-1)),"")</f>
        <v>0</v>
      </c>
      <c r="J200">
        <f>IFERROR(_xlfn.SINGLE(INDEX(#REF!,ROW()-1)),"")</f>
        <v>0</v>
      </c>
      <c r="K200">
        <f>IFERROR(_xlfn.SINGLE(INDEX(#REF!,ROW()-1)),"")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IFERROR(_xlfn.SINGLE(INDEX(#REF!,ROW()-1)),"")</f>
        <v>0</v>
      </c>
      <c r="C201">
        <f>IFERROR(_xlfn.SINGLE(INDEX(#REF!,ROW()-1)),"")</f>
        <v>0</v>
      </c>
      <c r="D201">
        <f>IFERROR(_xlfn.SINGLE(INDEX(#REF!,ROW()-1)),"")</f>
        <v>0</v>
      </c>
      <c r="E201">
        <f>IFERROR(_xlfn.SINGLE(INDEX(#REF!,ROW()-1)),"")</f>
        <v>0</v>
      </c>
      <c r="F201">
        <f>IFERROR(_xlfn.SINGLE(INDEX(#REF!,ROW()-1)),"")</f>
        <v>0</v>
      </c>
      <c r="G201">
        <f>IFERROR(_xlfn.SINGLE(INDEX(#REF!,ROW()-1)),"")</f>
        <v>0</v>
      </c>
      <c r="H201">
        <f>IFERROR(_xlfn.SINGLE(INDEX(#REF!,ROW()-1)),"")</f>
        <v>0</v>
      </c>
      <c r="I201">
        <f>IFERROR(_xlfn.SINGLE(INDEX(#REF!,ROW()-1)),"")</f>
        <v>0</v>
      </c>
      <c r="J201">
        <f>IFERROR(_xlfn.SINGLE(INDEX(#REF!,ROW()-1)),"")</f>
        <v>0</v>
      </c>
      <c r="K201">
        <f>IFERROR(_xlfn.SINGLE(INDEX(#REF!,ROW()-1)),"")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IFERROR(_xlfn.SINGLE(INDEX(#REF!,ROW()-1)),"")</f>
        <v>0</v>
      </c>
      <c r="C202">
        <f>IFERROR(_xlfn.SINGLE(INDEX(#REF!,ROW()-1)),"")</f>
        <v>0</v>
      </c>
      <c r="D202">
        <f>IFERROR(_xlfn.SINGLE(INDEX(#REF!,ROW()-1)),"")</f>
        <v>0</v>
      </c>
      <c r="E202">
        <f>IFERROR(_xlfn.SINGLE(INDEX(#REF!,ROW()-1)),"")</f>
        <v>0</v>
      </c>
      <c r="F202">
        <f>IFERROR(_xlfn.SINGLE(INDEX(#REF!,ROW()-1)),"")</f>
        <v>0</v>
      </c>
      <c r="G202">
        <f>IFERROR(_xlfn.SINGLE(INDEX(#REF!,ROW()-1)),"")</f>
        <v>0</v>
      </c>
      <c r="H202">
        <f>IFERROR(_xlfn.SINGLE(INDEX(#REF!,ROW()-1)),"")</f>
        <v>0</v>
      </c>
      <c r="I202">
        <f>IFERROR(_xlfn.SINGLE(INDEX(#REF!,ROW()-1)),"")</f>
        <v>0</v>
      </c>
      <c r="J202">
        <f>IFERROR(_xlfn.SINGLE(INDEX(#REF!,ROW()-1)),"")</f>
        <v>0</v>
      </c>
      <c r="K202">
        <f>IFERROR(_xlfn.SINGLE(INDEX(#REF!,ROW()-1)),"")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IFERROR(_xlfn.SINGLE(INDEX(#REF!,ROW()-1)),"")</f>
        <v>0</v>
      </c>
      <c r="C203">
        <f>IFERROR(_xlfn.SINGLE(INDEX(#REF!,ROW()-1)),"")</f>
        <v>0</v>
      </c>
      <c r="D203">
        <f>IFERROR(_xlfn.SINGLE(INDEX(#REF!,ROW()-1)),"")</f>
        <v>0</v>
      </c>
      <c r="E203">
        <f>IFERROR(_xlfn.SINGLE(INDEX(#REF!,ROW()-1)),"")</f>
        <v>0</v>
      </c>
      <c r="F203">
        <f>IFERROR(_xlfn.SINGLE(INDEX(#REF!,ROW()-1)),"")</f>
        <v>0</v>
      </c>
      <c r="G203">
        <f>IFERROR(_xlfn.SINGLE(INDEX(#REF!,ROW()-1)),"")</f>
        <v>0</v>
      </c>
      <c r="H203">
        <f>IFERROR(_xlfn.SINGLE(INDEX(#REF!,ROW()-1)),"")</f>
        <v>0</v>
      </c>
      <c r="I203">
        <f>IFERROR(_xlfn.SINGLE(INDEX(#REF!,ROW()-1)),"")</f>
        <v>0</v>
      </c>
      <c r="J203">
        <f>IFERROR(_xlfn.SINGLE(INDEX(#REF!,ROW()-1)),"")</f>
        <v>0</v>
      </c>
      <c r="K203">
        <f>IFERROR(_xlfn.SINGLE(INDEX(#REF!,ROW()-1)),"")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IFERROR(_xlfn.SINGLE(INDEX(#REF!,ROW()-1)),"")</f>
        <v>0</v>
      </c>
      <c r="C204">
        <f>IFERROR(_xlfn.SINGLE(INDEX(#REF!,ROW()-1)),"")</f>
        <v>0</v>
      </c>
      <c r="D204">
        <f>IFERROR(_xlfn.SINGLE(INDEX(#REF!,ROW()-1)),"")</f>
        <v>0</v>
      </c>
      <c r="E204">
        <f>IFERROR(_xlfn.SINGLE(INDEX(#REF!,ROW()-1)),"")</f>
        <v>0</v>
      </c>
      <c r="F204">
        <f>IFERROR(_xlfn.SINGLE(INDEX(#REF!,ROW()-1)),"")</f>
        <v>0</v>
      </c>
      <c r="G204">
        <f>IFERROR(_xlfn.SINGLE(INDEX(#REF!,ROW()-1)),"")</f>
        <v>0</v>
      </c>
      <c r="H204">
        <f>IFERROR(_xlfn.SINGLE(INDEX(#REF!,ROW()-1)),"")</f>
        <v>0</v>
      </c>
      <c r="I204">
        <f>IFERROR(_xlfn.SINGLE(INDEX(#REF!,ROW()-1)),"")</f>
        <v>0</v>
      </c>
      <c r="J204">
        <f>IFERROR(_xlfn.SINGLE(INDEX(#REF!,ROW()-1)),"")</f>
        <v>0</v>
      </c>
      <c r="K204">
        <f>IFERROR(_xlfn.SINGLE(INDEX(#REF!,ROW()-1)),"")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IFERROR(_xlfn.SINGLE(INDEX(#REF!,ROW()-1)),"")</f>
        <v>0</v>
      </c>
      <c r="C205">
        <f>IFERROR(_xlfn.SINGLE(INDEX(#REF!,ROW()-1)),"")</f>
        <v>0</v>
      </c>
      <c r="D205">
        <f>IFERROR(_xlfn.SINGLE(INDEX(#REF!,ROW()-1)),"")</f>
        <v>0</v>
      </c>
      <c r="E205">
        <f>IFERROR(_xlfn.SINGLE(INDEX(#REF!,ROW()-1)),"")</f>
        <v>0</v>
      </c>
      <c r="F205">
        <f>IFERROR(_xlfn.SINGLE(INDEX(#REF!,ROW()-1)),"")</f>
        <v>0</v>
      </c>
      <c r="G205">
        <f>IFERROR(_xlfn.SINGLE(INDEX(#REF!,ROW()-1)),"")</f>
        <v>0</v>
      </c>
      <c r="H205">
        <f>IFERROR(_xlfn.SINGLE(INDEX(#REF!,ROW()-1)),"")</f>
        <v>0</v>
      </c>
      <c r="I205">
        <f>IFERROR(_xlfn.SINGLE(INDEX(#REF!,ROW()-1)),"")</f>
        <v>0</v>
      </c>
      <c r="J205">
        <f>IFERROR(_xlfn.SINGLE(INDEX(#REF!,ROW()-1)),"")</f>
        <v>0</v>
      </c>
      <c r="K205">
        <f>IFERROR(_xlfn.SINGLE(INDEX(#REF!,ROW()-1)),"")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IFERROR(_xlfn.SINGLE(INDEX(#REF!,ROW()-1)),"")</f>
        <v>0</v>
      </c>
      <c r="C206">
        <f>IFERROR(_xlfn.SINGLE(INDEX(#REF!,ROW()-1)),"")</f>
        <v>0</v>
      </c>
      <c r="D206">
        <f>IFERROR(_xlfn.SINGLE(INDEX(#REF!,ROW()-1)),"")</f>
        <v>0</v>
      </c>
      <c r="E206">
        <f>IFERROR(_xlfn.SINGLE(INDEX(#REF!,ROW()-1)),"")</f>
        <v>0</v>
      </c>
      <c r="F206">
        <f>IFERROR(_xlfn.SINGLE(INDEX(#REF!,ROW()-1)),"")</f>
        <v>0</v>
      </c>
      <c r="G206">
        <f>IFERROR(_xlfn.SINGLE(INDEX(#REF!,ROW()-1)),"")</f>
        <v>0</v>
      </c>
      <c r="H206">
        <f>IFERROR(_xlfn.SINGLE(INDEX(#REF!,ROW()-1)),"")</f>
        <v>0</v>
      </c>
      <c r="I206">
        <f>IFERROR(_xlfn.SINGLE(INDEX(#REF!,ROW()-1)),"")</f>
        <v>0</v>
      </c>
      <c r="J206">
        <f>IFERROR(_xlfn.SINGLE(INDEX(#REF!,ROW()-1)),"")</f>
        <v>0</v>
      </c>
      <c r="K206">
        <f>IFERROR(_xlfn.SINGLE(INDEX(#REF!,ROW()-1)),"")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IFERROR(_xlfn.SINGLE(INDEX(#REF!,ROW()-1)),"")</f>
        <v>0</v>
      </c>
      <c r="C207">
        <f>IFERROR(_xlfn.SINGLE(INDEX(#REF!,ROW()-1)),"")</f>
        <v>0</v>
      </c>
      <c r="D207">
        <f>IFERROR(_xlfn.SINGLE(INDEX(#REF!,ROW()-1)),"")</f>
        <v>0</v>
      </c>
      <c r="E207">
        <f>IFERROR(_xlfn.SINGLE(INDEX(#REF!,ROW()-1)),"")</f>
        <v>0</v>
      </c>
      <c r="F207">
        <f>IFERROR(_xlfn.SINGLE(INDEX(#REF!,ROW()-1)),"")</f>
        <v>0</v>
      </c>
      <c r="G207">
        <f>IFERROR(_xlfn.SINGLE(INDEX(#REF!,ROW()-1)),"")</f>
        <v>0</v>
      </c>
      <c r="H207">
        <f>IFERROR(_xlfn.SINGLE(INDEX(#REF!,ROW()-1)),"")</f>
        <v>0</v>
      </c>
      <c r="I207">
        <f>IFERROR(_xlfn.SINGLE(INDEX(#REF!,ROW()-1)),"")</f>
        <v>0</v>
      </c>
      <c r="J207">
        <f>IFERROR(_xlfn.SINGLE(INDEX(#REF!,ROW()-1)),"")</f>
        <v>0</v>
      </c>
      <c r="K207">
        <f>IFERROR(_xlfn.SINGLE(INDEX(#REF!,ROW()-1)),"")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IFERROR(_xlfn.SINGLE(INDEX(#REF!,ROW()-1)),"")</f>
        <v>0</v>
      </c>
      <c r="C208">
        <f>IFERROR(_xlfn.SINGLE(INDEX(#REF!,ROW()-1)),"")</f>
        <v>0</v>
      </c>
      <c r="D208">
        <f>IFERROR(_xlfn.SINGLE(INDEX(#REF!,ROW()-1)),"")</f>
        <v>0</v>
      </c>
      <c r="E208">
        <f>IFERROR(_xlfn.SINGLE(INDEX(#REF!,ROW()-1)),"")</f>
        <v>0</v>
      </c>
      <c r="F208">
        <f>IFERROR(_xlfn.SINGLE(INDEX(#REF!,ROW()-1)),"")</f>
        <v>0</v>
      </c>
      <c r="G208">
        <f>IFERROR(_xlfn.SINGLE(INDEX(#REF!,ROW()-1)),"")</f>
        <v>0</v>
      </c>
      <c r="H208">
        <f>IFERROR(_xlfn.SINGLE(INDEX(#REF!,ROW()-1)),"")</f>
        <v>0</v>
      </c>
      <c r="I208">
        <f>IFERROR(_xlfn.SINGLE(INDEX(#REF!,ROW()-1)),"")</f>
        <v>0</v>
      </c>
      <c r="J208">
        <f>IFERROR(_xlfn.SINGLE(INDEX(#REF!,ROW()-1)),"")</f>
        <v>0</v>
      </c>
      <c r="K208">
        <f>IFERROR(_xlfn.SINGLE(INDEX(#REF!,ROW()-1)),"")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IFERROR(_xlfn.SINGLE(INDEX(#REF!,ROW()-1)),"")</f>
        <v>0</v>
      </c>
      <c r="C209">
        <f>IFERROR(_xlfn.SINGLE(INDEX(#REF!,ROW()-1)),"")</f>
        <v>0</v>
      </c>
      <c r="D209">
        <f>IFERROR(_xlfn.SINGLE(INDEX(#REF!,ROW()-1)),"")</f>
        <v>0</v>
      </c>
      <c r="E209">
        <f>IFERROR(_xlfn.SINGLE(INDEX(#REF!,ROW()-1)),"")</f>
        <v>0</v>
      </c>
      <c r="F209">
        <f>IFERROR(_xlfn.SINGLE(INDEX(#REF!,ROW()-1)),"")</f>
        <v>0</v>
      </c>
      <c r="G209">
        <f>IFERROR(_xlfn.SINGLE(INDEX(#REF!,ROW()-1)),"")</f>
        <v>0</v>
      </c>
      <c r="H209">
        <f>IFERROR(_xlfn.SINGLE(INDEX(#REF!,ROW()-1)),"")</f>
        <v>0</v>
      </c>
      <c r="I209">
        <f>IFERROR(_xlfn.SINGLE(INDEX(#REF!,ROW()-1)),"")</f>
        <v>0</v>
      </c>
      <c r="J209">
        <f>IFERROR(_xlfn.SINGLE(INDEX(#REF!,ROW()-1)),"")</f>
        <v>0</v>
      </c>
      <c r="K209">
        <f>IFERROR(_xlfn.SINGLE(INDEX(#REF!,ROW()-1)),"")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IFERROR(_xlfn.SINGLE(INDEX(#REF!,ROW()-1)),"")</f>
        <v>0</v>
      </c>
      <c r="C210">
        <f>IFERROR(_xlfn.SINGLE(INDEX(#REF!,ROW()-1)),"")</f>
        <v>0</v>
      </c>
      <c r="D210">
        <f>IFERROR(_xlfn.SINGLE(INDEX(#REF!,ROW()-1)),"")</f>
        <v>0</v>
      </c>
      <c r="E210">
        <f>IFERROR(_xlfn.SINGLE(INDEX(#REF!,ROW()-1)),"")</f>
        <v>0</v>
      </c>
      <c r="F210">
        <f>IFERROR(_xlfn.SINGLE(INDEX(#REF!,ROW()-1)),"")</f>
        <v>0</v>
      </c>
      <c r="G210">
        <f>IFERROR(_xlfn.SINGLE(INDEX(#REF!,ROW()-1)),"")</f>
        <v>0</v>
      </c>
      <c r="H210">
        <f>IFERROR(_xlfn.SINGLE(INDEX(#REF!,ROW()-1)),"")</f>
        <v>0</v>
      </c>
      <c r="I210">
        <f>IFERROR(_xlfn.SINGLE(INDEX(#REF!,ROW()-1)),"")</f>
        <v>0</v>
      </c>
      <c r="J210">
        <f>IFERROR(_xlfn.SINGLE(INDEX(#REF!,ROW()-1)),"")</f>
        <v>0</v>
      </c>
      <c r="K210">
        <f>IFERROR(_xlfn.SINGLE(INDEX(#REF!,ROW()-1)),"")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IFERROR(_xlfn.SINGLE(INDEX(#REF!,ROW()-1)),"")</f>
        <v>0</v>
      </c>
      <c r="C211">
        <f>IFERROR(_xlfn.SINGLE(INDEX(#REF!,ROW()-1)),"")</f>
        <v>0</v>
      </c>
      <c r="D211">
        <f>IFERROR(_xlfn.SINGLE(INDEX(#REF!,ROW()-1)),"")</f>
        <v>0</v>
      </c>
      <c r="E211">
        <f>IFERROR(_xlfn.SINGLE(INDEX(#REF!,ROW()-1)),"")</f>
        <v>0</v>
      </c>
      <c r="F211">
        <f>IFERROR(_xlfn.SINGLE(INDEX(#REF!,ROW()-1)),"")</f>
        <v>0</v>
      </c>
      <c r="G211">
        <f>IFERROR(_xlfn.SINGLE(INDEX(#REF!,ROW()-1)),"")</f>
        <v>0</v>
      </c>
      <c r="H211">
        <f>IFERROR(_xlfn.SINGLE(INDEX(#REF!,ROW()-1)),"")</f>
        <v>0</v>
      </c>
      <c r="I211">
        <f>IFERROR(_xlfn.SINGLE(INDEX(#REF!,ROW()-1)),"")</f>
        <v>0</v>
      </c>
      <c r="J211">
        <f>IFERROR(_xlfn.SINGLE(INDEX(#REF!,ROW()-1)),"")</f>
        <v>0</v>
      </c>
      <c r="K211">
        <f>IFERROR(_xlfn.SINGLE(INDEX(#REF!,ROW()-1)),"")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IFERROR(_xlfn.SINGLE(INDEX(#REF!,ROW()-1)),"")</f>
        <v>0</v>
      </c>
      <c r="C212">
        <f>IFERROR(_xlfn.SINGLE(INDEX(#REF!,ROW()-1)),"")</f>
        <v>0</v>
      </c>
      <c r="D212">
        <f>IFERROR(_xlfn.SINGLE(INDEX(#REF!,ROW()-1)),"")</f>
        <v>0</v>
      </c>
      <c r="E212">
        <f>IFERROR(_xlfn.SINGLE(INDEX(#REF!,ROW()-1)),"")</f>
        <v>0</v>
      </c>
      <c r="F212">
        <f>IFERROR(_xlfn.SINGLE(INDEX(#REF!,ROW()-1)),"")</f>
        <v>0</v>
      </c>
      <c r="G212">
        <f>IFERROR(_xlfn.SINGLE(INDEX(#REF!,ROW()-1)),"")</f>
        <v>0</v>
      </c>
      <c r="H212">
        <f>IFERROR(_xlfn.SINGLE(INDEX(#REF!,ROW()-1)),"")</f>
        <v>0</v>
      </c>
      <c r="I212">
        <f>IFERROR(_xlfn.SINGLE(INDEX(#REF!,ROW()-1)),"")</f>
        <v>0</v>
      </c>
      <c r="J212">
        <f>IFERROR(_xlfn.SINGLE(INDEX(#REF!,ROW()-1)),"")</f>
        <v>0</v>
      </c>
      <c r="K212">
        <f>IFERROR(_xlfn.SINGLE(INDEX(#REF!,ROW()-1)),"")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IFERROR(_xlfn.SINGLE(INDEX(#REF!,ROW()-1)),"")</f>
        <v>0</v>
      </c>
      <c r="C213">
        <f>IFERROR(_xlfn.SINGLE(INDEX(#REF!,ROW()-1)),"")</f>
        <v>0</v>
      </c>
      <c r="D213">
        <f>IFERROR(_xlfn.SINGLE(INDEX(#REF!,ROW()-1)),"")</f>
        <v>0</v>
      </c>
      <c r="E213">
        <f>IFERROR(_xlfn.SINGLE(INDEX(#REF!,ROW()-1)),"")</f>
        <v>0</v>
      </c>
      <c r="F213">
        <f>IFERROR(_xlfn.SINGLE(INDEX(#REF!,ROW()-1)),"")</f>
        <v>0</v>
      </c>
      <c r="G213">
        <f>IFERROR(_xlfn.SINGLE(INDEX(#REF!,ROW()-1)),"")</f>
        <v>0</v>
      </c>
      <c r="H213">
        <f>IFERROR(_xlfn.SINGLE(INDEX(#REF!,ROW()-1)),"")</f>
        <v>0</v>
      </c>
      <c r="I213">
        <f>IFERROR(_xlfn.SINGLE(INDEX(#REF!,ROW()-1)),"")</f>
        <v>0</v>
      </c>
      <c r="J213">
        <f>IFERROR(_xlfn.SINGLE(INDEX(#REF!,ROW()-1)),"")</f>
        <v>0</v>
      </c>
      <c r="K213">
        <f>IFERROR(_xlfn.SINGLE(INDEX(#REF!,ROW()-1)),"")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IFERROR(_xlfn.SINGLE(INDEX(#REF!,ROW()-1)),"")</f>
        <v>0</v>
      </c>
      <c r="C214">
        <f>IFERROR(_xlfn.SINGLE(INDEX(#REF!,ROW()-1)),"")</f>
        <v>0</v>
      </c>
      <c r="D214">
        <f>IFERROR(_xlfn.SINGLE(INDEX(#REF!,ROW()-1)),"")</f>
        <v>0</v>
      </c>
      <c r="E214">
        <f>IFERROR(_xlfn.SINGLE(INDEX(#REF!,ROW()-1)),"")</f>
        <v>0</v>
      </c>
      <c r="F214">
        <f>IFERROR(_xlfn.SINGLE(INDEX(#REF!,ROW()-1)),"")</f>
        <v>0</v>
      </c>
      <c r="G214">
        <f>IFERROR(_xlfn.SINGLE(INDEX(#REF!,ROW()-1)),"")</f>
        <v>0</v>
      </c>
      <c r="H214">
        <f>IFERROR(_xlfn.SINGLE(INDEX(#REF!,ROW()-1)),"")</f>
        <v>0</v>
      </c>
      <c r="I214">
        <f>IFERROR(_xlfn.SINGLE(INDEX(#REF!,ROW()-1)),"")</f>
        <v>0</v>
      </c>
      <c r="J214">
        <f>IFERROR(_xlfn.SINGLE(INDEX(#REF!,ROW()-1)),"")</f>
        <v>0</v>
      </c>
      <c r="K214">
        <f>IFERROR(_xlfn.SINGLE(INDEX(#REF!,ROW()-1)),"")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IFERROR(_xlfn.SINGLE(INDEX(#REF!,ROW()-1)),"")</f>
        <v>0</v>
      </c>
      <c r="C215">
        <f>IFERROR(_xlfn.SINGLE(INDEX(#REF!,ROW()-1)),"")</f>
        <v>0</v>
      </c>
      <c r="D215">
        <f>IFERROR(_xlfn.SINGLE(INDEX(#REF!,ROW()-1)),"")</f>
        <v>0</v>
      </c>
      <c r="E215">
        <f>IFERROR(_xlfn.SINGLE(INDEX(#REF!,ROW()-1)),"")</f>
        <v>0</v>
      </c>
      <c r="F215">
        <f>IFERROR(_xlfn.SINGLE(INDEX(#REF!,ROW()-1)),"")</f>
        <v>0</v>
      </c>
      <c r="G215">
        <f>IFERROR(_xlfn.SINGLE(INDEX(#REF!,ROW()-1)),"")</f>
        <v>0</v>
      </c>
      <c r="H215">
        <f>IFERROR(_xlfn.SINGLE(INDEX(#REF!,ROW()-1)),"")</f>
        <v>0</v>
      </c>
      <c r="I215">
        <f>IFERROR(_xlfn.SINGLE(INDEX(#REF!,ROW()-1)),"")</f>
        <v>0</v>
      </c>
      <c r="J215">
        <f>IFERROR(_xlfn.SINGLE(INDEX(#REF!,ROW()-1)),"")</f>
        <v>0</v>
      </c>
      <c r="K215">
        <f>IFERROR(_xlfn.SINGLE(INDEX(#REF!,ROW()-1)),"")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IFERROR(_xlfn.SINGLE(INDEX(#REF!,ROW()-1)),"")</f>
        <v>0</v>
      </c>
      <c r="C216">
        <f>IFERROR(_xlfn.SINGLE(INDEX(#REF!,ROW()-1)),"")</f>
        <v>0</v>
      </c>
      <c r="D216">
        <f>IFERROR(_xlfn.SINGLE(INDEX(#REF!,ROW()-1)),"")</f>
        <v>0</v>
      </c>
      <c r="E216">
        <f>IFERROR(_xlfn.SINGLE(INDEX(#REF!,ROW()-1)),"")</f>
        <v>0</v>
      </c>
      <c r="F216">
        <f>IFERROR(_xlfn.SINGLE(INDEX(#REF!,ROW()-1)),"")</f>
        <v>0</v>
      </c>
      <c r="G216">
        <f>IFERROR(_xlfn.SINGLE(INDEX(#REF!,ROW()-1)),"")</f>
        <v>0</v>
      </c>
      <c r="H216">
        <f>IFERROR(_xlfn.SINGLE(INDEX(#REF!,ROW()-1)),"")</f>
        <v>0</v>
      </c>
      <c r="I216">
        <f>IFERROR(_xlfn.SINGLE(INDEX(#REF!,ROW()-1)),"")</f>
        <v>0</v>
      </c>
      <c r="J216">
        <f>IFERROR(_xlfn.SINGLE(INDEX(#REF!,ROW()-1)),"")</f>
        <v>0</v>
      </c>
      <c r="K216">
        <f>IFERROR(_xlfn.SINGLE(INDEX(#REF!,ROW()-1)),"")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IFERROR(_xlfn.SINGLE(INDEX(#REF!,ROW()-1)),"")</f>
        <v>0</v>
      </c>
      <c r="C217">
        <f>IFERROR(_xlfn.SINGLE(INDEX(#REF!,ROW()-1)),"")</f>
        <v>0</v>
      </c>
      <c r="D217">
        <f>IFERROR(_xlfn.SINGLE(INDEX(#REF!,ROW()-1)),"")</f>
        <v>0</v>
      </c>
      <c r="E217">
        <f>IFERROR(_xlfn.SINGLE(INDEX(#REF!,ROW()-1)),"")</f>
        <v>0</v>
      </c>
      <c r="F217">
        <f>IFERROR(_xlfn.SINGLE(INDEX(#REF!,ROW()-1)),"")</f>
        <v>0</v>
      </c>
      <c r="G217">
        <f>IFERROR(_xlfn.SINGLE(INDEX(#REF!,ROW()-1)),"")</f>
        <v>0</v>
      </c>
      <c r="H217">
        <f>IFERROR(_xlfn.SINGLE(INDEX(#REF!,ROW()-1)),"")</f>
        <v>0</v>
      </c>
      <c r="I217">
        <f>IFERROR(_xlfn.SINGLE(INDEX(#REF!,ROW()-1)),"")</f>
        <v>0</v>
      </c>
      <c r="J217">
        <f>IFERROR(_xlfn.SINGLE(INDEX(#REF!,ROW()-1)),"")</f>
        <v>0</v>
      </c>
      <c r="K217">
        <f>IFERROR(_xlfn.SINGLE(INDEX(#REF!,ROW()-1)),"")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IFERROR(_xlfn.SINGLE(INDEX(#REF!,ROW()-1)),"")</f>
        <v>0</v>
      </c>
      <c r="C218">
        <f>IFERROR(_xlfn.SINGLE(INDEX(#REF!,ROW()-1)),"")</f>
        <v>0</v>
      </c>
      <c r="D218">
        <f>IFERROR(_xlfn.SINGLE(INDEX(#REF!,ROW()-1)),"")</f>
        <v>0</v>
      </c>
      <c r="E218">
        <f>IFERROR(_xlfn.SINGLE(INDEX(#REF!,ROW()-1)),"")</f>
        <v>0</v>
      </c>
      <c r="F218">
        <f>IFERROR(_xlfn.SINGLE(INDEX(#REF!,ROW()-1)),"")</f>
        <v>0</v>
      </c>
      <c r="G218">
        <f>IFERROR(_xlfn.SINGLE(INDEX(#REF!,ROW()-1)),"")</f>
        <v>0</v>
      </c>
      <c r="H218">
        <f>IFERROR(_xlfn.SINGLE(INDEX(#REF!,ROW()-1)),"")</f>
        <v>0</v>
      </c>
      <c r="I218">
        <f>IFERROR(_xlfn.SINGLE(INDEX(#REF!,ROW()-1)),"")</f>
        <v>0</v>
      </c>
      <c r="J218">
        <f>IFERROR(_xlfn.SINGLE(INDEX(#REF!,ROW()-1)),"")</f>
        <v>0</v>
      </c>
      <c r="K218">
        <f>IFERROR(_xlfn.SINGLE(INDEX(#REF!,ROW()-1)),"")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IFERROR(_xlfn.SINGLE(INDEX(#REF!,ROW()-1)),"")</f>
        <v>0</v>
      </c>
      <c r="C219">
        <f>IFERROR(_xlfn.SINGLE(INDEX(#REF!,ROW()-1)),"")</f>
        <v>0</v>
      </c>
      <c r="D219">
        <f>IFERROR(_xlfn.SINGLE(INDEX(#REF!,ROW()-1)),"")</f>
        <v>0</v>
      </c>
      <c r="E219">
        <f>IFERROR(_xlfn.SINGLE(INDEX(#REF!,ROW()-1)),"")</f>
        <v>0</v>
      </c>
      <c r="F219">
        <f>IFERROR(_xlfn.SINGLE(INDEX(#REF!,ROW()-1)),"")</f>
        <v>0</v>
      </c>
      <c r="G219">
        <f>IFERROR(_xlfn.SINGLE(INDEX(#REF!,ROW()-1)),"")</f>
        <v>0</v>
      </c>
      <c r="H219">
        <f>IFERROR(_xlfn.SINGLE(INDEX(#REF!,ROW()-1)),"")</f>
        <v>0</v>
      </c>
      <c r="I219">
        <f>IFERROR(_xlfn.SINGLE(INDEX(#REF!,ROW()-1)),"")</f>
        <v>0</v>
      </c>
      <c r="J219">
        <f>IFERROR(_xlfn.SINGLE(INDEX(#REF!,ROW()-1)),"")</f>
        <v>0</v>
      </c>
      <c r="K219">
        <f>IFERROR(_xlfn.SINGLE(INDEX(#REF!,ROW()-1)),"")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IFERROR(_xlfn.SINGLE(INDEX(#REF!,ROW()-1)),"")</f>
        <v>0</v>
      </c>
      <c r="C220">
        <f>IFERROR(_xlfn.SINGLE(INDEX(#REF!,ROW()-1)),"")</f>
        <v>0</v>
      </c>
      <c r="D220">
        <f>IFERROR(_xlfn.SINGLE(INDEX(#REF!,ROW()-1)),"")</f>
        <v>0</v>
      </c>
      <c r="E220">
        <f>IFERROR(_xlfn.SINGLE(INDEX(#REF!,ROW()-1)),"")</f>
        <v>0</v>
      </c>
      <c r="F220">
        <f>IFERROR(_xlfn.SINGLE(INDEX(#REF!,ROW()-1)),"")</f>
        <v>0</v>
      </c>
      <c r="G220">
        <f>IFERROR(_xlfn.SINGLE(INDEX(#REF!,ROW()-1)),"")</f>
        <v>0</v>
      </c>
      <c r="H220">
        <f>IFERROR(_xlfn.SINGLE(INDEX(#REF!,ROW()-1)),"")</f>
        <v>0</v>
      </c>
      <c r="I220">
        <f>IFERROR(_xlfn.SINGLE(INDEX(#REF!,ROW()-1)),"")</f>
        <v>0</v>
      </c>
      <c r="J220">
        <f>IFERROR(_xlfn.SINGLE(INDEX(#REF!,ROW()-1)),"")</f>
        <v>0</v>
      </c>
      <c r="K220">
        <f>IFERROR(_xlfn.SINGLE(INDEX(#REF!,ROW()-1)),"")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IFERROR(_xlfn.SINGLE(INDEX(#REF!,ROW()-1)),"")</f>
        <v>0</v>
      </c>
      <c r="C221">
        <f>IFERROR(_xlfn.SINGLE(INDEX(#REF!,ROW()-1)),"")</f>
        <v>0</v>
      </c>
      <c r="D221">
        <f>IFERROR(_xlfn.SINGLE(INDEX(#REF!,ROW()-1)),"")</f>
        <v>0</v>
      </c>
      <c r="E221">
        <f>IFERROR(_xlfn.SINGLE(INDEX(#REF!,ROW()-1)),"")</f>
        <v>0</v>
      </c>
      <c r="F221">
        <f>IFERROR(_xlfn.SINGLE(INDEX(#REF!,ROW()-1)),"")</f>
        <v>0</v>
      </c>
      <c r="G221">
        <f>IFERROR(_xlfn.SINGLE(INDEX(#REF!,ROW()-1)),"")</f>
        <v>0</v>
      </c>
      <c r="H221">
        <f>IFERROR(_xlfn.SINGLE(INDEX(#REF!,ROW()-1)),"")</f>
        <v>0</v>
      </c>
      <c r="I221">
        <f>IFERROR(_xlfn.SINGLE(INDEX(#REF!,ROW()-1)),"")</f>
        <v>0</v>
      </c>
      <c r="J221">
        <f>IFERROR(_xlfn.SINGLE(INDEX(#REF!,ROW()-1)),"")</f>
        <v>0</v>
      </c>
      <c r="K221">
        <f>IFERROR(_xlfn.SINGLE(INDEX(#REF!,ROW()-1)),"")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IFERROR(_xlfn.SINGLE(INDEX(#REF!,ROW()-1)),"")</f>
        <v>0</v>
      </c>
      <c r="C222">
        <f>IFERROR(_xlfn.SINGLE(INDEX(#REF!,ROW()-1)),"")</f>
        <v>0</v>
      </c>
      <c r="D222">
        <f>IFERROR(_xlfn.SINGLE(INDEX(#REF!,ROW()-1)),"")</f>
        <v>0</v>
      </c>
      <c r="E222">
        <f>IFERROR(_xlfn.SINGLE(INDEX(#REF!,ROW()-1)),"")</f>
        <v>0</v>
      </c>
      <c r="F222">
        <f>IFERROR(_xlfn.SINGLE(INDEX(#REF!,ROW()-1)),"")</f>
        <v>0</v>
      </c>
      <c r="G222">
        <f>IFERROR(_xlfn.SINGLE(INDEX(#REF!,ROW()-1)),"")</f>
        <v>0</v>
      </c>
      <c r="H222">
        <f>IFERROR(_xlfn.SINGLE(INDEX(#REF!,ROW()-1)),"")</f>
        <v>0</v>
      </c>
      <c r="I222">
        <f>IFERROR(_xlfn.SINGLE(INDEX(#REF!,ROW()-1)),"")</f>
        <v>0</v>
      </c>
      <c r="J222">
        <f>IFERROR(_xlfn.SINGLE(INDEX(#REF!,ROW()-1)),"")</f>
        <v>0</v>
      </c>
      <c r="K222">
        <f>IFERROR(_xlfn.SINGLE(INDEX(#REF!,ROW()-1)),"")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IFERROR(_xlfn.SINGLE(INDEX(#REF!,ROW()-1)),"")</f>
        <v>0</v>
      </c>
      <c r="C223">
        <f>IFERROR(_xlfn.SINGLE(INDEX(#REF!,ROW()-1)),"")</f>
        <v>0</v>
      </c>
      <c r="D223">
        <f>IFERROR(_xlfn.SINGLE(INDEX(#REF!,ROW()-1)),"")</f>
        <v>0</v>
      </c>
      <c r="E223">
        <f>IFERROR(_xlfn.SINGLE(INDEX(#REF!,ROW()-1)),"")</f>
        <v>0</v>
      </c>
      <c r="F223">
        <f>IFERROR(_xlfn.SINGLE(INDEX(#REF!,ROW()-1)),"")</f>
        <v>0</v>
      </c>
      <c r="G223">
        <f>IFERROR(_xlfn.SINGLE(INDEX(#REF!,ROW()-1)),"")</f>
        <v>0</v>
      </c>
      <c r="H223">
        <f>IFERROR(_xlfn.SINGLE(INDEX(#REF!,ROW()-1)),"")</f>
        <v>0</v>
      </c>
      <c r="I223">
        <f>IFERROR(_xlfn.SINGLE(INDEX(#REF!,ROW()-1)),"")</f>
        <v>0</v>
      </c>
      <c r="J223">
        <f>IFERROR(_xlfn.SINGLE(INDEX(#REF!,ROW()-1)),"")</f>
        <v>0</v>
      </c>
      <c r="K223">
        <f>IFERROR(_xlfn.SINGLE(INDEX(#REF!,ROW()-1)),"")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IFERROR(_xlfn.SINGLE(INDEX(#REF!,ROW()-1)),"")</f>
        <v>0</v>
      </c>
      <c r="C224">
        <f>IFERROR(_xlfn.SINGLE(INDEX(#REF!,ROW()-1)),"")</f>
        <v>0</v>
      </c>
      <c r="D224">
        <f>IFERROR(_xlfn.SINGLE(INDEX(#REF!,ROW()-1)),"")</f>
        <v>0</v>
      </c>
      <c r="E224">
        <f>IFERROR(_xlfn.SINGLE(INDEX(#REF!,ROW()-1)),"")</f>
        <v>0</v>
      </c>
      <c r="F224">
        <f>IFERROR(_xlfn.SINGLE(INDEX(#REF!,ROW()-1)),"")</f>
        <v>0</v>
      </c>
      <c r="G224">
        <f>IFERROR(_xlfn.SINGLE(INDEX(#REF!,ROW()-1)),"")</f>
        <v>0</v>
      </c>
      <c r="H224">
        <f>IFERROR(_xlfn.SINGLE(INDEX(#REF!,ROW()-1)),"")</f>
        <v>0</v>
      </c>
      <c r="I224">
        <f>IFERROR(_xlfn.SINGLE(INDEX(#REF!,ROW()-1)),"")</f>
        <v>0</v>
      </c>
      <c r="J224">
        <f>IFERROR(_xlfn.SINGLE(INDEX(#REF!,ROW()-1)),"")</f>
        <v>0</v>
      </c>
      <c r="K224">
        <f>IFERROR(_xlfn.SINGLE(INDEX(#REF!,ROW()-1)),"")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IFERROR(_xlfn.SINGLE(INDEX(#REF!,ROW()-1)),"")</f>
        <v>0</v>
      </c>
      <c r="C225">
        <f>IFERROR(_xlfn.SINGLE(INDEX(#REF!,ROW()-1)),"")</f>
        <v>0</v>
      </c>
      <c r="D225">
        <f>IFERROR(_xlfn.SINGLE(INDEX(#REF!,ROW()-1)),"")</f>
        <v>0</v>
      </c>
      <c r="E225">
        <f>IFERROR(_xlfn.SINGLE(INDEX(#REF!,ROW()-1)),"")</f>
        <v>0</v>
      </c>
      <c r="F225">
        <f>IFERROR(_xlfn.SINGLE(INDEX(#REF!,ROW()-1)),"")</f>
        <v>0</v>
      </c>
      <c r="G225">
        <f>IFERROR(_xlfn.SINGLE(INDEX(#REF!,ROW()-1)),"")</f>
        <v>0</v>
      </c>
      <c r="H225">
        <f>IFERROR(_xlfn.SINGLE(INDEX(#REF!,ROW()-1)),"")</f>
        <v>0</v>
      </c>
      <c r="I225">
        <f>IFERROR(_xlfn.SINGLE(INDEX(#REF!,ROW()-1)),"")</f>
        <v>0</v>
      </c>
      <c r="J225">
        <f>IFERROR(_xlfn.SINGLE(INDEX(#REF!,ROW()-1)),"")</f>
        <v>0</v>
      </c>
      <c r="K225">
        <f>IFERROR(_xlfn.SINGLE(INDEX(#REF!,ROW()-1)),"")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IFERROR(_xlfn.SINGLE(INDEX(#REF!,ROW()-1)),"")</f>
        <v>0</v>
      </c>
      <c r="C226">
        <f>IFERROR(_xlfn.SINGLE(INDEX(#REF!,ROW()-1)),"")</f>
        <v>0</v>
      </c>
      <c r="D226">
        <f>IFERROR(_xlfn.SINGLE(INDEX(#REF!,ROW()-1)),"")</f>
        <v>0</v>
      </c>
      <c r="E226">
        <f>IFERROR(_xlfn.SINGLE(INDEX(#REF!,ROW()-1)),"")</f>
        <v>0</v>
      </c>
      <c r="F226">
        <f>IFERROR(_xlfn.SINGLE(INDEX(#REF!,ROW()-1)),"")</f>
        <v>0</v>
      </c>
      <c r="G226">
        <f>IFERROR(_xlfn.SINGLE(INDEX(#REF!,ROW()-1)),"")</f>
        <v>0</v>
      </c>
      <c r="H226">
        <f>IFERROR(_xlfn.SINGLE(INDEX(#REF!,ROW()-1)),"")</f>
        <v>0</v>
      </c>
      <c r="I226">
        <f>IFERROR(_xlfn.SINGLE(INDEX(#REF!,ROW()-1)),"")</f>
        <v>0</v>
      </c>
      <c r="J226">
        <f>IFERROR(_xlfn.SINGLE(INDEX(#REF!,ROW()-1)),"")</f>
        <v>0</v>
      </c>
      <c r="K226">
        <f>IFERROR(_xlfn.SINGLE(INDEX(#REF!,ROW()-1)),"")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IFERROR(_xlfn.SINGLE(INDEX(#REF!,ROW()-1)),"")</f>
        <v>0</v>
      </c>
      <c r="C227">
        <f>IFERROR(_xlfn.SINGLE(INDEX(#REF!,ROW()-1)),"")</f>
        <v>0</v>
      </c>
      <c r="D227">
        <f>IFERROR(_xlfn.SINGLE(INDEX(#REF!,ROW()-1)),"")</f>
        <v>0</v>
      </c>
      <c r="E227">
        <f>IFERROR(_xlfn.SINGLE(INDEX(#REF!,ROW()-1)),"")</f>
        <v>0</v>
      </c>
      <c r="F227">
        <f>IFERROR(_xlfn.SINGLE(INDEX(#REF!,ROW()-1)),"")</f>
        <v>0</v>
      </c>
      <c r="G227">
        <f>IFERROR(_xlfn.SINGLE(INDEX(#REF!,ROW()-1)),"")</f>
        <v>0</v>
      </c>
      <c r="H227">
        <f>IFERROR(_xlfn.SINGLE(INDEX(#REF!,ROW()-1)),"")</f>
        <v>0</v>
      </c>
      <c r="I227">
        <f>IFERROR(_xlfn.SINGLE(INDEX(#REF!,ROW()-1)),"")</f>
        <v>0</v>
      </c>
      <c r="J227">
        <f>IFERROR(_xlfn.SINGLE(INDEX(#REF!,ROW()-1)),"")</f>
        <v>0</v>
      </c>
      <c r="K227">
        <f>IFERROR(_xlfn.SINGLE(INDEX(#REF!,ROW()-1)),"")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IFERROR(_xlfn.SINGLE(INDEX(#REF!,ROW()-1)),"")</f>
        <v>0</v>
      </c>
      <c r="C228">
        <f>IFERROR(_xlfn.SINGLE(INDEX(#REF!,ROW()-1)),"")</f>
        <v>0</v>
      </c>
      <c r="D228">
        <f>IFERROR(_xlfn.SINGLE(INDEX(#REF!,ROW()-1)),"")</f>
        <v>0</v>
      </c>
      <c r="E228">
        <f>IFERROR(_xlfn.SINGLE(INDEX(#REF!,ROW()-1)),"")</f>
        <v>0</v>
      </c>
      <c r="F228">
        <f>IFERROR(_xlfn.SINGLE(INDEX(#REF!,ROW()-1)),"")</f>
        <v>0</v>
      </c>
      <c r="G228">
        <f>IFERROR(_xlfn.SINGLE(INDEX(#REF!,ROW()-1)),"")</f>
        <v>0</v>
      </c>
      <c r="H228">
        <f>IFERROR(_xlfn.SINGLE(INDEX(#REF!,ROW()-1)),"")</f>
        <v>0</v>
      </c>
      <c r="I228">
        <f>IFERROR(_xlfn.SINGLE(INDEX(#REF!,ROW()-1)),"")</f>
        <v>0</v>
      </c>
      <c r="J228">
        <f>IFERROR(_xlfn.SINGLE(INDEX(#REF!,ROW()-1)),"")</f>
        <v>0</v>
      </c>
      <c r="K228">
        <f>IFERROR(_xlfn.SINGLE(INDEX(#REF!,ROW()-1)),"")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IFERROR(_xlfn.SINGLE(INDEX(#REF!,ROW()-1)),"")</f>
        <v>0</v>
      </c>
      <c r="C229">
        <f>IFERROR(_xlfn.SINGLE(INDEX(#REF!,ROW()-1)),"")</f>
        <v>0</v>
      </c>
      <c r="D229">
        <f>IFERROR(_xlfn.SINGLE(INDEX(#REF!,ROW()-1)),"")</f>
        <v>0</v>
      </c>
      <c r="E229">
        <f>IFERROR(_xlfn.SINGLE(INDEX(#REF!,ROW()-1)),"")</f>
        <v>0</v>
      </c>
      <c r="F229">
        <f>IFERROR(_xlfn.SINGLE(INDEX(#REF!,ROW()-1)),"")</f>
        <v>0</v>
      </c>
      <c r="G229">
        <f>IFERROR(_xlfn.SINGLE(INDEX(#REF!,ROW()-1)),"")</f>
        <v>0</v>
      </c>
      <c r="H229">
        <f>IFERROR(_xlfn.SINGLE(INDEX(#REF!,ROW()-1)),"")</f>
        <v>0</v>
      </c>
      <c r="I229">
        <f>IFERROR(_xlfn.SINGLE(INDEX(#REF!,ROW()-1)),"")</f>
        <v>0</v>
      </c>
      <c r="J229">
        <f>IFERROR(_xlfn.SINGLE(INDEX(#REF!,ROW()-1)),"")</f>
        <v>0</v>
      </c>
      <c r="K229">
        <f>IFERROR(_xlfn.SINGLE(INDEX(#REF!,ROW()-1)),"")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IFERROR(_xlfn.SINGLE(INDEX(#REF!,ROW()-1)),"")</f>
        <v>0</v>
      </c>
      <c r="C230">
        <f>IFERROR(_xlfn.SINGLE(INDEX(#REF!,ROW()-1)),"")</f>
        <v>0</v>
      </c>
      <c r="D230">
        <f>IFERROR(_xlfn.SINGLE(INDEX(#REF!,ROW()-1)),"")</f>
        <v>0</v>
      </c>
      <c r="E230">
        <f>IFERROR(_xlfn.SINGLE(INDEX(#REF!,ROW()-1)),"")</f>
        <v>0</v>
      </c>
      <c r="F230">
        <f>IFERROR(_xlfn.SINGLE(INDEX(#REF!,ROW()-1)),"")</f>
        <v>0</v>
      </c>
      <c r="G230">
        <f>IFERROR(_xlfn.SINGLE(INDEX(#REF!,ROW()-1)),"")</f>
        <v>0</v>
      </c>
      <c r="H230">
        <f>IFERROR(_xlfn.SINGLE(INDEX(#REF!,ROW()-1)),"")</f>
        <v>0</v>
      </c>
      <c r="I230">
        <f>IFERROR(_xlfn.SINGLE(INDEX(#REF!,ROW()-1)),"")</f>
        <v>0</v>
      </c>
      <c r="J230">
        <f>IFERROR(_xlfn.SINGLE(INDEX(#REF!,ROW()-1)),"")</f>
        <v>0</v>
      </c>
      <c r="K230">
        <f>IFERROR(_xlfn.SINGLE(INDEX(#REF!,ROW()-1)),"")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IFERROR(_xlfn.SINGLE(INDEX(#REF!,ROW()-1)),"")</f>
        <v>0</v>
      </c>
      <c r="C231">
        <f>IFERROR(_xlfn.SINGLE(INDEX(#REF!,ROW()-1)),"")</f>
        <v>0</v>
      </c>
      <c r="D231">
        <f>IFERROR(_xlfn.SINGLE(INDEX(#REF!,ROW()-1)),"")</f>
        <v>0</v>
      </c>
      <c r="E231">
        <f>IFERROR(_xlfn.SINGLE(INDEX(#REF!,ROW()-1)),"")</f>
        <v>0</v>
      </c>
      <c r="F231">
        <f>IFERROR(_xlfn.SINGLE(INDEX(#REF!,ROW()-1)),"")</f>
        <v>0</v>
      </c>
      <c r="G231">
        <f>IFERROR(_xlfn.SINGLE(INDEX(#REF!,ROW()-1)),"")</f>
        <v>0</v>
      </c>
      <c r="H231">
        <f>IFERROR(_xlfn.SINGLE(INDEX(#REF!,ROW()-1)),"")</f>
        <v>0</v>
      </c>
      <c r="I231">
        <f>IFERROR(_xlfn.SINGLE(INDEX(#REF!,ROW()-1)),"")</f>
        <v>0</v>
      </c>
      <c r="J231">
        <f>IFERROR(_xlfn.SINGLE(INDEX(#REF!,ROW()-1)),"")</f>
        <v>0</v>
      </c>
      <c r="K231">
        <f>IFERROR(_xlfn.SINGLE(INDEX(#REF!,ROW()-1)),"")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IFERROR(_xlfn.SINGLE(INDEX(#REF!,ROW()-1)),"")</f>
        <v>0</v>
      </c>
      <c r="C232">
        <f>IFERROR(_xlfn.SINGLE(INDEX(#REF!,ROW()-1)),"")</f>
        <v>0</v>
      </c>
      <c r="D232">
        <f>IFERROR(_xlfn.SINGLE(INDEX(#REF!,ROW()-1)),"")</f>
        <v>0</v>
      </c>
      <c r="E232">
        <f>IFERROR(_xlfn.SINGLE(INDEX(#REF!,ROW()-1)),"")</f>
        <v>0</v>
      </c>
      <c r="F232">
        <f>IFERROR(_xlfn.SINGLE(INDEX(#REF!,ROW()-1)),"")</f>
        <v>0</v>
      </c>
      <c r="G232">
        <f>IFERROR(_xlfn.SINGLE(INDEX(#REF!,ROW()-1)),"")</f>
        <v>0</v>
      </c>
      <c r="H232">
        <f>IFERROR(_xlfn.SINGLE(INDEX(#REF!,ROW()-1)),"")</f>
        <v>0</v>
      </c>
      <c r="I232">
        <f>IFERROR(_xlfn.SINGLE(INDEX(#REF!,ROW()-1)),"")</f>
        <v>0</v>
      </c>
      <c r="J232">
        <f>IFERROR(_xlfn.SINGLE(INDEX(#REF!,ROW()-1)),"")</f>
        <v>0</v>
      </c>
      <c r="K232">
        <f>IFERROR(_xlfn.SINGLE(INDEX(#REF!,ROW()-1)),"")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IFERROR(_xlfn.SINGLE(INDEX(#REF!,ROW()-1)),"")</f>
        <v>0</v>
      </c>
      <c r="C233">
        <f>IFERROR(_xlfn.SINGLE(INDEX(#REF!,ROW()-1)),"")</f>
        <v>0</v>
      </c>
      <c r="D233">
        <f>IFERROR(_xlfn.SINGLE(INDEX(#REF!,ROW()-1)),"")</f>
        <v>0</v>
      </c>
      <c r="E233">
        <f>IFERROR(_xlfn.SINGLE(INDEX(#REF!,ROW()-1)),"")</f>
        <v>0</v>
      </c>
      <c r="F233">
        <f>IFERROR(_xlfn.SINGLE(INDEX(#REF!,ROW()-1)),"")</f>
        <v>0</v>
      </c>
      <c r="G233">
        <f>IFERROR(_xlfn.SINGLE(INDEX(#REF!,ROW()-1)),"")</f>
        <v>0</v>
      </c>
      <c r="H233">
        <f>IFERROR(_xlfn.SINGLE(INDEX(#REF!,ROW()-1)),"")</f>
        <v>0</v>
      </c>
      <c r="I233">
        <f>IFERROR(_xlfn.SINGLE(INDEX(#REF!,ROW()-1)),"")</f>
        <v>0</v>
      </c>
      <c r="J233">
        <f>IFERROR(_xlfn.SINGLE(INDEX(#REF!,ROW()-1)),"")</f>
        <v>0</v>
      </c>
      <c r="K233">
        <f>IFERROR(_xlfn.SINGLE(INDEX(#REF!,ROW()-1)),"")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IFERROR(_xlfn.SINGLE(INDEX(#REF!,ROW()-1)),"")</f>
        <v>0</v>
      </c>
      <c r="C234">
        <f>IFERROR(_xlfn.SINGLE(INDEX(#REF!,ROW()-1)),"")</f>
        <v>0</v>
      </c>
      <c r="D234">
        <f>IFERROR(_xlfn.SINGLE(INDEX(#REF!,ROW()-1)),"")</f>
        <v>0</v>
      </c>
      <c r="E234">
        <f>IFERROR(_xlfn.SINGLE(INDEX(#REF!,ROW()-1)),"")</f>
        <v>0</v>
      </c>
      <c r="F234">
        <f>IFERROR(_xlfn.SINGLE(INDEX(#REF!,ROW()-1)),"")</f>
        <v>0</v>
      </c>
      <c r="G234">
        <f>IFERROR(_xlfn.SINGLE(INDEX(#REF!,ROW()-1)),"")</f>
        <v>0</v>
      </c>
      <c r="H234">
        <f>IFERROR(_xlfn.SINGLE(INDEX(#REF!,ROW()-1)),"")</f>
        <v>0</v>
      </c>
      <c r="I234">
        <f>IFERROR(_xlfn.SINGLE(INDEX(#REF!,ROW()-1)),"")</f>
        <v>0</v>
      </c>
      <c r="J234">
        <f>IFERROR(_xlfn.SINGLE(INDEX(#REF!,ROW()-1)),"")</f>
        <v>0</v>
      </c>
      <c r="K234">
        <f>IFERROR(_xlfn.SINGLE(INDEX(#REF!,ROW()-1)),"")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IFERROR(_xlfn.SINGLE(INDEX(#REF!,ROW()-1)),"")</f>
        <v>0</v>
      </c>
      <c r="C235">
        <f>IFERROR(_xlfn.SINGLE(INDEX(#REF!,ROW()-1)),"")</f>
        <v>0</v>
      </c>
      <c r="D235">
        <f>IFERROR(_xlfn.SINGLE(INDEX(#REF!,ROW()-1)),"")</f>
        <v>0</v>
      </c>
      <c r="E235">
        <f>IFERROR(_xlfn.SINGLE(INDEX(#REF!,ROW()-1)),"")</f>
        <v>0</v>
      </c>
      <c r="F235">
        <f>IFERROR(_xlfn.SINGLE(INDEX(#REF!,ROW()-1)),"")</f>
        <v>0</v>
      </c>
      <c r="G235">
        <f>IFERROR(_xlfn.SINGLE(INDEX(#REF!,ROW()-1)),"")</f>
        <v>0</v>
      </c>
      <c r="H235">
        <f>IFERROR(_xlfn.SINGLE(INDEX(#REF!,ROW()-1)),"")</f>
        <v>0</v>
      </c>
      <c r="I235">
        <f>IFERROR(_xlfn.SINGLE(INDEX(#REF!,ROW()-1)),"")</f>
        <v>0</v>
      </c>
      <c r="J235">
        <f>IFERROR(_xlfn.SINGLE(INDEX(#REF!,ROW()-1)),"")</f>
        <v>0</v>
      </c>
      <c r="K235">
        <f>IFERROR(_xlfn.SINGLE(INDEX(#REF!,ROW()-1)),"")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IFERROR(_xlfn.SINGLE(INDEX(#REF!,ROW()-1)),"")</f>
        <v>0</v>
      </c>
      <c r="C236">
        <f>IFERROR(_xlfn.SINGLE(INDEX(#REF!,ROW()-1)),"")</f>
        <v>0</v>
      </c>
      <c r="D236">
        <f>IFERROR(_xlfn.SINGLE(INDEX(#REF!,ROW()-1)),"")</f>
        <v>0</v>
      </c>
      <c r="E236">
        <f>IFERROR(_xlfn.SINGLE(INDEX(#REF!,ROW()-1)),"")</f>
        <v>0</v>
      </c>
      <c r="F236">
        <f>IFERROR(_xlfn.SINGLE(INDEX(#REF!,ROW()-1)),"")</f>
        <v>0</v>
      </c>
      <c r="G236">
        <f>IFERROR(_xlfn.SINGLE(INDEX(#REF!,ROW()-1)),"")</f>
        <v>0</v>
      </c>
      <c r="H236">
        <f>IFERROR(_xlfn.SINGLE(INDEX(#REF!,ROW()-1)),"")</f>
        <v>0</v>
      </c>
      <c r="I236">
        <f>IFERROR(_xlfn.SINGLE(INDEX(#REF!,ROW()-1)),"")</f>
        <v>0</v>
      </c>
      <c r="J236">
        <f>IFERROR(_xlfn.SINGLE(INDEX(#REF!,ROW()-1)),"")</f>
        <v>0</v>
      </c>
      <c r="K236">
        <f>IFERROR(_xlfn.SINGLE(INDEX(#REF!,ROW()-1)),"")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IFERROR(_xlfn.SINGLE(INDEX(#REF!,ROW()-1)),"")</f>
        <v>0</v>
      </c>
      <c r="C237">
        <f>IFERROR(_xlfn.SINGLE(INDEX(#REF!,ROW()-1)),"")</f>
        <v>0</v>
      </c>
      <c r="D237">
        <f>IFERROR(_xlfn.SINGLE(INDEX(#REF!,ROW()-1)),"")</f>
        <v>0</v>
      </c>
      <c r="E237">
        <f>IFERROR(_xlfn.SINGLE(INDEX(#REF!,ROW()-1)),"")</f>
        <v>0</v>
      </c>
      <c r="F237">
        <f>IFERROR(_xlfn.SINGLE(INDEX(#REF!,ROW()-1)),"")</f>
        <v>0</v>
      </c>
      <c r="G237">
        <f>IFERROR(_xlfn.SINGLE(INDEX(#REF!,ROW()-1)),"")</f>
        <v>0</v>
      </c>
      <c r="H237">
        <f>IFERROR(_xlfn.SINGLE(INDEX(#REF!,ROW()-1)),"")</f>
        <v>0</v>
      </c>
      <c r="I237">
        <f>IFERROR(_xlfn.SINGLE(INDEX(#REF!,ROW()-1)),"")</f>
        <v>0</v>
      </c>
      <c r="J237">
        <f>IFERROR(_xlfn.SINGLE(INDEX(#REF!,ROW()-1)),"")</f>
        <v>0</v>
      </c>
      <c r="K237">
        <f>IFERROR(_xlfn.SINGLE(INDEX(#REF!,ROW()-1)),"")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IFERROR(_xlfn.SINGLE(INDEX(#REF!,ROW()-1)),"")</f>
        <v>0</v>
      </c>
      <c r="C238">
        <f>IFERROR(_xlfn.SINGLE(INDEX(#REF!,ROW()-1)),"")</f>
        <v>0</v>
      </c>
      <c r="D238">
        <f>IFERROR(_xlfn.SINGLE(INDEX(#REF!,ROW()-1)),"")</f>
        <v>0</v>
      </c>
      <c r="E238">
        <f>IFERROR(_xlfn.SINGLE(INDEX(#REF!,ROW()-1)),"")</f>
        <v>0</v>
      </c>
      <c r="F238">
        <f>IFERROR(_xlfn.SINGLE(INDEX(#REF!,ROW()-1)),"")</f>
        <v>0</v>
      </c>
      <c r="G238">
        <f>IFERROR(_xlfn.SINGLE(INDEX(#REF!,ROW()-1)),"")</f>
        <v>0</v>
      </c>
      <c r="H238">
        <f>IFERROR(_xlfn.SINGLE(INDEX(#REF!,ROW()-1)),"")</f>
        <v>0</v>
      </c>
      <c r="I238">
        <f>IFERROR(_xlfn.SINGLE(INDEX(#REF!,ROW()-1)),"")</f>
        <v>0</v>
      </c>
      <c r="J238">
        <f>IFERROR(_xlfn.SINGLE(INDEX(#REF!,ROW()-1)),"")</f>
        <v>0</v>
      </c>
      <c r="K238">
        <f>IFERROR(_xlfn.SINGLE(INDEX(#REF!,ROW()-1)),"")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IFERROR(_xlfn.SINGLE(INDEX(#REF!,ROW()-1)),"")</f>
        <v>0</v>
      </c>
      <c r="C239">
        <f>IFERROR(_xlfn.SINGLE(INDEX(#REF!,ROW()-1)),"")</f>
        <v>0</v>
      </c>
      <c r="D239">
        <f>IFERROR(_xlfn.SINGLE(INDEX(#REF!,ROW()-1)),"")</f>
        <v>0</v>
      </c>
      <c r="E239">
        <f>IFERROR(_xlfn.SINGLE(INDEX(#REF!,ROW()-1)),"")</f>
        <v>0</v>
      </c>
      <c r="F239">
        <f>IFERROR(_xlfn.SINGLE(INDEX(#REF!,ROW()-1)),"")</f>
        <v>0</v>
      </c>
      <c r="G239">
        <f>IFERROR(_xlfn.SINGLE(INDEX(#REF!,ROW()-1)),"")</f>
        <v>0</v>
      </c>
      <c r="H239">
        <f>IFERROR(_xlfn.SINGLE(INDEX(#REF!,ROW()-1)),"")</f>
        <v>0</v>
      </c>
      <c r="I239">
        <f>IFERROR(_xlfn.SINGLE(INDEX(#REF!,ROW()-1)),"")</f>
        <v>0</v>
      </c>
      <c r="J239">
        <f>IFERROR(_xlfn.SINGLE(INDEX(#REF!,ROW()-1)),"")</f>
        <v>0</v>
      </c>
      <c r="K239">
        <f>IFERROR(_xlfn.SINGLE(INDEX(#REF!,ROW()-1)),"")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IFERROR(_xlfn.SINGLE(INDEX(#REF!,ROW()-1)),"")</f>
        <v>0</v>
      </c>
      <c r="C240">
        <f>IFERROR(_xlfn.SINGLE(INDEX(#REF!,ROW()-1)),"")</f>
        <v>0</v>
      </c>
      <c r="D240">
        <f>IFERROR(_xlfn.SINGLE(INDEX(#REF!,ROW()-1)),"")</f>
        <v>0</v>
      </c>
      <c r="E240">
        <f>IFERROR(_xlfn.SINGLE(INDEX(#REF!,ROW()-1)),"")</f>
        <v>0</v>
      </c>
      <c r="F240">
        <f>IFERROR(_xlfn.SINGLE(INDEX(#REF!,ROW()-1)),"")</f>
        <v>0</v>
      </c>
      <c r="G240">
        <f>IFERROR(_xlfn.SINGLE(INDEX(#REF!,ROW()-1)),"")</f>
        <v>0</v>
      </c>
      <c r="H240">
        <f>IFERROR(_xlfn.SINGLE(INDEX(#REF!,ROW()-1)),"")</f>
        <v>0</v>
      </c>
      <c r="I240">
        <f>IFERROR(_xlfn.SINGLE(INDEX(#REF!,ROW()-1)),"")</f>
        <v>0</v>
      </c>
      <c r="J240">
        <f>IFERROR(_xlfn.SINGLE(INDEX(#REF!,ROW()-1)),"")</f>
        <v>0</v>
      </c>
      <c r="K240">
        <f>IFERROR(_xlfn.SINGLE(INDEX(#REF!,ROW()-1)),"")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IFERROR(_xlfn.SINGLE(INDEX(#REF!,ROW()-1)),"")</f>
        <v>0</v>
      </c>
      <c r="C241">
        <f>IFERROR(_xlfn.SINGLE(INDEX(#REF!,ROW()-1)),"")</f>
        <v>0</v>
      </c>
      <c r="D241">
        <f>IFERROR(_xlfn.SINGLE(INDEX(#REF!,ROW()-1)),"")</f>
        <v>0</v>
      </c>
      <c r="E241">
        <f>IFERROR(_xlfn.SINGLE(INDEX(#REF!,ROW()-1)),"")</f>
        <v>0</v>
      </c>
      <c r="F241">
        <f>IFERROR(_xlfn.SINGLE(INDEX(#REF!,ROW()-1)),"")</f>
        <v>0</v>
      </c>
      <c r="G241">
        <f>IFERROR(_xlfn.SINGLE(INDEX(#REF!,ROW()-1)),"")</f>
        <v>0</v>
      </c>
      <c r="H241">
        <f>IFERROR(_xlfn.SINGLE(INDEX(#REF!,ROW()-1)),"")</f>
        <v>0</v>
      </c>
      <c r="I241">
        <f>IFERROR(_xlfn.SINGLE(INDEX(#REF!,ROW()-1)),"")</f>
        <v>0</v>
      </c>
      <c r="J241">
        <f>IFERROR(_xlfn.SINGLE(INDEX(#REF!,ROW()-1)),"")</f>
        <v>0</v>
      </c>
      <c r="K241">
        <f>IFERROR(_xlfn.SINGLE(INDEX(#REF!,ROW()-1)),"")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IFERROR(_xlfn.SINGLE(INDEX(#REF!,ROW()-1)),"")</f>
        <v>0</v>
      </c>
      <c r="C242">
        <f>IFERROR(_xlfn.SINGLE(INDEX(#REF!,ROW()-1)),"")</f>
        <v>0</v>
      </c>
      <c r="D242">
        <f>IFERROR(_xlfn.SINGLE(INDEX(#REF!,ROW()-1)),"")</f>
        <v>0</v>
      </c>
      <c r="E242">
        <f>IFERROR(_xlfn.SINGLE(INDEX(#REF!,ROW()-1)),"")</f>
        <v>0</v>
      </c>
      <c r="F242">
        <f>IFERROR(_xlfn.SINGLE(INDEX(#REF!,ROW()-1)),"")</f>
        <v>0</v>
      </c>
      <c r="G242">
        <f>IFERROR(_xlfn.SINGLE(INDEX(#REF!,ROW()-1)),"")</f>
        <v>0</v>
      </c>
      <c r="H242">
        <f>IFERROR(_xlfn.SINGLE(INDEX(#REF!,ROW()-1)),"")</f>
        <v>0</v>
      </c>
      <c r="I242">
        <f>IFERROR(_xlfn.SINGLE(INDEX(#REF!,ROW()-1)),"")</f>
        <v>0</v>
      </c>
      <c r="J242">
        <f>IFERROR(_xlfn.SINGLE(INDEX(#REF!,ROW()-1)),"")</f>
        <v>0</v>
      </c>
      <c r="K242">
        <f>IFERROR(_xlfn.SINGLE(INDEX(#REF!,ROW()-1)),"")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IFERROR(_xlfn.SINGLE(INDEX(#REF!,ROW()-1)),"")</f>
        <v>0</v>
      </c>
      <c r="C243">
        <f>IFERROR(_xlfn.SINGLE(INDEX(#REF!,ROW()-1)),"")</f>
        <v>0</v>
      </c>
      <c r="D243">
        <f>IFERROR(_xlfn.SINGLE(INDEX(#REF!,ROW()-1)),"")</f>
        <v>0</v>
      </c>
      <c r="E243">
        <f>IFERROR(_xlfn.SINGLE(INDEX(#REF!,ROW()-1)),"")</f>
        <v>0</v>
      </c>
      <c r="F243">
        <f>IFERROR(_xlfn.SINGLE(INDEX(#REF!,ROW()-1)),"")</f>
        <v>0</v>
      </c>
      <c r="G243">
        <f>IFERROR(_xlfn.SINGLE(INDEX(#REF!,ROW()-1)),"")</f>
        <v>0</v>
      </c>
      <c r="H243">
        <f>IFERROR(_xlfn.SINGLE(INDEX(#REF!,ROW()-1)),"")</f>
        <v>0</v>
      </c>
      <c r="I243">
        <f>IFERROR(_xlfn.SINGLE(INDEX(#REF!,ROW()-1)),"")</f>
        <v>0</v>
      </c>
      <c r="J243">
        <f>IFERROR(_xlfn.SINGLE(INDEX(#REF!,ROW()-1)),"")</f>
        <v>0</v>
      </c>
      <c r="K243">
        <f>IFERROR(_xlfn.SINGLE(INDEX(#REF!,ROW()-1)),"")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IFERROR(_xlfn.SINGLE(INDEX(#REF!,ROW()-1)),"")</f>
        <v>0</v>
      </c>
      <c r="C244">
        <f>IFERROR(_xlfn.SINGLE(INDEX(#REF!,ROW()-1)),"")</f>
        <v>0</v>
      </c>
      <c r="D244">
        <f>IFERROR(_xlfn.SINGLE(INDEX(#REF!,ROW()-1)),"")</f>
        <v>0</v>
      </c>
      <c r="E244">
        <f>IFERROR(_xlfn.SINGLE(INDEX(#REF!,ROW()-1)),"")</f>
        <v>0</v>
      </c>
      <c r="F244">
        <f>IFERROR(_xlfn.SINGLE(INDEX(#REF!,ROW()-1)),"")</f>
        <v>0</v>
      </c>
      <c r="G244">
        <f>IFERROR(_xlfn.SINGLE(INDEX(#REF!,ROW()-1)),"")</f>
        <v>0</v>
      </c>
      <c r="H244">
        <f>IFERROR(_xlfn.SINGLE(INDEX(#REF!,ROW()-1)),"")</f>
        <v>0</v>
      </c>
      <c r="I244">
        <f>IFERROR(_xlfn.SINGLE(INDEX(#REF!,ROW()-1)),"")</f>
        <v>0</v>
      </c>
      <c r="J244">
        <f>IFERROR(_xlfn.SINGLE(INDEX(#REF!,ROW()-1)),"")</f>
        <v>0</v>
      </c>
      <c r="K244">
        <f>IFERROR(_xlfn.SINGLE(INDEX(#REF!,ROW()-1)),"")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IFERROR(_xlfn.SINGLE(INDEX(#REF!,ROW()-1)),"")</f>
        <v>0</v>
      </c>
      <c r="C245">
        <f>IFERROR(_xlfn.SINGLE(INDEX(#REF!,ROW()-1)),"")</f>
        <v>0</v>
      </c>
      <c r="D245">
        <f>IFERROR(_xlfn.SINGLE(INDEX(#REF!,ROW()-1)),"")</f>
        <v>0</v>
      </c>
      <c r="E245">
        <f>IFERROR(_xlfn.SINGLE(INDEX(#REF!,ROW()-1)),"")</f>
        <v>0</v>
      </c>
      <c r="F245">
        <f>IFERROR(_xlfn.SINGLE(INDEX(#REF!,ROW()-1)),"")</f>
        <v>0</v>
      </c>
      <c r="G245">
        <f>IFERROR(_xlfn.SINGLE(INDEX(#REF!,ROW()-1)),"")</f>
        <v>0</v>
      </c>
      <c r="H245">
        <f>IFERROR(_xlfn.SINGLE(INDEX(#REF!,ROW()-1)),"")</f>
        <v>0</v>
      </c>
      <c r="I245">
        <f>IFERROR(_xlfn.SINGLE(INDEX(#REF!,ROW()-1)),"")</f>
        <v>0</v>
      </c>
      <c r="J245">
        <f>IFERROR(_xlfn.SINGLE(INDEX(#REF!,ROW()-1)),"")</f>
        <v>0</v>
      </c>
      <c r="K245">
        <f>IFERROR(_xlfn.SINGLE(INDEX(#REF!,ROW()-1)),"")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IFERROR(_xlfn.SINGLE(INDEX(#REF!,ROW()-1)),"")</f>
        <v>0</v>
      </c>
      <c r="C246">
        <f>IFERROR(_xlfn.SINGLE(INDEX(#REF!,ROW()-1)),"")</f>
        <v>0</v>
      </c>
      <c r="D246">
        <f>IFERROR(_xlfn.SINGLE(INDEX(#REF!,ROW()-1)),"")</f>
        <v>0</v>
      </c>
      <c r="E246">
        <f>IFERROR(_xlfn.SINGLE(INDEX(#REF!,ROW()-1)),"")</f>
        <v>0</v>
      </c>
      <c r="F246">
        <f>IFERROR(_xlfn.SINGLE(INDEX(#REF!,ROW()-1)),"")</f>
        <v>0</v>
      </c>
      <c r="G246">
        <f>IFERROR(_xlfn.SINGLE(INDEX(#REF!,ROW()-1)),"")</f>
        <v>0</v>
      </c>
      <c r="H246">
        <f>IFERROR(_xlfn.SINGLE(INDEX(#REF!,ROW()-1)),"")</f>
        <v>0</v>
      </c>
      <c r="I246">
        <f>IFERROR(_xlfn.SINGLE(INDEX(#REF!,ROW()-1)),"")</f>
        <v>0</v>
      </c>
      <c r="J246">
        <f>IFERROR(_xlfn.SINGLE(INDEX(#REF!,ROW()-1)),"")</f>
        <v>0</v>
      </c>
      <c r="K246">
        <f>IFERROR(_xlfn.SINGLE(INDEX(#REF!,ROW()-1)),"")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IFERROR(_xlfn.SINGLE(INDEX(#REF!,ROW()-1)),"")</f>
        <v>0</v>
      </c>
      <c r="C247">
        <f>IFERROR(_xlfn.SINGLE(INDEX(#REF!,ROW()-1)),"")</f>
        <v>0</v>
      </c>
      <c r="D247">
        <f>IFERROR(_xlfn.SINGLE(INDEX(#REF!,ROW()-1)),"")</f>
        <v>0</v>
      </c>
      <c r="E247">
        <f>IFERROR(_xlfn.SINGLE(INDEX(#REF!,ROW()-1)),"")</f>
        <v>0</v>
      </c>
      <c r="F247">
        <f>IFERROR(_xlfn.SINGLE(INDEX(#REF!,ROW()-1)),"")</f>
        <v>0</v>
      </c>
      <c r="G247">
        <f>IFERROR(_xlfn.SINGLE(INDEX(#REF!,ROW()-1)),"")</f>
        <v>0</v>
      </c>
      <c r="H247">
        <f>IFERROR(_xlfn.SINGLE(INDEX(#REF!,ROW()-1)),"")</f>
        <v>0</v>
      </c>
      <c r="I247">
        <f>IFERROR(_xlfn.SINGLE(INDEX(#REF!,ROW()-1)),"")</f>
        <v>0</v>
      </c>
      <c r="J247">
        <f>IFERROR(_xlfn.SINGLE(INDEX(#REF!,ROW()-1)),"")</f>
        <v>0</v>
      </c>
      <c r="K247">
        <f>IFERROR(_xlfn.SINGLE(INDEX(#REF!,ROW()-1)),"")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IFERROR(_xlfn.SINGLE(INDEX(#REF!,ROW()-1)),"")</f>
        <v>0</v>
      </c>
      <c r="C248">
        <f>IFERROR(_xlfn.SINGLE(INDEX(#REF!,ROW()-1)),"")</f>
        <v>0</v>
      </c>
      <c r="D248">
        <f>IFERROR(_xlfn.SINGLE(INDEX(#REF!,ROW()-1)),"")</f>
        <v>0</v>
      </c>
      <c r="E248">
        <f>IFERROR(_xlfn.SINGLE(INDEX(#REF!,ROW()-1)),"")</f>
        <v>0</v>
      </c>
      <c r="F248">
        <f>IFERROR(_xlfn.SINGLE(INDEX(#REF!,ROW()-1)),"")</f>
        <v>0</v>
      </c>
      <c r="G248">
        <f>IFERROR(_xlfn.SINGLE(INDEX(#REF!,ROW()-1)),"")</f>
        <v>0</v>
      </c>
      <c r="H248">
        <f>IFERROR(_xlfn.SINGLE(INDEX(#REF!,ROW()-1)),"")</f>
        <v>0</v>
      </c>
      <c r="I248">
        <f>IFERROR(_xlfn.SINGLE(INDEX(#REF!,ROW()-1)),"")</f>
        <v>0</v>
      </c>
      <c r="J248">
        <f>IFERROR(_xlfn.SINGLE(INDEX(#REF!,ROW()-1)),"")</f>
        <v>0</v>
      </c>
      <c r="K248">
        <f>IFERROR(_xlfn.SINGLE(INDEX(#REF!,ROW()-1)),"")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IFERROR(_xlfn.SINGLE(INDEX(#REF!,ROW()-1)),"")</f>
        <v>0</v>
      </c>
      <c r="C249">
        <f>IFERROR(_xlfn.SINGLE(INDEX(#REF!,ROW()-1)),"")</f>
        <v>0</v>
      </c>
      <c r="D249">
        <f>IFERROR(_xlfn.SINGLE(INDEX(#REF!,ROW()-1)),"")</f>
        <v>0</v>
      </c>
      <c r="E249">
        <f>IFERROR(_xlfn.SINGLE(INDEX(#REF!,ROW()-1)),"")</f>
        <v>0</v>
      </c>
      <c r="F249">
        <f>IFERROR(_xlfn.SINGLE(INDEX(#REF!,ROW()-1)),"")</f>
        <v>0</v>
      </c>
      <c r="G249">
        <f>IFERROR(_xlfn.SINGLE(INDEX(#REF!,ROW()-1)),"")</f>
        <v>0</v>
      </c>
      <c r="H249">
        <f>IFERROR(_xlfn.SINGLE(INDEX(#REF!,ROW()-1)),"")</f>
        <v>0</v>
      </c>
      <c r="I249">
        <f>IFERROR(_xlfn.SINGLE(INDEX(#REF!,ROW()-1)),"")</f>
        <v>0</v>
      </c>
      <c r="J249">
        <f>IFERROR(_xlfn.SINGLE(INDEX(#REF!,ROW()-1)),"")</f>
        <v>0</v>
      </c>
      <c r="K249">
        <f>IFERROR(_xlfn.SINGLE(INDEX(#REF!,ROW()-1)),"")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IFERROR(_xlfn.SINGLE(INDEX(#REF!,ROW()-1)),"")</f>
        <v>0</v>
      </c>
      <c r="C250">
        <f>IFERROR(_xlfn.SINGLE(INDEX(#REF!,ROW()-1)),"")</f>
        <v>0</v>
      </c>
      <c r="D250">
        <f>IFERROR(_xlfn.SINGLE(INDEX(#REF!,ROW()-1)),"")</f>
        <v>0</v>
      </c>
      <c r="E250">
        <f>IFERROR(_xlfn.SINGLE(INDEX(#REF!,ROW()-1)),"")</f>
        <v>0</v>
      </c>
      <c r="F250">
        <f>IFERROR(_xlfn.SINGLE(INDEX(#REF!,ROW()-1)),"")</f>
        <v>0</v>
      </c>
      <c r="G250">
        <f>IFERROR(_xlfn.SINGLE(INDEX(#REF!,ROW()-1)),"")</f>
        <v>0</v>
      </c>
      <c r="H250">
        <f>IFERROR(_xlfn.SINGLE(INDEX(#REF!,ROW()-1)),"")</f>
        <v>0</v>
      </c>
      <c r="I250">
        <f>IFERROR(_xlfn.SINGLE(INDEX(#REF!,ROW()-1)),"")</f>
        <v>0</v>
      </c>
      <c r="J250">
        <f>IFERROR(_xlfn.SINGLE(INDEX(#REF!,ROW()-1)),"")</f>
        <v>0</v>
      </c>
      <c r="K250">
        <f>IFERROR(_xlfn.SINGLE(INDEX(#REF!,ROW()-1)),"")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IFERROR(_xlfn.SINGLE(INDEX(#REF!,ROW()-1)),"")</f>
        <v>0</v>
      </c>
      <c r="C251">
        <f>IFERROR(_xlfn.SINGLE(INDEX(#REF!,ROW()-1)),"")</f>
        <v>0</v>
      </c>
      <c r="D251">
        <f>IFERROR(_xlfn.SINGLE(INDEX(#REF!,ROW()-1)),"")</f>
        <v>0</v>
      </c>
      <c r="E251">
        <f>IFERROR(_xlfn.SINGLE(INDEX(#REF!,ROW()-1)),"")</f>
        <v>0</v>
      </c>
      <c r="F251">
        <f>IFERROR(_xlfn.SINGLE(INDEX(#REF!,ROW()-1)),"")</f>
        <v>0</v>
      </c>
      <c r="G251">
        <f>IFERROR(_xlfn.SINGLE(INDEX(#REF!,ROW()-1)),"")</f>
        <v>0</v>
      </c>
      <c r="H251">
        <f>IFERROR(_xlfn.SINGLE(INDEX(#REF!,ROW()-1)),"")</f>
        <v>0</v>
      </c>
      <c r="I251">
        <f>IFERROR(_xlfn.SINGLE(INDEX(#REF!,ROW()-1)),"")</f>
        <v>0</v>
      </c>
      <c r="J251">
        <f>IFERROR(_xlfn.SINGLE(INDEX(#REF!,ROW()-1)),"")</f>
        <v>0</v>
      </c>
      <c r="K251">
        <f>IFERROR(_xlfn.SINGLE(INDEX(#REF!,ROW()-1)),"")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IFERROR(_xlfn.SINGLE(INDEX(#REF!,ROW()-1)),"")</f>
        <v>0</v>
      </c>
      <c r="C252">
        <f>IFERROR(_xlfn.SINGLE(INDEX(#REF!,ROW()-1)),"")</f>
        <v>0</v>
      </c>
      <c r="D252">
        <f>IFERROR(_xlfn.SINGLE(INDEX(#REF!,ROW()-1)),"")</f>
        <v>0</v>
      </c>
      <c r="E252">
        <f>IFERROR(_xlfn.SINGLE(INDEX(#REF!,ROW()-1)),"")</f>
        <v>0</v>
      </c>
      <c r="F252">
        <f>IFERROR(_xlfn.SINGLE(INDEX(#REF!,ROW()-1)),"")</f>
        <v>0</v>
      </c>
      <c r="G252">
        <f>IFERROR(_xlfn.SINGLE(INDEX(#REF!,ROW()-1)),"")</f>
        <v>0</v>
      </c>
      <c r="H252">
        <f>IFERROR(_xlfn.SINGLE(INDEX(#REF!,ROW()-1)),"")</f>
        <v>0</v>
      </c>
      <c r="I252">
        <f>IFERROR(_xlfn.SINGLE(INDEX(#REF!,ROW()-1)),"")</f>
        <v>0</v>
      </c>
      <c r="J252">
        <f>IFERROR(_xlfn.SINGLE(INDEX(#REF!,ROW()-1)),"")</f>
        <v>0</v>
      </c>
      <c r="K252">
        <f>IFERROR(_xlfn.SINGLE(INDEX(#REF!,ROW()-1)),"")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IFERROR(_xlfn.SINGLE(INDEX(#REF!,ROW()-1)),"")</f>
        <v>0</v>
      </c>
      <c r="C253">
        <f>IFERROR(_xlfn.SINGLE(INDEX(#REF!,ROW()-1)),"")</f>
        <v>0</v>
      </c>
      <c r="D253">
        <f>IFERROR(_xlfn.SINGLE(INDEX(#REF!,ROW()-1)),"")</f>
        <v>0</v>
      </c>
      <c r="E253">
        <f>IFERROR(_xlfn.SINGLE(INDEX(#REF!,ROW()-1)),"")</f>
        <v>0</v>
      </c>
      <c r="F253">
        <f>IFERROR(_xlfn.SINGLE(INDEX(#REF!,ROW()-1)),"")</f>
        <v>0</v>
      </c>
      <c r="G253">
        <f>IFERROR(_xlfn.SINGLE(INDEX(#REF!,ROW()-1)),"")</f>
        <v>0</v>
      </c>
      <c r="H253">
        <f>IFERROR(_xlfn.SINGLE(INDEX(#REF!,ROW()-1)),"")</f>
        <v>0</v>
      </c>
      <c r="I253">
        <f>IFERROR(_xlfn.SINGLE(INDEX(#REF!,ROW()-1)),"")</f>
        <v>0</v>
      </c>
      <c r="J253">
        <f>IFERROR(_xlfn.SINGLE(INDEX(#REF!,ROW()-1)),"")</f>
        <v>0</v>
      </c>
      <c r="K253">
        <f>IFERROR(_xlfn.SINGLE(INDEX(#REF!,ROW()-1)),"")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IFERROR(_xlfn.SINGLE(INDEX(#REF!,ROW()-1)),"")</f>
        <v>0</v>
      </c>
      <c r="C254">
        <f>IFERROR(_xlfn.SINGLE(INDEX(#REF!,ROW()-1)),"")</f>
        <v>0</v>
      </c>
      <c r="D254">
        <f>IFERROR(_xlfn.SINGLE(INDEX(#REF!,ROW()-1)),"")</f>
        <v>0</v>
      </c>
      <c r="E254">
        <f>IFERROR(_xlfn.SINGLE(INDEX(#REF!,ROW()-1)),"")</f>
        <v>0</v>
      </c>
      <c r="F254">
        <f>IFERROR(_xlfn.SINGLE(INDEX(#REF!,ROW()-1)),"")</f>
        <v>0</v>
      </c>
      <c r="G254">
        <f>IFERROR(_xlfn.SINGLE(INDEX(#REF!,ROW()-1)),"")</f>
        <v>0</v>
      </c>
      <c r="H254">
        <f>IFERROR(_xlfn.SINGLE(INDEX(#REF!,ROW()-1)),"")</f>
        <v>0</v>
      </c>
      <c r="I254">
        <f>IFERROR(_xlfn.SINGLE(INDEX(#REF!,ROW()-1)),"")</f>
        <v>0</v>
      </c>
      <c r="J254">
        <f>IFERROR(_xlfn.SINGLE(INDEX(#REF!,ROW()-1)),"")</f>
        <v>0</v>
      </c>
      <c r="K254">
        <f>IFERROR(_xlfn.SINGLE(INDEX(#REF!,ROW()-1)),"")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IFERROR(_xlfn.SINGLE(INDEX(#REF!,ROW()-1)),"")</f>
        <v>0</v>
      </c>
      <c r="C255">
        <f>IFERROR(_xlfn.SINGLE(INDEX(#REF!,ROW()-1)),"")</f>
        <v>0</v>
      </c>
      <c r="D255">
        <f>IFERROR(_xlfn.SINGLE(INDEX(#REF!,ROW()-1)),"")</f>
        <v>0</v>
      </c>
      <c r="E255">
        <f>IFERROR(_xlfn.SINGLE(INDEX(#REF!,ROW()-1)),"")</f>
        <v>0</v>
      </c>
      <c r="F255">
        <f>IFERROR(_xlfn.SINGLE(INDEX(#REF!,ROW()-1)),"")</f>
        <v>0</v>
      </c>
      <c r="G255">
        <f>IFERROR(_xlfn.SINGLE(INDEX(#REF!,ROW()-1)),"")</f>
        <v>0</v>
      </c>
      <c r="H255">
        <f>IFERROR(_xlfn.SINGLE(INDEX(#REF!,ROW()-1)),"")</f>
        <v>0</v>
      </c>
      <c r="I255">
        <f>IFERROR(_xlfn.SINGLE(INDEX(#REF!,ROW()-1)),"")</f>
        <v>0</v>
      </c>
      <c r="J255">
        <f>IFERROR(_xlfn.SINGLE(INDEX(#REF!,ROW()-1)),"")</f>
        <v>0</v>
      </c>
      <c r="K255">
        <f>IFERROR(_xlfn.SINGLE(INDEX(#REF!,ROW()-1)),"")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IFERROR(_xlfn.SINGLE(INDEX(#REF!,ROW()-1)),"")</f>
        <v>0</v>
      </c>
      <c r="C256">
        <f>IFERROR(_xlfn.SINGLE(INDEX(#REF!,ROW()-1)),"")</f>
        <v>0</v>
      </c>
      <c r="D256">
        <f>IFERROR(_xlfn.SINGLE(INDEX(#REF!,ROW()-1)),"")</f>
        <v>0</v>
      </c>
      <c r="E256">
        <f>IFERROR(_xlfn.SINGLE(INDEX(#REF!,ROW()-1)),"")</f>
        <v>0</v>
      </c>
      <c r="F256">
        <f>IFERROR(_xlfn.SINGLE(INDEX(#REF!,ROW()-1)),"")</f>
        <v>0</v>
      </c>
      <c r="G256">
        <f>IFERROR(_xlfn.SINGLE(INDEX(#REF!,ROW()-1)),"")</f>
        <v>0</v>
      </c>
      <c r="H256">
        <f>IFERROR(_xlfn.SINGLE(INDEX(#REF!,ROW()-1)),"")</f>
        <v>0</v>
      </c>
      <c r="I256">
        <f>IFERROR(_xlfn.SINGLE(INDEX(#REF!,ROW()-1)),"")</f>
        <v>0</v>
      </c>
      <c r="J256">
        <f>IFERROR(_xlfn.SINGLE(INDEX(#REF!,ROW()-1)),"")</f>
        <v>0</v>
      </c>
      <c r="K256">
        <f>IFERROR(_xlfn.SINGLE(INDEX(#REF!,ROW()-1)),"")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IFERROR(_xlfn.SINGLE(INDEX(#REF!,ROW()-1)),"")</f>
        <v>0</v>
      </c>
      <c r="C257">
        <f>IFERROR(_xlfn.SINGLE(INDEX(#REF!,ROW()-1)),"")</f>
        <v>0</v>
      </c>
      <c r="D257">
        <f>IFERROR(_xlfn.SINGLE(INDEX(#REF!,ROW()-1)),"")</f>
        <v>0</v>
      </c>
      <c r="E257">
        <f>IFERROR(_xlfn.SINGLE(INDEX(#REF!,ROW()-1)),"")</f>
        <v>0</v>
      </c>
      <c r="F257">
        <f>IFERROR(_xlfn.SINGLE(INDEX(#REF!,ROW()-1)),"")</f>
        <v>0</v>
      </c>
      <c r="G257">
        <f>IFERROR(_xlfn.SINGLE(INDEX(#REF!,ROW()-1)),"")</f>
        <v>0</v>
      </c>
      <c r="H257">
        <f>IFERROR(_xlfn.SINGLE(INDEX(#REF!,ROW()-1)),"")</f>
        <v>0</v>
      </c>
      <c r="I257">
        <f>IFERROR(_xlfn.SINGLE(INDEX(#REF!,ROW()-1)),"")</f>
        <v>0</v>
      </c>
      <c r="J257">
        <f>IFERROR(_xlfn.SINGLE(INDEX(#REF!,ROW()-1)),"")</f>
        <v>0</v>
      </c>
      <c r="K257">
        <f>IFERROR(_xlfn.SINGLE(INDEX(#REF!,ROW()-1)),"")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IFERROR(_xlfn.SINGLE(INDEX(#REF!,ROW()-1)),"")</f>
        <v>0</v>
      </c>
      <c r="C258">
        <f>IFERROR(_xlfn.SINGLE(INDEX(#REF!,ROW()-1)),"")</f>
        <v>0</v>
      </c>
      <c r="D258">
        <f>IFERROR(_xlfn.SINGLE(INDEX(#REF!,ROW()-1)),"")</f>
        <v>0</v>
      </c>
      <c r="E258">
        <f>IFERROR(_xlfn.SINGLE(INDEX(#REF!,ROW()-1)),"")</f>
        <v>0</v>
      </c>
      <c r="F258">
        <f>IFERROR(_xlfn.SINGLE(INDEX(#REF!,ROW()-1)),"")</f>
        <v>0</v>
      </c>
      <c r="G258">
        <f>IFERROR(_xlfn.SINGLE(INDEX(#REF!,ROW()-1)),"")</f>
        <v>0</v>
      </c>
      <c r="H258">
        <f>IFERROR(_xlfn.SINGLE(INDEX(#REF!,ROW()-1)),"")</f>
        <v>0</v>
      </c>
      <c r="I258">
        <f>IFERROR(_xlfn.SINGLE(INDEX(#REF!,ROW()-1)),"")</f>
        <v>0</v>
      </c>
      <c r="J258">
        <f>IFERROR(_xlfn.SINGLE(INDEX(#REF!,ROW()-1)),"")</f>
        <v>0</v>
      </c>
      <c r="K258">
        <f>IFERROR(_xlfn.SINGLE(INDEX(#REF!,ROW()-1)),"")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IFERROR(_xlfn.SINGLE(INDEX(#REF!,ROW()-1)),"")</f>
        <v>0</v>
      </c>
      <c r="C259">
        <f>IFERROR(_xlfn.SINGLE(INDEX(#REF!,ROW()-1)),"")</f>
        <v>0</v>
      </c>
      <c r="D259">
        <f>IFERROR(_xlfn.SINGLE(INDEX(#REF!,ROW()-1)),"")</f>
        <v>0</v>
      </c>
      <c r="E259">
        <f>IFERROR(_xlfn.SINGLE(INDEX(#REF!,ROW()-1)),"")</f>
        <v>0</v>
      </c>
      <c r="F259">
        <f>IFERROR(_xlfn.SINGLE(INDEX(#REF!,ROW()-1)),"")</f>
        <v>0</v>
      </c>
      <c r="G259">
        <f>IFERROR(_xlfn.SINGLE(INDEX(#REF!,ROW()-1)),"")</f>
        <v>0</v>
      </c>
      <c r="H259">
        <f>IFERROR(_xlfn.SINGLE(INDEX(#REF!,ROW()-1)),"")</f>
        <v>0</v>
      </c>
      <c r="I259">
        <f>IFERROR(_xlfn.SINGLE(INDEX(#REF!,ROW()-1)),"")</f>
        <v>0</v>
      </c>
      <c r="J259">
        <f>IFERROR(_xlfn.SINGLE(INDEX(#REF!,ROW()-1)),"")</f>
        <v>0</v>
      </c>
      <c r="K259">
        <f>IFERROR(_xlfn.SINGLE(INDEX(#REF!,ROW()-1)),"")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IFERROR(_xlfn.SINGLE(INDEX(#REF!,ROW()-1)),"")</f>
        <v>0</v>
      </c>
      <c r="C260">
        <f>IFERROR(_xlfn.SINGLE(INDEX(#REF!,ROW()-1)),"")</f>
        <v>0</v>
      </c>
      <c r="D260">
        <f>IFERROR(_xlfn.SINGLE(INDEX(#REF!,ROW()-1)),"")</f>
        <v>0</v>
      </c>
      <c r="E260">
        <f>IFERROR(_xlfn.SINGLE(INDEX(#REF!,ROW()-1)),"")</f>
        <v>0</v>
      </c>
      <c r="F260">
        <f>IFERROR(_xlfn.SINGLE(INDEX(#REF!,ROW()-1)),"")</f>
        <v>0</v>
      </c>
      <c r="G260">
        <f>IFERROR(_xlfn.SINGLE(INDEX(#REF!,ROW()-1)),"")</f>
        <v>0</v>
      </c>
      <c r="H260">
        <f>IFERROR(_xlfn.SINGLE(INDEX(#REF!,ROW()-1)),"")</f>
        <v>0</v>
      </c>
      <c r="I260">
        <f>IFERROR(_xlfn.SINGLE(INDEX(#REF!,ROW()-1)),"")</f>
        <v>0</v>
      </c>
      <c r="J260">
        <f>IFERROR(_xlfn.SINGLE(INDEX(#REF!,ROW()-1)),"")</f>
        <v>0</v>
      </c>
      <c r="K260">
        <f>IFERROR(_xlfn.SINGLE(INDEX(#REF!,ROW()-1)),"")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IFERROR(_xlfn.SINGLE(INDEX(#REF!,ROW()-1)),"")</f>
        <v>0</v>
      </c>
      <c r="C261">
        <f>IFERROR(_xlfn.SINGLE(INDEX(#REF!,ROW()-1)),"")</f>
        <v>0</v>
      </c>
      <c r="D261">
        <f>IFERROR(_xlfn.SINGLE(INDEX(#REF!,ROW()-1)),"")</f>
        <v>0</v>
      </c>
      <c r="E261">
        <f>IFERROR(_xlfn.SINGLE(INDEX(#REF!,ROW()-1)),"")</f>
        <v>0</v>
      </c>
      <c r="F261">
        <f>IFERROR(_xlfn.SINGLE(INDEX(#REF!,ROW()-1)),"")</f>
        <v>0</v>
      </c>
      <c r="G261">
        <f>IFERROR(_xlfn.SINGLE(INDEX(#REF!,ROW()-1)),"")</f>
        <v>0</v>
      </c>
      <c r="H261">
        <f>IFERROR(_xlfn.SINGLE(INDEX(#REF!,ROW()-1)),"")</f>
        <v>0</v>
      </c>
      <c r="I261">
        <f>IFERROR(_xlfn.SINGLE(INDEX(#REF!,ROW()-1)),"")</f>
        <v>0</v>
      </c>
      <c r="J261">
        <f>IFERROR(_xlfn.SINGLE(INDEX(#REF!,ROW()-1)),"")</f>
        <v>0</v>
      </c>
      <c r="K261">
        <f>IFERROR(_xlfn.SINGLE(INDEX(#REF!,ROW()-1)),"")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IFERROR(_xlfn.SINGLE(INDEX(#REF!,ROW()-1)),"")</f>
        <v>0</v>
      </c>
      <c r="C262">
        <f>IFERROR(_xlfn.SINGLE(INDEX(#REF!,ROW()-1)),"")</f>
        <v>0</v>
      </c>
      <c r="D262">
        <f>IFERROR(_xlfn.SINGLE(INDEX(#REF!,ROW()-1)),"")</f>
        <v>0</v>
      </c>
      <c r="E262">
        <f>IFERROR(_xlfn.SINGLE(INDEX(#REF!,ROW()-1)),"")</f>
        <v>0</v>
      </c>
      <c r="F262">
        <f>IFERROR(_xlfn.SINGLE(INDEX(#REF!,ROW()-1)),"")</f>
        <v>0</v>
      </c>
      <c r="G262">
        <f>IFERROR(_xlfn.SINGLE(INDEX(#REF!,ROW()-1)),"")</f>
        <v>0</v>
      </c>
      <c r="H262">
        <f>IFERROR(_xlfn.SINGLE(INDEX(#REF!,ROW()-1)),"")</f>
        <v>0</v>
      </c>
      <c r="I262">
        <f>IFERROR(_xlfn.SINGLE(INDEX(#REF!,ROW()-1)),"")</f>
        <v>0</v>
      </c>
      <c r="J262">
        <f>IFERROR(_xlfn.SINGLE(INDEX(#REF!,ROW()-1)),"")</f>
        <v>0</v>
      </c>
      <c r="K262">
        <f>IFERROR(_xlfn.SINGLE(INDEX(#REF!,ROW()-1)),"")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IFERROR(_xlfn.SINGLE(INDEX(#REF!,ROW()-1)),"")</f>
        <v>0</v>
      </c>
      <c r="C263">
        <f>IFERROR(_xlfn.SINGLE(INDEX(#REF!,ROW()-1)),"")</f>
        <v>0</v>
      </c>
      <c r="D263">
        <f>IFERROR(_xlfn.SINGLE(INDEX(#REF!,ROW()-1)),"")</f>
        <v>0</v>
      </c>
      <c r="E263">
        <f>IFERROR(_xlfn.SINGLE(INDEX(#REF!,ROW()-1)),"")</f>
        <v>0</v>
      </c>
      <c r="F263">
        <f>IFERROR(_xlfn.SINGLE(INDEX(#REF!,ROW()-1)),"")</f>
        <v>0</v>
      </c>
      <c r="G263">
        <f>IFERROR(_xlfn.SINGLE(INDEX(#REF!,ROW()-1)),"")</f>
        <v>0</v>
      </c>
      <c r="H263">
        <f>IFERROR(_xlfn.SINGLE(INDEX(#REF!,ROW()-1)),"")</f>
        <v>0</v>
      </c>
      <c r="I263">
        <f>IFERROR(_xlfn.SINGLE(INDEX(#REF!,ROW()-1)),"")</f>
        <v>0</v>
      </c>
      <c r="J263">
        <f>IFERROR(_xlfn.SINGLE(INDEX(#REF!,ROW()-1)),"")</f>
        <v>0</v>
      </c>
      <c r="K263">
        <f>IFERROR(_xlfn.SINGLE(INDEX(#REF!,ROW()-1)),"")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IFERROR(_xlfn.SINGLE(INDEX(#REF!,ROW()-1)),"")</f>
        <v>0</v>
      </c>
      <c r="C264">
        <f>IFERROR(_xlfn.SINGLE(INDEX(#REF!,ROW()-1)),"")</f>
        <v>0</v>
      </c>
      <c r="D264">
        <f>IFERROR(_xlfn.SINGLE(INDEX(#REF!,ROW()-1)),"")</f>
        <v>0</v>
      </c>
      <c r="E264">
        <f>IFERROR(_xlfn.SINGLE(INDEX(#REF!,ROW()-1)),"")</f>
        <v>0</v>
      </c>
      <c r="F264">
        <f>IFERROR(_xlfn.SINGLE(INDEX(#REF!,ROW()-1)),"")</f>
        <v>0</v>
      </c>
      <c r="G264">
        <f>IFERROR(_xlfn.SINGLE(INDEX(#REF!,ROW()-1)),"")</f>
        <v>0</v>
      </c>
      <c r="H264">
        <f>IFERROR(_xlfn.SINGLE(INDEX(#REF!,ROW()-1)),"")</f>
        <v>0</v>
      </c>
      <c r="I264">
        <f>IFERROR(_xlfn.SINGLE(INDEX(#REF!,ROW()-1)),"")</f>
        <v>0</v>
      </c>
      <c r="J264">
        <f>IFERROR(_xlfn.SINGLE(INDEX(#REF!,ROW()-1)),"")</f>
        <v>0</v>
      </c>
      <c r="K264">
        <f>IFERROR(_xlfn.SINGLE(INDEX(#REF!,ROW()-1)),"")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IFERROR(_xlfn.SINGLE(INDEX(#REF!,ROW()-1)),"")</f>
        <v>0</v>
      </c>
      <c r="C265">
        <f>IFERROR(_xlfn.SINGLE(INDEX(#REF!,ROW()-1)),"")</f>
        <v>0</v>
      </c>
      <c r="D265">
        <f>IFERROR(_xlfn.SINGLE(INDEX(#REF!,ROW()-1)),"")</f>
        <v>0</v>
      </c>
      <c r="E265">
        <f>IFERROR(_xlfn.SINGLE(INDEX(#REF!,ROW()-1)),"")</f>
        <v>0</v>
      </c>
      <c r="F265">
        <f>IFERROR(_xlfn.SINGLE(INDEX(#REF!,ROW()-1)),"")</f>
        <v>0</v>
      </c>
      <c r="G265">
        <f>IFERROR(_xlfn.SINGLE(INDEX(#REF!,ROW()-1)),"")</f>
        <v>0</v>
      </c>
      <c r="H265">
        <f>IFERROR(_xlfn.SINGLE(INDEX(#REF!,ROW()-1)),"")</f>
        <v>0</v>
      </c>
      <c r="I265">
        <f>IFERROR(_xlfn.SINGLE(INDEX(#REF!,ROW()-1)),"")</f>
        <v>0</v>
      </c>
      <c r="J265">
        <f>IFERROR(_xlfn.SINGLE(INDEX(#REF!,ROW()-1)),"")</f>
        <v>0</v>
      </c>
      <c r="K265">
        <f>IFERROR(_xlfn.SINGLE(INDEX(#REF!,ROW()-1)),"")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IFERROR(_xlfn.SINGLE(INDEX(#REF!,ROW()-1)),"")</f>
        <v>0</v>
      </c>
      <c r="C266">
        <f>IFERROR(_xlfn.SINGLE(INDEX(#REF!,ROW()-1)),"")</f>
        <v>0</v>
      </c>
      <c r="D266">
        <f>IFERROR(_xlfn.SINGLE(INDEX(#REF!,ROW()-1)),"")</f>
        <v>0</v>
      </c>
      <c r="E266">
        <f>IFERROR(_xlfn.SINGLE(INDEX(#REF!,ROW()-1)),"")</f>
        <v>0</v>
      </c>
      <c r="F266">
        <f>IFERROR(_xlfn.SINGLE(INDEX(#REF!,ROW()-1)),"")</f>
        <v>0</v>
      </c>
      <c r="G266">
        <f>IFERROR(_xlfn.SINGLE(INDEX(#REF!,ROW()-1)),"")</f>
        <v>0</v>
      </c>
      <c r="H266">
        <f>IFERROR(_xlfn.SINGLE(INDEX(#REF!,ROW()-1)),"")</f>
        <v>0</v>
      </c>
      <c r="I266">
        <f>IFERROR(_xlfn.SINGLE(INDEX(#REF!,ROW()-1)),"")</f>
        <v>0</v>
      </c>
      <c r="J266">
        <f>IFERROR(_xlfn.SINGLE(INDEX(#REF!,ROW()-1)),"")</f>
        <v>0</v>
      </c>
      <c r="K266">
        <f>IFERROR(_xlfn.SINGLE(INDEX(#REF!,ROW()-1)),"")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IFERROR(_xlfn.SINGLE(INDEX(#REF!,ROW()-1)),"")</f>
        <v>0</v>
      </c>
      <c r="C267">
        <f>IFERROR(_xlfn.SINGLE(INDEX(#REF!,ROW()-1)),"")</f>
        <v>0</v>
      </c>
      <c r="D267">
        <f>IFERROR(_xlfn.SINGLE(INDEX(#REF!,ROW()-1)),"")</f>
        <v>0</v>
      </c>
      <c r="E267">
        <f>IFERROR(_xlfn.SINGLE(INDEX(#REF!,ROW()-1)),"")</f>
        <v>0</v>
      </c>
      <c r="F267">
        <f>IFERROR(_xlfn.SINGLE(INDEX(#REF!,ROW()-1)),"")</f>
        <v>0</v>
      </c>
      <c r="G267">
        <f>IFERROR(_xlfn.SINGLE(INDEX(#REF!,ROW()-1)),"")</f>
        <v>0</v>
      </c>
      <c r="H267">
        <f>IFERROR(_xlfn.SINGLE(INDEX(#REF!,ROW()-1)),"")</f>
        <v>0</v>
      </c>
      <c r="I267">
        <f>IFERROR(_xlfn.SINGLE(INDEX(#REF!,ROW()-1)),"")</f>
        <v>0</v>
      </c>
      <c r="J267">
        <f>IFERROR(_xlfn.SINGLE(INDEX(#REF!,ROW()-1)),"")</f>
        <v>0</v>
      </c>
      <c r="K267">
        <f>IFERROR(_xlfn.SINGLE(INDEX(#REF!,ROW()-1)),"")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IFERROR(_xlfn.SINGLE(INDEX(#REF!,ROW()-1)),"")</f>
        <v>0</v>
      </c>
      <c r="C268">
        <f>IFERROR(_xlfn.SINGLE(INDEX(#REF!,ROW()-1)),"")</f>
        <v>0</v>
      </c>
      <c r="D268">
        <f>IFERROR(_xlfn.SINGLE(INDEX(#REF!,ROW()-1)),"")</f>
        <v>0</v>
      </c>
      <c r="E268">
        <f>IFERROR(_xlfn.SINGLE(INDEX(#REF!,ROW()-1)),"")</f>
        <v>0</v>
      </c>
      <c r="F268">
        <f>IFERROR(_xlfn.SINGLE(INDEX(#REF!,ROW()-1)),"")</f>
        <v>0</v>
      </c>
      <c r="G268">
        <f>IFERROR(_xlfn.SINGLE(INDEX(#REF!,ROW()-1)),"")</f>
        <v>0</v>
      </c>
      <c r="H268">
        <f>IFERROR(_xlfn.SINGLE(INDEX(#REF!,ROW()-1)),"")</f>
        <v>0</v>
      </c>
      <c r="I268">
        <f>IFERROR(_xlfn.SINGLE(INDEX(#REF!,ROW()-1)),"")</f>
        <v>0</v>
      </c>
      <c r="J268">
        <f>IFERROR(_xlfn.SINGLE(INDEX(#REF!,ROW()-1)),"")</f>
        <v>0</v>
      </c>
      <c r="K268">
        <f>IFERROR(_xlfn.SINGLE(INDEX(#REF!,ROW()-1)),"")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IFERROR(_xlfn.SINGLE(INDEX(#REF!,ROW()-1)),"")</f>
        <v>0</v>
      </c>
      <c r="C269">
        <f>IFERROR(_xlfn.SINGLE(INDEX(#REF!,ROW()-1)),"")</f>
        <v>0</v>
      </c>
      <c r="D269">
        <f>IFERROR(_xlfn.SINGLE(INDEX(#REF!,ROW()-1)),"")</f>
        <v>0</v>
      </c>
      <c r="E269">
        <f>IFERROR(_xlfn.SINGLE(INDEX(#REF!,ROW()-1)),"")</f>
        <v>0</v>
      </c>
      <c r="F269">
        <f>IFERROR(_xlfn.SINGLE(INDEX(#REF!,ROW()-1)),"")</f>
        <v>0</v>
      </c>
      <c r="G269">
        <f>IFERROR(_xlfn.SINGLE(INDEX(#REF!,ROW()-1)),"")</f>
        <v>0</v>
      </c>
      <c r="H269">
        <f>IFERROR(_xlfn.SINGLE(INDEX(#REF!,ROW()-1)),"")</f>
        <v>0</v>
      </c>
      <c r="I269">
        <f>IFERROR(_xlfn.SINGLE(INDEX(#REF!,ROW()-1)),"")</f>
        <v>0</v>
      </c>
      <c r="J269">
        <f>IFERROR(_xlfn.SINGLE(INDEX(#REF!,ROW()-1)),"")</f>
        <v>0</v>
      </c>
      <c r="K269">
        <f>IFERROR(_xlfn.SINGLE(INDEX(#REF!,ROW()-1)),"")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IFERROR(_xlfn.SINGLE(INDEX(#REF!,ROW()-1)),"")</f>
        <v>0</v>
      </c>
      <c r="C270">
        <f>IFERROR(_xlfn.SINGLE(INDEX(#REF!,ROW()-1)),"")</f>
        <v>0</v>
      </c>
      <c r="D270">
        <f>IFERROR(_xlfn.SINGLE(INDEX(#REF!,ROW()-1)),"")</f>
        <v>0</v>
      </c>
      <c r="E270">
        <f>IFERROR(_xlfn.SINGLE(INDEX(#REF!,ROW()-1)),"")</f>
        <v>0</v>
      </c>
      <c r="F270">
        <f>IFERROR(_xlfn.SINGLE(INDEX(#REF!,ROW()-1)),"")</f>
        <v>0</v>
      </c>
      <c r="G270">
        <f>IFERROR(_xlfn.SINGLE(INDEX(#REF!,ROW()-1)),"")</f>
        <v>0</v>
      </c>
      <c r="H270">
        <f>IFERROR(_xlfn.SINGLE(INDEX(#REF!,ROW()-1)),"")</f>
        <v>0</v>
      </c>
      <c r="I270">
        <f>IFERROR(_xlfn.SINGLE(INDEX(#REF!,ROW()-1)),"")</f>
        <v>0</v>
      </c>
      <c r="J270">
        <f>IFERROR(_xlfn.SINGLE(INDEX(#REF!,ROW()-1)),"")</f>
        <v>0</v>
      </c>
      <c r="K270">
        <f>IFERROR(_xlfn.SINGLE(INDEX(#REF!,ROW()-1)),"")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IFERROR(_xlfn.SINGLE(INDEX(#REF!,ROW()-1)),"")</f>
        <v>0</v>
      </c>
      <c r="C271">
        <f>IFERROR(_xlfn.SINGLE(INDEX(#REF!,ROW()-1)),"")</f>
        <v>0</v>
      </c>
      <c r="D271">
        <f>IFERROR(_xlfn.SINGLE(INDEX(#REF!,ROW()-1)),"")</f>
        <v>0</v>
      </c>
      <c r="E271">
        <f>IFERROR(_xlfn.SINGLE(INDEX(#REF!,ROW()-1)),"")</f>
        <v>0</v>
      </c>
      <c r="F271">
        <f>IFERROR(_xlfn.SINGLE(INDEX(#REF!,ROW()-1)),"")</f>
        <v>0</v>
      </c>
      <c r="G271">
        <f>IFERROR(_xlfn.SINGLE(INDEX(#REF!,ROW()-1)),"")</f>
        <v>0</v>
      </c>
      <c r="H271">
        <f>IFERROR(_xlfn.SINGLE(INDEX(#REF!,ROW()-1)),"")</f>
        <v>0</v>
      </c>
      <c r="I271">
        <f>IFERROR(_xlfn.SINGLE(INDEX(#REF!,ROW()-1)),"")</f>
        <v>0</v>
      </c>
      <c r="J271">
        <f>IFERROR(_xlfn.SINGLE(INDEX(#REF!,ROW()-1)),"")</f>
        <v>0</v>
      </c>
      <c r="K271">
        <f>IFERROR(_xlfn.SINGLE(INDEX(#REF!,ROW()-1)),"")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IFERROR(_xlfn.SINGLE(INDEX(#REF!,ROW()-1)),"")</f>
        <v>0</v>
      </c>
      <c r="C272">
        <f>IFERROR(_xlfn.SINGLE(INDEX(#REF!,ROW()-1)),"")</f>
        <v>0</v>
      </c>
      <c r="D272">
        <f>IFERROR(_xlfn.SINGLE(INDEX(#REF!,ROW()-1)),"")</f>
        <v>0</v>
      </c>
      <c r="E272">
        <f>IFERROR(_xlfn.SINGLE(INDEX(#REF!,ROW()-1)),"")</f>
        <v>0</v>
      </c>
      <c r="F272">
        <f>IFERROR(_xlfn.SINGLE(INDEX(#REF!,ROW()-1)),"")</f>
        <v>0</v>
      </c>
      <c r="G272">
        <f>IFERROR(_xlfn.SINGLE(INDEX(#REF!,ROW()-1)),"")</f>
        <v>0</v>
      </c>
      <c r="H272">
        <f>IFERROR(_xlfn.SINGLE(INDEX(#REF!,ROW()-1)),"")</f>
        <v>0</v>
      </c>
      <c r="I272">
        <f>IFERROR(_xlfn.SINGLE(INDEX(#REF!,ROW()-1)),"")</f>
        <v>0</v>
      </c>
      <c r="J272">
        <f>IFERROR(_xlfn.SINGLE(INDEX(#REF!,ROW()-1)),"")</f>
        <v>0</v>
      </c>
      <c r="K272">
        <f>IFERROR(_xlfn.SINGLE(INDEX(#REF!,ROW()-1)),"")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IFERROR(_xlfn.SINGLE(INDEX(#REF!,ROW()-1)),"")</f>
        <v>0</v>
      </c>
      <c r="C273">
        <f>IFERROR(_xlfn.SINGLE(INDEX(#REF!,ROW()-1)),"")</f>
        <v>0</v>
      </c>
      <c r="D273">
        <f>IFERROR(_xlfn.SINGLE(INDEX(#REF!,ROW()-1)),"")</f>
        <v>0</v>
      </c>
      <c r="E273">
        <f>IFERROR(_xlfn.SINGLE(INDEX(#REF!,ROW()-1)),"")</f>
        <v>0</v>
      </c>
      <c r="F273">
        <f>IFERROR(_xlfn.SINGLE(INDEX(#REF!,ROW()-1)),"")</f>
        <v>0</v>
      </c>
      <c r="G273">
        <f>IFERROR(_xlfn.SINGLE(INDEX(#REF!,ROW()-1)),"")</f>
        <v>0</v>
      </c>
      <c r="H273">
        <f>IFERROR(_xlfn.SINGLE(INDEX(#REF!,ROW()-1)),"")</f>
        <v>0</v>
      </c>
      <c r="I273">
        <f>IFERROR(_xlfn.SINGLE(INDEX(#REF!,ROW()-1)),"")</f>
        <v>0</v>
      </c>
      <c r="J273">
        <f>IFERROR(_xlfn.SINGLE(INDEX(#REF!,ROW()-1)),"")</f>
        <v>0</v>
      </c>
      <c r="K273">
        <f>IFERROR(_xlfn.SINGLE(INDEX(#REF!,ROW()-1)),"")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IFERROR(_xlfn.SINGLE(INDEX(#REF!,ROW()-1)),"")</f>
        <v>0</v>
      </c>
      <c r="C274">
        <f>IFERROR(_xlfn.SINGLE(INDEX(#REF!,ROW()-1)),"")</f>
        <v>0</v>
      </c>
      <c r="D274">
        <f>IFERROR(_xlfn.SINGLE(INDEX(#REF!,ROW()-1)),"")</f>
        <v>0</v>
      </c>
      <c r="E274">
        <f>IFERROR(_xlfn.SINGLE(INDEX(#REF!,ROW()-1)),"")</f>
        <v>0</v>
      </c>
      <c r="F274">
        <f>IFERROR(_xlfn.SINGLE(INDEX(#REF!,ROW()-1)),"")</f>
        <v>0</v>
      </c>
      <c r="G274">
        <f>IFERROR(_xlfn.SINGLE(INDEX(#REF!,ROW()-1)),"")</f>
        <v>0</v>
      </c>
      <c r="H274">
        <f>IFERROR(_xlfn.SINGLE(INDEX(#REF!,ROW()-1)),"")</f>
        <v>0</v>
      </c>
      <c r="I274">
        <f>IFERROR(_xlfn.SINGLE(INDEX(#REF!,ROW()-1)),"")</f>
        <v>0</v>
      </c>
      <c r="J274">
        <f>IFERROR(_xlfn.SINGLE(INDEX(#REF!,ROW()-1)),"")</f>
        <v>0</v>
      </c>
      <c r="K274">
        <f>IFERROR(_xlfn.SINGLE(INDEX(#REF!,ROW()-1)),"")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IFERROR(_xlfn.SINGLE(INDEX(#REF!,ROW()-1)),"")</f>
        <v>0</v>
      </c>
      <c r="C275">
        <f>IFERROR(_xlfn.SINGLE(INDEX(#REF!,ROW()-1)),"")</f>
        <v>0</v>
      </c>
      <c r="D275">
        <f>IFERROR(_xlfn.SINGLE(INDEX(#REF!,ROW()-1)),"")</f>
        <v>0</v>
      </c>
      <c r="E275">
        <f>IFERROR(_xlfn.SINGLE(INDEX(#REF!,ROW()-1)),"")</f>
        <v>0</v>
      </c>
      <c r="F275">
        <f>IFERROR(_xlfn.SINGLE(INDEX(#REF!,ROW()-1)),"")</f>
        <v>0</v>
      </c>
      <c r="G275">
        <f>IFERROR(_xlfn.SINGLE(INDEX(#REF!,ROW()-1)),"")</f>
        <v>0</v>
      </c>
      <c r="H275">
        <f>IFERROR(_xlfn.SINGLE(INDEX(#REF!,ROW()-1)),"")</f>
        <v>0</v>
      </c>
      <c r="I275">
        <f>IFERROR(_xlfn.SINGLE(INDEX(#REF!,ROW()-1)),"")</f>
        <v>0</v>
      </c>
      <c r="J275">
        <f>IFERROR(_xlfn.SINGLE(INDEX(#REF!,ROW()-1)),"")</f>
        <v>0</v>
      </c>
      <c r="K275">
        <f>IFERROR(_xlfn.SINGLE(INDEX(#REF!,ROW()-1)),"")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IFERROR(_xlfn.SINGLE(INDEX(#REF!,ROW()-1)),"")</f>
        <v>0</v>
      </c>
      <c r="C276">
        <f>IFERROR(_xlfn.SINGLE(INDEX(#REF!,ROW()-1)),"")</f>
        <v>0</v>
      </c>
      <c r="D276">
        <f>IFERROR(_xlfn.SINGLE(INDEX(#REF!,ROW()-1)),"")</f>
        <v>0</v>
      </c>
      <c r="E276">
        <f>IFERROR(_xlfn.SINGLE(INDEX(#REF!,ROW()-1)),"")</f>
        <v>0</v>
      </c>
      <c r="F276">
        <f>IFERROR(_xlfn.SINGLE(INDEX(#REF!,ROW()-1)),"")</f>
        <v>0</v>
      </c>
      <c r="G276">
        <f>IFERROR(_xlfn.SINGLE(INDEX(#REF!,ROW()-1)),"")</f>
        <v>0</v>
      </c>
      <c r="H276">
        <f>IFERROR(_xlfn.SINGLE(INDEX(#REF!,ROW()-1)),"")</f>
        <v>0</v>
      </c>
      <c r="I276">
        <f>IFERROR(_xlfn.SINGLE(INDEX(#REF!,ROW()-1)),"")</f>
        <v>0</v>
      </c>
      <c r="J276">
        <f>IFERROR(_xlfn.SINGLE(INDEX(#REF!,ROW()-1)),"")</f>
        <v>0</v>
      </c>
      <c r="K276">
        <f>IFERROR(_xlfn.SINGLE(INDEX(#REF!,ROW()-1)),"")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IFERROR(_xlfn.SINGLE(INDEX(#REF!,ROW()-1)),"")</f>
        <v>0</v>
      </c>
      <c r="C277">
        <f>IFERROR(_xlfn.SINGLE(INDEX(#REF!,ROW()-1)),"")</f>
        <v>0</v>
      </c>
      <c r="D277">
        <f>IFERROR(_xlfn.SINGLE(INDEX(#REF!,ROW()-1)),"")</f>
        <v>0</v>
      </c>
      <c r="E277">
        <f>IFERROR(_xlfn.SINGLE(INDEX(#REF!,ROW()-1)),"")</f>
        <v>0</v>
      </c>
      <c r="F277">
        <f>IFERROR(_xlfn.SINGLE(INDEX(#REF!,ROW()-1)),"")</f>
        <v>0</v>
      </c>
      <c r="G277">
        <f>IFERROR(_xlfn.SINGLE(INDEX(#REF!,ROW()-1)),"")</f>
        <v>0</v>
      </c>
      <c r="H277">
        <f>IFERROR(_xlfn.SINGLE(INDEX(#REF!,ROW()-1)),"")</f>
        <v>0</v>
      </c>
      <c r="I277">
        <f>IFERROR(_xlfn.SINGLE(INDEX(#REF!,ROW()-1)),"")</f>
        <v>0</v>
      </c>
      <c r="J277">
        <f>IFERROR(_xlfn.SINGLE(INDEX(#REF!,ROW()-1)),"")</f>
        <v>0</v>
      </c>
      <c r="K277">
        <f>IFERROR(_xlfn.SINGLE(INDEX(#REF!,ROW()-1)),"")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IFERROR(_xlfn.SINGLE(INDEX(#REF!,ROW()-1)),"")</f>
        <v>0</v>
      </c>
      <c r="C278">
        <f>IFERROR(_xlfn.SINGLE(INDEX(#REF!,ROW()-1)),"")</f>
        <v>0</v>
      </c>
      <c r="D278">
        <f>IFERROR(_xlfn.SINGLE(INDEX(#REF!,ROW()-1)),"")</f>
        <v>0</v>
      </c>
      <c r="E278">
        <f>IFERROR(_xlfn.SINGLE(INDEX(#REF!,ROW()-1)),"")</f>
        <v>0</v>
      </c>
      <c r="F278">
        <f>IFERROR(_xlfn.SINGLE(INDEX(#REF!,ROW()-1)),"")</f>
        <v>0</v>
      </c>
      <c r="G278">
        <f>IFERROR(_xlfn.SINGLE(INDEX(#REF!,ROW()-1)),"")</f>
        <v>0</v>
      </c>
      <c r="H278">
        <f>IFERROR(_xlfn.SINGLE(INDEX(#REF!,ROW()-1)),"")</f>
        <v>0</v>
      </c>
      <c r="I278">
        <f>IFERROR(_xlfn.SINGLE(INDEX(#REF!,ROW()-1)),"")</f>
        <v>0</v>
      </c>
      <c r="J278">
        <f>IFERROR(_xlfn.SINGLE(INDEX(#REF!,ROW()-1)),"")</f>
        <v>0</v>
      </c>
      <c r="K278">
        <f>IFERROR(_xlfn.SINGLE(INDEX(#REF!,ROW()-1)),"")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IFERROR(_xlfn.SINGLE(INDEX(#REF!,ROW()-1)),"")</f>
        <v>0</v>
      </c>
      <c r="C279">
        <f>IFERROR(_xlfn.SINGLE(INDEX(#REF!,ROW()-1)),"")</f>
        <v>0</v>
      </c>
      <c r="D279">
        <f>IFERROR(_xlfn.SINGLE(INDEX(#REF!,ROW()-1)),"")</f>
        <v>0</v>
      </c>
      <c r="E279">
        <f>IFERROR(_xlfn.SINGLE(INDEX(#REF!,ROW()-1)),"")</f>
        <v>0</v>
      </c>
      <c r="F279">
        <f>IFERROR(_xlfn.SINGLE(INDEX(#REF!,ROW()-1)),"")</f>
        <v>0</v>
      </c>
      <c r="G279">
        <f>IFERROR(_xlfn.SINGLE(INDEX(#REF!,ROW()-1)),"")</f>
        <v>0</v>
      </c>
      <c r="H279">
        <f>IFERROR(_xlfn.SINGLE(INDEX(#REF!,ROW()-1)),"")</f>
        <v>0</v>
      </c>
      <c r="I279">
        <f>IFERROR(_xlfn.SINGLE(INDEX(#REF!,ROW()-1)),"")</f>
        <v>0</v>
      </c>
      <c r="J279">
        <f>IFERROR(_xlfn.SINGLE(INDEX(#REF!,ROW()-1)),"")</f>
        <v>0</v>
      </c>
      <c r="K279">
        <f>IFERROR(_xlfn.SINGLE(INDEX(#REF!,ROW()-1)),"")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IFERROR(_xlfn.SINGLE(INDEX(#REF!,ROW()-1)),"")</f>
        <v>0</v>
      </c>
      <c r="C280">
        <f>IFERROR(_xlfn.SINGLE(INDEX(#REF!,ROW()-1)),"")</f>
        <v>0</v>
      </c>
      <c r="D280">
        <f>IFERROR(_xlfn.SINGLE(INDEX(#REF!,ROW()-1)),"")</f>
        <v>0</v>
      </c>
      <c r="E280">
        <f>IFERROR(_xlfn.SINGLE(INDEX(#REF!,ROW()-1)),"")</f>
        <v>0</v>
      </c>
      <c r="F280">
        <f>IFERROR(_xlfn.SINGLE(INDEX(#REF!,ROW()-1)),"")</f>
        <v>0</v>
      </c>
      <c r="G280">
        <f>IFERROR(_xlfn.SINGLE(INDEX(#REF!,ROW()-1)),"")</f>
        <v>0</v>
      </c>
      <c r="H280">
        <f>IFERROR(_xlfn.SINGLE(INDEX(#REF!,ROW()-1)),"")</f>
        <v>0</v>
      </c>
      <c r="I280">
        <f>IFERROR(_xlfn.SINGLE(INDEX(#REF!,ROW()-1)),"")</f>
        <v>0</v>
      </c>
      <c r="J280">
        <f>IFERROR(_xlfn.SINGLE(INDEX(#REF!,ROW()-1)),"")</f>
        <v>0</v>
      </c>
      <c r="K280">
        <f>IFERROR(_xlfn.SINGLE(INDEX(#REF!,ROW()-1)),"")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IFERROR(_xlfn.SINGLE(INDEX(#REF!,ROW()-1)),"")</f>
        <v>0</v>
      </c>
      <c r="C281">
        <f>IFERROR(_xlfn.SINGLE(INDEX(#REF!,ROW()-1)),"")</f>
        <v>0</v>
      </c>
      <c r="D281">
        <f>IFERROR(_xlfn.SINGLE(INDEX(#REF!,ROW()-1)),"")</f>
        <v>0</v>
      </c>
      <c r="E281">
        <f>IFERROR(_xlfn.SINGLE(INDEX(#REF!,ROW()-1)),"")</f>
        <v>0</v>
      </c>
      <c r="F281">
        <f>IFERROR(_xlfn.SINGLE(INDEX(#REF!,ROW()-1)),"")</f>
        <v>0</v>
      </c>
      <c r="G281">
        <f>IFERROR(_xlfn.SINGLE(INDEX(#REF!,ROW()-1)),"")</f>
        <v>0</v>
      </c>
      <c r="H281">
        <f>IFERROR(_xlfn.SINGLE(INDEX(#REF!,ROW()-1)),"")</f>
        <v>0</v>
      </c>
      <c r="I281">
        <f>IFERROR(_xlfn.SINGLE(INDEX(#REF!,ROW()-1)),"")</f>
        <v>0</v>
      </c>
      <c r="J281">
        <f>IFERROR(_xlfn.SINGLE(INDEX(#REF!,ROW()-1)),"")</f>
        <v>0</v>
      </c>
      <c r="K281">
        <f>IFERROR(_xlfn.SINGLE(INDEX(#REF!,ROW()-1)),"")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IFERROR(_xlfn.SINGLE(INDEX(#REF!,ROW()-1)),"")</f>
        <v>0</v>
      </c>
      <c r="C282">
        <f>IFERROR(_xlfn.SINGLE(INDEX(#REF!,ROW()-1)),"")</f>
        <v>0</v>
      </c>
      <c r="D282">
        <f>IFERROR(_xlfn.SINGLE(INDEX(#REF!,ROW()-1)),"")</f>
        <v>0</v>
      </c>
      <c r="E282">
        <f>IFERROR(_xlfn.SINGLE(INDEX(#REF!,ROW()-1)),"")</f>
        <v>0</v>
      </c>
      <c r="F282">
        <f>IFERROR(_xlfn.SINGLE(INDEX(#REF!,ROW()-1)),"")</f>
        <v>0</v>
      </c>
      <c r="G282">
        <f>IFERROR(_xlfn.SINGLE(INDEX(#REF!,ROW()-1)),"")</f>
        <v>0</v>
      </c>
      <c r="H282">
        <f>IFERROR(_xlfn.SINGLE(INDEX(#REF!,ROW()-1)),"")</f>
        <v>0</v>
      </c>
      <c r="I282">
        <f>IFERROR(_xlfn.SINGLE(INDEX(#REF!,ROW()-1)),"")</f>
        <v>0</v>
      </c>
      <c r="J282">
        <f>IFERROR(_xlfn.SINGLE(INDEX(#REF!,ROW()-1)),"")</f>
        <v>0</v>
      </c>
      <c r="K282">
        <f>IFERROR(_xlfn.SINGLE(INDEX(#REF!,ROW()-1)),"")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IFERROR(_xlfn.SINGLE(INDEX(#REF!,ROW()-1)),"")</f>
        <v>0</v>
      </c>
      <c r="C283">
        <f>IFERROR(_xlfn.SINGLE(INDEX(#REF!,ROW()-1)),"")</f>
        <v>0</v>
      </c>
      <c r="D283">
        <f>IFERROR(_xlfn.SINGLE(INDEX(#REF!,ROW()-1)),"")</f>
        <v>0</v>
      </c>
      <c r="E283">
        <f>IFERROR(_xlfn.SINGLE(INDEX(#REF!,ROW()-1)),"")</f>
        <v>0</v>
      </c>
      <c r="F283">
        <f>IFERROR(_xlfn.SINGLE(INDEX(#REF!,ROW()-1)),"")</f>
        <v>0</v>
      </c>
      <c r="G283">
        <f>IFERROR(_xlfn.SINGLE(INDEX(#REF!,ROW()-1)),"")</f>
        <v>0</v>
      </c>
      <c r="H283">
        <f>IFERROR(_xlfn.SINGLE(INDEX(#REF!,ROW()-1)),"")</f>
        <v>0</v>
      </c>
      <c r="I283">
        <f>IFERROR(_xlfn.SINGLE(INDEX(#REF!,ROW()-1)),"")</f>
        <v>0</v>
      </c>
      <c r="J283">
        <f>IFERROR(_xlfn.SINGLE(INDEX(#REF!,ROW()-1)),"")</f>
        <v>0</v>
      </c>
      <c r="K283">
        <f>IFERROR(_xlfn.SINGLE(INDEX(#REF!,ROW()-1)),"")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IFERROR(_xlfn.SINGLE(INDEX(#REF!,ROW()-1)),"")</f>
        <v>0</v>
      </c>
      <c r="C284">
        <f>IFERROR(_xlfn.SINGLE(INDEX(#REF!,ROW()-1)),"")</f>
        <v>0</v>
      </c>
      <c r="D284">
        <f>IFERROR(_xlfn.SINGLE(INDEX(#REF!,ROW()-1)),"")</f>
        <v>0</v>
      </c>
      <c r="E284">
        <f>IFERROR(_xlfn.SINGLE(INDEX(#REF!,ROW()-1)),"")</f>
        <v>0</v>
      </c>
      <c r="F284">
        <f>IFERROR(_xlfn.SINGLE(INDEX(#REF!,ROW()-1)),"")</f>
        <v>0</v>
      </c>
      <c r="G284">
        <f>IFERROR(_xlfn.SINGLE(INDEX(#REF!,ROW()-1)),"")</f>
        <v>0</v>
      </c>
      <c r="H284">
        <f>IFERROR(_xlfn.SINGLE(INDEX(#REF!,ROW()-1)),"")</f>
        <v>0</v>
      </c>
      <c r="I284">
        <f>IFERROR(_xlfn.SINGLE(INDEX(#REF!,ROW()-1)),"")</f>
        <v>0</v>
      </c>
      <c r="J284">
        <f>IFERROR(_xlfn.SINGLE(INDEX(#REF!,ROW()-1)),"")</f>
        <v>0</v>
      </c>
      <c r="K284">
        <f>IFERROR(_xlfn.SINGLE(INDEX(#REF!,ROW()-1)),"")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IFERROR(_xlfn.SINGLE(INDEX(#REF!,ROW()-1)),"")</f>
        <v>0</v>
      </c>
      <c r="C285">
        <f>IFERROR(_xlfn.SINGLE(INDEX(#REF!,ROW()-1)),"")</f>
        <v>0</v>
      </c>
      <c r="D285">
        <f>IFERROR(_xlfn.SINGLE(INDEX(#REF!,ROW()-1)),"")</f>
        <v>0</v>
      </c>
      <c r="E285">
        <f>IFERROR(_xlfn.SINGLE(INDEX(#REF!,ROW()-1)),"")</f>
        <v>0</v>
      </c>
      <c r="F285">
        <f>IFERROR(_xlfn.SINGLE(INDEX(#REF!,ROW()-1)),"")</f>
        <v>0</v>
      </c>
      <c r="G285">
        <f>IFERROR(_xlfn.SINGLE(INDEX(#REF!,ROW()-1)),"")</f>
        <v>0</v>
      </c>
      <c r="H285">
        <f>IFERROR(_xlfn.SINGLE(INDEX(#REF!,ROW()-1)),"")</f>
        <v>0</v>
      </c>
      <c r="I285">
        <f>IFERROR(_xlfn.SINGLE(INDEX(#REF!,ROW()-1)),"")</f>
        <v>0</v>
      </c>
      <c r="J285">
        <f>IFERROR(_xlfn.SINGLE(INDEX(#REF!,ROW()-1)),"")</f>
        <v>0</v>
      </c>
      <c r="K285">
        <f>IFERROR(_xlfn.SINGLE(INDEX(#REF!,ROW()-1)),"")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IFERROR(_xlfn.SINGLE(INDEX(#REF!,ROW()-1)),"")</f>
        <v>0</v>
      </c>
      <c r="C286">
        <f>IFERROR(_xlfn.SINGLE(INDEX(#REF!,ROW()-1)),"")</f>
        <v>0</v>
      </c>
      <c r="D286">
        <f>IFERROR(_xlfn.SINGLE(INDEX(#REF!,ROW()-1)),"")</f>
        <v>0</v>
      </c>
      <c r="E286">
        <f>IFERROR(_xlfn.SINGLE(INDEX(#REF!,ROW()-1)),"")</f>
        <v>0</v>
      </c>
      <c r="F286">
        <f>IFERROR(_xlfn.SINGLE(INDEX(#REF!,ROW()-1)),"")</f>
        <v>0</v>
      </c>
      <c r="G286">
        <f>IFERROR(_xlfn.SINGLE(INDEX(#REF!,ROW()-1)),"")</f>
        <v>0</v>
      </c>
      <c r="H286">
        <f>IFERROR(_xlfn.SINGLE(INDEX(#REF!,ROW()-1)),"")</f>
        <v>0</v>
      </c>
      <c r="I286">
        <f>IFERROR(_xlfn.SINGLE(INDEX(#REF!,ROW()-1)),"")</f>
        <v>0</v>
      </c>
      <c r="J286">
        <f>IFERROR(_xlfn.SINGLE(INDEX(#REF!,ROW()-1)),"")</f>
        <v>0</v>
      </c>
      <c r="K286">
        <f>IFERROR(_xlfn.SINGLE(INDEX(#REF!,ROW()-1)),"")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IFERROR(_xlfn.SINGLE(INDEX(#REF!,ROW()-1)),"")</f>
        <v>0</v>
      </c>
      <c r="C287">
        <f>IFERROR(_xlfn.SINGLE(INDEX(#REF!,ROW()-1)),"")</f>
        <v>0</v>
      </c>
      <c r="D287">
        <f>IFERROR(_xlfn.SINGLE(INDEX(#REF!,ROW()-1)),"")</f>
        <v>0</v>
      </c>
      <c r="E287">
        <f>IFERROR(_xlfn.SINGLE(INDEX(#REF!,ROW()-1)),"")</f>
        <v>0</v>
      </c>
      <c r="F287">
        <f>IFERROR(_xlfn.SINGLE(INDEX(#REF!,ROW()-1)),"")</f>
        <v>0</v>
      </c>
      <c r="G287">
        <f>IFERROR(_xlfn.SINGLE(INDEX(#REF!,ROW()-1)),"")</f>
        <v>0</v>
      </c>
      <c r="H287">
        <f>IFERROR(_xlfn.SINGLE(INDEX(#REF!,ROW()-1)),"")</f>
        <v>0</v>
      </c>
      <c r="I287">
        <f>IFERROR(_xlfn.SINGLE(INDEX(#REF!,ROW()-1)),"")</f>
        <v>0</v>
      </c>
      <c r="J287">
        <f>IFERROR(_xlfn.SINGLE(INDEX(#REF!,ROW()-1)),"")</f>
        <v>0</v>
      </c>
      <c r="K287">
        <f>IFERROR(_xlfn.SINGLE(INDEX(#REF!,ROW()-1)),"")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IFERROR(_xlfn.SINGLE(INDEX(#REF!,ROW()-1)),"")</f>
        <v>0</v>
      </c>
      <c r="C288">
        <f>IFERROR(_xlfn.SINGLE(INDEX(#REF!,ROW()-1)),"")</f>
        <v>0</v>
      </c>
      <c r="D288">
        <f>IFERROR(_xlfn.SINGLE(INDEX(#REF!,ROW()-1)),"")</f>
        <v>0</v>
      </c>
      <c r="E288">
        <f>IFERROR(_xlfn.SINGLE(INDEX(#REF!,ROW()-1)),"")</f>
        <v>0</v>
      </c>
      <c r="F288">
        <f>IFERROR(_xlfn.SINGLE(INDEX(#REF!,ROW()-1)),"")</f>
        <v>0</v>
      </c>
      <c r="G288">
        <f>IFERROR(_xlfn.SINGLE(INDEX(#REF!,ROW()-1)),"")</f>
        <v>0</v>
      </c>
      <c r="H288">
        <f>IFERROR(_xlfn.SINGLE(INDEX(#REF!,ROW()-1)),"")</f>
        <v>0</v>
      </c>
      <c r="I288">
        <f>IFERROR(_xlfn.SINGLE(INDEX(#REF!,ROW()-1)),"")</f>
        <v>0</v>
      </c>
      <c r="J288">
        <f>IFERROR(_xlfn.SINGLE(INDEX(#REF!,ROW()-1)),"")</f>
        <v>0</v>
      </c>
      <c r="K288">
        <f>IFERROR(_xlfn.SINGLE(INDEX(#REF!,ROW()-1)),"")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IFERROR(_xlfn.SINGLE(INDEX(#REF!,ROW()-1)),"")</f>
        <v>0</v>
      </c>
      <c r="C289">
        <f>IFERROR(_xlfn.SINGLE(INDEX(#REF!,ROW()-1)),"")</f>
        <v>0</v>
      </c>
      <c r="D289">
        <f>IFERROR(_xlfn.SINGLE(INDEX(#REF!,ROW()-1)),"")</f>
        <v>0</v>
      </c>
      <c r="E289">
        <f>IFERROR(_xlfn.SINGLE(INDEX(#REF!,ROW()-1)),"")</f>
        <v>0</v>
      </c>
      <c r="F289">
        <f>IFERROR(_xlfn.SINGLE(INDEX(#REF!,ROW()-1)),"")</f>
        <v>0</v>
      </c>
      <c r="G289">
        <f>IFERROR(_xlfn.SINGLE(INDEX(#REF!,ROW()-1)),"")</f>
        <v>0</v>
      </c>
      <c r="H289">
        <f>IFERROR(_xlfn.SINGLE(INDEX(#REF!,ROW()-1)),"")</f>
        <v>0</v>
      </c>
      <c r="I289">
        <f>IFERROR(_xlfn.SINGLE(INDEX(#REF!,ROW()-1)),"")</f>
        <v>0</v>
      </c>
      <c r="J289">
        <f>IFERROR(_xlfn.SINGLE(INDEX(#REF!,ROW()-1)),"")</f>
        <v>0</v>
      </c>
      <c r="K289">
        <f>IFERROR(_xlfn.SINGLE(INDEX(#REF!,ROW()-1)),"")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IFERROR(_xlfn.SINGLE(INDEX(#REF!,ROW()-1)),"")</f>
        <v>0</v>
      </c>
      <c r="C290">
        <f>IFERROR(_xlfn.SINGLE(INDEX(#REF!,ROW()-1)),"")</f>
        <v>0</v>
      </c>
      <c r="D290">
        <f>IFERROR(_xlfn.SINGLE(INDEX(#REF!,ROW()-1)),"")</f>
        <v>0</v>
      </c>
      <c r="E290">
        <f>IFERROR(_xlfn.SINGLE(INDEX(#REF!,ROW()-1)),"")</f>
        <v>0</v>
      </c>
      <c r="F290">
        <f>IFERROR(_xlfn.SINGLE(INDEX(#REF!,ROW()-1)),"")</f>
        <v>0</v>
      </c>
      <c r="G290">
        <f>IFERROR(_xlfn.SINGLE(INDEX(#REF!,ROW()-1)),"")</f>
        <v>0</v>
      </c>
      <c r="H290">
        <f>IFERROR(_xlfn.SINGLE(INDEX(#REF!,ROW()-1)),"")</f>
        <v>0</v>
      </c>
      <c r="I290">
        <f>IFERROR(_xlfn.SINGLE(INDEX(#REF!,ROW()-1)),"")</f>
        <v>0</v>
      </c>
      <c r="J290">
        <f>IFERROR(_xlfn.SINGLE(INDEX(#REF!,ROW()-1)),"")</f>
        <v>0</v>
      </c>
      <c r="K290">
        <f>IFERROR(_xlfn.SINGLE(INDEX(#REF!,ROW()-1)),"")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IFERROR(_xlfn.SINGLE(INDEX(#REF!,ROW()-1)),"")</f>
        <v>0</v>
      </c>
      <c r="C291">
        <f>IFERROR(_xlfn.SINGLE(INDEX(#REF!,ROW()-1)),"")</f>
        <v>0</v>
      </c>
      <c r="D291">
        <f>IFERROR(_xlfn.SINGLE(INDEX(#REF!,ROW()-1)),"")</f>
        <v>0</v>
      </c>
      <c r="E291">
        <f>IFERROR(_xlfn.SINGLE(INDEX(#REF!,ROW()-1)),"")</f>
        <v>0</v>
      </c>
      <c r="F291">
        <f>IFERROR(_xlfn.SINGLE(INDEX(#REF!,ROW()-1)),"")</f>
        <v>0</v>
      </c>
      <c r="G291">
        <f>IFERROR(_xlfn.SINGLE(INDEX(#REF!,ROW()-1)),"")</f>
        <v>0</v>
      </c>
      <c r="H291">
        <f>IFERROR(_xlfn.SINGLE(INDEX(#REF!,ROW()-1)),"")</f>
        <v>0</v>
      </c>
      <c r="I291">
        <f>IFERROR(_xlfn.SINGLE(INDEX(#REF!,ROW()-1)),"")</f>
        <v>0</v>
      </c>
      <c r="J291">
        <f>IFERROR(_xlfn.SINGLE(INDEX(#REF!,ROW()-1)),"")</f>
        <v>0</v>
      </c>
      <c r="K291">
        <f>IFERROR(_xlfn.SINGLE(INDEX(#REF!,ROW()-1)),"")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IFERROR(_xlfn.SINGLE(INDEX(#REF!,ROW()-1)),"")</f>
        <v>0</v>
      </c>
      <c r="C292">
        <f>IFERROR(_xlfn.SINGLE(INDEX(#REF!,ROW()-1)),"")</f>
        <v>0</v>
      </c>
      <c r="D292">
        <f>IFERROR(_xlfn.SINGLE(INDEX(#REF!,ROW()-1)),"")</f>
        <v>0</v>
      </c>
      <c r="E292">
        <f>IFERROR(_xlfn.SINGLE(INDEX(#REF!,ROW()-1)),"")</f>
        <v>0</v>
      </c>
      <c r="F292">
        <f>IFERROR(_xlfn.SINGLE(INDEX(#REF!,ROW()-1)),"")</f>
        <v>0</v>
      </c>
      <c r="G292">
        <f>IFERROR(_xlfn.SINGLE(INDEX(#REF!,ROW()-1)),"")</f>
        <v>0</v>
      </c>
      <c r="H292">
        <f>IFERROR(_xlfn.SINGLE(INDEX(#REF!,ROW()-1)),"")</f>
        <v>0</v>
      </c>
      <c r="I292">
        <f>IFERROR(_xlfn.SINGLE(INDEX(#REF!,ROW()-1)),"")</f>
        <v>0</v>
      </c>
      <c r="J292">
        <f>IFERROR(_xlfn.SINGLE(INDEX(#REF!,ROW()-1)),"")</f>
        <v>0</v>
      </c>
      <c r="K292">
        <f>IFERROR(_xlfn.SINGLE(INDEX(#REF!,ROW()-1)),"")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IFERROR(_xlfn.SINGLE(INDEX(#REF!,ROW()-1)),"")</f>
        <v>0</v>
      </c>
      <c r="C293">
        <f>IFERROR(_xlfn.SINGLE(INDEX(#REF!,ROW()-1)),"")</f>
        <v>0</v>
      </c>
      <c r="D293">
        <f>IFERROR(_xlfn.SINGLE(INDEX(#REF!,ROW()-1)),"")</f>
        <v>0</v>
      </c>
      <c r="E293">
        <f>IFERROR(_xlfn.SINGLE(INDEX(#REF!,ROW()-1)),"")</f>
        <v>0</v>
      </c>
      <c r="F293">
        <f>IFERROR(_xlfn.SINGLE(INDEX(#REF!,ROW()-1)),"")</f>
        <v>0</v>
      </c>
      <c r="G293">
        <f>IFERROR(_xlfn.SINGLE(INDEX(#REF!,ROW()-1)),"")</f>
        <v>0</v>
      </c>
      <c r="H293">
        <f>IFERROR(_xlfn.SINGLE(INDEX(#REF!,ROW()-1)),"")</f>
        <v>0</v>
      </c>
      <c r="I293">
        <f>IFERROR(_xlfn.SINGLE(INDEX(#REF!,ROW()-1)),"")</f>
        <v>0</v>
      </c>
      <c r="J293">
        <f>IFERROR(_xlfn.SINGLE(INDEX(#REF!,ROW()-1)),"")</f>
        <v>0</v>
      </c>
      <c r="K293">
        <f>IFERROR(_xlfn.SINGLE(INDEX(#REF!,ROW()-1)),"")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IFERROR(_xlfn.SINGLE(INDEX(#REF!,ROW()-1)),"")</f>
        <v>0</v>
      </c>
      <c r="C294">
        <f>IFERROR(_xlfn.SINGLE(INDEX(#REF!,ROW()-1)),"")</f>
        <v>0</v>
      </c>
      <c r="D294">
        <f>IFERROR(_xlfn.SINGLE(INDEX(#REF!,ROW()-1)),"")</f>
        <v>0</v>
      </c>
      <c r="E294">
        <f>IFERROR(_xlfn.SINGLE(INDEX(#REF!,ROW()-1)),"")</f>
        <v>0</v>
      </c>
      <c r="F294">
        <f>IFERROR(_xlfn.SINGLE(INDEX(#REF!,ROW()-1)),"")</f>
        <v>0</v>
      </c>
      <c r="G294">
        <f>IFERROR(_xlfn.SINGLE(INDEX(#REF!,ROW()-1)),"")</f>
        <v>0</v>
      </c>
      <c r="H294">
        <f>IFERROR(_xlfn.SINGLE(INDEX(#REF!,ROW()-1)),"")</f>
        <v>0</v>
      </c>
      <c r="I294">
        <f>IFERROR(_xlfn.SINGLE(INDEX(#REF!,ROW()-1)),"")</f>
        <v>0</v>
      </c>
      <c r="J294">
        <f>IFERROR(_xlfn.SINGLE(INDEX(#REF!,ROW()-1)),"")</f>
        <v>0</v>
      </c>
      <c r="K294">
        <f>IFERROR(_xlfn.SINGLE(INDEX(#REF!,ROW()-1)),"")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IFERROR(_xlfn.SINGLE(INDEX(#REF!,ROW()-1)),"")</f>
        <v>0</v>
      </c>
      <c r="C295">
        <f>IFERROR(_xlfn.SINGLE(INDEX(#REF!,ROW()-1)),"")</f>
        <v>0</v>
      </c>
      <c r="D295">
        <f>IFERROR(_xlfn.SINGLE(INDEX(#REF!,ROW()-1)),"")</f>
        <v>0</v>
      </c>
      <c r="E295">
        <f>IFERROR(_xlfn.SINGLE(INDEX(#REF!,ROW()-1)),"")</f>
        <v>0</v>
      </c>
      <c r="F295">
        <f>IFERROR(_xlfn.SINGLE(INDEX(#REF!,ROW()-1)),"")</f>
        <v>0</v>
      </c>
      <c r="G295">
        <f>IFERROR(_xlfn.SINGLE(INDEX(#REF!,ROW()-1)),"")</f>
        <v>0</v>
      </c>
      <c r="H295">
        <f>IFERROR(_xlfn.SINGLE(INDEX(#REF!,ROW()-1)),"")</f>
        <v>0</v>
      </c>
      <c r="I295">
        <f>IFERROR(_xlfn.SINGLE(INDEX(#REF!,ROW()-1)),"")</f>
        <v>0</v>
      </c>
      <c r="J295">
        <f>IFERROR(_xlfn.SINGLE(INDEX(#REF!,ROW()-1)),"")</f>
        <v>0</v>
      </c>
      <c r="K295">
        <f>IFERROR(_xlfn.SINGLE(INDEX(#REF!,ROW()-1)),"")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IFERROR(_xlfn.SINGLE(INDEX(#REF!,ROW()-1)),"")</f>
        <v>0</v>
      </c>
      <c r="C296">
        <f>IFERROR(_xlfn.SINGLE(INDEX(#REF!,ROW()-1)),"")</f>
        <v>0</v>
      </c>
      <c r="D296">
        <f>IFERROR(_xlfn.SINGLE(INDEX(#REF!,ROW()-1)),"")</f>
        <v>0</v>
      </c>
      <c r="E296">
        <f>IFERROR(_xlfn.SINGLE(INDEX(#REF!,ROW()-1)),"")</f>
        <v>0</v>
      </c>
      <c r="F296">
        <f>IFERROR(_xlfn.SINGLE(INDEX(#REF!,ROW()-1)),"")</f>
        <v>0</v>
      </c>
      <c r="G296">
        <f>IFERROR(_xlfn.SINGLE(INDEX(#REF!,ROW()-1)),"")</f>
        <v>0</v>
      </c>
      <c r="H296">
        <f>IFERROR(_xlfn.SINGLE(INDEX(#REF!,ROW()-1)),"")</f>
        <v>0</v>
      </c>
      <c r="I296">
        <f>IFERROR(_xlfn.SINGLE(INDEX(#REF!,ROW()-1)),"")</f>
        <v>0</v>
      </c>
      <c r="J296">
        <f>IFERROR(_xlfn.SINGLE(INDEX(#REF!,ROW()-1)),"")</f>
        <v>0</v>
      </c>
      <c r="K296">
        <f>IFERROR(_xlfn.SINGLE(INDEX(#REF!,ROW()-1)),"")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IFERROR(_xlfn.SINGLE(INDEX(#REF!,ROW()-1)),"")</f>
        <v>0</v>
      </c>
      <c r="C297">
        <f>IFERROR(_xlfn.SINGLE(INDEX(#REF!,ROW()-1)),"")</f>
        <v>0</v>
      </c>
      <c r="D297">
        <f>IFERROR(_xlfn.SINGLE(INDEX(#REF!,ROW()-1)),"")</f>
        <v>0</v>
      </c>
      <c r="E297">
        <f>IFERROR(_xlfn.SINGLE(INDEX(#REF!,ROW()-1)),"")</f>
        <v>0</v>
      </c>
      <c r="F297">
        <f>IFERROR(_xlfn.SINGLE(INDEX(#REF!,ROW()-1)),"")</f>
        <v>0</v>
      </c>
      <c r="G297">
        <f>IFERROR(_xlfn.SINGLE(INDEX(#REF!,ROW()-1)),"")</f>
        <v>0</v>
      </c>
      <c r="H297">
        <f>IFERROR(_xlfn.SINGLE(INDEX(#REF!,ROW()-1)),"")</f>
        <v>0</v>
      </c>
      <c r="I297">
        <f>IFERROR(_xlfn.SINGLE(INDEX(#REF!,ROW()-1)),"")</f>
        <v>0</v>
      </c>
      <c r="J297">
        <f>IFERROR(_xlfn.SINGLE(INDEX(#REF!,ROW()-1)),"")</f>
        <v>0</v>
      </c>
      <c r="K297">
        <f>IFERROR(_xlfn.SINGLE(INDEX(#REF!,ROW()-1)),"")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IFERROR(_xlfn.SINGLE(INDEX(#REF!,ROW()-1)),"")</f>
        <v>0</v>
      </c>
      <c r="C298">
        <f>IFERROR(_xlfn.SINGLE(INDEX(#REF!,ROW()-1)),"")</f>
        <v>0</v>
      </c>
      <c r="D298">
        <f>IFERROR(_xlfn.SINGLE(INDEX(#REF!,ROW()-1)),"")</f>
        <v>0</v>
      </c>
      <c r="E298">
        <f>IFERROR(_xlfn.SINGLE(INDEX(#REF!,ROW()-1)),"")</f>
        <v>0</v>
      </c>
      <c r="F298">
        <f>IFERROR(_xlfn.SINGLE(INDEX(#REF!,ROW()-1)),"")</f>
        <v>0</v>
      </c>
      <c r="G298">
        <f>IFERROR(_xlfn.SINGLE(INDEX(#REF!,ROW()-1)),"")</f>
        <v>0</v>
      </c>
      <c r="H298">
        <f>IFERROR(_xlfn.SINGLE(INDEX(#REF!,ROW()-1)),"")</f>
        <v>0</v>
      </c>
      <c r="I298">
        <f>IFERROR(_xlfn.SINGLE(INDEX(#REF!,ROW()-1)),"")</f>
        <v>0</v>
      </c>
      <c r="J298">
        <f>IFERROR(_xlfn.SINGLE(INDEX(#REF!,ROW()-1)),"")</f>
        <v>0</v>
      </c>
      <c r="K298">
        <f>IFERROR(_xlfn.SINGLE(INDEX(#REF!,ROW()-1)),"")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IFERROR(_xlfn.SINGLE(INDEX(#REF!,ROW()-1)),"")</f>
        <v>0</v>
      </c>
      <c r="C299">
        <f>IFERROR(_xlfn.SINGLE(INDEX(#REF!,ROW()-1)),"")</f>
        <v>0</v>
      </c>
      <c r="D299">
        <f>IFERROR(_xlfn.SINGLE(INDEX(#REF!,ROW()-1)),"")</f>
        <v>0</v>
      </c>
      <c r="E299">
        <f>IFERROR(_xlfn.SINGLE(INDEX(#REF!,ROW()-1)),"")</f>
        <v>0</v>
      </c>
      <c r="F299">
        <f>IFERROR(_xlfn.SINGLE(INDEX(#REF!,ROW()-1)),"")</f>
        <v>0</v>
      </c>
      <c r="G299">
        <f>IFERROR(_xlfn.SINGLE(INDEX(#REF!,ROW()-1)),"")</f>
        <v>0</v>
      </c>
      <c r="H299">
        <f>IFERROR(_xlfn.SINGLE(INDEX(#REF!,ROW()-1)),"")</f>
        <v>0</v>
      </c>
      <c r="I299">
        <f>IFERROR(_xlfn.SINGLE(INDEX(#REF!,ROW()-1)),"")</f>
        <v>0</v>
      </c>
      <c r="J299">
        <f>IFERROR(_xlfn.SINGLE(INDEX(#REF!,ROW()-1)),"")</f>
        <v>0</v>
      </c>
      <c r="K299">
        <f>IFERROR(_xlfn.SINGLE(INDEX(#REF!,ROW()-1)),"")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IFERROR(_xlfn.SINGLE(INDEX(#REF!,ROW()-1)),"")</f>
        <v>0</v>
      </c>
      <c r="C300">
        <f>IFERROR(_xlfn.SINGLE(INDEX(#REF!,ROW()-1)),"")</f>
        <v>0</v>
      </c>
      <c r="D300">
        <f>IFERROR(_xlfn.SINGLE(INDEX(#REF!,ROW()-1)),"")</f>
        <v>0</v>
      </c>
      <c r="E300">
        <f>IFERROR(_xlfn.SINGLE(INDEX(#REF!,ROW()-1)),"")</f>
        <v>0</v>
      </c>
      <c r="F300">
        <f>IFERROR(_xlfn.SINGLE(INDEX(#REF!,ROW()-1)),"")</f>
        <v>0</v>
      </c>
      <c r="G300">
        <f>IFERROR(_xlfn.SINGLE(INDEX(#REF!,ROW()-1)),"")</f>
        <v>0</v>
      </c>
      <c r="H300">
        <f>IFERROR(_xlfn.SINGLE(INDEX(#REF!,ROW()-1)),"")</f>
        <v>0</v>
      </c>
      <c r="I300">
        <f>IFERROR(_xlfn.SINGLE(INDEX(#REF!,ROW()-1)),"")</f>
        <v>0</v>
      </c>
      <c r="J300">
        <f>IFERROR(_xlfn.SINGLE(INDEX(#REF!,ROW()-1)),"")</f>
        <v>0</v>
      </c>
      <c r="K300">
        <f>IFERROR(_xlfn.SINGLE(INDEX(#REF!,ROW()-1)),"")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IFERROR(_xlfn.SINGLE(INDEX(#REF!,ROW()-1)),"")</f>
        <v>0</v>
      </c>
      <c r="C301">
        <f>IFERROR(_xlfn.SINGLE(INDEX(#REF!,ROW()-1)),"")</f>
        <v>0</v>
      </c>
      <c r="D301">
        <f>IFERROR(_xlfn.SINGLE(INDEX(#REF!,ROW()-1)),"")</f>
        <v>0</v>
      </c>
      <c r="E301">
        <f>IFERROR(_xlfn.SINGLE(INDEX(#REF!,ROW()-1)),"")</f>
        <v>0</v>
      </c>
      <c r="F301">
        <f>IFERROR(_xlfn.SINGLE(INDEX(#REF!,ROW()-1)),"")</f>
        <v>0</v>
      </c>
      <c r="G301">
        <f>IFERROR(_xlfn.SINGLE(INDEX(#REF!,ROW()-1)),"")</f>
        <v>0</v>
      </c>
      <c r="H301">
        <f>IFERROR(_xlfn.SINGLE(INDEX(#REF!,ROW()-1)),"")</f>
        <v>0</v>
      </c>
      <c r="I301">
        <f>IFERROR(_xlfn.SINGLE(INDEX(#REF!,ROW()-1)),"")</f>
        <v>0</v>
      </c>
      <c r="J301">
        <f>IFERROR(_xlfn.SINGLE(INDEX(#REF!,ROW()-1)),"")</f>
        <v>0</v>
      </c>
      <c r="K301">
        <f>IFERROR(_xlfn.SINGLE(INDEX(#REF!,ROW()-1)),"")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IFERROR(_xlfn.SINGLE(INDEX(#REF!,ROW()-1)),"")</f>
        <v>0</v>
      </c>
      <c r="C302">
        <f>IFERROR(_xlfn.SINGLE(INDEX(#REF!,ROW()-1)),"")</f>
        <v>0</v>
      </c>
      <c r="D302">
        <f>IFERROR(_xlfn.SINGLE(INDEX(#REF!,ROW()-1)),"")</f>
        <v>0</v>
      </c>
      <c r="E302">
        <f>IFERROR(_xlfn.SINGLE(INDEX(#REF!,ROW()-1)),"")</f>
        <v>0</v>
      </c>
      <c r="F302">
        <f>IFERROR(_xlfn.SINGLE(INDEX(#REF!,ROW()-1)),"")</f>
        <v>0</v>
      </c>
      <c r="G302">
        <f>IFERROR(_xlfn.SINGLE(INDEX(#REF!,ROW()-1)),"")</f>
        <v>0</v>
      </c>
      <c r="H302">
        <f>IFERROR(_xlfn.SINGLE(INDEX(#REF!,ROW()-1)),"")</f>
        <v>0</v>
      </c>
      <c r="I302">
        <f>IFERROR(_xlfn.SINGLE(INDEX(#REF!,ROW()-1)),"")</f>
        <v>0</v>
      </c>
      <c r="J302">
        <f>IFERROR(_xlfn.SINGLE(INDEX(#REF!,ROW()-1)),"")</f>
        <v>0</v>
      </c>
      <c r="K302">
        <f>IFERROR(_xlfn.SINGLE(INDEX(#REF!,ROW()-1)),"")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IFERROR(_xlfn.SINGLE(INDEX(#REF!,ROW()-1)),"")</f>
        <v>0</v>
      </c>
      <c r="C303">
        <f>IFERROR(_xlfn.SINGLE(INDEX(#REF!,ROW()-1)),"")</f>
        <v>0</v>
      </c>
      <c r="D303">
        <f>IFERROR(_xlfn.SINGLE(INDEX(#REF!,ROW()-1)),"")</f>
        <v>0</v>
      </c>
      <c r="E303">
        <f>IFERROR(_xlfn.SINGLE(INDEX(#REF!,ROW()-1)),"")</f>
        <v>0</v>
      </c>
      <c r="F303">
        <f>IFERROR(_xlfn.SINGLE(INDEX(#REF!,ROW()-1)),"")</f>
        <v>0</v>
      </c>
      <c r="G303">
        <f>IFERROR(_xlfn.SINGLE(INDEX(#REF!,ROW()-1)),"")</f>
        <v>0</v>
      </c>
      <c r="H303">
        <f>IFERROR(_xlfn.SINGLE(INDEX(#REF!,ROW()-1)),"")</f>
        <v>0</v>
      </c>
      <c r="I303">
        <f>IFERROR(_xlfn.SINGLE(INDEX(#REF!,ROW()-1)),"")</f>
        <v>0</v>
      </c>
      <c r="J303">
        <f>IFERROR(_xlfn.SINGLE(INDEX(#REF!,ROW()-1)),"")</f>
        <v>0</v>
      </c>
      <c r="K303">
        <f>IFERROR(_xlfn.SINGLE(INDEX(#REF!,ROW()-1)),"")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IFERROR(_xlfn.SINGLE(INDEX(#REF!,ROW()-1)),"")</f>
        <v>0</v>
      </c>
      <c r="C304">
        <f>IFERROR(_xlfn.SINGLE(INDEX(#REF!,ROW()-1)),"")</f>
        <v>0</v>
      </c>
      <c r="D304">
        <f>IFERROR(_xlfn.SINGLE(INDEX(#REF!,ROW()-1)),"")</f>
        <v>0</v>
      </c>
      <c r="E304">
        <f>IFERROR(_xlfn.SINGLE(INDEX(#REF!,ROW()-1)),"")</f>
        <v>0</v>
      </c>
      <c r="F304">
        <f>IFERROR(_xlfn.SINGLE(INDEX(#REF!,ROW()-1)),"")</f>
        <v>0</v>
      </c>
      <c r="G304">
        <f>IFERROR(_xlfn.SINGLE(INDEX(#REF!,ROW()-1)),"")</f>
        <v>0</v>
      </c>
      <c r="H304">
        <f>IFERROR(_xlfn.SINGLE(INDEX(#REF!,ROW()-1)),"")</f>
        <v>0</v>
      </c>
      <c r="I304">
        <f>IFERROR(_xlfn.SINGLE(INDEX(#REF!,ROW()-1)),"")</f>
        <v>0</v>
      </c>
      <c r="J304">
        <f>IFERROR(_xlfn.SINGLE(INDEX(#REF!,ROW()-1)),"")</f>
        <v>0</v>
      </c>
      <c r="K304">
        <f>IFERROR(_xlfn.SINGLE(INDEX(#REF!,ROW()-1)),"")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IFERROR(_xlfn.SINGLE(INDEX(#REF!,ROW()-1)),"")</f>
        <v>0</v>
      </c>
      <c r="C305">
        <f>IFERROR(_xlfn.SINGLE(INDEX(#REF!,ROW()-1)),"")</f>
        <v>0</v>
      </c>
      <c r="D305">
        <f>IFERROR(_xlfn.SINGLE(INDEX(#REF!,ROW()-1)),"")</f>
        <v>0</v>
      </c>
      <c r="E305">
        <f>IFERROR(_xlfn.SINGLE(INDEX(#REF!,ROW()-1)),"")</f>
        <v>0</v>
      </c>
      <c r="F305">
        <f>IFERROR(_xlfn.SINGLE(INDEX(#REF!,ROW()-1)),"")</f>
        <v>0</v>
      </c>
      <c r="G305">
        <f>IFERROR(_xlfn.SINGLE(INDEX(#REF!,ROW()-1)),"")</f>
        <v>0</v>
      </c>
      <c r="H305">
        <f>IFERROR(_xlfn.SINGLE(INDEX(#REF!,ROW()-1)),"")</f>
        <v>0</v>
      </c>
      <c r="I305">
        <f>IFERROR(_xlfn.SINGLE(INDEX(#REF!,ROW()-1)),"")</f>
        <v>0</v>
      </c>
      <c r="J305">
        <f>IFERROR(_xlfn.SINGLE(INDEX(#REF!,ROW()-1)),"")</f>
        <v>0</v>
      </c>
      <c r="K305">
        <f>IFERROR(_xlfn.SINGLE(INDEX(#REF!,ROW()-1)),"")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IFERROR(_xlfn.SINGLE(INDEX(#REF!,ROW()-1)),"")</f>
        <v>0</v>
      </c>
      <c r="C306">
        <f>IFERROR(_xlfn.SINGLE(INDEX(#REF!,ROW()-1)),"")</f>
        <v>0</v>
      </c>
      <c r="D306">
        <f>IFERROR(_xlfn.SINGLE(INDEX(#REF!,ROW()-1)),"")</f>
        <v>0</v>
      </c>
      <c r="E306">
        <f>IFERROR(_xlfn.SINGLE(INDEX(#REF!,ROW()-1)),"")</f>
        <v>0</v>
      </c>
      <c r="F306">
        <f>IFERROR(_xlfn.SINGLE(INDEX(#REF!,ROW()-1)),"")</f>
        <v>0</v>
      </c>
      <c r="G306">
        <f>IFERROR(_xlfn.SINGLE(INDEX(#REF!,ROW()-1)),"")</f>
        <v>0</v>
      </c>
      <c r="H306">
        <f>IFERROR(_xlfn.SINGLE(INDEX(#REF!,ROW()-1)),"")</f>
        <v>0</v>
      </c>
      <c r="I306">
        <f>IFERROR(_xlfn.SINGLE(INDEX(#REF!,ROW()-1)),"")</f>
        <v>0</v>
      </c>
      <c r="J306">
        <f>IFERROR(_xlfn.SINGLE(INDEX(#REF!,ROW()-1)),"")</f>
        <v>0</v>
      </c>
      <c r="K306">
        <f>IFERROR(_xlfn.SINGLE(INDEX(#REF!,ROW()-1)),"")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IFERROR(_xlfn.SINGLE(INDEX(#REF!,ROW()-1)),"")</f>
        <v>0</v>
      </c>
      <c r="C307">
        <f>IFERROR(_xlfn.SINGLE(INDEX(#REF!,ROW()-1)),"")</f>
        <v>0</v>
      </c>
      <c r="D307">
        <f>IFERROR(_xlfn.SINGLE(INDEX(#REF!,ROW()-1)),"")</f>
        <v>0</v>
      </c>
      <c r="E307">
        <f>IFERROR(_xlfn.SINGLE(INDEX(#REF!,ROW()-1)),"")</f>
        <v>0</v>
      </c>
      <c r="F307">
        <f>IFERROR(_xlfn.SINGLE(INDEX(#REF!,ROW()-1)),"")</f>
        <v>0</v>
      </c>
      <c r="G307">
        <f>IFERROR(_xlfn.SINGLE(INDEX(#REF!,ROW()-1)),"")</f>
        <v>0</v>
      </c>
      <c r="H307">
        <f>IFERROR(_xlfn.SINGLE(INDEX(#REF!,ROW()-1)),"")</f>
        <v>0</v>
      </c>
      <c r="I307">
        <f>IFERROR(_xlfn.SINGLE(INDEX(#REF!,ROW()-1)),"")</f>
        <v>0</v>
      </c>
      <c r="J307">
        <f>IFERROR(_xlfn.SINGLE(INDEX(#REF!,ROW()-1)),"")</f>
        <v>0</v>
      </c>
      <c r="K307">
        <f>IFERROR(_xlfn.SINGLE(INDEX(#REF!,ROW()-1)),"")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IFERROR(_xlfn.SINGLE(INDEX(#REF!,ROW()-1)),"")</f>
        <v>0</v>
      </c>
      <c r="C308">
        <f>IFERROR(_xlfn.SINGLE(INDEX(#REF!,ROW()-1)),"")</f>
        <v>0</v>
      </c>
      <c r="D308">
        <f>IFERROR(_xlfn.SINGLE(INDEX(#REF!,ROW()-1)),"")</f>
        <v>0</v>
      </c>
      <c r="E308">
        <f>IFERROR(_xlfn.SINGLE(INDEX(#REF!,ROW()-1)),"")</f>
        <v>0</v>
      </c>
      <c r="F308">
        <f>IFERROR(_xlfn.SINGLE(INDEX(#REF!,ROW()-1)),"")</f>
        <v>0</v>
      </c>
      <c r="G308">
        <f>IFERROR(_xlfn.SINGLE(INDEX(#REF!,ROW()-1)),"")</f>
        <v>0</v>
      </c>
      <c r="H308">
        <f>IFERROR(_xlfn.SINGLE(INDEX(#REF!,ROW()-1)),"")</f>
        <v>0</v>
      </c>
      <c r="I308">
        <f>IFERROR(_xlfn.SINGLE(INDEX(#REF!,ROW()-1)),"")</f>
        <v>0</v>
      </c>
      <c r="J308">
        <f>IFERROR(_xlfn.SINGLE(INDEX(#REF!,ROW()-1)),"")</f>
        <v>0</v>
      </c>
      <c r="K308">
        <f>IFERROR(_xlfn.SINGLE(INDEX(#REF!,ROW()-1)),"")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IFERROR(_xlfn.SINGLE(INDEX(#REF!,ROW()-1)),"")</f>
        <v>0</v>
      </c>
      <c r="C309">
        <f>IFERROR(_xlfn.SINGLE(INDEX(#REF!,ROW()-1)),"")</f>
        <v>0</v>
      </c>
      <c r="D309">
        <f>IFERROR(_xlfn.SINGLE(INDEX(#REF!,ROW()-1)),"")</f>
        <v>0</v>
      </c>
      <c r="E309">
        <f>IFERROR(_xlfn.SINGLE(INDEX(#REF!,ROW()-1)),"")</f>
        <v>0</v>
      </c>
      <c r="F309">
        <f>IFERROR(_xlfn.SINGLE(INDEX(#REF!,ROW()-1)),"")</f>
        <v>0</v>
      </c>
      <c r="G309">
        <f>IFERROR(_xlfn.SINGLE(INDEX(#REF!,ROW()-1)),"")</f>
        <v>0</v>
      </c>
      <c r="H309">
        <f>IFERROR(_xlfn.SINGLE(INDEX(#REF!,ROW()-1)),"")</f>
        <v>0</v>
      </c>
      <c r="I309">
        <f>IFERROR(_xlfn.SINGLE(INDEX(#REF!,ROW()-1)),"")</f>
        <v>0</v>
      </c>
      <c r="J309">
        <f>IFERROR(_xlfn.SINGLE(INDEX(#REF!,ROW()-1)),"")</f>
        <v>0</v>
      </c>
      <c r="K309">
        <f>IFERROR(_xlfn.SINGLE(INDEX(#REF!,ROW()-1)),"")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IFERROR(_xlfn.SINGLE(INDEX(#REF!,ROW()-1)),"")</f>
        <v>0</v>
      </c>
      <c r="C310">
        <f>IFERROR(_xlfn.SINGLE(INDEX(#REF!,ROW()-1)),"")</f>
        <v>0</v>
      </c>
      <c r="D310">
        <f>IFERROR(_xlfn.SINGLE(INDEX(#REF!,ROW()-1)),"")</f>
        <v>0</v>
      </c>
      <c r="E310">
        <f>IFERROR(_xlfn.SINGLE(INDEX(#REF!,ROW()-1)),"")</f>
        <v>0</v>
      </c>
      <c r="F310">
        <f>IFERROR(_xlfn.SINGLE(INDEX(#REF!,ROW()-1)),"")</f>
        <v>0</v>
      </c>
      <c r="G310">
        <f>IFERROR(_xlfn.SINGLE(INDEX(#REF!,ROW()-1)),"")</f>
        <v>0</v>
      </c>
      <c r="H310">
        <f>IFERROR(_xlfn.SINGLE(INDEX(#REF!,ROW()-1)),"")</f>
        <v>0</v>
      </c>
      <c r="I310">
        <f>IFERROR(_xlfn.SINGLE(INDEX(#REF!,ROW()-1)),"")</f>
        <v>0</v>
      </c>
      <c r="J310">
        <f>IFERROR(_xlfn.SINGLE(INDEX(#REF!,ROW()-1)),"")</f>
        <v>0</v>
      </c>
      <c r="K310">
        <f>IFERROR(_xlfn.SINGLE(INDEX(#REF!,ROW()-1)),"")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IFERROR(_xlfn.SINGLE(INDEX(#REF!,ROW()-1)),"")</f>
        <v>0</v>
      </c>
      <c r="C311">
        <f>IFERROR(_xlfn.SINGLE(INDEX(#REF!,ROW()-1)),"")</f>
        <v>0</v>
      </c>
      <c r="D311">
        <f>IFERROR(_xlfn.SINGLE(INDEX(#REF!,ROW()-1)),"")</f>
        <v>0</v>
      </c>
      <c r="E311">
        <f>IFERROR(_xlfn.SINGLE(INDEX(#REF!,ROW()-1)),"")</f>
        <v>0</v>
      </c>
      <c r="F311">
        <f>IFERROR(_xlfn.SINGLE(INDEX(#REF!,ROW()-1)),"")</f>
        <v>0</v>
      </c>
      <c r="G311">
        <f>IFERROR(_xlfn.SINGLE(INDEX(#REF!,ROW()-1)),"")</f>
        <v>0</v>
      </c>
      <c r="H311">
        <f>IFERROR(_xlfn.SINGLE(INDEX(#REF!,ROW()-1)),"")</f>
        <v>0</v>
      </c>
      <c r="I311">
        <f>IFERROR(_xlfn.SINGLE(INDEX(#REF!,ROW()-1)),"")</f>
        <v>0</v>
      </c>
      <c r="J311">
        <f>IFERROR(_xlfn.SINGLE(INDEX(#REF!,ROW()-1)),"")</f>
        <v>0</v>
      </c>
      <c r="K311">
        <f>IFERROR(_xlfn.SINGLE(INDEX(#REF!,ROW()-1)),"")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IFERROR(_xlfn.SINGLE(INDEX(#REF!,ROW()-1)),"")</f>
        <v>0</v>
      </c>
      <c r="C312">
        <f>IFERROR(_xlfn.SINGLE(INDEX(#REF!,ROW()-1)),"")</f>
        <v>0</v>
      </c>
      <c r="D312">
        <f>IFERROR(_xlfn.SINGLE(INDEX(#REF!,ROW()-1)),"")</f>
        <v>0</v>
      </c>
      <c r="E312">
        <f>IFERROR(_xlfn.SINGLE(INDEX(#REF!,ROW()-1)),"")</f>
        <v>0</v>
      </c>
      <c r="F312">
        <f>IFERROR(_xlfn.SINGLE(INDEX(#REF!,ROW()-1)),"")</f>
        <v>0</v>
      </c>
      <c r="G312">
        <f>IFERROR(_xlfn.SINGLE(INDEX(#REF!,ROW()-1)),"")</f>
        <v>0</v>
      </c>
      <c r="H312">
        <f>IFERROR(_xlfn.SINGLE(INDEX(#REF!,ROW()-1)),"")</f>
        <v>0</v>
      </c>
      <c r="I312">
        <f>IFERROR(_xlfn.SINGLE(INDEX(#REF!,ROW()-1)),"")</f>
        <v>0</v>
      </c>
      <c r="J312">
        <f>IFERROR(_xlfn.SINGLE(INDEX(#REF!,ROW()-1)),"")</f>
        <v>0</v>
      </c>
      <c r="K312">
        <f>IFERROR(_xlfn.SINGLE(INDEX(#REF!,ROW()-1)),"")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IFERROR(_xlfn.SINGLE(INDEX(#REF!,ROW()-1)),"")</f>
        <v>0</v>
      </c>
      <c r="C313">
        <f>IFERROR(_xlfn.SINGLE(INDEX(#REF!,ROW()-1)),"")</f>
        <v>0</v>
      </c>
      <c r="D313">
        <f>IFERROR(_xlfn.SINGLE(INDEX(#REF!,ROW()-1)),"")</f>
        <v>0</v>
      </c>
      <c r="E313">
        <f>IFERROR(_xlfn.SINGLE(INDEX(#REF!,ROW()-1)),"")</f>
        <v>0</v>
      </c>
      <c r="F313">
        <f>IFERROR(_xlfn.SINGLE(INDEX(#REF!,ROW()-1)),"")</f>
        <v>0</v>
      </c>
      <c r="G313">
        <f>IFERROR(_xlfn.SINGLE(INDEX(#REF!,ROW()-1)),"")</f>
        <v>0</v>
      </c>
      <c r="H313">
        <f>IFERROR(_xlfn.SINGLE(INDEX(#REF!,ROW()-1)),"")</f>
        <v>0</v>
      </c>
      <c r="I313">
        <f>IFERROR(_xlfn.SINGLE(INDEX(#REF!,ROW()-1)),"")</f>
        <v>0</v>
      </c>
      <c r="J313">
        <f>IFERROR(_xlfn.SINGLE(INDEX(#REF!,ROW()-1)),"")</f>
        <v>0</v>
      </c>
      <c r="K313">
        <f>IFERROR(_xlfn.SINGLE(INDEX(#REF!,ROW()-1)),"")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IFERROR(_xlfn.SINGLE(INDEX(#REF!,ROW()-1)),"")</f>
        <v>0</v>
      </c>
      <c r="C314">
        <f>IFERROR(_xlfn.SINGLE(INDEX(#REF!,ROW()-1)),"")</f>
        <v>0</v>
      </c>
      <c r="D314">
        <f>IFERROR(_xlfn.SINGLE(INDEX(#REF!,ROW()-1)),"")</f>
        <v>0</v>
      </c>
      <c r="E314">
        <f>IFERROR(_xlfn.SINGLE(INDEX(#REF!,ROW()-1)),"")</f>
        <v>0</v>
      </c>
      <c r="F314">
        <f>IFERROR(_xlfn.SINGLE(INDEX(#REF!,ROW()-1)),"")</f>
        <v>0</v>
      </c>
      <c r="G314">
        <f>IFERROR(_xlfn.SINGLE(INDEX(#REF!,ROW()-1)),"")</f>
        <v>0</v>
      </c>
      <c r="H314">
        <f>IFERROR(_xlfn.SINGLE(INDEX(#REF!,ROW()-1)),"")</f>
        <v>0</v>
      </c>
      <c r="I314">
        <f>IFERROR(_xlfn.SINGLE(INDEX(#REF!,ROW()-1)),"")</f>
        <v>0</v>
      </c>
      <c r="J314">
        <f>IFERROR(_xlfn.SINGLE(INDEX(#REF!,ROW()-1)),"")</f>
        <v>0</v>
      </c>
      <c r="K314">
        <f>IFERROR(_xlfn.SINGLE(INDEX(#REF!,ROW()-1)),"")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IFERROR(_xlfn.SINGLE(INDEX(#REF!,ROW()-1)),"")</f>
        <v>0</v>
      </c>
      <c r="C315">
        <f>IFERROR(_xlfn.SINGLE(INDEX(#REF!,ROW()-1)),"")</f>
        <v>0</v>
      </c>
      <c r="D315">
        <f>IFERROR(_xlfn.SINGLE(INDEX(#REF!,ROW()-1)),"")</f>
        <v>0</v>
      </c>
      <c r="E315">
        <f>IFERROR(_xlfn.SINGLE(INDEX(#REF!,ROW()-1)),"")</f>
        <v>0</v>
      </c>
      <c r="F315">
        <f>IFERROR(_xlfn.SINGLE(INDEX(#REF!,ROW()-1)),"")</f>
        <v>0</v>
      </c>
      <c r="G315">
        <f>IFERROR(_xlfn.SINGLE(INDEX(#REF!,ROW()-1)),"")</f>
        <v>0</v>
      </c>
      <c r="H315">
        <f>IFERROR(_xlfn.SINGLE(INDEX(#REF!,ROW()-1)),"")</f>
        <v>0</v>
      </c>
      <c r="I315">
        <f>IFERROR(_xlfn.SINGLE(INDEX(#REF!,ROW()-1)),"")</f>
        <v>0</v>
      </c>
      <c r="J315">
        <f>IFERROR(_xlfn.SINGLE(INDEX(#REF!,ROW()-1)),"")</f>
        <v>0</v>
      </c>
      <c r="K315">
        <f>IFERROR(_xlfn.SINGLE(INDEX(#REF!,ROW()-1)),"")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IFERROR(_xlfn.SINGLE(INDEX(#REF!,ROW()-1)),"")</f>
        <v>0</v>
      </c>
      <c r="C316">
        <f>IFERROR(_xlfn.SINGLE(INDEX(#REF!,ROW()-1)),"")</f>
        <v>0</v>
      </c>
      <c r="D316">
        <f>IFERROR(_xlfn.SINGLE(INDEX(#REF!,ROW()-1)),"")</f>
        <v>0</v>
      </c>
      <c r="E316">
        <f>IFERROR(_xlfn.SINGLE(INDEX(#REF!,ROW()-1)),"")</f>
        <v>0</v>
      </c>
      <c r="F316">
        <f>IFERROR(_xlfn.SINGLE(INDEX(#REF!,ROW()-1)),"")</f>
        <v>0</v>
      </c>
      <c r="G316">
        <f>IFERROR(_xlfn.SINGLE(INDEX(#REF!,ROW()-1)),"")</f>
        <v>0</v>
      </c>
      <c r="H316">
        <f>IFERROR(_xlfn.SINGLE(INDEX(#REF!,ROW()-1)),"")</f>
        <v>0</v>
      </c>
      <c r="I316">
        <f>IFERROR(_xlfn.SINGLE(INDEX(#REF!,ROW()-1)),"")</f>
        <v>0</v>
      </c>
      <c r="J316">
        <f>IFERROR(_xlfn.SINGLE(INDEX(#REF!,ROW()-1)),"")</f>
        <v>0</v>
      </c>
      <c r="K316">
        <f>IFERROR(_xlfn.SINGLE(INDEX(#REF!,ROW()-1)),"")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IFERROR(_xlfn.SINGLE(INDEX(#REF!,ROW()-1)),"")</f>
        <v>0</v>
      </c>
      <c r="C317">
        <f>IFERROR(_xlfn.SINGLE(INDEX(#REF!,ROW()-1)),"")</f>
        <v>0</v>
      </c>
      <c r="D317">
        <f>IFERROR(_xlfn.SINGLE(INDEX(#REF!,ROW()-1)),"")</f>
        <v>0</v>
      </c>
      <c r="E317">
        <f>IFERROR(_xlfn.SINGLE(INDEX(#REF!,ROW()-1)),"")</f>
        <v>0</v>
      </c>
      <c r="F317">
        <f>IFERROR(_xlfn.SINGLE(INDEX(#REF!,ROW()-1)),"")</f>
        <v>0</v>
      </c>
      <c r="G317">
        <f>IFERROR(_xlfn.SINGLE(INDEX(#REF!,ROW()-1)),"")</f>
        <v>0</v>
      </c>
      <c r="H317">
        <f>IFERROR(_xlfn.SINGLE(INDEX(#REF!,ROW()-1)),"")</f>
        <v>0</v>
      </c>
      <c r="I317">
        <f>IFERROR(_xlfn.SINGLE(INDEX(#REF!,ROW()-1)),"")</f>
        <v>0</v>
      </c>
      <c r="J317">
        <f>IFERROR(_xlfn.SINGLE(INDEX(#REF!,ROW()-1)),"")</f>
        <v>0</v>
      </c>
      <c r="K317">
        <f>IFERROR(_xlfn.SINGLE(INDEX(#REF!,ROW()-1)),"")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IFERROR(_xlfn.SINGLE(INDEX(#REF!,ROW()-1)),"")</f>
        <v>0</v>
      </c>
      <c r="C318">
        <f>IFERROR(_xlfn.SINGLE(INDEX(#REF!,ROW()-1)),"")</f>
        <v>0</v>
      </c>
      <c r="D318">
        <f>IFERROR(_xlfn.SINGLE(INDEX(#REF!,ROW()-1)),"")</f>
        <v>0</v>
      </c>
      <c r="E318">
        <f>IFERROR(_xlfn.SINGLE(INDEX(#REF!,ROW()-1)),"")</f>
        <v>0</v>
      </c>
      <c r="F318">
        <f>IFERROR(_xlfn.SINGLE(INDEX(#REF!,ROW()-1)),"")</f>
        <v>0</v>
      </c>
      <c r="G318">
        <f>IFERROR(_xlfn.SINGLE(INDEX(#REF!,ROW()-1)),"")</f>
        <v>0</v>
      </c>
      <c r="H318">
        <f>IFERROR(_xlfn.SINGLE(INDEX(#REF!,ROW()-1)),"")</f>
        <v>0</v>
      </c>
      <c r="I318">
        <f>IFERROR(_xlfn.SINGLE(INDEX(#REF!,ROW()-1)),"")</f>
        <v>0</v>
      </c>
      <c r="J318">
        <f>IFERROR(_xlfn.SINGLE(INDEX(#REF!,ROW()-1)),"")</f>
        <v>0</v>
      </c>
      <c r="K318">
        <f>IFERROR(_xlfn.SINGLE(INDEX(#REF!,ROW()-1)),"")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IFERROR(_xlfn.SINGLE(INDEX(#REF!,ROW()-1)),"")</f>
        <v>0</v>
      </c>
      <c r="C319">
        <f>IFERROR(_xlfn.SINGLE(INDEX(#REF!,ROW()-1)),"")</f>
        <v>0</v>
      </c>
      <c r="D319">
        <f>IFERROR(_xlfn.SINGLE(INDEX(#REF!,ROW()-1)),"")</f>
        <v>0</v>
      </c>
      <c r="E319">
        <f>IFERROR(_xlfn.SINGLE(INDEX(#REF!,ROW()-1)),"")</f>
        <v>0</v>
      </c>
      <c r="F319">
        <f>IFERROR(_xlfn.SINGLE(INDEX(#REF!,ROW()-1)),"")</f>
        <v>0</v>
      </c>
      <c r="G319">
        <f>IFERROR(_xlfn.SINGLE(INDEX(#REF!,ROW()-1)),"")</f>
        <v>0</v>
      </c>
      <c r="H319">
        <f>IFERROR(_xlfn.SINGLE(INDEX(#REF!,ROW()-1)),"")</f>
        <v>0</v>
      </c>
      <c r="I319">
        <f>IFERROR(_xlfn.SINGLE(INDEX(#REF!,ROW()-1)),"")</f>
        <v>0</v>
      </c>
      <c r="J319">
        <f>IFERROR(_xlfn.SINGLE(INDEX(#REF!,ROW()-1)),"")</f>
        <v>0</v>
      </c>
      <c r="K319">
        <f>IFERROR(_xlfn.SINGLE(INDEX(#REF!,ROW()-1)),"")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IFERROR(_xlfn.SINGLE(INDEX(#REF!,ROW()-1)),"")</f>
        <v>0</v>
      </c>
      <c r="C320">
        <f>IFERROR(_xlfn.SINGLE(INDEX(#REF!,ROW()-1)),"")</f>
        <v>0</v>
      </c>
      <c r="D320">
        <f>IFERROR(_xlfn.SINGLE(INDEX(#REF!,ROW()-1)),"")</f>
        <v>0</v>
      </c>
      <c r="E320">
        <f>IFERROR(_xlfn.SINGLE(INDEX(#REF!,ROW()-1)),"")</f>
        <v>0</v>
      </c>
      <c r="F320">
        <f>IFERROR(_xlfn.SINGLE(INDEX(#REF!,ROW()-1)),"")</f>
        <v>0</v>
      </c>
      <c r="G320">
        <f>IFERROR(_xlfn.SINGLE(INDEX(#REF!,ROW()-1)),"")</f>
        <v>0</v>
      </c>
      <c r="H320">
        <f>IFERROR(_xlfn.SINGLE(INDEX(#REF!,ROW()-1)),"")</f>
        <v>0</v>
      </c>
      <c r="I320">
        <f>IFERROR(_xlfn.SINGLE(INDEX(#REF!,ROW()-1)),"")</f>
        <v>0</v>
      </c>
      <c r="J320">
        <f>IFERROR(_xlfn.SINGLE(INDEX(#REF!,ROW()-1)),"")</f>
        <v>0</v>
      </c>
      <c r="K320">
        <f>IFERROR(_xlfn.SINGLE(INDEX(#REF!,ROW()-1)),"")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IFERROR(_xlfn.SINGLE(INDEX(#REF!,ROW()-1)),"")</f>
        <v>0</v>
      </c>
      <c r="C321">
        <f>IFERROR(_xlfn.SINGLE(INDEX(#REF!,ROW()-1)),"")</f>
        <v>0</v>
      </c>
      <c r="D321">
        <f>IFERROR(_xlfn.SINGLE(INDEX(#REF!,ROW()-1)),"")</f>
        <v>0</v>
      </c>
      <c r="E321">
        <f>IFERROR(_xlfn.SINGLE(INDEX(#REF!,ROW()-1)),"")</f>
        <v>0</v>
      </c>
      <c r="F321">
        <f>IFERROR(_xlfn.SINGLE(INDEX(#REF!,ROW()-1)),"")</f>
        <v>0</v>
      </c>
      <c r="G321">
        <f>IFERROR(_xlfn.SINGLE(INDEX(#REF!,ROW()-1)),"")</f>
        <v>0</v>
      </c>
      <c r="H321">
        <f>IFERROR(_xlfn.SINGLE(INDEX(#REF!,ROW()-1)),"")</f>
        <v>0</v>
      </c>
      <c r="I321">
        <f>IFERROR(_xlfn.SINGLE(INDEX(#REF!,ROW()-1)),"")</f>
        <v>0</v>
      </c>
      <c r="J321">
        <f>IFERROR(_xlfn.SINGLE(INDEX(#REF!,ROW()-1)),"")</f>
        <v>0</v>
      </c>
      <c r="K321">
        <f>IFERROR(_xlfn.SINGLE(INDEX(#REF!,ROW()-1)),"")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IFERROR(_xlfn.SINGLE(INDEX(#REF!,ROW()-1)),"")</f>
        <v>0</v>
      </c>
      <c r="C322">
        <f>IFERROR(_xlfn.SINGLE(INDEX(#REF!,ROW()-1)),"")</f>
        <v>0</v>
      </c>
      <c r="D322">
        <f>IFERROR(_xlfn.SINGLE(INDEX(#REF!,ROW()-1)),"")</f>
        <v>0</v>
      </c>
      <c r="E322">
        <f>IFERROR(_xlfn.SINGLE(INDEX(#REF!,ROW()-1)),"")</f>
        <v>0</v>
      </c>
      <c r="F322">
        <f>IFERROR(_xlfn.SINGLE(INDEX(#REF!,ROW()-1)),"")</f>
        <v>0</v>
      </c>
      <c r="G322">
        <f>IFERROR(_xlfn.SINGLE(INDEX(#REF!,ROW()-1)),"")</f>
        <v>0</v>
      </c>
      <c r="H322">
        <f>IFERROR(_xlfn.SINGLE(INDEX(#REF!,ROW()-1)),"")</f>
        <v>0</v>
      </c>
      <c r="I322">
        <f>IFERROR(_xlfn.SINGLE(INDEX(#REF!,ROW()-1)),"")</f>
        <v>0</v>
      </c>
      <c r="J322">
        <f>IFERROR(_xlfn.SINGLE(INDEX(#REF!,ROW()-1)),"")</f>
        <v>0</v>
      </c>
      <c r="K322">
        <f>IFERROR(_xlfn.SINGLE(INDEX(#REF!,ROW()-1)),"")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IFERROR(_xlfn.SINGLE(INDEX(#REF!,ROW()-1)),"")</f>
        <v>0</v>
      </c>
      <c r="C323">
        <f>IFERROR(_xlfn.SINGLE(INDEX(#REF!,ROW()-1)),"")</f>
        <v>0</v>
      </c>
      <c r="D323">
        <f>IFERROR(_xlfn.SINGLE(INDEX(#REF!,ROW()-1)),"")</f>
        <v>0</v>
      </c>
      <c r="E323">
        <f>IFERROR(_xlfn.SINGLE(INDEX(#REF!,ROW()-1)),"")</f>
        <v>0</v>
      </c>
      <c r="F323">
        <f>IFERROR(_xlfn.SINGLE(INDEX(#REF!,ROW()-1)),"")</f>
        <v>0</v>
      </c>
      <c r="G323">
        <f>IFERROR(_xlfn.SINGLE(INDEX(#REF!,ROW()-1)),"")</f>
        <v>0</v>
      </c>
      <c r="H323">
        <f>IFERROR(_xlfn.SINGLE(INDEX(#REF!,ROW()-1)),"")</f>
        <v>0</v>
      </c>
      <c r="I323">
        <f>IFERROR(_xlfn.SINGLE(INDEX(#REF!,ROW()-1)),"")</f>
        <v>0</v>
      </c>
      <c r="J323">
        <f>IFERROR(_xlfn.SINGLE(INDEX(#REF!,ROW()-1)),"")</f>
        <v>0</v>
      </c>
      <c r="K323">
        <f>IFERROR(_xlfn.SINGLE(INDEX(#REF!,ROW()-1)),"")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IFERROR(_xlfn.SINGLE(INDEX(#REF!,ROW()-1)),"")</f>
        <v>0</v>
      </c>
      <c r="C324">
        <f>IFERROR(_xlfn.SINGLE(INDEX(#REF!,ROW()-1)),"")</f>
        <v>0</v>
      </c>
      <c r="D324">
        <f>IFERROR(_xlfn.SINGLE(INDEX(#REF!,ROW()-1)),"")</f>
        <v>0</v>
      </c>
      <c r="E324">
        <f>IFERROR(_xlfn.SINGLE(INDEX(#REF!,ROW()-1)),"")</f>
        <v>0</v>
      </c>
      <c r="F324">
        <f>IFERROR(_xlfn.SINGLE(INDEX(#REF!,ROW()-1)),"")</f>
        <v>0</v>
      </c>
      <c r="G324">
        <f>IFERROR(_xlfn.SINGLE(INDEX(#REF!,ROW()-1)),"")</f>
        <v>0</v>
      </c>
      <c r="H324">
        <f>IFERROR(_xlfn.SINGLE(INDEX(#REF!,ROW()-1)),"")</f>
        <v>0</v>
      </c>
      <c r="I324">
        <f>IFERROR(_xlfn.SINGLE(INDEX(#REF!,ROW()-1)),"")</f>
        <v>0</v>
      </c>
      <c r="J324">
        <f>IFERROR(_xlfn.SINGLE(INDEX(#REF!,ROW()-1)),"")</f>
        <v>0</v>
      </c>
      <c r="K324">
        <f>IFERROR(_xlfn.SINGLE(INDEX(#REF!,ROW()-1)),"")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IFERROR(_xlfn.SINGLE(INDEX(#REF!,ROW()-1)),"")</f>
        <v>0</v>
      </c>
      <c r="C325">
        <f>IFERROR(_xlfn.SINGLE(INDEX(#REF!,ROW()-1)),"")</f>
        <v>0</v>
      </c>
      <c r="D325">
        <f>IFERROR(_xlfn.SINGLE(INDEX(#REF!,ROW()-1)),"")</f>
        <v>0</v>
      </c>
      <c r="E325">
        <f>IFERROR(_xlfn.SINGLE(INDEX(#REF!,ROW()-1)),"")</f>
        <v>0</v>
      </c>
      <c r="F325">
        <f>IFERROR(_xlfn.SINGLE(INDEX(#REF!,ROW()-1)),"")</f>
        <v>0</v>
      </c>
      <c r="G325">
        <f>IFERROR(_xlfn.SINGLE(INDEX(#REF!,ROW()-1)),"")</f>
        <v>0</v>
      </c>
      <c r="H325">
        <f>IFERROR(_xlfn.SINGLE(INDEX(#REF!,ROW()-1)),"")</f>
        <v>0</v>
      </c>
      <c r="I325">
        <f>IFERROR(_xlfn.SINGLE(INDEX(#REF!,ROW()-1)),"")</f>
        <v>0</v>
      </c>
      <c r="J325">
        <f>IFERROR(_xlfn.SINGLE(INDEX(#REF!,ROW()-1)),"")</f>
        <v>0</v>
      </c>
      <c r="K325">
        <f>IFERROR(_xlfn.SINGLE(INDEX(#REF!,ROW()-1)),"")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IFERROR(_xlfn.SINGLE(INDEX(#REF!,ROW()-1)),"")</f>
        <v>0</v>
      </c>
      <c r="C326">
        <f>IFERROR(_xlfn.SINGLE(INDEX(#REF!,ROW()-1)),"")</f>
        <v>0</v>
      </c>
      <c r="D326">
        <f>IFERROR(_xlfn.SINGLE(INDEX(#REF!,ROW()-1)),"")</f>
        <v>0</v>
      </c>
      <c r="E326">
        <f>IFERROR(_xlfn.SINGLE(INDEX(#REF!,ROW()-1)),"")</f>
        <v>0</v>
      </c>
      <c r="F326">
        <f>IFERROR(_xlfn.SINGLE(INDEX(#REF!,ROW()-1)),"")</f>
        <v>0</v>
      </c>
      <c r="G326">
        <f>IFERROR(_xlfn.SINGLE(INDEX(#REF!,ROW()-1)),"")</f>
        <v>0</v>
      </c>
      <c r="H326">
        <f>IFERROR(_xlfn.SINGLE(INDEX(#REF!,ROW()-1)),"")</f>
        <v>0</v>
      </c>
      <c r="I326">
        <f>IFERROR(_xlfn.SINGLE(INDEX(#REF!,ROW()-1)),"")</f>
        <v>0</v>
      </c>
      <c r="J326">
        <f>IFERROR(_xlfn.SINGLE(INDEX(#REF!,ROW()-1)),"")</f>
        <v>0</v>
      </c>
      <c r="K326">
        <f>IFERROR(_xlfn.SINGLE(INDEX(#REF!,ROW()-1)),"")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IFERROR(_xlfn.SINGLE(INDEX(#REF!,ROW()-1)),"")</f>
        <v>0</v>
      </c>
      <c r="C327">
        <f>IFERROR(_xlfn.SINGLE(INDEX(#REF!,ROW()-1)),"")</f>
        <v>0</v>
      </c>
      <c r="D327">
        <f>IFERROR(_xlfn.SINGLE(INDEX(#REF!,ROW()-1)),"")</f>
        <v>0</v>
      </c>
      <c r="E327">
        <f>IFERROR(_xlfn.SINGLE(INDEX(#REF!,ROW()-1)),"")</f>
        <v>0</v>
      </c>
      <c r="F327">
        <f>IFERROR(_xlfn.SINGLE(INDEX(#REF!,ROW()-1)),"")</f>
        <v>0</v>
      </c>
      <c r="G327">
        <f>IFERROR(_xlfn.SINGLE(INDEX(#REF!,ROW()-1)),"")</f>
        <v>0</v>
      </c>
      <c r="H327">
        <f>IFERROR(_xlfn.SINGLE(INDEX(#REF!,ROW()-1)),"")</f>
        <v>0</v>
      </c>
      <c r="I327">
        <f>IFERROR(_xlfn.SINGLE(INDEX(#REF!,ROW()-1)),"")</f>
        <v>0</v>
      </c>
      <c r="J327">
        <f>IFERROR(_xlfn.SINGLE(INDEX(#REF!,ROW()-1)),"")</f>
        <v>0</v>
      </c>
      <c r="K327">
        <f>IFERROR(_xlfn.SINGLE(INDEX(#REF!,ROW()-1)),"")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IFERROR(_xlfn.SINGLE(INDEX(#REF!,ROW()-1)),"")</f>
        <v>0</v>
      </c>
      <c r="C328">
        <f>IFERROR(_xlfn.SINGLE(INDEX(#REF!,ROW()-1)),"")</f>
        <v>0</v>
      </c>
      <c r="D328">
        <f>IFERROR(_xlfn.SINGLE(INDEX(#REF!,ROW()-1)),"")</f>
        <v>0</v>
      </c>
      <c r="E328">
        <f>IFERROR(_xlfn.SINGLE(INDEX(#REF!,ROW()-1)),"")</f>
        <v>0</v>
      </c>
      <c r="F328">
        <f>IFERROR(_xlfn.SINGLE(INDEX(#REF!,ROW()-1)),"")</f>
        <v>0</v>
      </c>
      <c r="G328">
        <f>IFERROR(_xlfn.SINGLE(INDEX(#REF!,ROW()-1)),"")</f>
        <v>0</v>
      </c>
      <c r="H328">
        <f>IFERROR(_xlfn.SINGLE(INDEX(#REF!,ROW()-1)),"")</f>
        <v>0</v>
      </c>
      <c r="I328">
        <f>IFERROR(_xlfn.SINGLE(INDEX(#REF!,ROW()-1)),"")</f>
        <v>0</v>
      </c>
      <c r="J328">
        <f>IFERROR(_xlfn.SINGLE(INDEX(#REF!,ROW()-1)),"")</f>
        <v>0</v>
      </c>
      <c r="K328">
        <f>IFERROR(_xlfn.SINGLE(INDEX(#REF!,ROW()-1)),"")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IFERROR(_xlfn.SINGLE(INDEX(#REF!,ROW()-1)),"")</f>
        <v>0</v>
      </c>
      <c r="C329">
        <f>IFERROR(_xlfn.SINGLE(INDEX(#REF!,ROW()-1)),"")</f>
        <v>0</v>
      </c>
      <c r="D329">
        <f>IFERROR(_xlfn.SINGLE(INDEX(#REF!,ROW()-1)),"")</f>
        <v>0</v>
      </c>
      <c r="E329">
        <f>IFERROR(_xlfn.SINGLE(INDEX(#REF!,ROW()-1)),"")</f>
        <v>0</v>
      </c>
      <c r="F329">
        <f>IFERROR(_xlfn.SINGLE(INDEX(#REF!,ROW()-1)),"")</f>
        <v>0</v>
      </c>
      <c r="G329">
        <f>IFERROR(_xlfn.SINGLE(INDEX(#REF!,ROW()-1)),"")</f>
        <v>0</v>
      </c>
      <c r="H329">
        <f>IFERROR(_xlfn.SINGLE(INDEX(#REF!,ROW()-1)),"")</f>
        <v>0</v>
      </c>
      <c r="I329">
        <f>IFERROR(_xlfn.SINGLE(INDEX(#REF!,ROW()-1)),"")</f>
        <v>0</v>
      </c>
      <c r="J329">
        <f>IFERROR(_xlfn.SINGLE(INDEX(#REF!,ROW()-1)),"")</f>
        <v>0</v>
      </c>
      <c r="K329">
        <f>IFERROR(_xlfn.SINGLE(INDEX(#REF!,ROW()-1)),"")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IFERROR(_xlfn.SINGLE(INDEX(#REF!,ROW()-1)),"")</f>
        <v>0</v>
      </c>
      <c r="C330">
        <f>IFERROR(_xlfn.SINGLE(INDEX(#REF!,ROW()-1)),"")</f>
        <v>0</v>
      </c>
      <c r="D330">
        <f>IFERROR(_xlfn.SINGLE(INDEX(#REF!,ROW()-1)),"")</f>
        <v>0</v>
      </c>
      <c r="E330">
        <f>IFERROR(_xlfn.SINGLE(INDEX(#REF!,ROW()-1)),"")</f>
        <v>0</v>
      </c>
      <c r="F330">
        <f>IFERROR(_xlfn.SINGLE(INDEX(#REF!,ROW()-1)),"")</f>
        <v>0</v>
      </c>
      <c r="G330">
        <f>IFERROR(_xlfn.SINGLE(INDEX(#REF!,ROW()-1)),"")</f>
        <v>0</v>
      </c>
      <c r="H330">
        <f>IFERROR(_xlfn.SINGLE(INDEX(#REF!,ROW()-1)),"")</f>
        <v>0</v>
      </c>
      <c r="I330">
        <f>IFERROR(_xlfn.SINGLE(INDEX(#REF!,ROW()-1)),"")</f>
        <v>0</v>
      </c>
      <c r="J330">
        <f>IFERROR(_xlfn.SINGLE(INDEX(#REF!,ROW()-1)),"")</f>
        <v>0</v>
      </c>
      <c r="K330">
        <f>IFERROR(_xlfn.SINGLE(INDEX(#REF!,ROW()-1)),"")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IFERROR(_xlfn.SINGLE(INDEX(#REF!,ROW()-1)),"")</f>
        <v>0</v>
      </c>
      <c r="C331">
        <f>IFERROR(_xlfn.SINGLE(INDEX(#REF!,ROW()-1)),"")</f>
        <v>0</v>
      </c>
      <c r="D331">
        <f>IFERROR(_xlfn.SINGLE(INDEX(#REF!,ROW()-1)),"")</f>
        <v>0</v>
      </c>
      <c r="E331">
        <f>IFERROR(_xlfn.SINGLE(INDEX(#REF!,ROW()-1)),"")</f>
        <v>0</v>
      </c>
      <c r="F331">
        <f>IFERROR(_xlfn.SINGLE(INDEX(#REF!,ROW()-1)),"")</f>
        <v>0</v>
      </c>
      <c r="G331">
        <f>IFERROR(_xlfn.SINGLE(INDEX(#REF!,ROW()-1)),"")</f>
        <v>0</v>
      </c>
      <c r="H331">
        <f>IFERROR(_xlfn.SINGLE(INDEX(#REF!,ROW()-1)),"")</f>
        <v>0</v>
      </c>
      <c r="I331">
        <f>IFERROR(_xlfn.SINGLE(INDEX(#REF!,ROW()-1)),"")</f>
        <v>0</v>
      </c>
      <c r="J331">
        <f>IFERROR(_xlfn.SINGLE(INDEX(#REF!,ROW()-1)),"")</f>
        <v>0</v>
      </c>
      <c r="K331">
        <f>IFERROR(_xlfn.SINGLE(INDEX(#REF!,ROW()-1)),"")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IFERROR(_xlfn.SINGLE(INDEX(#REF!,ROW()-1)),"")</f>
        <v>0</v>
      </c>
      <c r="C332">
        <f>IFERROR(_xlfn.SINGLE(INDEX(#REF!,ROW()-1)),"")</f>
        <v>0</v>
      </c>
      <c r="D332">
        <f>IFERROR(_xlfn.SINGLE(INDEX(#REF!,ROW()-1)),"")</f>
        <v>0</v>
      </c>
      <c r="E332">
        <f>IFERROR(_xlfn.SINGLE(INDEX(#REF!,ROW()-1)),"")</f>
        <v>0</v>
      </c>
      <c r="F332">
        <f>IFERROR(_xlfn.SINGLE(INDEX(#REF!,ROW()-1)),"")</f>
        <v>0</v>
      </c>
      <c r="G332">
        <f>IFERROR(_xlfn.SINGLE(INDEX(#REF!,ROW()-1)),"")</f>
        <v>0</v>
      </c>
      <c r="H332">
        <f>IFERROR(_xlfn.SINGLE(INDEX(#REF!,ROW()-1)),"")</f>
        <v>0</v>
      </c>
      <c r="I332">
        <f>IFERROR(_xlfn.SINGLE(INDEX(#REF!,ROW()-1)),"")</f>
        <v>0</v>
      </c>
      <c r="J332">
        <f>IFERROR(_xlfn.SINGLE(INDEX(#REF!,ROW()-1)),"")</f>
        <v>0</v>
      </c>
      <c r="K332">
        <f>IFERROR(_xlfn.SINGLE(INDEX(#REF!,ROW()-1)),"")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IFERROR(_xlfn.SINGLE(INDEX(#REF!,ROW()-1)),"")</f>
        <v>0</v>
      </c>
      <c r="C333">
        <f>IFERROR(_xlfn.SINGLE(INDEX(#REF!,ROW()-1)),"")</f>
        <v>0</v>
      </c>
      <c r="D333">
        <f>IFERROR(_xlfn.SINGLE(INDEX(#REF!,ROW()-1)),"")</f>
        <v>0</v>
      </c>
      <c r="E333">
        <f>IFERROR(_xlfn.SINGLE(INDEX(#REF!,ROW()-1)),"")</f>
        <v>0</v>
      </c>
      <c r="F333">
        <f>IFERROR(_xlfn.SINGLE(INDEX(#REF!,ROW()-1)),"")</f>
        <v>0</v>
      </c>
      <c r="G333">
        <f>IFERROR(_xlfn.SINGLE(INDEX(#REF!,ROW()-1)),"")</f>
        <v>0</v>
      </c>
      <c r="H333">
        <f>IFERROR(_xlfn.SINGLE(INDEX(#REF!,ROW()-1)),"")</f>
        <v>0</v>
      </c>
      <c r="I333">
        <f>IFERROR(_xlfn.SINGLE(INDEX(#REF!,ROW()-1)),"")</f>
        <v>0</v>
      </c>
      <c r="J333">
        <f>IFERROR(_xlfn.SINGLE(INDEX(#REF!,ROW()-1)),"")</f>
        <v>0</v>
      </c>
      <c r="K333">
        <f>IFERROR(_xlfn.SINGLE(INDEX(#REF!,ROW()-1)),"")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IFERROR(_xlfn.SINGLE(INDEX(#REF!,ROW()-1)),"")</f>
        <v>0</v>
      </c>
      <c r="C334">
        <f>IFERROR(_xlfn.SINGLE(INDEX(#REF!,ROW()-1)),"")</f>
        <v>0</v>
      </c>
      <c r="D334">
        <f>IFERROR(_xlfn.SINGLE(INDEX(#REF!,ROW()-1)),"")</f>
        <v>0</v>
      </c>
      <c r="E334">
        <f>IFERROR(_xlfn.SINGLE(INDEX(#REF!,ROW()-1)),"")</f>
        <v>0</v>
      </c>
      <c r="F334">
        <f>IFERROR(_xlfn.SINGLE(INDEX(#REF!,ROW()-1)),"")</f>
        <v>0</v>
      </c>
      <c r="G334">
        <f>IFERROR(_xlfn.SINGLE(INDEX(#REF!,ROW()-1)),"")</f>
        <v>0</v>
      </c>
      <c r="H334">
        <f>IFERROR(_xlfn.SINGLE(INDEX(#REF!,ROW()-1)),"")</f>
        <v>0</v>
      </c>
      <c r="I334">
        <f>IFERROR(_xlfn.SINGLE(INDEX(#REF!,ROW()-1)),"")</f>
        <v>0</v>
      </c>
      <c r="J334">
        <f>IFERROR(_xlfn.SINGLE(INDEX(#REF!,ROW()-1)),"")</f>
        <v>0</v>
      </c>
      <c r="K334">
        <f>IFERROR(_xlfn.SINGLE(INDEX(#REF!,ROW()-1)),"")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IFERROR(_xlfn.SINGLE(INDEX(#REF!,ROW()-1)),"")</f>
        <v>0</v>
      </c>
      <c r="C335">
        <f>IFERROR(_xlfn.SINGLE(INDEX(#REF!,ROW()-1)),"")</f>
        <v>0</v>
      </c>
      <c r="D335">
        <f>IFERROR(_xlfn.SINGLE(INDEX(#REF!,ROW()-1)),"")</f>
        <v>0</v>
      </c>
      <c r="E335">
        <f>IFERROR(_xlfn.SINGLE(INDEX(#REF!,ROW()-1)),"")</f>
        <v>0</v>
      </c>
      <c r="F335">
        <f>IFERROR(_xlfn.SINGLE(INDEX(#REF!,ROW()-1)),"")</f>
        <v>0</v>
      </c>
      <c r="G335">
        <f>IFERROR(_xlfn.SINGLE(INDEX(#REF!,ROW()-1)),"")</f>
        <v>0</v>
      </c>
      <c r="H335">
        <f>IFERROR(_xlfn.SINGLE(INDEX(#REF!,ROW()-1)),"")</f>
        <v>0</v>
      </c>
      <c r="I335">
        <f>IFERROR(_xlfn.SINGLE(INDEX(#REF!,ROW()-1)),"")</f>
        <v>0</v>
      </c>
      <c r="J335">
        <f>IFERROR(_xlfn.SINGLE(INDEX(#REF!,ROW()-1)),"")</f>
        <v>0</v>
      </c>
      <c r="K335">
        <f>IFERROR(_xlfn.SINGLE(INDEX(#REF!,ROW()-1)),"")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IFERROR(_xlfn.SINGLE(INDEX(#REF!,ROW()-1)),"")</f>
        <v>0</v>
      </c>
      <c r="C336">
        <f>IFERROR(_xlfn.SINGLE(INDEX(#REF!,ROW()-1)),"")</f>
        <v>0</v>
      </c>
      <c r="D336">
        <f>IFERROR(_xlfn.SINGLE(INDEX(#REF!,ROW()-1)),"")</f>
        <v>0</v>
      </c>
      <c r="E336">
        <f>IFERROR(_xlfn.SINGLE(INDEX(#REF!,ROW()-1)),"")</f>
        <v>0</v>
      </c>
      <c r="F336">
        <f>IFERROR(_xlfn.SINGLE(INDEX(#REF!,ROW()-1)),"")</f>
        <v>0</v>
      </c>
      <c r="G336">
        <f>IFERROR(_xlfn.SINGLE(INDEX(#REF!,ROW()-1)),"")</f>
        <v>0</v>
      </c>
      <c r="H336">
        <f>IFERROR(_xlfn.SINGLE(INDEX(#REF!,ROW()-1)),"")</f>
        <v>0</v>
      </c>
      <c r="I336">
        <f>IFERROR(_xlfn.SINGLE(INDEX(#REF!,ROW()-1)),"")</f>
        <v>0</v>
      </c>
      <c r="J336">
        <f>IFERROR(_xlfn.SINGLE(INDEX(#REF!,ROW()-1)),"")</f>
        <v>0</v>
      </c>
      <c r="K336">
        <f>IFERROR(_xlfn.SINGLE(INDEX(#REF!,ROW()-1)),"")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IFERROR(_xlfn.SINGLE(INDEX(#REF!,ROW()-1)),"")</f>
        <v>0</v>
      </c>
      <c r="C337">
        <f>IFERROR(_xlfn.SINGLE(INDEX(#REF!,ROW()-1)),"")</f>
        <v>0</v>
      </c>
      <c r="D337">
        <f>IFERROR(_xlfn.SINGLE(INDEX(#REF!,ROW()-1)),"")</f>
        <v>0</v>
      </c>
      <c r="E337">
        <f>IFERROR(_xlfn.SINGLE(INDEX(#REF!,ROW()-1)),"")</f>
        <v>0</v>
      </c>
      <c r="F337">
        <f>IFERROR(_xlfn.SINGLE(INDEX(#REF!,ROW()-1)),"")</f>
        <v>0</v>
      </c>
      <c r="G337">
        <f>IFERROR(_xlfn.SINGLE(INDEX(#REF!,ROW()-1)),"")</f>
        <v>0</v>
      </c>
      <c r="H337">
        <f>IFERROR(_xlfn.SINGLE(INDEX(#REF!,ROW()-1)),"")</f>
        <v>0</v>
      </c>
      <c r="I337">
        <f>IFERROR(_xlfn.SINGLE(INDEX(#REF!,ROW()-1)),"")</f>
        <v>0</v>
      </c>
      <c r="J337">
        <f>IFERROR(_xlfn.SINGLE(INDEX(#REF!,ROW()-1)),"")</f>
        <v>0</v>
      </c>
      <c r="K337">
        <f>IFERROR(_xlfn.SINGLE(INDEX(#REF!,ROW()-1)),"")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IFERROR(_xlfn.SINGLE(INDEX(#REF!,ROW()-1)),"")</f>
        <v>0</v>
      </c>
      <c r="C338">
        <f>IFERROR(_xlfn.SINGLE(INDEX(#REF!,ROW()-1)),"")</f>
        <v>0</v>
      </c>
      <c r="D338">
        <f>IFERROR(_xlfn.SINGLE(INDEX(#REF!,ROW()-1)),"")</f>
        <v>0</v>
      </c>
      <c r="E338">
        <f>IFERROR(_xlfn.SINGLE(INDEX(#REF!,ROW()-1)),"")</f>
        <v>0</v>
      </c>
      <c r="F338">
        <f>IFERROR(_xlfn.SINGLE(INDEX(#REF!,ROW()-1)),"")</f>
        <v>0</v>
      </c>
      <c r="G338">
        <f>IFERROR(_xlfn.SINGLE(INDEX(#REF!,ROW()-1)),"")</f>
        <v>0</v>
      </c>
      <c r="H338">
        <f>IFERROR(_xlfn.SINGLE(INDEX(#REF!,ROW()-1)),"")</f>
        <v>0</v>
      </c>
      <c r="I338">
        <f>IFERROR(_xlfn.SINGLE(INDEX(#REF!,ROW()-1)),"")</f>
        <v>0</v>
      </c>
      <c r="J338">
        <f>IFERROR(_xlfn.SINGLE(INDEX(#REF!,ROW()-1)),"")</f>
        <v>0</v>
      </c>
      <c r="K338">
        <f>IFERROR(_xlfn.SINGLE(INDEX(#REF!,ROW()-1)),"")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IFERROR(_xlfn.SINGLE(INDEX(#REF!,ROW()-1)),"")</f>
        <v>0</v>
      </c>
      <c r="C339">
        <f>IFERROR(_xlfn.SINGLE(INDEX(#REF!,ROW()-1)),"")</f>
        <v>0</v>
      </c>
      <c r="D339">
        <f>IFERROR(_xlfn.SINGLE(INDEX(#REF!,ROW()-1)),"")</f>
        <v>0</v>
      </c>
      <c r="E339">
        <f>IFERROR(_xlfn.SINGLE(INDEX(#REF!,ROW()-1)),"")</f>
        <v>0</v>
      </c>
      <c r="F339">
        <f>IFERROR(_xlfn.SINGLE(INDEX(#REF!,ROW()-1)),"")</f>
        <v>0</v>
      </c>
      <c r="G339">
        <f>IFERROR(_xlfn.SINGLE(INDEX(#REF!,ROW()-1)),"")</f>
        <v>0</v>
      </c>
      <c r="H339">
        <f>IFERROR(_xlfn.SINGLE(INDEX(#REF!,ROW()-1)),"")</f>
        <v>0</v>
      </c>
      <c r="I339">
        <f>IFERROR(_xlfn.SINGLE(INDEX(#REF!,ROW()-1)),"")</f>
        <v>0</v>
      </c>
      <c r="J339">
        <f>IFERROR(_xlfn.SINGLE(INDEX(#REF!,ROW()-1)),"")</f>
        <v>0</v>
      </c>
      <c r="K339">
        <f>IFERROR(_xlfn.SINGLE(INDEX(#REF!,ROW()-1)),"")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IFERROR(_xlfn.SINGLE(INDEX(#REF!,ROW()-1)),"")</f>
        <v>0</v>
      </c>
      <c r="C340">
        <f>IFERROR(_xlfn.SINGLE(INDEX(#REF!,ROW()-1)),"")</f>
        <v>0</v>
      </c>
      <c r="D340">
        <f>IFERROR(_xlfn.SINGLE(INDEX(#REF!,ROW()-1)),"")</f>
        <v>0</v>
      </c>
      <c r="E340">
        <f>IFERROR(_xlfn.SINGLE(INDEX(#REF!,ROW()-1)),"")</f>
        <v>0</v>
      </c>
      <c r="F340">
        <f>IFERROR(_xlfn.SINGLE(INDEX(#REF!,ROW()-1)),"")</f>
        <v>0</v>
      </c>
      <c r="G340">
        <f>IFERROR(_xlfn.SINGLE(INDEX(#REF!,ROW()-1)),"")</f>
        <v>0</v>
      </c>
      <c r="H340">
        <f>IFERROR(_xlfn.SINGLE(INDEX(#REF!,ROW()-1)),"")</f>
        <v>0</v>
      </c>
      <c r="I340">
        <f>IFERROR(_xlfn.SINGLE(INDEX(#REF!,ROW()-1)),"")</f>
        <v>0</v>
      </c>
      <c r="J340">
        <f>IFERROR(_xlfn.SINGLE(INDEX(#REF!,ROW()-1)),"")</f>
        <v>0</v>
      </c>
      <c r="K340">
        <f>IFERROR(_xlfn.SINGLE(INDEX(#REF!,ROW()-1)),"")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IFERROR(_xlfn.SINGLE(INDEX(#REF!,ROW()-1)),"")</f>
        <v>0</v>
      </c>
      <c r="C341">
        <f>IFERROR(_xlfn.SINGLE(INDEX(#REF!,ROW()-1)),"")</f>
        <v>0</v>
      </c>
      <c r="D341">
        <f>IFERROR(_xlfn.SINGLE(INDEX(#REF!,ROW()-1)),"")</f>
        <v>0</v>
      </c>
      <c r="E341">
        <f>IFERROR(_xlfn.SINGLE(INDEX(#REF!,ROW()-1)),"")</f>
        <v>0</v>
      </c>
      <c r="F341">
        <f>IFERROR(_xlfn.SINGLE(INDEX(#REF!,ROW()-1)),"")</f>
        <v>0</v>
      </c>
      <c r="G341">
        <f>IFERROR(_xlfn.SINGLE(INDEX(#REF!,ROW()-1)),"")</f>
        <v>0</v>
      </c>
      <c r="H341">
        <f>IFERROR(_xlfn.SINGLE(INDEX(#REF!,ROW()-1)),"")</f>
        <v>0</v>
      </c>
      <c r="I341">
        <f>IFERROR(_xlfn.SINGLE(INDEX(#REF!,ROW()-1)),"")</f>
        <v>0</v>
      </c>
      <c r="J341">
        <f>IFERROR(_xlfn.SINGLE(INDEX(#REF!,ROW()-1)),"")</f>
        <v>0</v>
      </c>
      <c r="K341">
        <f>IFERROR(_xlfn.SINGLE(INDEX(#REF!,ROW()-1)),"")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IFERROR(_xlfn.SINGLE(INDEX(#REF!,ROW()-1)),"")</f>
        <v>0</v>
      </c>
      <c r="C342">
        <f>IFERROR(_xlfn.SINGLE(INDEX(#REF!,ROW()-1)),"")</f>
        <v>0</v>
      </c>
      <c r="D342">
        <f>IFERROR(_xlfn.SINGLE(INDEX(#REF!,ROW()-1)),"")</f>
        <v>0</v>
      </c>
      <c r="E342">
        <f>IFERROR(_xlfn.SINGLE(INDEX(#REF!,ROW()-1)),"")</f>
        <v>0</v>
      </c>
      <c r="F342">
        <f>IFERROR(_xlfn.SINGLE(INDEX(#REF!,ROW()-1)),"")</f>
        <v>0</v>
      </c>
      <c r="G342">
        <f>IFERROR(_xlfn.SINGLE(INDEX(#REF!,ROW()-1)),"")</f>
        <v>0</v>
      </c>
      <c r="H342">
        <f>IFERROR(_xlfn.SINGLE(INDEX(#REF!,ROW()-1)),"")</f>
        <v>0</v>
      </c>
      <c r="I342">
        <f>IFERROR(_xlfn.SINGLE(INDEX(#REF!,ROW()-1)),"")</f>
        <v>0</v>
      </c>
      <c r="J342">
        <f>IFERROR(_xlfn.SINGLE(INDEX(#REF!,ROW()-1)),"")</f>
        <v>0</v>
      </c>
      <c r="K342">
        <f>IFERROR(_xlfn.SINGLE(INDEX(#REF!,ROW()-1)),"")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IFERROR(_xlfn.SINGLE(INDEX(#REF!,ROW()-1)),"")</f>
        <v>0</v>
      </c>
      <c r="C343">
        <f>IFERROR(_xlfn.SINGLE(INDEX(#REF!,ROW()-1)),"")</f>
        <v>0</v>
      </c>
      <c r="D343">
        <f>IFERROR(_xlfn.SINGLE(INDEX(#REF!,ROW()-1)),"")</f>
        <v>0</v>
      </c>
      <c r="E343">
        <f>IFERROR(_xlfn.SINGLE(INDEX(#REF!,ROW()-1)),"")</f>
        <v>0</v>
      </c>
      <c r="F343">
        <f>IFERROR(_xlfn.SINGLE(INDEX(#REF!,ROW()-1)),"")</f>
        <v>0</v>
      </c>
      <c r="G343">
        <f>IFERROR(_xlfn.SINGLE(INDEX(#REF!,ROW()-1)),"")</f>
        <v>0</v>
      </c>
      <c r="H343">
        <f>IFERROR(_xlfn.SINGLE(INDEX(#REF!,ROW()-1)),"")</f>
        <v>0</v>
      </c>
      <c r="I343">
        <f>IFERROR(_xlfn.SINGLE(INDEX(#REF!,ROW()-1)),"")</f>
        <v>0</v>
      </c>
      <c r="J343">
        <f>IFERROR(_xlfn.SINGLE(INDEX(#REF!,ROW()-1)),"")</f>
        <v>0</v>
      </c>
      <c r="K343">
        <f>IFERROR(_xlfn.SINGLE(INDEX(#REF!,ROW()-1)),"")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IFERROR(_xlfn.SINGLE(INDEX(#REF!,ROW()-1)),"")</f>
        <v>0</v>
      </c>
      <c r="C344">
        <f>IFERROR(_xlfn.SINGLE(INDEX(#REF!,ROW()-1)),"")</f>
        <v>0</v>
      </c>
      <c r="D344">
        <f>IFERROR(_xlfn.SINGLE(INDEX(#REF!,ROW()-1)),"")</f>
        <v>0</v>
      </c>
      <c r="E344">
        <f>IFERROR(_xlfn.SINGLE(INDEX(#REF!,ROW()-1)),"")</f>
        <v>0</v>
      </c>
      <c r="F344">
        <f>IFERROR(_xlfn.SINGLE(INDEX(#REF!,ROW()-1)),"")</f>
        <v>0</v>
      </c>
      <c r="G344">
        <f>IFERROR(_xlfn.SINGLE(INDEX(#REF!,ROW()-1)),"")</f>
        <v>0</v>
      </c>
      <c r="H344">
        <f>IFERROR(_xlfn.SINGLE(INDEX(#REF!,ROW()-1)),"")</f>
        <v>0</v>
      </c>
      <c r="I344">
        <f>IFERROR(_xlfn.SINGLE(INDEX(#REF!,ROW()-1)),"")</f>
        <v>0</v>
      </c>
      <c r="J344">
        <f>IFERROR(_xlfn.SINGLE(INDEX(#REF!,ROW()-1)),"")</f>
        <v>0</v>
      </c>
      <c r="K344">
        <f>IFERROR(_xlfn.SINGLE(INDEX(#REF!,ROW()-1)),"")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IFERROR(_xlfn.SINGLE(INDEX(#REF!,ROW()-1)),"")</f>
        <v>0</v>
      </c>
      <c r="C345">
        <f>IFERROR(_xlfn.SINGLE(INDEX(#REF!,ROW()-1)),"")</f>
        <v>0</v>
      </c>
      <c r="D345">
        <f>IFERROR(_xlfn.SINGLE(INDEX(#REF!,ROW()-1)),"")</f>
        <v>0</v>
      </c>
      <c r="E345">
        <f>IFERROR(_xlfn.SINGLE(INDEX(#REF!,ROW()-1)),"")</f>
        <v>0</v>
      </c>
      <c r="F345">
        <f>IFERROR(_xlfn.SINGLE(INDEX(#REF!,ROW()-1)),"")</f>
        <v>0</v>
      </c>
      <c r="G345">
        <f>IFERROR(_xlfn.SINGLE(INDEX(#REF!,ROW()-1)),"")</f>
        <v>0</v>
      </c>
      <c r="H345">
        <f>IFERROR(_xlfn.SINGLE(INDEX(#REF!,ROW()-1)),"")</f>
        <v>0</v>
      </c>
      <c r="I345">
        <f>IFERROR(_xlfn.SINGLE(INDEX(#REF!,ROW()-1)),"")</f>
        <v>0</v>
      </c>
      <c r="J345">
        <f>IFERROR(_xlfn.SINGLE(INDEX(#REF!,ROW()-1)),"")</f>
        <v>0</v>
      </c>
      <c r="K345">
        <f>IFERROR(_xlfn.SINGLE(INDEX(#REF!,ROW()-1)),"")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IFERROR(_xlfn.SINGLE(INDEX(#REF!,ROW()-1)),"")</f>
        <v>0</v>
      </c>
      <c r="C346">
        <f>IFERROR(_xlfn.SINGLE(INDEX(#REF!,ROW()-1)),"")</f>
        <v>0</v>
      </c>
      <c r="D346">
        <f>IFERROR(_xlfn.SINGLE(INDEX(#REF!,ROW()-1)),"")</f>
        <v>0</v>
      </c>
      <c r="E346">
        <f>IFERROR(_xlfn.SINGLE(INDEX(#REF!,ROW()-1)),"")</f>
        <v>0</v>
      </c>
      <c r="F346">
        <f>IFERROR(_xlfn.SINGLE(INDEX(#REF!,ROW()-1)),"")</f>
        <v>0</v>
      </c>
      <c r="G346">
        <f>IFERROR(_xlfn.SINGLE(INDEX(#REF!,ROW()-1)),"")</f>
        <v>0</v>
      </c>
      <c r="H346">
        <f>IFERROR(_xlfn.SINGLE(INDEX(#REF!,ROW()-1)),"")</f>
        <v>0</v>
      </c>
      <c r="I346">
        <f>IFERROR(_xlfn.SINGLE(INDEX(#REF!,ROW()-1)),"")</f>
        <v>0</v>
      </c>
      <c r="J346">
        <f>IFERROR(_xlfn.SINGLE(INDEX(#REF!,ROW()-1)),"")</f>
        <v>0</v>
      </c>
      <c r="K346">
        <f>IFERROR(_xlfn.SINGLE(INDEX(#REF!,ROW()-1)),"")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IFERROR(_xlfn.SINGLE(INDEX(#REF!,ROW()-1)),"")</f>
        <v>0</v>
      </c>
      <c r="C347">
        <f>IFERROR(_xlfn.SINGLE(INDEX(#REF!,ROW()-1)),"")</f>
        <v>0</v>
      </c>
      <c r="D347">
        <f>IFERROR(_xlfn.SINGLE(INDEX(#REF!,ROW()-1)),"")</f>
        <v>0</v>
      </c>
      <c r="E347">
        <f>IFERROR(_xlfn.SINGLE(INDEX(#REF!,ROW()-1)),"")</f>
        <v>0</v>
      </c>
      <c r="F347">
        <f>IFERROR(_xlfn.SINGLE(INDEX(#REF!,ROW()-1)),"")</f>
        <v>0</v>
      </c>
      <c r="G347">
        <f>IFERROR(_xlfn.SINGLE(INDEX(#REF!,ROW()-1)),"")</f>
        <v>0</v>
      </c>
      <c r="H347">
        <f>IFERROR(_xlfn.SINGLE(INDEX(#REF!,ROW()-1)),"")</f>
        <v>0</v>
      </c>
      <c r="I347">
        <f>IFERROR(_xlfn.SINGLE(INDEX(#REF!,ROW()-1)),"")</f>
        <v>0</v>
      </c>
      <c r="J347">
        <f>IFERROR(_xlfn.SINGLE(INDEX(#REF!,ROW()-1)),"")</f>
        <v>0</v>
      </c>
      <c r="K347">
        <f>IFERROR(_xlfn.SINGLE(INDEX(#REF!,ROW()-1)),"")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IFERROR(_xlfn.SINGLE(INDEX(#REF!,ROW()-1)),"")</f>
        <v>0</v>
      </c>
      <c r="C348">
        <f>IFERROR(_xlfn.SINGLE(INDEX(#REF!,ROW()-1)),"")</f>
        <v>0</v>
      </c>
      <c r="D348">
        <f>IFERROR(_xlfn.SINGLE(INDEX(#REF!,ROW()-1)),"")</f>
        <v>0</v>
      </c>
      <c r="E348">
        <f>IFERROR(_xlfn.SINGLE(INDEX(#REF!,ROW()-1)),"")</f>
        <v>0</v>
      </c>
      <c r="F348">
        <f>IFERROR(_xlfn.SINGLE(INDEX(#REF!,ROW()-1)),"")</f>
        <v>0</v>
      </c>
      <c r="G348">
        <f>IFERROR(_xlfn.SINGLE(INDEX(#REF!,ROW()-1)),"")</f>
        <v>0</v>
      </c>
      <c r="H348">
        <f>IFERROR(_xlfn.SINGLE(INDEX(#REF!,ROW()-1)),"")</f>
        <v>0</v>
      </c>
      <c r="I348">
        <f>IFERROR(_xlfn.SINGLE(INDEX(#REF!,ROW()-1)),"")</f>
        <v>0</v>
      </c>
      <c r="J348">
        <f>IFERROR(_xlfn.SINGLE(INDEX(#REF!,ROW()-1)),"")</f>
        <v>0</v>
      </c>
      <c r="K348">
        <f>IFERROR(_xlfn.SINGLE(INDEX(#REF!,ROW()-1)),"")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IFERROR(_xlfn.SINGLE(INDEX(#REF!,ROW()-1)),"")</f>
        <v>0</v>
      </c>
      <c r="C349">
        <f>IFERROR(_xlfn.SINGLE(INDEX(#REF!,ROW()-1)),"")</f>
        <v>0</v>
      </c>
      <c r="D349">
        <f>IFERROR(_xlfn.SINGLE(INDEX(#REF!,ROW()-1)),"")</f>
        <v>0</v>
      </c>
      <c r="E349">
        <f>IFERROR(_xlfn.SINGLE(INDEX(#REF!,ROW()-1)),"")</f>
        <v>0</v>
      </c>
      <c r="F349">
        <f>IFERROR(_xlfn.SINGLE(INDEX(#REF!,ROW()-1)),"")</f>
        <v>0</v>
      </c>
      <c r="G349">
        <f>IFERROR(_xlfn.SINGLE(INDEX(#REF!,ROW()-1)),"")</f>
        <v>0</v>
      </c>
      <c r="H349">
        <f>IFERROR(_xlfn.SINGLE(INDEX(#REF!,ROW()-1)),"")</f>
        <v>0</v>
      </c>
      <c r="I349">
        <f>IFERROR(_xlfn.SINGLE(INDEX(#REF!,ROW()-1)),"")</f>
        <v>0</v>
      </c>
      <c r="J349">
        <f>IFERROR(_xlfn.SINGLE(INDEX(#REF!,ROW()-1)),"")</f>
        <v>0</v>
      </c>
      <c r="K349">
        <f>IFERROR(_xlfn.SINGLE(INDEX(#REF!,ROW()-1)),"")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IFERROR(_xlfn.SINGLE(INDEX(#REF!,ROW()-1)),"")</f>
        <v>0</v>
      </c>
      <c r="C350">
        <f>IFERROR(_xlfn.SINGLE(INDEX(#REF!,ROW()-1)),"")</f>
        <v>0</v>
      </c>
      <c r="D350">
        <f>IFERROR(_xlfn.SINGLE(INDEX(#REF!,ROW()-1)),"")</f>
        <v>0</v>
      </c>
      <c r="E350">
        <f>IFERROR(_xlfn.SINGLE(INDEX(#REF!,ROW()-1)),"")</f>
        <v>0</v>
      </c>
      <c r="F350">
        <f>IFERROR(_xlfn.SINGLE(INDEX(#REF!,ROW()-1)),"")</f>
        <v>0</v>
      </c>
      <c r="G350">
        <f>IFERROR(_xlfn.SINGLE(INDEX(#REF!,ROW()-1)),"")</f>
        <v>0</v>
      </c>
      <c r="H350">
        <f>IFERROR(_xlfn.SINGLE(INDEX(#REF!,ROW()-1)),"")</f>
        <v>0</v>
      </c>
      <c r="I350">
        <f>IFERROR(_xlfn.SINGLE(INDEX(#REF!,ROW()-1)),"")</f>
        <v>0</v>
      </c>
      <c r="J350">
        <f>IFERROR(_xlfn.SINGLE(INDEX(#REF!,ROW()-1)),"")</f>
        <v>0</v>
      </c>
      <c r="K350">
        <f>IFERROR(_xlfn.SINGLE(INDEX(#REF!,ROW()-1)),"")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IFERROR(_xlfn.SINGLE(INDEX(#REF!,ROW()-1)),"")</f>
        <v>0</v>
      </c>
      <c r="C351">
        <f>IFERROR(_xlfn.SINGLE(INDEX(#REF!,ROW()-1)),"")</f>
        <v>0</v>
      </c>
      <c r="D351">
        <f>IFERROR(_xlfn.SINGLE(INDEX(#REF!,ROW()-1)),"")</f>
        <v>0</v>
      </c>
      <c r="E351">
        <f>IFERROR(_xlfn.SINGLE(INDEX(#REF!,ROW()-1)),"")</f>
        <v>0</v>
      </c>
      <c r="F351">
        <f>IFERROR(_xlfn.SINGLE(INDEX(#REF!,ROW()-1)),"")</f>
        <v>0</v>
      </c>
      <c r="G351">
        <f>IFERROR(_xlfn.SINGLE(INDEX(#REF!,ROW()-1)),"")</f>
        <v>0</v>
      </c>
      <c r="H351">
        <f>IFERROR(_xlfn.SINGLE(INDEX(#REF!,ROW()-1)),"")</f>
        <v>0</v>
      </c>
      <c r="I351">
        <f>IFERROR(_xlfn.SINGLE(INDEX(#REF!,ROW()-1)),"")</f>
        <v>0</v>
      </c>
      <c r="J351">
        <f>IFERROR(_xlfn.SINGLE(INDEX(#REF!,ROW()-1)),"")</f>
        <v>0</v>
      </c>
      <c r="K351">
        <f>IFERROR(_xlfn.SINGLE(INDEX(#REF!,ROW()-1)),"")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IFERROR(_xlfn.SINGLE(INDEX(#REF!,ROW()-1)),"")</f>
        <v>0</v>
      </c>
      <c r="C352">
        <f>IFERROR(_xlfn.SINGLE(INDEX(#REF!,ROW()-1)),"")</f>
        <v>0</v>
      </c>
      <c r="D352">
        <f>IFERROR(_xlfn.SINGLE(INDEX(#REF!,ROW()-1)),"")</f>
        <v>0</v>
      </c>
      <c r="E352">
        <f>IFERROR(_xlfn.SINGLE(INDEX(#REF!,ROW()-1)),"")</f>
        <v>0</v>
      </c>
      <c r="F352">
        <f>IFERROR(_xlfn.SINGLE(INDEX(#REF!,ROW()-1)),"")</f>
        <v>0</v>
      </c>
      <c r="G352">
        <f>IFERROR(_xlfn.SINGLE(INDEX(#REF!,ROW()-1)),"")</f>
        <v>0</v>
      </c>
      <c r="H352">
        <f>IFERROR(_xlfn.SINGLE(INDEX(#REF!,ROW()-1)),"")</f>
        <v>0</v>
      </c>
      <c r="I352">
        <f>IFERROR(_xlfn.SINGLE(INDEX(#REF!,ROW()-1)),"")</f>
        <v>0</v>
      </c>
      <c r="J352">
        <f>IFERROR(_xlfn.SINGLE(INDEX(#REF!,ROW()-1)),"")</f>
        <v>0</v>
      </c>
      <c r="K352">
        <f>IFERROR(_xlfn.SINGLE(INDEX(#REF!,ROW()-1)),"")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IFERROR(_xlfn.SINGLE(INDEX(#REF!,ROW()-1)),"")</f>
        <v>0</v>
      </c>
      <c r="C353">
        <f>IFERROR(_xlfn.SINGLE(INDEX(#REF!,ROW()-1)),"")</f>
        <v>0</v>
      </c>
      <c r="D353">
        <f>IFERROR(_xlfn.SINGLE(INDEX(#REF!,ROW()-1)),"")</f>
        <v>0</v>
      </c>
      <c r="E353">
        <f>IFERROR(_xlfn.SINGLE(INDEX(#REF!,ROW()-1)),"")</f>
        <v>0</v>
      </c>
      <c r="F353">
        <f>IFERROR(_xlfn.SINGLE(INDEX(#REF!,ROW()-1)),"")</f>
        <v>0</v>
      </c>
      <c r="G353">
        <f>IFERROR(_xlfn.SINGLE(INDEX(#REF!,ROW()-1)),"")</f>
        <v>0</v>
      </c>
      <c r="H353">
        <f>IFERROR(_xlfn.SINGLE(INDEX(#REF!,ROW()-1)),"")</f>
        <v>0</v>
      </c>
      <c r="I353">
        <f>IFERROR(_xlfn.SINGLE(INDEX(#REF!,ROW()-1)),"")</f>
        <v>0</v>
      </c>
      <c r="J353">
        <f>IFERROR(_xlfn.SINGLE(INDEX(#REF!,ROW()-1)),"")</f>
        <v>0</v>
      </c>
      <c r="K353">
        <f>IFERROR(_xlfn.SINGLE(INDEX(#REF!,ROW()-1)),"")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IFERROR(_xlfn.SINGLE(INDEX(#REF!,ROW()-1)),"")</f>
        <v>0</v>
      </c>
      <c r="C354">
        <f>IFERROR(_xlfn.SINGLE(INDEX(#REF!,ROW()-1)),"")</f>
        <v>0</v>
      </c>
      <c r="D354">
        <f>IFERROR(_xlfn.SINGLE(INDEX(#REF!,ROW()-1)),"")</f>
        <v>0</v>
      </c>
      <c r="E354">
        <f>IFERROR(_xlfn.SINGLE(INDEX(#REF!,ROW()-1)),"")</f>
        <v>0</v>
      </c>
      <c r="F354">
        <f>IFERROR(_xlfn.SINGLE(INDEX(#REF!,ROW()-1)),"")</f>
        <v>0</v>
      </c>
      <c r="G354">
        <f>IFERROR(_xlfn.SINGLE(INDEX(#REF!,ROW()-1)),"")</f>
        <v>0</v>
      </c>
      <c r="H354">
        <f>IFERROR(_xlfn.SINGLE(INDEX(#REF!,ROW()-1)),"")</f>
        <v>0</v>
      </c>
      <c r="I354">
        <f>IFERROR(_xlfn.SINGLE(INDEX(#REF!,ROW()-1)),"")</f>
        <v>0</v>
      </c>
      <c r="J354">
        <f>IFERROR(_xlfn.SINGLE(INDEX(#REF!,ROW()-1)),"")</f>
        <v>0</v>
      </c>
      <c r="K354">
        <f>IFERROR(_xlfn.SINGLE(INDEX(#REF!,ROW()-1)),"")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IFERROR(_xlfn.SINGLE(INDEX(#REF!,ROW()-1)),"")</f>
        <v>0</v>
      </c>
      <c r="C355">
        <f>IFERROR(_xlfn.SINGLE(INDEX(#REF!,ROW()-1)),"")</f>
        <v>0</v>
      </c>
      <c r="D355">
        <f>IFERROR(_xlfn.SINGLE(INDEX(#REF!,ROW()-1)),"")</f>
        <v>0</v>
      </c>
      <c r="E355">
        <f>IFERROR(_xlfn.SINGLE(INDEX(#REF!,ROW()-1)),"")</f>
        <v>0</v>
      </c>
      <c r="F355">
        <f>IFERROR(_xlfn.SINGLE(INDEX(#REF!,ROW()-1)),"")</f>
        <v>0</v>
      </c>
      <c r="G355">
        <f>IFERROR(_xlfn.SINGLE(INDEX(#REF!,ROW()-1)),"")</f>
        <v>0</v>
      </c>
      <c r="H355">
        <f>IFERROR(_xlfn.SINGLE(INDEX(#REF!,ROW()-1)),"")</f>
        <v>0</v>
      </c>
      <c r="I355">
        <f>IFERROR(_xlfn.SINGLE(INDEX(#REF!,ROW()-1)),"")</f>
        <v>0</v>
      </c>
      <c r="J355">
        <f>IFERROR(_xlfn.SINGLE(INDEX(#REF!,ROW()-1)),"")</f>
        <v>0</v>
      </c>
      <c r="K355">
        <f>IFERROR(_xlfn.SINGLE(INDEX(#REF!,ROW()-1)),"")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IFERROR(_xlfn.SINGLE(INDEX(#REF!,ROW()-1)),"")</f>
        <v>0</v>
      </c>
      <c r="C356">
        <f>IFERROR(_xlfn.SINGLE(INDEX(#REF!,ROW()-1)),"")</f>
        <v>0</v>
      </c>
      <c r="D356">
        <f>IFERROR(_xlfn.SINGLE(INDEX(#REF!,ROW()-1)),"")</f>
        <v>0</v>
      </c>
      <c r="E356">
        <f>IFERROR(_xlfn.SINGLE(INDEX(#REF!,ROW()-1)),"")</f>
        <v>0</v>
      </c>
      <c r="F356">
        <f>IFERROR(_xlfn.SINGLE(INDEX(#REF!,ROW()-1)),"")</f>
        <v>0</v>
      </c>
      <c r="G356">
        <f>IFERROR(_xlfn.SINGLE(INDEX(#REF!,ROW()-1)),"")</f>
        <v>0</v>
      </c>
      <c r="H356">
        <f>IFERROR(_xlfn.SINGLE(INDEX(#REF!,ROW()-1)),"")</f>
        <v>0</v>
      </c>
      <c r="I356">
        <f>IFERROR(_xlfn.SINGLE(INDEX(#REF!,ROW()-1)),"")</f>
        <v>0</v>
      </c>
      <c r="J356">
        <f>IFERROR(_xlfn.SINGLE(INDEX(#REF!,ROW()-1)),"")</f>
        <v>0</v>
      </c>
      <c r="K356">
        <f>IFERROR(_xlfn.SINGLE(INDEX(#REF!,ROW()-1)),"")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IFERROR(_xlfn.SINGLE(INDEX(#REF!,ROW()-1)),"")</f>
        <v>0</v>
      </c>
      <c r="C357">
        <f>IFERROR(_xlfn.SINGLE(INDEX(#REF!,ROW()-1)),"")</f>
        <v>0</v>
      </c>
      <c r="D357">
        <f>IFERROR(_xlfn.SINGLE(INDEX(#REF!,ROW()-1)),"")</f>
        <v>0</v>
      </c>
      <c r="E357">
        <f>IFERROR(_xlfn.SINGLE(INDEX(#REF!,ROW()-1)),"")</f>
        <v>0</v>
      </c>
      <c r="F357">
        <f>IFERROR(_xlfn.SINGLE(INDEX(#REF!,ROW()-1)),"")</f>
        <v>0</v>
      </c>
      <c r="G357">
        <f>IFERROR(_xlfn.SINGLE(INDEX(#REF!,ROW()-1)),"")</f>
        <v>0</v>
      </c>
      <c r="H357">
        <f>IFERROR(_xlfn.SINGLE(INDEX(#REF!,ROW()-1)),"")</f>
        <v>0</v>
      </c>
      <c r="I357">
        <f>IFERROR(_xlfn.SINGLE(INDEX(#REF!,ROW()-1)),"")</f>
        <v>0</v>
      </c>
      <c r="J357">
        <f>IFERROR(_xlfn.SINGLE(INDEX(#REF!,ROW()-1)),"")</f>
        <v>0</v>
      </c>
      <c r="K357">
        <f>IFERROR(_xlfn.SINGLE(INDEX(#REF!,ROW()-1)),"")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IFERROR(_xlfn.SINGLE(INDEX(#REF!,ROW()-1)),"")</f>
        <v>0</v>
      </c>
      <c r="C358">
        <f>IFERROR(_xlfn.SINGLE(INDEX(#REF!,ROW()-1)),"")</f>
        <v>0</v>
      </c>
      <c r="D358">
        <f>IFERROR(_xlfn.SINGLE(INDEX(#REF!,ROW()-1)),"")</f>
        <v>0</v>
      </c>
      <c r="E358">
        <f>IFERROR(_xlfn.SINGLE(INDEX(#REF!,ROW()-1)),"")</f>
        <v>0</v>
      </c>
      <c r="F358">
        <f>IFERROR(_xlfn.SINGLE(INDEX(#REF!,ROW()-1)),"")</f>
        <v>0</v>
      </c>
      <c r="G358">
        <f>IFERROR(_xlfn.SINGLE(INDEX(#REF!,ROW()-1)),"")</f>
        <v>0</v>
      </c>
      <c r="H358">
        <f>IFERROR(_xlfn.SINGLE(INDEX(#REF!,ROW()-1)),"")</f>
        <v>0</v>
      </c>
      <c r="I358">
        <f>IFERROR(_xlfn.SINGLE(INDEX(#REF!,ROW()-1)),"")</f>
        <v>0</v>
      </c>
      <c r="J358">
        <f>IFERROR(_xlfn.SINGLE(INDEX(#REF!,ROW()-1)),"")</f>
        <v>0</v>
      </c>
      <c r="K358">
        <f>IFERROR(_xlfn.SINGLE(INDEX(#REF!,ROW()-1)),"")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IFERROR(_xlfn.SINGLE(INDEX(#REF!,ROW()-1)),"")</f>
        <v>0</v>
      </c>
      <c r="C359">
        <f>IFERROR(_xlfn.SINGLE(INDEX(#REF!,ROW()-1)),"")</f>
        <v>0</v>
      </c>
      <c r="D359">
        <f>IFERROR(_xlfn.SINGLE(INDEX(#REF!,ROW()-1)),"")</f>
        <v>0</v>
      </c>
      <c r="E359">
        <f>IFERROR(_xlfn.SINGLE(INDEX(#REF!,ROW()-1)),"")</f>
        <v>0</v>
      </c>
      <c r="F359">
        <f>IFERROR(_xlfn.SINGLE(INDEX(#REF!,ROW()-1)),"")</f>
        <v>0</v>
      </c>
      <c r="G359">
        <f>IFERROR(_xlfn.SINGLE(INDEX(#REF!,ROW()-1)),"")</f>
        <v>0</v>
      </c>
      <c r="H359">
        <f>IFERROR(_xlfn.SINGLE(INDEX(#REF!,ROW()-1)),"")</f>
        <v>0</v>
      </c>
      <c r="I359">
        <f>IFERROR(_xlfn.SINGLE(INDEX(#REF!,ROW()-1)),"")</f>
        <v>0</v>
      </c>
      <c r="J359">
        <f>IFERROR(_xlfn.SINGLE(INDEX(#REF!,ROW()-1)),"")</f>
        <v>0</v>
      </c>
      <c r="K359">
        <f>IFERROR(_xlfn.SINGLE(INDEX(#REF!,ROW()-1)),"")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IFERROR(_xlfn.SINGLE(INDEX(#REF!,ROW()-1)),"")</f>
        <v>0</v>
      </c>
      <c r="C360">
        <f>IFERROR(_xlfn.SINGLE(INDEX(#REF!,ROW()-1)),"")</f>
        <v>0</v>
      </c>
      <c r="D360">
        <f>IFERROR(_xlfn.SINGLE(INDEX(#REF!,ROW()-1)),"")</f>
        <v>0</v>
      </c>
      <c r="E360">
        <f>IFERROR(_xlfn.SINGLE(INDEX(#REF!,ROW()-1)),"")</f>
        <v>0</v>
      </c>
      <c r="F360">
        <f>IFERROR(_xlfn.SINGLE(INDEX(#REF!,ROW()-1)),"")</f>
        <v>0</v>
      </c>
      <c r="G360">
        <f>IFERROR(_xlfn.SINGLE(INDEX(#REF!,ROW()-1)),"")</f>
        <v>0</v>
      </c>
      <c r="H360">
        <f>IFERROR(_xlfn.SINGLE(INDEX(#REF!,ROW()-1)),"")</f>
        <v>0</v>
      </c>
      <c r="I360">
        <f>IFERROR(_xlfn.SINGLE(INDEX(#REF!,ROW()-1)),"")</f>
        <v>0</v>
      </c>
      <c r="J360">
        <f>IFERROR(_xlfn.SINGLE(INDEX(#REF!,ROW()-1)),"")</f>
        <v>0</v>
      </c>
      <c r="K360">
        <f>IFERROR(_xlfn.SINGLE(INDEX(#REF!,ROW()-1)),"")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IFERROR(_xlfn.SINGLE(INDEX(#REF!,ROW()-1)),"")</f>
        <v>0</v>
      </c>
      <c r="C361">
        <f>IFERROR(_xlfn.SINGLE(INDEX(#REF!,ROW()-1)),"")</f>
        <v>0</v>
      </c>
      <c r="D361">
        <f>IFERROR(_xlfn.SINGLE(INDEX(#REF!,ROW()-1)),"")</f>
        <v>0</v>
      </c>
      <c r="E361">
        <f>IFERROR(_xlfn.SINGLE(INDEX(#REF!,ROW()-1)),"")</f>
        <v>0</v>
      </c>
      <c r="F361">
        <f>IFERROR(_xlfn.SINGLE(INDEX(#REF!,ROW()-1)),"")</f>
        <v>0</v>
      </c>
      <c r="G361">
        <f>IFERROR(_xlfn.SINGLE(INDEX(#REF!,ROW()-1)),"")</f>
        <v>0</v>
      </c>
      <c r="H361">
        <f>IFERROR(_xlfn.SINGLE(INDEX(#REF!,ROW()-1)),"")</f>
        <v>0</v>
      </c>
      <c r="I361">
        <f>IFERROR(_xlfn.SINGLE(INDEX(#REF!,ROW()-1)),"")</f>
        <v>0</v>
      </c>
      <c r="J361">
        <f>IFERROR(_xlfn.SINGLE(INDEX(#REF!,ROW()-1)),"")</f>
        <v>0</v>
      </c>
      <c r="K361">
        <f>IFERROR(_xlfn.SINGLE(INDEX(#REF!,ROW()-1)),"")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IFERROR(_xlfn.SINGLE(INDEX(#REF!,ROW()-1)),"")</f>
        <v>0</v>
      </c>
      <c r="C362">
        <f>IFERROR(_xlfn.SINGLE(INDEX(#REF!,ROW()-1)),"")</f>
        <v>0</v>
      </c>
      <c r="D362">
        <f>IFERROR(_xlfn.SINGLE(INDEX(#REF!,ROW()-1)),"")</f>
        <v>0</v>
      </c>
      <c r="E362">
        <f>IFERROR(_xlfn.SINGLE(INDEX(#REF!,ROW()-1)),"")</f>
        <v>0</v>
      </c>
      <c r="F362">
        <f>IFERROR(_xlfn.SINGLE(INDEX(#REF!,ROW()-1)),"")</f>
        <v>0</v>
      </c>
      <c r="G362">
        <f>IFERROR(_xlfn.SINGLE(INDEX(#REF!,ROW()-1)),"")</f>
        <v>0</v>
      </c>
      <c r="H362">
        <f>IFERROR(_xlfn.SINGLE(INDEX(#REF!,ROW()-1)),"")</f>
        <v>0</v>
      </c>
      <c r="I362">
        <f>IFERROR(_xlfn.SINGLE(INDEX(#REF!,ROW()-1)),"")</f>
        <v>0</v>
      </c>
      <c r="J362">
        <f>IFERROR(_xlfn.SINGLE(INDEX(#REF!,ROW()-1)),"")</f>
        <v>0</v>
      </c>
      <c r="K362">
        <f>IFERROR(_xlfn.SINGLE(INDEX(#REF!,ROW()-1)),"")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IFERROR(_xlfn.SINGLE(INDEX(#REF!,ROW()-1)),"")</f>
        <v>0</v>
      </c>
      <c r="C363">
        <f>IFERROR(_xlfn.SINGLE(INDEX(#REF!,ROW()-1)),"")</f>
        <v>0</v>
      </c>
      <c r="D363">
        <f>IFERROR(_xlfn.SINGLE(INDEX(#REF!,ROW()-1)),"")</f>
        <v>0</v>
      </c>
      <c r="E363">
        <f>IFERROR(_xlfn.SINGLE(INDEX(#REF!,ROW()-1)),"")</f>
        <v>0</v>
      </c>
      <c r="F363">
        <f>IFERROR(_xlfn.SINGLE(INDEX(#REF!,ROW()-1)),"")</f>
        <v>0</v>
      </c>
      <c r="G363">
        <f>IFERROR(_xlfn.SINGLE(INDEX(#REF!,ROW()-1)),"")</f>
        <v>0</v>
      </c>
      <c r="H363">
        <f>IFERROR(_xlfn.SINGLE(INDEX(#REF!,ROW()-1)),"")</f>
        <v>0</v>
      </c>
      <c r="I363">
        <f>IFERROR(_xlfn.SINGLE(INDEX(#REF!,ROW()-1)),"")</f>
        <v>0</v>
      </c>
      <c r="J363">
        <f>IFERROR(_xlfn.SINGLE(INDEX(#REF!,ROW()-1)),"")</f>
        <v>0</v>
      </c>
      <c r="K363">
        <f>IFERROR(_xlfn.SINGLE(INDEX(#REF!,ROW()-1)),"")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IFERROR(_xlfn.SINGLE(INDEX(#REF!,ROW()-1)),"")</f>
        <v>0</v>
      </c>
      <c r="C364">
        <f>IFERROR(_xlfn.SINGLE(INDEX(#REF!,ROW()-1)),"")</f>
        <v>0</v>
      </c>
      <c r="D364">
        <f>IFERROR(_xlfn.SINGLE(INDEX(#REF!,ROW()-1)),"")</f>
        <v>0</v>
      </c>
      <c r="E364">
        <f>IFERROR(_xlfn.SINGLE(INDEX(#REF!,ROW()-1)),"")</f>
        <v>0</v>
      </c>
      <c r="F364">
        <f>IFERROR(_xlfn.SINGLE(INDEX(#REF!,ROW()-1)),"")</f>
        <v>0</v>
      </c>
      <c r="G364">
        <f>IFERROR(_xlfn.SINGLE(INDEX(#REF!,ROW()-1)),"")</f>
        <v>0</v>
      </c>
      <c r="H364">
        <f>IFERROR(_xlfn.SINGLE(INDEX(#REF!,ROW()-1)),"")</f>
        <v>0</v>
      </c>
      <c r="I364">
        <f>IFERROR(_xlfn.SINGLE(INDEX(#REF!,ROW()-1)),"")</f>
        <v>0</v>
      </c>
      <c r="J364">
        <f>IFERROR(_xlfn.SINGLE(INDEX(#REF!,ROW()-1)),"")</f>
        <v>0</v>
      </c>
      <c r="K364">
        <f>IFERROR(_xlfn.SINGLE(INDEX(#REF!,ROW()-1)),"")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IFERROR(_xlfn.SINGLE(INDEX(#REF!,ROW()-1)),"")</f>
        <v>0</v>
      </c>
      <c r="C365">
        <f>IFERROR(_xlfn.SINGLE(INDEX(#REF!,ROW()-1)),"")</f>
        <v>0</v>
      </c>
      <c r="D365">
        <f>IFERROR(_xlfn.SINGLE(INDEX(#REF!,ROW()-1)),"")</f>
        <v>0</v>
      </c>
      <c r="E365">
        <f>IFERROR(_xlfn.SINGLE(INDEX(#REF!,ROW()-1)),"")</f>
        <v>0</v>
      </c>
      <c r="F365">
        <f>IFERROR(_xlfn.SINGLE(INDEX(#REF!,ROW()-1)),"")</f>
        <v>0</v>
      </c>
      <c r="G365">
        <f>IFERROR(_xlfn.SINGLE(INDEX(#REF!,ROW()-1)),"")</f>
        <v>0</v>
      </c>
      <c r="H365">
        <f>IFERROR(_xlfn.SINGLE(INDEX(#REF!,ROW()-1)),"")</f>
        <v>0</v>
      </c>
      <c r="I365">
        <f>IFERROR(_xlfn.SINGLE(INDEX(#REF!,ROW()-1)),"")</f>
        <v>0</v>
      </c>
      <c r="J365">
        <f>IFERROR(_xlfn.SINGLE(INDEX(#REF!,ROW()-1)),"")</f>
        <v>0</v>
      </c>
      <c r="K365">
        <f>IFERROR(_xlfn.SINGLE(INDEX(#REF!,ROW()-1)),"")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IFERROR(_xlfn.SINGLE(INDEX(#REF!,ROW()-1)),"")</f>
        <v>0</v>
      </c>
      <c r="C366">
        <f>IFERROR(_xlfn.SINGLE(INDEX(#REF!,ROW()-1)),"")</f>
        <v>0</v>
      </c>
      <c r="D366">
        <f>IFERROR(_xlfn.SINGLE(INDEX(#REF!,ROW()-1)),"")</f>
        <v>0</v>
      </c>
      <c r="E366">
        <f>IFERROR(_xlfn.SINGLE(INDEX(#REF!,ROW()-1)),"")</f>
        <v>0</v>
      </c>
      <c r="F366">
        <f>IFERROR(_xlfn.SINGLE(INDEX(#REF!,ROW()-1)),"")</f>
        <v>0</v>
      </c>
      <c r="G366">
        <f>IFERROR(_xlfn.SINGLE(INDEX(#REF!,ROW()-1)),"")</f>
        <v>0</v>
      </c>
      <c r="H366">
        <f>IFERROR(_xlfn.SINGLE(INDEX(#REF!,ROW()-1)),"")</f>
        <v>0</v>
      </c>
      <c r="I366">
        <f>IFERROR(_xlfn.SINGLE(INDEX(#REF!,ROW()-1)),"")</f>
        <v>0</v>
      </c>
      <c r="J366">
        <f>IFERROR(_xlfn.SINGLE(INDEX(#REF!,ROW()-1)),"")</f>
        <v>0</v>
      </c>
      <c r="K366">
        <f>IFERROR(_xlfn.SINGLE(INDEX(#REF!,ROW()-1)),"")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IFERROR(_xlfn.SINGLE(INDEX(#REF!,ROW()-1)),"")</f>
        <v>0</v>
      </c>
      <c r="C367">
        <f>IFERROR(_xlfn.SINGLE(INDEX(#REF!,ROW()-1)),"")</f>
        <v>0</v>
      </c>
      <c r="D367">
        <f>IFERROR(_xlfn.SINGLE(INDEX(#REF!,ROW()-1)),"")</f>
        <v>0</v>
      </c>
      <c r="E367">
        <f>IFERROR(_xlfn.SINGLE(INDEX(#REF!,ROW()-1)),"")</f>
        <v>0</v>
      </c>
      <c r="F367">
        <f>IFERROR(_xlfn.SINGLE(INDEX(#REF!,ROW()-1)),"")</f>
        <v>0</v>
      </c>
      <c r="G367">
        <f>IFERROR(_xlfn.SINGLE(INDEX(#REF!,ROW()-1)),"")</f>
        <v>0</v>
      </c>
      <c r="H367">
        <f>IFERROR(_xlfn.SINGLE(INDEX(#REF!,ROW()-1)),"")</f>
        <v>0</v>
      </c>
      <c r="I367">
        <f>IFERROR(_xlfn.SINGLE(INDEX(#REF!,ROW()-1)),"")</f>
        <v>0</v>
      </c>
      <c r="J367">
        <f>IFERROR(_xlfn.SINGLE(INDEX(#REF!,ROW()-1)),"")</f>
        <v>0</v>
      </c>
      <c r="K367">
        <f>IFERROR(_xlfn.SINGLE(INDEX(#REF!,ROW()-1)),"")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IFERROR(_xlfn.SINGLE(INDEX(#REF!,ROW()-1)),"")</f>
        <v>0</v>
      </c>
      <c r="C368">
        <f>IFERROR(_xlfn.SINGLE(INDEX(#REF!,ROW()-1)),"")</f>
        <v>0</v>
      </c>
      <c r="D368">
        <f>IFERROR(_xlfn.SINGLE(INDEX(#REF!,ROW()-1)),"")</f>
        <v>0</v>
      </c>
      <c r="E368">
        <f>IFERROR(_xlfn.SINGLE(INDEX(#REF!,ROW()-1)),"")</f>
        <v>0</v>
      </c>
      <c r="F368">
        <f>IFERROR(_xlfn.SINGLE(INDEX(#REF!,ROW()-1)),"")</f>
        <v>0</v>
      </c>
      <c r="G368">
        <f>IFERROR(_xlfn.SINGLE(INDEX(#REF!,ROW()-1)),"")</f>
        <v>0</v>
      </c>
      <c r="H368">
        <f>IFERROR(_xlfn.SINGLE(INDEX(#REF!,ROW()-1)),"")</f>
        <v>0</v>
      </c>
      <c r="I368">
        <f>IFERROR(_xlfn.SINGLE(INDEX(#REF!,ROW()-1)),"")</f>
        <v>0</v>
      </c>
      <c r="J368">
        <f>IFERROR(_xlfn.SINGLE(INDEX(#REF!,ROW()-1)),"")</f>
        <v>0</v>
      </c>
      <c r="K368">
        <f>IFERROR(_xlfn.SINGLE(INDEX(#REF!,ROW()-1)),"")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IFERROR(_xlfn.SINGLE(INDEX(#REF!,ROW()-1)),"")</f>
        <v>0</v>
      </c>
      <c r="C369">
        <f>IFERROR(_xlfn.SINGLE(INDEX(#REF!,ROW()-1)),"")</f>
        <v>0</v>
      </c>
      <c r="D369">
        <f>IFERROR(_xlfn.SINGLE(INDEX(#REF!,ROW()-1)),"")</f>
        <v>0</v>
      </c>
      <c r="E369">
        <f>IFERROR(_xlfn.SINGLE(INDEX(#REF!,ROW()-1)),"")</f>
        <v>0</v>
      </c>
      <c r="F369">
        <f>IFERROR(_xlfn.SINGLE(INDEX(#REF!,ROW()-1)),"")</f>
        <v>0</v>
      </c>
      <c r="G369">
        <f>IFERROR(_xlfn.SINGLE(INDEX(#REF!,ROW()-1)),"")</f>
        <v>0</v>
      </c>
      <c r="H369">
        <f>IFERROR(_xlfn.SINGLE(INDEX(#REF!,ROW()-1)),"")</f>
        <v>0</v>
      </c>
      <c r="I369">
        <f>IFERROR(_xlfn.SINGLE(INDEX(#REF!,ROW()-1)),"")</f>
        <v>0</v>
      </c>
      <c r="J369">
        <f>IFERROR(_xlfn.SINGLE(INDEX(#REF!,ROW()-1)),"")</f>
        <v>0</v>
      </c>
      <c r="K369">
        <f>IFERROR(_xlfn.SINGLE(INDEX(#REF!,ROW()-1)),"")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IFERROR(_xlfn.SINGLE(INDEX(#REF!,ROW()-1)),"")</f>
        <v>0</v>
      </c>
      <c r="C370">
        <f>IFERROR(_xlfn.SINGLE(INDEX(#REF!,ROW()-1)),"")</f>
        <v>0</v>
      </c>
      <c r="D370">
        <f>IFERROR(_xlfn.SINGLE(INDEX(#REF!,ROW()-1)),"")</f>
        <v>0</v>
      </c>
      <c r="E370">
        <f>IFERROR(_xlfn.SINGLE(INDEX(#REF!,ROW()-1)),"")</f>
        <v>0</v>
      </c>
      <c r="F370">
        <f>IFERROR(_xlfn.SINGLE(INDEX(#REF!,ROW()-1)),"")</f>
        <v>0</v>
      </c>
      <c r="G370">
        <f>IFERROR(_xlfn.SINGLE(INDEX(#REF!,ROW()-1)),"")</f>
        <v>0</v>
      </c>
      <c r="H370">
        <f>IFERROR(_xlfn.SINGLE(INDEX(#REF!,ROW()-1)),"")</f>
        <v>0</v>
      </c>
      <c r="I370">
        <f>IFERROR(_xlfn.SINGLE(INDEX(#REF!,ROW()-1)),"")</f>
        <v>0</v>
      </c>
      <c r="J370">
        <f>IFERROR(_xlfn.SINGLE(INDEX(#REF!,ROW()-1)),"")</f>
        <v>0</v>
      </c>
      <c r="K370">
        <f>IFERROR(_xlfn.SINGLE(INDEX(#REF!,ROW()-1)),"")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IFERROR(_xlfn.SINGLE(INDEX(#REF!,ROW()-1)),"")</f>
        <v>0</v>
      </c>
      <c r="C371">
        <f>IFERROR(_xlfn.SINGLE(INDEX(#REF!,ROW()-1)),"")</f>
        <v>0</v>
      </c>
      <c r="D371">
        <f>IFERROR(_xlfn.SINGLE(INDEX(#REF!,ROW()-1)),"")</f>
        <v>0</v>
      </c>
      <c r="E371">
        <f>IFERROR(_xlfn.SINGLE(INDEX(#REF!,ROW()-1)),"")</f>
        <v>0</v>
      </c>
      <c r="F371">
        <f>IFERROR(_xlfn.SINGLE(INDEX(#REF!,ROW()-1)),"")</f>
        <v>0</v>
      </c>
      <c r="G371">
        <f>IFERROR(_xlfn.SINGLE(INDEX(#REF!,ROW()-1)),"")</f>
        <v>0</v>
      </c>
      <c r="H371">
        <f>IFERROR(_xlfn.SINGLE(INDEX(#REF!,ROW()-1)),"")</f>
        <v>0</v>
      </c>
      <c r="I371">
        <f>IFERROR(_xlfn.SINGLE(INDEX(#REF!,ROW()-1)),"")</f>
        <v>0</v>
      </c>
      <c r="J371">
        <f>IFERROR(_xlfn.SINGLE(INDEX(#REF!,ROW()-1)),"")</f>
        <v>0</v>
      </c>
      <c r="K371">
        <f>IFERROR(_xlfn.SINGLE(INDEX(#REF!,ROW()-1)),"")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IFERROR(_xlfn.SINGLE(INDEX(#REF!,ROW()-1)),"")</f>
        <v>0</v>
      </c>
      <c r="C372">
        <f>IFERROR(_xlfn.SINGLE(INDEX(#REF!,ROW()-1)),"")</f>
        <v>0</v>
      </c>
      <c r="D372">
        <f>IFERROR(_xlfn.SINGLE(INDEX(#REF!,ROW()-1)),"")</f>
        <v>0</v>
      </c>
      <c r="E372">
        <f>IFERROR(_xlfn.SINGLE(INDEX(#REF!,ROW()-1)),"")</f>
        <v>0</v>
      </c>
      <c r="F372">
        <f>IFERROR(_xlfn.SINGLE(INDEX(#REF!,ROW()-1)),"")</f>
        <v>0</v>
      </c>
      <c r="G372">
        <f>IFERROR(_xlfn.SINGLE(INDEX(#REF!,ROW()-1)),"")</f>
        <v>0</v>
      </c>
      <c r="H372">
        <f>IFERROR(_xlfn.SINGLE(INDEX(#REF!,ROW()-1)),"")</f>
        <v>0</v>
      </c>
      <c r="I372">
        <f>IFERROR(_xlfn.SINGLE(INDEX(#REF!,ROW()-1)),"")</f>
        <v>0</v>
      </c>
      <c r="J372">
        <f>IFERROR(_xlfn.SINGLE(INDEX(#REF!,ROW()-1)),"")</f>
        <v>0</v>
      </c>
      <c r="K372">
        <f>IFERROR(_xlfn.SINGLE(INDEX(#REF!,ROW()-1)),"")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IFERROR(_xlfn.SINGLE(INDEX(#REF!,ROW()-1)),"")</f>
        <v>0</v>
      </c>
      <c r="C373">
        <f>IFERROR(_xlfn.SINGLE(INDEX(#REF!,ROW()-1)),"")</f>
        <v>0</v>
      </c>
      <c r="D373">
        <f>IFERROR(_xlfn.SINGLE(INDEX(#REF!,ROW()-1)),"")</f>
        <v>0</v>
      </c>
      <c r="E373">
        <f>IFERROR(_xlfn.SINGLE(INDEX(#REF!,ROW()-1)),"")</f>
        <v>0</v>
      </c>
      <c r="F373">
        <f>IFERROR(_xlfn.SINGLE(INDEX(#REF!,ROW()-1)),"")</f>
        <v>0</v>
      </c>
      <c r="G373">
        <f>IFERROR(_xlfn.SINGLE(INDEX(#REF!,ROW()-1)),"")</f>
        <v>0</v>
      </c>
      <c r="H373">
        <f>IFERROR(_xlfn.SINGLE(INDEX(#REF!,ROW()-1)),"")</f>
        <v>0</v>
      </c>
      <c r="I373">
        <f>IFERROR(_xlfn.SINGLE(INDEX(#REF!,ROW()-1)),"")</f>
        <v>0</v>
      </c>
      <c r="J373">
        <f>IFERROR(_xlfn.SINGLE(INDEX(#REF!,ROW()-1)),"")</f>
        <v>0</v>
      </c>
      <c r="K373">
        <f>IFERROR(_xlfn.SINGLE(INDEX(#REF!,ROW()-1)),"")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IFERROR(_xlfn.SINGLE(INDEX(#REF!,ROW()-1)),"")</f>
        <v>0</v>
      </c>
      <c r="C374">
        <f>IFERROR(_xlfn.SINGLE(INDEX(#REF!,ROW()-1)),"")</f>
        <v>0</v>
      </c>
      <c r="D374">
        <f>IFERROR(_xlfn.SINGLE(INDEX(#REF!,ROW()-1)),"")</f>
        <v>0</v>
      </c>
      <c r="E374">
        <f>IFERROR(_xlfn.SINGLE(INDEX(#REF!,ROW()-1)),"")</f>
        <v>0</v>
      </c>
      <c r="F374">
        <f>IFERROR(_xlfn.SINGLE(INDEX(#REF!,ROW()-1)),"")</f>
        <v>0</v>
      </c>
      <c r="G374">
        <f>IFERROR(_xlfn.SINGLE(INDEX(#REF!,ROW()-1)),"")</f>
        <v>0</v>
      </c>
      <c r="H374">
        <f>IFERROR(_xlfn.SINGLE(INDEX(#REF!,ROW()-1)),"")</f>
        <v>0</v>
      </c>
      <c r="I374">
        <f>IFERROR(_xlfn.SINGLE(INDEX(#REF!,ROW()-1)),"")</f>
        <v>0</v>
      </c>
      <c r="J374">
        <f>IFERROR(_xlfn.SINGLE(INDEX(#REF!,ROW()-1)),"")</f>
        <v>0</v>
      </c>
      <c r="K374">
        <f>IFERROR(_xlfn.SINGLE(INDEX(#REF!,ROW()-1)),"")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IFERROR(_xlfn.SINGLE(INDEX(#REF!,ROW()-1)),"")</f>
        <v>0</v>
      </c>
      <c r="C375">
        <f>IFERROR(_xlfn.SINGLE(INDEX(#REF!,ROW()-1)),"")</f>
        <v>0</v>
      </c>
      <c r="D375">
        <f>IFERROR(_xlfn.SINGLE(INDEX(#REF!,ROW()-1)),"")</f>
        <v>0</v>
      </c>
      <c r="E375">
        <f>IFERROR(_xlfn.SINGLE(INDEX(#REF!,ROW()-1)),"")</f>
        <v>0</v>
      </c>
      <c r="F375">
        <f>IFERROR(_xlfn.SINGLE(INDEX(#REF!,ROW()-1)),"")</f>
        <v>0</v>
      </c>
      <c r="G375">
        <f>IFERROR(_xlfn.SINGLE(INDEX(#REF!,ROW()-1)),"")</f>
        <v>0</v>
      </c>
      <c r="H375">
        <f>IFERROR(_xlfn.SINGLE(INDEX(#REF!,ROW()-1)),"")</f>
        <v>0</v>
      </c>
      <c r="I375">
        <f>IFERROR(_xlfn.SINGLE(INDEX(#REF!,ROW()-1)),"")</f>
        <v>0</v>
      </c>
      <c r="J375">
        <f>IFERROR(_xlfn.SINGLE(INDEX(#REF!,ROW()-1)),"")</f>
        <v>0</v>
      </c>
      <c r="K375">
        <f>IFERROR(_xlfn.SINGLE(INDEX(#REF!,ROW()-1)),"")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IFERROR(_xlfn.SINGLE(INDEX(#REF!,ROW()-1)),"")</f>
        <v>0</v>
      </c>
      <c r="C376">
        <f>IFERROR(_xlfn.SINGLE(INDEX(#REF!,ROW()-1)),"")</f>
        <v>0</v>
      </c>
      <c r="D376">
        <f>IFERROR(_xlfn.SINGLE(INDEX(#REF!,ROW()-1)),"")</f>
        <v>0</v>
      </c>
      <c r="E376">
        <f>IFERROR(_xlfn.SINGLE(INDEX(#REF!,ROW()-1)),"")</f>
        <v>0</v>
      </c>
      <c r="F376">
        <f>IFERROR(_xlfn.SINGLE(INDEX(#REF!,ROW()-1)),"")</f>
        <v>0</v>
      </c>
      <c r="G376">
        <f>IFERROR(_xlfn.SINGLE(INDEX(#REF!,ROW()-1)),"")</f>
        <v>0</v>
      </c>
      <c r="H376">
        <f>IFERROR(_xlfn.SINGLE(INDEX(#REF!,ROW()-1)),"")</f>
        <v>0</v>
      </c>
      <c r="I376">
        <f>IFERROR(_xlfn.SINGLE(INDEX(#REF!,ROW()-1)),"")</f>
        <v>0</v>
      </c>
      <c r="J376">
        <f>IFERROR(_xlfn.SINGLE(INDEX(#REF!,ROW()-1)),"")</f>
        <v>0</v>
      </c>
      <c r="K376">
        <f>IFERROR(_xlfn.SINGLE(INDEX(#REF!,ROW()-1)),"")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IFERROR(_xlfn.SINGLE(INDEX(#REF!,ROW()-1)),"")</f>
        <v>0</v>
      </c>
      <c r="C377">
        <f>IFERROR(_xlfn.SINGLE(INDEX(#REF!,ROW()-1)),"")</f>
        <v>0</v>
      </c>
      <c r="D377">
        <f>IFERROR(_xlfn.SINGLE(INDEX(#REF!,ROW()-1)),"")</f>
        <v>0</v>
      </c>
      <c r="E377">
        <f>IFERROR(_xlfn.SINGLE(INDEX(#REF!,ROW()-1)),"")</f>
        <v>0</v>
      </c>
      <c r="F377">
        <f>IFERROR(_xlfn.SINGLE(INDEX(#REF!,ROW()-1)),"")</f>
        <v>0</v>
      </c>
      <c r="G377">
        <f>IFERROR(_xlfn.SINGLE(INDEX(#REF!,ROW()-1)),"")</f>
        <v>0</v>
      </c>
      <c r="H377">
        <f>IFERROR(_xlfn.SINGLE(INDEX(#REF!,ROW()-1)),"")</f>
        <v>0</v>
      </c>
      <c r="I377">
        <f>IFERROR(_xlfn.SINGLE(INDEX(#REF!,ROW()-1)),"")</f>
        <v>0</v>
      </c>
      <c r="J377">
        <f>IFERROR(_xlfn.SINGLE(INDEX(#REF!,ROW()-1)),"")</f>
        <v>0</v>
      </c>
      <c r="K377">
        <f>IFERROR(_xlfn.SINGLE(INDEX(#REF!,ROW()-1)),"")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IFERROR(_xlfn.SINGLE(INDEX(#REF!,ROW()-1)),"")</f>
        <v>0</v>
      </c>
      <c r="C378">
        <f>IFERROR(_xlfn.SINGLE(INDEX(#REF!,ROW()-1)),"")</f>
        <v>0</v>
      </c>
      <c r="D378">
        <f>IFERROR(_xlfn.SINGLE(INDEX(#REF!,ROW()-1)),"")</f>
        <v>0</v>
      </c>
      <c r="E378">
        <f>IFERROR(_xlfn.SINGLE(INDEX(#REF!,ROW()-1)),"")</f>
        <v>0</v>
      </c>
      <c r="F378">
        <f>IFERROR(_xlfn.SINGLE(INDEX(#REF!,ROW()-1)),"")</f>
        <v>0</v>
      </c>
      <c r="G378">
        <f>IFERROR(_xlfn.SINGLE(INDEX(#REF!,ROW()-1)),"")</f>
        <v>0</v>
      </c>
      <c r="H378">
        <f>IFERROR(_xlfn.SINGLE(INDEX(#REF!,ROW()-1)),"")</f>
        <v>0</v>
      </c>
      <c r="I378">
        <f>IFERROR(_xlfn.SINGLE(INDEX(#REF!,ROW()-1)),"")</f>
        <v>0</v>
      </c>
      <c r="J378">
        <f>IFERROR(_xlfn.SINGLE(INDEX(#REF!,ROW()-1)),"")</f>
        <v>0</v>
      </c>
      <c r="K378">
        <f>IFERROR(_xlfn.SINGLE(INDEX(#REF!,ROW()-1)),"")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IFERROR(_xlfn.SINGLE(INDEX(#REF!,ROW()-1)),"")</f>
        <v>0</v>
      </c>
      <c r="C379">
        <f>IFERROR(_xlfn.SINGLE(INDEX(#REF!,ROW()-1)),"")</f>
        <v>0</v>
      </c>
      <c r="D379">
        <f>IFERROR(_xlfn.SINGLE(INDEX(#REF!,ROW()-1)),"")</f>
        <v>0</v>
      </c>
      <c r="E379">
        <f>IFERROR(_xlfn.SINGLE(INDEX(#REF!,ROW()-1)),"")</f>
        <v>0</v>
      </c>
      <c r="F379">
        <f>IFERROR(_xlfn.SINGLE(INDEX(#REF!,ROW()-1)),"")</f>
        <v>0</v>
      </c>
      <c r="G379">
        <f>IFERROR(_xlfn.SINGLE(INDEX(#REF!,ROW()-1)),"")</f>
        <v>0</v>
      </c>
      <c r="H379">
        <f>IFERROR(_xlfn.SINGLE(INDEX(#REF!,ROW()-1)),"")</f>
        <v>0</v>
      </c>
      <c r="I379">
        <f>IFERROR(_xlfn.SINGLE(INDEX(#REF!,ROW()-1)),"")</f>
        <v>0</v>
      </c>
      <c r="J379">
        <f>IFERROR(_xlfn.SINGLE(INDEX(#REF!,ROW()-1)),"")</f>
        <v>0</v>
      </c>
      <c r="K379">
        <f>IFERROR(_xlfn.SINGLE(INDEX(#REF!,ROW()-1)),"")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IFERROR(_xlfn.SINGLE(INDEX(#REF!,ROW()-1)),"")</f>
        <v>0</v>
      </c>
      <c r="C380">
        <f>IFERROR(_xlfn.SINGLE(INDEX(#REF!,ROW()-1)),"")</f>
        <v>0</v>
      </c>
      <c r="D380">
        <f>IFERROR(_xlfn.SINGLE(INDEX(#REF!,ROW()-1)),"")</f>
        <v>0</v>
      </c>
      <c r="E380">
        <f>IFERROR(_xlfn.SINGLE(INDEX(#REF!,ROW()-1)),"")</f>
        <v>0</v>
      </c>
      <c r="F380">
        <f>IFERROR(_xlfn.SINGLE(INDEX(#REF!,ROW()-1)),"")</f>
        <v>0</v>
      </c>
      <c r="G380">
        <f>IFERROR(_xlfn.SINGLE(INDEX(#REF!,ROW()-1)),"")</f>
        <v>0</v>
      </c>
      <c r="H380">
        <f>IFERROR(_xlfn.SINGLE(INDEX(#REF!,ROW()-1)),"")</f>
        <v>0</v>
      </c>
      <c r="I380">
        <f>IFERROR(_xlfn.SINGLE(INDEX(#REF!,ROW()-1)),"")</f>
        <v>0</v>
      </c>
      <c r="J380">
        <f>IFERROR(_xlfn.SINGLE(INDEX(#REF!,ROW()-1)),"")</f>
        <v>0</v>
      </c>
      <c r="K380">
        <f>IFERROR(_xlfn.SINGLE(INDEX(#REF!,ROW()-1)),"")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IFERROR(_xlfn.SINGLE(INDEX(#REF!,ROW()-1)),"")</f>
        <v>0</v>
      </c>
      <c r="C381">
        <f>IFERROR(_xlfn.SINGLE(INDEX(#REF!,ROW()-1)),"")</f>
        <v>0</v>
      </c>
      <c r="D381">
        <f>IFERROR(_xlfn.SINGLE(INDEX(#REF!,ROW()-1)),"")</f>
        <v>0</v>
      </c>
      <c r="E381">
        <f>IFERROR(_xlfn.SINGLE(INDEX(#REF!,ROW()-1)),"")</f>
        <v>0</v>
      </c>
      <c r="F381">
        <f>IFERROR(_xlfn.SINGLE(INDEX(#REF!,ROW()-1)),"")</f>
        <v>0</v>
      </c>
      <c r="G381">
        <f>IFERROR(_xlfn.SINGLE(INDEX(#REF!,ROW()-1)),"")</f>
        <v>0</v>
      </c>
      <c r="H381">
        <f>IFERROR(_xlfn.SINGLE(INDEX(#REF!,ROW()-1)),"")</f>
        <v>0</v>
      </c>
      <c r="I381">
        <f>IFERROR(_xlfn.SINGLE(INDEX(#REF!,ROW()-1)),"")</f>
        <v>0</v>
      </c>
      <c r="J381">
        <f>IFERROR(_xlfn.SINGLE(INDEX(#REF!,ROW()-1)),"")</f>
        <v>0</v>
      </c>
      <c r="K381">
        <f>IFERROR(_xlfn.SINGLE(INDEX(#REF!,ROW()-1)),"")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IFERROR(_xlfn.SINGLE(INDEX(#REF!,ROW()-1)),"")</f>
        <v>0</v>
      </c>
      <c r="C382">
        <f>IFERROR(_xlfn.SINGLE(INDEX(#REF!,ROW()-1)),"")</f>
        <v>0</v>
      </c>
      <c r="D382">
        <f>IFERROR(_xlfn.SINGLE(INDEX(#REF!,ROW()-1)),"")</f>
        <v>0</v>
      </c>
      <c r="E382">
        <f>IFERROR(_xlfn.SINGLE(INDEX(#REF!,ROW()-1)),"")</f>
        <v>0</v>
      </c>
      <c r="F382">
        <f>IFERROR(_xlfn.SINGLE(INDEX(#REF!,ROW()-1)),"")</f>
        <v>0</v>
      </c>
      <c r="G382">
        <f>IFERROR(_xlfn.SINGLE(INDEX(#REF!,ROW()-1)),"")</f>
        <v>0</v>
      </c>
      <c r="H382">
        <f>IFERROR(_xlfn.SINGLE(INDEX(#REF!,ROW()-1)),"")</f>
        <v>0</v>
      </c>
      <c r="I382">
        <f>IFERROR(_xlfn.SINGLE(INDEX(#REF!,ROW()-1)),"")</f>
        <v>0</v>
      </c>
      <c r="J382">
        <f>IFERROR(_xlfn.SINGLE(INDEX(#REF!,ROW()-1)),"")</f>
        <v>0</v>
      </c>
      <c r="K382">
        <f>IFERROR(_xlfn.SINGLE(INDEX(#REF!,ROW()-1)),"")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IFERROR(_xlfn.SINGLE(INDEX(#REF!,ROW()-1)),"")</f>
        <v>0</v>
      </c>
      <c r="C383">
        <f>IFERROR(_xlfn.SINGLE(INDEX(#REF!,ROW()-1)),"")</f>
        <v>0</v>
      </c>
      <c r="D383">
        <f>IFERROR(_xlfn.SINGLE(INDEX(#REF!,ROW()-1)),"")</f>
        <v>0</v>
      </c>
      <c r="E383">
        <f>IFERROR(_xlfn.SINGLE(INDEX(#REF!,ROW()-1)),"")</f>
        <v>0</v>
      </c>
      <c r="F383">
        <f>IFERROR(_xlfn.SINGLE(INDEX(#REF!,ROW()-1)),"")</f>
        <v>0</v>
      </c>
      <c r="G383">
        <f>IFERROR(_xlfn.SINGLE(INDEX(#REF!,ROW()-1)),"")</f>
        <v>0</v>
      </c>
      <c r="H383">
        <f>IFERROR(_xlfn.SINGLE(INDEX(#REF!,ROW()-1)),"")</f>
        <v>0</v>
      </c>
      <c r="I383">
        <f>IFERROR(_xlfn.SINGLE(INDEX(#REF!,ROW()-1)),"")</f>
        <v>0</v>
      </c>
      <c r="J383">
        <f>IFERROR(_xlfn.SINGLE(INDEX(#REF!,ROW()-1)),"")</f>
        <v>0</v>
      </c>
      <c r="K383">
        <f>IFERROR(_xlfn.SINGLE(INDEX(#REF!,ROW()-1)),"")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IFERROR(_xlfn.SINGLE(INDEX(#REF!,ROW()-1)),"")</f>
        <v>0</v>
      </c>
      <c r="C384">
        <f>IFERROR(_xlfn.SINGLE(INDEX(#REF!,ROW()-1)),"")</f>
        <v>0</v>
      </c>
      <c r="D384">
        <f>IFERROR(_xlfn.SINGLE(INDEX(#REF!,ROW()-1)),"")</f>
        <v>0</v>
      </c>
      <c r="E384">
        <f>IFERROR(_xlfn.SINGLE(INDEX(#REF!,ROW()-1)),"")</f>
        <v>0</v>
      </c>
      <c r="F384">
        <f>IFERROR(_xlfn.SINGLE(INDEX(#REF!,ROW()-1)),"")</f>
        <v>0</v>
      </c>
      <c r="G384">
        <f>IFERROR(_xlfn.SINGLE(INDEX(#REF!,ROW()-1)),"")</f>
        <v>0</v>
      </c>
      <c r="H384">
        <f>IFERROR(_xlfn.SINGLE(INDEX(#REF!,ROW()-1)),"")</f>
        <v>0</v>
      </c>
      <c r="I384">
        <f>IFERROR(_xlfn.SINGLE(INDEX(#REF!,ROW()-1)),"")</f>
        <v>0</v>
      </c>
      <c r="J384">
        <f>IFERROR(_xlfn.SINGLE(INDEX(#REF!,ROW()-1)),"")</f>
        <v>0</v>
      </c>
      <c r="K384">
        <f>IFERROR(_xlfn.SINGLE(INDEX(#REF!,ROW()-1)),"")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IFERROR(_xlfn.SINGLE(INDEX(#REF!,ROW()-1)),"")</f>
        <v>0</v>
      </c>
      <c r="C385">
        <f>IFERROR(_xlfn.SINGLE(INDEX(#REF!,ROW()-1)),"")</f>
        <v>0</v>
      </c>
      <c r="D385">
        <f>IFERROR(_xlfn.SINGLE(INDEX(#REF!,ROW()-1)),"")</f>
        <v>0</v>
      </c>
      <c r="E385">
        <f>IFERROR(_xlfn.SINGLE(INDEX(#REF!,ROW()-1)),"")</f>
        <v>0</v>
      </c>
      <c r="F385">
        <f>IFERROR(_xlfn.SINGLE(INDEX(#REF!,ROW()-1)),"")</f>
        <v>0</v>
      </c>
      <c r="G385">
        <f>IFERROR(_xlfn.SINGLE(INDEX(#REF!,ROW()-1)),"")</f>
        <v>0</v>
      </c>
      <c r="H385">
        <f>IFERROR(_xlfn.SINGLE(INDEX(#REF!,ROW()-1)),"")</f>
        <v>0</v>
      </c>
      <c r="I385">
        <f>IFERROR(_xlfn.SINGLE(INDEX(#REF!,ROW()-1)),"")</f>
        <v>0</v>
      </c>
      <c r="J385">
        <f>IFERROR(_xlfn.SINGLE(INDEX(#REF!,ROW()-1)),"")</f>
        <v>0</v>
      </c>
      <c r="K385">
        <f>IFERROR(_xlfn.SINGLE(INDEX(#REF!,ROW()-1)),"")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IFERROR(_xlfn.SINGLE(INDEX(#REF!,ROW()-1)),"")</f>
        <v>0</v>
      </c>
      <c r="C386">
        <f>IFERROR(_xlfn.SINGLE(INDEX(#REF!,ROW()-1)),"")</f>
        <v>0</v>
      </c>
      <c r="D386">
        <f>IFERROR(_xlfn.SINGLE(INDEX(#REF!,ROW()-1)),"")</f>
        <v>0</v>
      </c>
      <c r="E386">
        <f>IFERROR(_xlfn.SINGLE(INDEX(#REF!,ROW()-1)),"")</f>
        <v>0</v>
      </c>
      <c r="F386">
        <f>IFERROR(_xlfn.SINGLE(INDEX(#REF!,ROW()-1)),"")</f>
        <v>0</v>
      </c>
      <c r="G386">
        <f>IFERROR(_xlfn.SINGLE(INDEX(#REF!,ROW()-1)),"")</f>
        <v>0</v>
      </c>
      <c r="H386">
        <f>IFERROR(_xlfn.SINGLE(INDEX(#REF!,ROW()-1)),"")</f>
        <v>0</v>
      </c>
      <c r="I386">
        <f>IFERROR(_xlfn.SINGLE(INDEX(#REF!,ROW()-1)),"")</f>
        <v>0</v>
      </c>
      <c r="J386">
        <f>IFERROR(_xlfn.SINGLE(INDEX(#REF!,ROW()-1)),"")</f>
        <v>0</v>
      </c>
      <c r="K386">
        <f>IFERROR(_xlfn.SINGLE(INDEX(#REF!,ROW()-1)),"")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IFERROR(_xlfn.SINGLE(INDEX(#REF!,ROW()-1)),"")</f>
        <v>0</v>
      </c>
      <c r="C387">
        <f>IFERROR(_xlfn.SINGLE(INDEX(#REF!,ROW()-1)),"")</f>
        <v>0</v>
      </c>
      <c r="D387">
        <f>IFERROR(_xlfn.SINGLE(INDEX(#REF!,ROW()-1)),"")</f>
        <v>0</v>
      </c>
      <c r="E387">
        <f>IFERROR(_xlfn.SINGLE(INDEX(#REF!,ROW()-1)),"")</f>
        <v>0</v>
      </c>
      <c r="F387">
        <f>IFERROR(_xlfn.SINGLE(INDEX(#REF!,ROW()-1)),"")</f>
        <v>0</v>
      </c>
      <c r="G387">
        <f>IFERROR(_xlfn.SINGLE(INDEX(#REF!,ROW()-1)),"")</f>
        <v>0</v>
      </c>
      <c r="H387">
        <f>IFERROR(_xlfn.SINGLE(INDEX(#REF!,ROW()-1)),"")</f>
        <v>0</v>
      </c>
      <c r="I387">
        <f>IFERROR(_xlfn.SINGLE(INDEX(#REF!,ROW()-1)),"")</f>
        <v>0</v>
      </c>
      <c r="J387">
        <f>IFERROR(_xlfn.SINGLE(INDEX(#REF!,ROW()-1)),"")</f>
        <v>0</v>
      </c>
      <c r="K387">
        <f>IFERROR(_xlfn.SINGLE(INDEX(#REF!,ROW()-1)),"")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IFERROR(_xlfn.SINGLE(INDEX(#REF!,ROW()-1)),"")</f>
        <v>0</v>
      </c>
      <c r="C388">
        <f>IFERROR(_xlfn.SINGLE(INDEX(#REF!,ROW()-1)),"")</f>
        <v>0</v>
      </c>
      <c r="D388">
        <f>IFERROR(_xlfn.SINGLE(INDEX(#REF!,ROW()-1)),"")</f>
        <v>0</v>
      </c>
      <c r="E388">
        <f>IFERROR(_xlfn.SINGLE(INDEX(#REF!,ROW()-1)),"")</f>
        <v>0</v>
      </c>
      <c r="F388">
        <f>IFERROR(_xlfn.SINGLE(INDEX(#REF!,ROW()-1)),"")</f>
        <v>0</v>
      </c>
      <c r="G388">
        <f>IFERROR(_xlfn.SINGLE(INDEX(#REF!,ROW()-1)),"")</f>
        <v>0</v>
      </c>
      <c r="H388">
        <f>IFERROR(_xlfn.SINGLE(INDEX(#REF!,ROW()-1)),"")</f>
        <v>0</v>
      </c>
      <c r="I388">
        <f>IFERROR(_xlfn.SINGLE(INDEX(#REF!,ROW()-1)),"")</f>
        <v>0</v>
      </c>
      <c r="J388">
        <f>IFERROR(_xlfn.SINGLE(INDEX(#REF!,ROW()-1)),"")</f>
        <v>0</v>
      </c>
      <c r="K388">
        <f>IFERROR(_xlfn.SINGLE(INDEX(#REF!,ROW()-1)),"")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IFERROR(_xlfn.SINGLE(INDEX(#REF!,ROW()-1)),"")</f>
        <v>0</v>
      </c>
      <c r="C389">
        <f>IFERROR(_xlfn.SINGLE(INDEX(#REF!,ROW()-1)),"")</f>
        <v>0</v>
      </c>
      <c r="D389">
        <f>IFERROR(_xlfn.SINGLE(INDEX(#REF!,ROW()-1)),"")</f>
        <v>0</v>
      </c>
      <c r="E389">
        <f>IFERROR(_xlfn.SINGLE(INDEX(#REF!,ROW()-1)),"")</f>
        <v>0</v>
      </c>
      <c r="F389">
        <f>IFERROR(_xlfn.SINGLE(INDEX(#REF!,ROW()-1)),"")</f>
        <v>0</v>
      </c>
      <c r="G389">
        <f>IFERROR(_xlfn.SINGLE(INDEX(#REF!,ROW()-1)),"")</f>
        <v>0</v>
      </c>
      <c r="H389">
        <f>IFERROR(_xlfn.SINGLE(INDEX(#REF!,ROW()-1)),"")</f>
        <v>0</v>
      </c>
      <c r="I389">
        <f>IFERROR(_xlfn.SINGLE(INDEX(#REF!,ROW()-1)),"")</f>
        <v>0</v>
      </c>
      <c r="J389">
        <f>IFERROR(_xlfn.SINGLE(INDEX(#REF!,ROW()-1)),"")</f>
        <v>0</v>
      </c>
      <c r="K389">
        <f>IFERROR(_xlfn.SINGLE(INDEX(#REF!,ROW()-1)),"")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IFERROR(_xlfn.SINGLE(INDEX(#REF!,ROW()-1)),"")</f>
        <v>0</v>
      </c>
      <c r="C390">
        <f>IFERROR(_xlfn.SINGLE(INDEX(#REF!,ROW()-1)),"")</f>
        <v>0</v>
      </c>
      <c r="D390">
        <f>IFERROR(_xlfn.SINGLE(INDEX(#REF!,ROW()-1)),"")</f>
        <v>0</v>
      </c>
      <c r="E390">
        <f>IFERROR(_xlfn.SINGLE(INDEX(#REF!,ROW()-1)),"")</f>
        <v>0</v>
      </c>
      <c r="F390">
        <f>IFERROR(_xlfn.SINGLE(INDEX(#REF!,ROW()-1)),"")</f>
        <v>0</v>
      </c>
      <c r="G390">
        <f>IFERROR(_xlfn.SINGLE(INDEX(#REF!,ROW()-1)),"")</f>
        <v>0</v>
      </c>
      <c r="H390">
        <f>IFERROR(_xlfn.SINGLE(INDEX(#REF!,ROW()-1)),"")</f>
        <v>0</v>
      </c>
      <c r="I390">
        <f>IFERROR(_xlfn.SINGLE(INDEX(#REF!,ROW()-1)),"")</f>
        <v>0</v>
      </c>
      <c r="J390">
        <f>IFERROR(_xlfn.SINGLE(INDEX(#REF!,ROW()-1)),"")</f>
        <v>0</v>
      </c>
      <c r="K390">
        <f>IFERROR(_xlfn.SINGLE(INDEX(#REF!,ROW()-1)),"")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IFERROR(_xlfn.SINGLE(INDEX(#REF!,ROW()-1)),"")</f>
        <v>0</v>
      </c>
      <c r="C391">
        <f>IFERROR(_xlfn.SINGLE(INDEX(#REF!,ROW()-1)),"")</f>
        <v>0</v>
      </c>
      <c r="D391">
        <f>IFERROR(_xlfn.SINGLE(INDEX(#REF!,ROW()-1)),"")</f>
        <v>0</v>
      </c>
      <c r="E391">
        <f>IFERROR(_xlfn.SINGLE(INDEX(#REF!,ROW()-1)),"")</f>
        <v>0</v>
      </c>
      <c r="F391">
        <f>IFERROR(_xlfn.SINGLE(INDEX(#REF!,ROW()-1)),"")</f>
        <v>0</v>
      </c>
      <c r="G391">
        <f>IFERROR(_xlfn.SINGLE(INDEX(#REF!,ROW()-1)),"")</f>
        <v>0</v>
      </c>
      <c r="H391">
        <f>IFERROR(_xlfn.SINGLE(INDEX(#REF!,ROW()-1)),"")</f>
        <v>0</v>
      </c>
      <c r="I391">
        <f>IFERROR(_xlfn.SINGLE(INDEX(#REF!,ROW()-1)),"")</f>
        <v>0</v>
      </c>
      <c r="J391">
        <f>IFERROR(_xlfn.SINGLE(INDEX(#REF!,ROW()-1)),"")</f>
        <v>0</v>
      </c>
      <c r="K391">
        <f>IFERROR(_xlfn.SINGLE(INDEX(#REF!,ROW()-1)),"")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IFERROR(_xlfn.SINGLE(INDEX(#REF!,ROW()-1)),"")</f>
        <v>0</v>
      </c>
      <c r="C392">
        <f>IFERROR(_xlfn.SINGLE(INDEX(#REF!,ROW()-1)),"")</f>
        <v>0</v>
      </c>
      <c r="D392">
        <f>IFERROR(_xlfn.SINGLE(INDEX(#REF!,ROW()-1)),"")</f>
        <v>0</v>
      </c>
      <c r="E392">
        <f>IFERROR(_xlfn.SINGLE(INDEX(#REF!,ROW()-1)),"")</f>
        <v>0</v>
      </c>
      <c r="F392">
        <f>IFERROR(_xlfn.SINGLE(INDEX(#REF!,ROW()-1)),"")</f>
        <v>0</v>
      </c>
      <c r="G392">
        <f>IFERROR(_xlfn.SINGLE(INDEX(#REF!,ROW()-1)),"")</f>
        <v>0</v>
      </c>
      <c r="H392">
        <f>IFERROR(_xlfn.SINGLE(INDEX(#REF!,ROW()-1)),"")</f>
        <v>0</v>
      </c>
      <c r="I392">
        <f>IFERROR(_xlfn.SINGLE(INDEX(#REF!,ROW()-1)),"")</f>
        <v>0</v>
      </c>
      <c r="J392">
        <f>IFERROR(_xlfn.SINGLE(INDEX(#REF!,ROW()-1)),"")</f>
        <v>0</v>
      </c>
      <c r="K392">
        <f>IFERROR(_xlfn.SINGLE(INDEX(#REF!,ROW()-1)),"")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IFERROR(_xlfn.SINGLE(INDEX(#REF!,ROW()-1)),"")</f>
        <v>0</v>
      </c>
      <c r="C393">
        <f>IFERROR(_xlfn.SINGLE(INDEX(#REF!,ROW()-1)),"")</f>
        <v>0</v>
      </c>
      <c r="D393">
        <f>IFERROR(_xlfn.SINGLE(INDEX(#REF!,ROW()-1)),"")</f>
        <v>0</v>
      </c>
      <c r="E393">
        <f>IFERROR(_xlfn.SINGLE(INDEX(#REF!,ROW()-1)),"")</f>
        <v>0</v>
      </c>
      <c r="F393">
        <f>IFERROR(_xlfn.SINGLE(INDEX(#REF!,ROW()-1)),"")</f>
        <v>0</v>
      </c>
      <c r="G393">
        <f>IFERROR(_xlfn.SINGLE(INDEX(#REF!,ROW()-1)),"")</f>
        <v>0</v>
      </c>
      <c r="H393">
        <f>IFERROR(_xlfn.SINGLE(INDEX(#REF!,ROW()-1)),"")</f>
        <v>0</v>
      </c>
      <c r="I393">
        <f>IFERROR(_xlfn.SINGLE(INDEX(#REF!,ROW()-1)),"")</f>
        <v>0</v>
      </c>
      <c r="J393">
        <f>IFERROR(_xlfn.SINGLE(INDEX(#REF!,ROW()-1)),"")</f>
        <v>0</v>
      </c>
      <c r="K393">
        <f>IFERROR(_xlfn.SINGLE(INDEX(#REF!,ROW()-1)),"")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IFERROR(_xlfn.SINGLE(INDEX(#REF!,ROW()-1)),"")</f>
        <v>0</v>
      </c>
      <c r="C394">
        <f>IFERROR(_xlfn.SINGLE(INDEX(#REF!,ROW()-1)),"")</f>
        <v>0</v>
      </c>
      <c r="D394">
        <f>IFERROR(_xlfn.SINGLE(INDEX(#REF!,ROW()-1)),"")</f>
        <v>0</v>
      </c>
      <c r="E394">
        <f>IFERROR(_xlfn.SINGLE(INDEX(#REF!,ROW()-1)),"")</f>
        <v>0</v>
      </c>
      <c r="F394">
        <f>IFERROR(_xlfn.SINGLE(INDEX(#REF!,ROW()-1)),"")</f>
        <v>0</v>
      </c>
      <c r="G394">
        <f>IFERROR(_xlfn.SINGLE(INDEX(#REF!,ROW()-1)),"")</f>
        <v>0</v>
      </c>
      <c r="H394">
        <f>IFERROR(_xlfn.SINGLE(INDEX(#REF!,ROW()-1)),"")</f>
        <v>0</v>
      </c>
      <c r="I394">
        <f>IFERROR(_xlfn.SINGLE(INDEX(#REF!,ROW()-1)),"")</f>
        <v>0</v>
      </c>
      <c r="J394">
        <f>IFERROR(_xlfn.SINGLE(INDEX(#REF!,ROW()-1)),"")</f>
        <v>0</v>
      </c>
      <c r="K394">
        <f>IFERROR(_xlfn.SINGLE(INDEX(#REF!,ROW()-1)),"")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IFERROR(_xlfn.SINGLE(INDEX(#REF!,ROW()-1)),"")</f>
        <v>0</v>
      </c>
      <c r="C395">
        <f>IFERROR(_xlfn.SINGLE(INDEX(#REF!,ROW()-1)),"")</f>
        <v>0</v>
      </c>
      <c r="D395">
        <f>IFERROR(_xlfn.SINGLE(INDEX(#REF!,ROW()-1)),"")</f>
        <v>0</v>
      </c>
      <c r="E395">
        <f>IFERROR(_xlfn.SINGLE(INDEX(#REF!,ROW()-1)),"")</f>
        <v>0</v>
      </c>
      <c r="F395">
        <f>IFERROR(_xlfn.SINGLE(INDEX(#REF!,ROW()-1)),"")</f>
        <v>0</v>
      </c>
      <c r="G395">
        <f>IFERROR(_xlfn.SINGLE(INDEX(#REF!,ROW()-1)),"")</f>
        <v>0</v>
      </c>
      <c r="H395">
        <f>IFERROR(_xlfn.SINGLE(INDEX(#REF!,ROW()-1)),"")</f>
        <v>0</v>
      </c>
      <c r="I395">
        <f>IFERROR(_xlfn.SINGLE(INDEX(#REF!,ROW()-1)),"")</f>
        <v>0</v>
      </c>
      <c r="J395">
        <f>IFERROR(_xlfn.SINGLE(INDEX(#REF!,ROW()-1)),"")</f>
        <v>0</v>
      </c>
      <c r="K395">
        <f>IFERROR(_xlfn.SINGLE(INDEX(#REF!,ROW()-1)),"")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IFERROR(_xlfn.SINGLE(INDEX(#REF!,ROW()-1)),"")</f>
        <v>0</v>
      </c>
      <c r="C396">
        <f>IFERROR(_xlfn.SINGLE(INDEX(#REF!,ROW()-1)),"")</f>
        <v>0</v>
      </c>
      <c r="D396">
        <f>IFERROR(_xlfn.SINGLE(INDEX(#REF!,ROW()-1)),"")</f>
        <v>0</v>
      </c>
      <c r="E396">
        <f>IFERROR(_xlfn.SINGLE(INDEX(#REF!,ROW()-1)),"")</f>
        <v>0</v>
      </c>
      <c r="F396">
        <f>IFERROR(_xlfn.SINGLE(INDEX(#REF!,ROW()-1)),"")</f>
        <v>0</v>
      </c>
      <c r="G396">
        <f>IFERROR(_xlfn.SINGLE(INDEX(#REF!,ROW()-1)),"")</f>
        <v>0</v>
      </c>
      <c r="H396">
        <f>IFERROR(_xlfn.SINGLE(INDEX(#REF!,ROW()-1)),"")</f>
        <v>0</v>
      </c>
      <c r="I396">
        <f>IFERROR(_xlfn.SINGLE(INDEX(#REF!,ROW()-1)),"")</f>
        <v>0</v>
      </c>
      <c r="J396">
        <f>IFERROR(_xlfn.SINGLE(INDEX(#REF!,ROW()-1)),"")</f>
        <v>0</v>
      </c>
      <c r="K396">
        <f>IFERROR(_xlfn.SINGLE(INDEX(#REF!,ROW()-1)),"")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IFERROR(_xlfn.SINGLE(INDEX(#REF!,ROW()-1)),"")</f>
        <v>0</v>
      </c>
      <c r="C397">
        <f>IFERROR(_xlfn.SINGLE(INDEX(#REF!,ROW()-1)),"")</f>
        <v>0</v>
      </c>
      <c r="D397">
        <f>IFERROR(_xlfn.SINGLE(INDEX(#REF!,ROW()-1)),"")</f>
        <v>0</v>
      </c>
      <c r="E397">
        <f>IFERROR(_xlfn.SINGLE(INDEX(#REF!,ROW()-1)),"")</f>
        <v>0</v>
      </c>
      <c r="F397">
        <f>IFERROR(_xlfn.SINGLE(INDEX(#REF!,ROW()-1)),"")</f>
        <v>0</v>
      </c>
      <c r="G397">
        <f>IFERROR(_xlfn.SINGLE(INDEX(#REF!,ROW()-1)),"")</f>
        <v>0</v>
      </c>
      <c r="H397">
        <f>IFERROR(_xlfn.SINGLE(INDEX(#REF!,ROW()-1)),"")</f>
        <v>0</v>
      </c>
      <c r="I397">
        <f>IFERROR(_xlfn.SINGLE(INDEX(#REF!,ROW()-1)),"")</f>
        <v>0</v>
      </c>
      <c r="J397">
        <f>IFERROR(_xlfn.SINGLE(INDEX(#REF!,ROW()-1)),"")</f>
        <v>0</v>
      </c>
      <c r="K397">
        <f>IFERROR(_xlfn.SINGLE(INDEX(#REF!,ROW()-1)),"")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IFERROR(_xlfn.SINGLE(INDEX(#REF!,ROW()-1)),"")</f>
        <v>0</v>
      </c>
      <c r="C398">
        <f>IFERROR(_xlfn.SINGLE(INDEX(#REF!,ROW()-1)),"")</f>
        <v>0</v>
      </c>
      <c r="D398">
        <f>IFERROR(_xlfn.SINGLE(INDEX(#REF!,ROW()-1)),"")</f>
        <v>0</v>
      </c>
      <c r="E398">
        <f>IFERROR(_xlfn.SINGLE(INDEX(#REF!,ROW()-1)),"")</f>
        <v>0</v>
      </c>
      <c r="F398">
        <f>IFERROR(_xlfn.SINGLE(INDEX(#REF!,ROW()-1)),"")</f>
        <v>0</v>
      </c>
      <c r="G398">
        <f>IFERROR(_xlfn.SINGLE(INDEX(#REF!,ROW()-1)),"")</f>
        <v>0</v>
      </c>
      <c r="H398">
        <f>IFERROR(_xlfn.SINGLE(INDEX(#REF!,ROW()-1)),"")</f>
        <v>0</v>
      </c>
      <c r="I398">
        <f>IFERROR(_xlfn.SINGLE(INDEX(#REF!,ROW()-1)),"")</f>
        <v>0</v>
      </c>
      <c r="J398">
        <f>IFERROR(_xlfn.SINGLE(INDEX(#REF!,ROW()-1)),"")</f>
        <v>0</v>
      </c>
      <c r="K398">
        <f>IFERROR(_xlfn.SINGLE(INDEX(#REF!,ROW()-1)),"")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IFERROR(_xlfn.SINGLE(INDEX(#REF!,ROW()-1)),"")</f>
        <v>0</v>
      </c>
      <c r="C399">
        <f>IFERROR(_xlfn.SINGLE(INDEX(#REF!,ROW()-1)),"")</f>
        <v>0</v>
      </c>
      <c r="D399">
        <f>IFERROR(_xlfn.SINGLE(INDEX(#REF!,ROW()-1)),"")</f>
        <v>0</v>
      </c>
      <c r="E399">
        <f>IFERROR(_xlfn.SINGLE(INDEX(#REF!,ROW()-1)),"")</f>
        <v>0</v>
      </c>
      <c r="F399">
        <f>IFERROR(_xlfn.SINGLE(INDEX(#REF!,ROW()-1)),"")</f>
        <v>0</v>
      </c>
      <c r="G399">
        <f>IFERROR(_xlfn.SINGLE(INDEX(#REF!,ROW()-1)),"")</f>
        <v>0</v>
      </c>
      <c r="H399">
        <f>IFERROR(_xlfn.SINGLE(INDEX(#REF!,ROW()-1)),"")</f>
        <v>0</v>
      </c>
      <c r="I399">
        <f>IFERROR(_xlfn.SINGLE(INDEX(#REF!,ROW()-1)),"")</f>
        <v>0</v>
      </c>
      <c r="J399">
        <f>IFERROR(_xlfn.SINGLE(INDEX(#REF!,ROW()-1)),"")</f>
        <v>0</v>
      </c>
      <c r="K399">
        <f>IFERROR(_xlfn.SINGLE(INDEX(#REF!,ROW()-1)),"")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IFERROR(_xlfn.SINGLE(INDEX(#REF!,ROW()-1)),"")</f>
        <v>0</v>
      </c>
      <c r="C400">
        <f>IFERROR(_xlfn.SINGLE(INDEX(#REF!,ROW()-1)),"")</f>
        <v>0</v>
      </c>
      <c r="D400">
        <f>IFERROR(_xlfn.SINGLE(INDEX(#REF!,ROW()-1)),"")</f>
        <v>0</v>
      </c>
      <c r="E400">
        <f>IFERROR(_xlfn.SINGLE(INDEX(#REF!,ROW()-1)),"")</f>
        <v>0</v>
      </c>
      <c r="F400">
        <f>IFERROR(_xlfn.SINGLE(INDEX(#REF!,ROW()-1)),"")</f>
        <v>0</v>
      </c>
      <c r="G400">
        <f>IFERROR(_xlfn.SINGLE(INDEX(#REF!,ROW()-1)),"")</f>
        <v>0</v>
      </c>
      <c r="H400">
        <f>IFERROR(_xlfn.SINGLE(INDEX(#REF!,ROW()-1)),"")</f>
        <v>0</v>
      </c>
      <c r="I400">
        <f>IFERROR(_xlfn.SINGLE(INDEX(#REF!,ROW()-1)),"")</f>
        <v>0</v>
      </c>
      <c r="J400">
        <f>IFERROR(_xlfn.SINGLE(INDEX(#REF!,ROW()-1)),"")</f>
        <v>0</v>
      </c>
      <c r="K400">
        <f>IFERROR(_xlfn.SINGLE(INDEX(#REF!,ROW()-1)),"")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IFERROR(_xlfn.SINGLE(INDEX(#REF!,ROW()-1)),"")</f>
        <v>0</v>
      </c>
      <c r="C401">
        <f>IFERROR(_xlfn.SINGLE(INDEX(#REF!,ROW()-1)),"")</f>
        <v>0</v>
      </c>
      <c r="D401">
        <f>IFERROR(_xlfn.SINGLE(INDEX(#REF!,ROW()-1)),"")</f>
        <v>0</v>
      </c>
      <c r="E401">
        <f>IFERROR(_xlfn.SINGLE(INDEX(#REF!,ROW()-1)),"")</f>
        <v>0</v>
      </c>
      <c r="F401">
        <f>IFERROR(_xlfn.SINGLE(INDEX(#REF!,ROW()-1)),"")</f>
        <v>0</v>
      </c>
      <c r="G401">
        <f>IFERROR(_xlfn.SINGLE(INDEX(#REF!,ROW()-1)),"")</f>
        <v>0</v>
      </c>
      <c r="H401">
        <f>IFERROR(_xlfn.SINGLE(INDEX(#REF!,ROW()-1)),"")</f>
        <v>0</v>
      </c>
      <c r="I401">
        <f>IFERROR(_xlfn.SINGLE(INDEX(#REF!,ROW()-1)),"")</f>
        <v>0</v>
      </c>
      <c r="J401">
        <f>IFERROR(_xlfn.SINGLE(INDEX(#REF!,ROW()-1)),"")</f>
        <v>0</v>
      </c>
      <c r="K401">
        <f>IFERROR(_xlfn.SINGLE(INDEX(#REF!,ROW()-1)),"")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IFERROR(_xlfn.SINGLE(INDEX(#REF!,ROW()-1)),"")</f>
        <v>0</v>
      </c>
      <c r="C402">
        <f>IFERROR(_xlfn.SINGLE(INDEX(#REF!,ROW()-1)),"")</f>
        <v>0</v>
      </c>
      <c r="D402">
        <f>IFERROR(_xlfn.SINGLE(INDEX(#REF!,ROW()-1)),"")</f>
        <v>0</v>
      </c>
      <c r="E402">
        <f>IFERROR(_xlfn.SINGLE(INDEX(#REF!,ROW()-1)),"")</f>
        <v>0</v>
      </c>
      <c r="F402">
        <f>IFERROR(_xlfn.SINGLE(INDEX(#REF!,ROW()-1)),"")</f>
        <v>0</v>
      </c>
      <c r="G402">
        <f>IFERROR(_xlfn.SINGLE(INDEX(#REF!,ROW()-1)),"")</f>
        <v>0</v>
      </c>
      <c r="H402">
        <f>IFERROR(_xlfn.SINGLE(INDEX(#REF!,ROW()-1)),"")</f>
        <v>0</v>
      </c>
      <c r="I402">
        <f>IFERROR(_xlfn.SINGLE(INDEX(#REF!,ROW()-1)),"")</f>
        <v>0</v>
      </c>
      <c r="J402">
        <f>IFERROR(_xlfn.SINGLE(INDEX(#REF!,ROW()-1)),"")</f>
        <v>0</v>
      </c>
      <c r="K402">
        <f>IFERROR(_xlfn.SINGLE(INDEX(#REF!,ROW()-1)),"")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IFERROR(_xlfn.SINGLE(INDEX(#REF!,ROW()-1)),"")</f>
        <v>0</v>
      </c>
      <c r="C403">
        <f>IFERROR(_xlfn.SINGLE(INDEX(#REF!,ROW()-1)),"")</f>
        <v>0</v>
      </c>
      <c r="D403">
        <f>IFERROR(_xlfn.SINGLE(INDEX(#REF!,ROW()-1)),"")</f>
        <v>0</v>
      </c>
      <c r="E403">
        <f>IFERROR(_xlfn.SINGLE(INDEX(#REF!,ROW()-1)),"")</f>
        <v>0</v>
      </c>
      <c r="F403">
        <f>IFERROR(_xlfn.SINGLE(INDEX(#REF!,ROW()-1)),"")</f>
        <v>0</v>
      </c>
      <c r="G403">
        <f>IFERROR(_xlfn.SINGLE(INDEX(#REF!,ROW()-1)),"")</f>
        <v>0</v>
      </c>
      <c r="H403">
        <f>IFERROR(_xlfn.SINGLE(INDEX(#REF!,ROW()-1)),"")</f>
        <v>0</v>
      </c>
      <c r="I403">
        <f>IFERROR(_xlfn.SINGLE(INDEX(#REF!,ROW()-1)),"")</f>
        <v>0</v>
      </c>
      <c r="J403">
        <f>IFERROR(_xlfn.SINGLE(INDEX(#REF!,ROW()-1)),"")</f>
        <v>0</v>
      </c>
      <c r="K403">
        <f>IFERROR(_xlfn.SINGLE(INDEX(#REF!,ROW()-1)),"")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IFERROR(_xlfn.SINGLE(INDEX(#REF!,ROW()-1)),"")</f>
        <v>0</v>
      </c>
      <c r="C404">
        <f>IFERROR(_xlfn.SINGLE(INDEX(#REF!,ROW()-1)),"")</f>
        <v>0</v>
      </c>
      <c r="D404">
        <f>IFERROR(_xlfn.SINGLE(INDEX(#REF!,ROW()-1)),"")</f>
        <v>0</v>
      </c>
      <c r="E404">
        <f>IFERROR(_xlfn.SINGLE(INDEX(#REF!,ROW()-1)),"")</f>
        <v>0</v>
      </c>
      <c r="F404">
        <f>IFERROR(_xlfn.SINGLE(INDEX(#REF!,ROW()-1)),"")</f>
        <v>0</v>
      </c>
      <c r="G404">
        <f>IFERROR(_xlfn.SINGLE(INDEX(#REF!,ROW()-1)),"")</f>
        <v>0</v>
      </c>
      <c r="H404">
        <f>IFERROR(_xlfn.SINGLE(INDEX(#REF!,ROW()-1)),"")</f>
        <v>0</v>
      </c>
      <c r="I404">
        <f>IFERROR(_xlfn.SINGLE(INDEX(#REF!,ROW()-1)),"")</f>
        <v>0</v>
      </c>
      <c r="J404">
        <f>IFERROR(_xlfn.SINGLE(INDEX(#REF!,ROW()-1)),"")</f>
        <v>0</v>
      </c>
      <c r="K404">
        <f>IFERROR(_xlfn.SINGLE(INDEX(#REF!,ROW()-1)),"")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IFERROR(_xlfn.SINGLE(INDEX(#REF!,ROW()-1)),"")</f>
        <v>0</v>
      </c>
      <c r="C405">
        <f>IFERROR(_xlfn.SINGLE(INDEX(#REF!,ROW()-1)),"")</f>
        <v>0</v>
      </c>
      <c r="D405">
        <f>IFERROR(_xlfn.SINGLE(INDEX(#REF!,ROW()-1)),"")</f>
        <v>0</v>
      </c>
      <c r="E405">
        <f>IFERROR(_xlfn.SINGLE(INDEX(#REF!,ROW()-1)),"")</f>
        <v>0</v>
      </c>
      <c r="F405">
        <f>IFERROR(_xlfn.SINGLE(INDEX(#REF!,ROW()-1)),"")</f>
        <v>0</v>
      </c>
      <c r="G405">
        <f>IFERROR(_xlfn.SINGLE(INDEX(#REF!,ROW()-1)),"")</f>
        <v>0</v>
      </c>
      <c r="H405">
        <f>IFERROR(_xlfn.SINGLE(INDEX(#REF!,ROW()-1)),"")</f>
        <v>0</v>
      </c>
      <c r="I405">
        <f>IFERROR(_xlfn.SINGLE(INDEX(#REF!,ROW()-1)),"")</f>
        <v>0</v>
      </c>
      <c r="J405">
        <f>IFERROR(_xlfn.SINGLE(INDEX(#REF!,ROW()-1)),"")</f>
        <v>0</v>
      </c>
      <c r="K405">
        <f>IFERROR(_xlfn.SINGLE(INDEX(#REF!,ROW()-1)),"")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IFERROR(_xlfn.SINGLE(INDEX(#REF!,ROW()-1)),"")</f>
        <v>0</v>
      </c>
      <c r="C406">
        <f>IFERROR(_xlfn.SINGLE(INDEX(#REF!,ROW()-1)),"")</f>
        <v>0</v>
      </c>
      <c r="D406">
        <f>IFERROR(_xlfn.SINGLE(INDEX(#REF!,ROW()-1)),"")</f>
        <v>0</v>
      </c>
      <c r="E406">
        <f>IFERROR(_xlfn.SINGLE(INDEX(#REF!,ROW()-1)),"")</f>
        <v>0</v>
      </c>
      <c r="F406">
        <f>IFERROR(_xlfn.SINGLE(INDEX(#REF!,ROW()-1)),"")</f>
        <v>0</v>
      </c>
      <c r="G406">
        <f>IFERROR(_xlfn.SINGLE(INDEX(#REF!,ROW()-1)),"")</f>
        <v>0</v>
      </c>
      <c r="H406">
        <f>IFERROR(_xlfn.SINGLE(INDEX(#REF!,ROW()-1)),"")</f>
        <v>0</v>
      </c>
      <c r="I406">
        <f>IFERROR(_xlfn.SINGLE(INDEX(#REF!,ROW()-1)),"")</f>
        <v>0</v>
      </c>
      <c r="J406">
        <f>IFERROR(_xlfn.SINGLE(INDEX(#REF!,ROW()-1)),"")</f>
        <v>0</v>
      </c>
      <c r="K406">
        <f>IFERROR(_xlfn.SINGLE(INDEX(#REF!,ROW()-1)),"")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IFERROR(_xlfn.SINGLE(INDEX(#REF!,ROW()-1)),"")</f>
        <v>0</v>
      </c>
      <c r="C407">
        <f>IFERROR(_xlfn.SINGLE(INDEX(#REF!,ROW()-1)),"")</f>
        <v>0</v>
      </c>
      <c r="D407">
        <f>IFERROR(_xlfn.SINGLE(INDEX(#REF!,ROW()-1)),"")</f>
        <v>0</v>
      </c>
      <c r="E407">
        <f>IFERROR(_xlfn.SINGLE(INDEX(#REF!,ROW()-1)),"")</f>
        <v>0</v>
      </c>
      <c r="F407">
        <f>IFERROR(_xlfn.SINGLE(INDEX(#REF!,ROW()-1)),"")</f>
        <v>0</v>
      </c>
      <c r="G407">
        <f>IFERROR(_xlfn.SINGLE(INDEX(#REF!,ROW()-1)),"")</f>
        <v>0</v>
      </c>
      <c r="H407">
        <f>IFERROR(_xlfn.SINGLE(INDEX(#REF!,ROW()-1)),"")</f>
        <v>0</v>
      </c>
      <c r="I407">
        <f>IFERROR(_xlfn.SINGLE(INDEX(#REF!,ROW()-1)),"")</f>
        <v>0</v>
      </c>
      <c r="J407">
        <f>IFERROR(_xlfn.SINGLE(INDEX(#REF!,ROW()-1)),"")</f>
        <v>0</v>
      </c>
      <c r="K407">
        <f>IFERROR(_xlfn.SINGLE(INDEX(#REF!,ROW()-1)),"")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IFERROR(_xlfn.SINGLE(INDEX(#REF!,ROW()-1)),"")</f>
        <v>0</v>
      </c>
      <c r="C408">
        <f>IFERROR(_xlfn.SINGLE(INDEX(#REF!,ROW()-1)),"")</f>
        <v>0</v>
      </c>
      <c r="D408">
        <f>IFERROR(_xlfn.SINGLE(INDEX(#REF!,ROW()-1)),"")</f>
        <v>0</v>
      </c>
      <c r="E408">
        <f>IFERROR(_xlfn.SINGLE(INDEX(#REF!,ROW()-1)),"")</f>
        <v>0</v>
      </c>
      <c r="F408">
        <f>IFERROR(_xlfn.SINGLE(INDEX(#REF!,ROW()-1)),"")</f>
        <v>0</v>
      </c>
      <c r="G408">
        <f>IFERROR(_xlfn.SINGLE(INDEX(#REF!,ROW()-1)),"")</f>
        <v>0</v>
      </c>
      <c r="H408">
        <f>IFERROR(_xlfn.SINGLE(INDEX(#REF!,ROW()-1)),"")</f>
        <v>0</v>
      </c>
      <c r="I408">
        <f>IFERROR(_xlfn.SINGLE(INDEX(#REF!,ROW()-1)),"")</f>
        <v>0</v>
      </c>
      <c r="J408">
        <f>IFERROR(_xlfn.SINGLE(INDEX(#REF!,ROW()-1)),"")</f>
        <v>0</v>
      </c>
      <c r="K408">
        <f>IFERROR(_xlfn.SINGLE(INDEX(#REF!,ROW()-1)),"")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IFERROR(_xlfn.SINGLE(INDEX(#REF!,ROW()-1)),"")</f>
        <v>0</v>
      </c>
      <c r="C409">
        <f>IFERROR(_xlfn.SINGLE(INDEX(#REF!,ROW()-1)),"")</f>
        <v>0</v>
      </c>
      <c r="D409">
        <f>IFERROR(_xlfn.SINGLE(INDEX(#REF!,ROW()-1)),"")</f>
        <v>0</v>
      </c>
      <c r="E409">
        <f>IFERROR(_xlfn.SINGLE(INDEX(#REF!,ROW()-1)),"")</f>
        <v>0</v>
      </c>
      <c r="F409">
        <f>IFERROR(_xlfn.SINGLE(INDEX(#REF!,ROW()-1)),"")</f>
        <v>0</v>
      </c>
      <c r="G409">
        <f>IFERROR(_xlfn.SINGLE(INDEX(#REF!,ROW()-1)),"")</f>
        <v>0</v>
      </c>
      <c r="H409">
        <f>IFERROR(_xlfn.SINGLE(INDEX(#REF!,ROW()-1)),"")</f>
        <v>0</v>
      </c>
      <c r="I409">
        <f>IFERROR(_xlfn.SINGLE(INDEX(#REF!,ROW()-1)),"")</f>
        <v>0</v>
      </c>
      <c r="J409">
        <f>IFERROR(_xlfn.SINGLE(INDEX(#REF!,ROW()-1)),"")</f>
        <v>0</v>
      </c>
      <c r="K409">
        <f>IFERROR(_xlfn.SINGLE(INDEX(#REF!,ROW()-1)),"")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IFERROR(_xlfn.SINGLE(INDEX(#REF!,ROW()-1)),"")</f>
        <v>0</v>
      </c>
      <c r="C410">
        <f>IFERROR(_xlfn.SINGLE(INDEX(#REF!,ROW()-1)),"")</f>
        <v>0</v>
      </c>
      <c r="D410">
        <f>IFERROR(_xlfn.SINGLE(INDEX(#REF!,ROW()-1)),"")</f>
        <v>0</v>
      </c>
      <c r="E410">
        <f>IFERROR(_xlfn.SINGLE(INDEX(#REF!,ROW()-1)),"")</f>
        <v>0</v>
      </c>
      <c r="F410">
        <f>IFERROR(_xlfn.SINGLE(INDEX(#REF!,ROW()-1)),"")</f>
        <v>0</v>
      </c>
      <c r="G410">
        <f>IFERROR(_xlfn.SINGLE(INDEX(#REF!,ROW()-1)),"")</f>
        <v>0</v>
      </c>
      <c r="H410">
        <f>IFERROR(_xlfn.SINGLE(INDEX(#REF!,ROW()-1)),"")</f>
        <v>0</v>
      </c>
      <c r="I410">
        <f>IFERROR(_xlfn.SINGLE(INDEX(#REF!,ROW()-1)),"")</f>
        <v>0</v>
      </c>
      <c r="J410">
        <f>IFERROR(_xlfn.SINGLE(INDEX(#REF!,ROW()-1)),"")</f>
        <v>0</v>
      </c>
      <c r="K410">
        <f>IFERROR(_xlfn.SINGLE(INDEX(#REF!,ROW()-1)),"")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IFERROR(_xlfn.SINGLE(INDEX(#REF!,ROW()-1)),"")</f>
        <v>0</v>
      </c>
      <c r="C411">
        <f>IFERROR(_xlfn.SINGLE(INDEX(#REF!,ROW()-1)),"")</f>
        <v>0</v>
      </c>
      <c r="D411">
        <f>IFERROR(_xlfn.SINGLE(INDEX(#REF!,ROW()-1)),"")</f>
        <v>0</v>
      </c>
      <c r="E411">
        <f>IFERROR(_xlfn.SINGLE(INDEX(#REF!,ROW()-1)),"")</f>
        <v>0</v>
      </c>
      <c r="F411">
        <f>IFERROR(_xlfn.SINGLE(INDEX(#REF!,ROW()-1)),"")</f>
        <v>0</v>
      </c>
      <c r="G411">
        <f>IFERROR(_xlfn.SINGLE(INDEX(#REF!,ROW()-1)),"")</f>
        <v>0</v>
      </c>
      <c r="H411">
        <f>IFERROR(_xlfn.SINGLE(INDEX(#REF!,ROW()-1)),"")</f>
        <v>0</v>
      </c>
      <c r="I411">
        <f>IFERROR(_xlfn.SINGLE(INDEX(#REF!,ROW()-1)),"")</f>
        <v>0</v>
      </c>
      <c r="J411">
        <f>IFERROR(_xlfn.SINGLE(INDEX(#REF!,ROW()-1)),"")</f>
        <v>0</v>
      </c>
      <c r="K411">
        <f>IFERROR(_xlfn.SINGLE(INDEX(#REF!,ROW()-1)),"")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IFERROR(_xlfn.SINGLE(INDEX(#REF!,ROW()-1)),"")</f>
        <v>0</v>
      </c>
      <c r="C412">
        <f>IFERROR(_xlfn.SINGLE(INDEX(#REF!,ROW()-1)),"")</f>
        <v>0</v>
      </c>
      <c r="D412">
        <f>IFERROR(_xlfn.SINGLE(INDEX(#REF!,ROW()-1)),"")</f>
        <v>0</v>
      </c>
      <c r="E412">
        <f>IFERROR(_xlfn.SINGLE(INDEX(#REF!,ROW()-1)),"")</f>
        <v>0</v>
      </c>
      <c r="F412">
        <f>IFERROR(_xlfn.SINGLE(INDEX(#REF!,ROW()-1)),"")</f>
        <v>0</v>
      </c>
      <c r="G412">
        <f>IFERROR(_xlfn.SINGLE(INDEX(#REF!,ROW()-1)),"")</f>
        <v>0</v>
      </c>
      <c r="H412">
        <f>IFERROR(_xlfn.SINGLE(INDEX(#REF!,ROW()-1)),"")</f>
        <v>0</v>
      </c>
      <c r="I412">
        <f>IFERROR(_xlfn.SINGLE(INDEX(#REF!,ROW()-1)),"")</f>
        <v>0</v>
      </c>
      <c r="J412">
        <f>IFERROR(_xlfn.SINGLE(INDEX(#REF!,ROW()-1)),"")</f>
        <v>0</v>
      </c>
      <c r="K412">
        <f>IFERROR(_xlfn.SINGLE(INDEX(#REF!,ROW()-1)),"")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IFERROR(_xlfn.SINGLE(INDEX(#REF!,ROW()-1)),"")</f>
        <v>0</v>
      </c>
      <c r="C413">
        <f>IFERROR(_xlfn.SINGLE(INDEX(#REF!,ROW()-1)),"")</f>
        <v>0</v>
      </c>
      <c r="D413">
        <f>IFERROR(_xlfn.SINGLE(INDEX(#REF!,ROW()-1)),"")</f>
        <v>0</v>
      </c>
      <c r="E413">
        <f>IFERROR(_xlfn.SINGLE(INDEX(#REF!,ROW()-1)),"")</f>
        <v>0</v>
      </c>
      <c r="F413">
        <f>IFERROR(_xlfn.SINGLE(INDEX(#REF!,ROW()-1)),"")</f>
        <v>0</v>
      </c>
      <c r="G413">
        <f>IFERROR(_xlfn.SINGLE(INDEX(#REF!,ROW()-1)),"")</f>
        <v>0</v>
      </c>
      <c r="H413">
        <f>IFERROR(_xlfn.SINGLE(INDEX(#REF!,ROW()-1)),"")</f>
        <v>0</v>
      </c>
      <c r="I413">
        <f>IFERROR(_xlfn.SINGLE(INDEX(#REF!,ROW()-1)),"")</f>
        <v>0</v>
      </c>
      <c r="J413">
        <f>IFERROR(_xlfn.SINGLE(INDEX(#REF!,ROW()-1)),"")</f>
        <v>0</v>
      </c>
      <c r="K413">
        <f>IFERROR(_xlfn.SINGLE(INDEX(#REF!,ROW()-1)),"")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IFERROR(_xlfn.SINGLE(INDEX(#REF!,ROW()-1)),"")</f>
        <v>0</v>
      </c>
      <c r="C414">
        <f>IFERROR(_xlfn.SINGLE(INDEX(#REF!,ROW()-1)),"")</f>
        <v>0</v>
      </c>
      <c r="D414">
        <f>IFERROR(_xlfn.SINGLE(INDEX(#REF!,ROW()-1)),"")</f>
        <v>0</v>
      </c>
      <c r="E414">
        <f>IFERROR(_xlfn.SINGLE(INDEX(#REF!,ROW()-1)),"")</f>
        <v>0</v>
      </c>
      <c r="F414">
        <f>IFERROR(_xlfn.SINGLE(INDEX(#REF!,ROW()-1)),"")</f>
        <v>0</v>
      </c>
      <c r="G414">
        <f>IFERROR(_xlfn.SINGLE(INDEX(#REF!,ROW()-1)),"")</f>
        <v>0</v>
      </c>
      <c r="H414">
        <f>IFERROR(_xlfn.SINGLE(INDEX(#REF!,ROW()-1)),"")</f>
        <v>0</v>
      </c>
      <c r="I414">
        <f>IFERROR(_xlfn.SINGLE(INDEX(#REF!,ROW()-1)),"")</f>
        <v>0</v>
      </c>
      <c r="J414">
        <f>IFERROR(_xlfn.SINGLE(INDEX(#REF!,ROW()-1)),"")</f>
        <v>0</v>
      </c>
      <c r="K414">
        <f>IFERROR(_xlfn.SINGLE(INDEX(#REF!,ROW()-1)),"")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IFERROR(_xlfn.SINGLE(INDEX(#REF!,ROW()-1)),"")</f>
        <v>0</v>
      </c>
      <c r="C415">
        <f>IFERROR(_xlfn.SINGLE(INDEX(#REF!,ROW()-1)),"")</f>
        <v>0</v>
      </c>
      <c r="D415">
        <f>IFERROR(_xlfn.SINGLE(INDEX(#REF!,ROW()-1)),"")</f>
        <v>0</v>
      </c>
      <c r="E415">
        <f>IFERROR(_xlfn.SINGLE(INDEX(#REF!,ROW()-1)),"")</f>
        <v>0</v>
      </c>
      <c r="F415">
        <f>IFERROR(_xlfn.SINGLE(INDEX(#REF!,ROW()-1)),"")</f>
        <v>0</v>
      </c>
      <c r="G415">
        <f>IFERROR(_xlfn.SINGLE(INDEX(#REF!,ROW()-1)),"")</f>
        <v>0</v>
      </c>
      <c r="H415">
        <f>IFERROR(_xlfn.SINGLE(INDEX(#REF!,ROW()-1)),"")</f>
        <v>0</v>
      </c>
      <c r="I415">
        <f>IFERROR(_xlfn.SINGLE(INDEX(#REF!,ROW()-1)),"")</f>
        <v>0</v>
      </c>
      <c r="J415">
        <f>IFERROR(_xlfn.SINGLE(INDEX(#REF!,ROW()-1)),"")</f>
        <v>0</v>
      </c>
      <c r="K415">
        <f>IFERROR(_xlfn.SINGLE(INDEX(#REF!,ROW()-1)),"")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IFERROR(_xlfn.SINGLE(INDEX(#REF!,ROW()-1)),"")</f>
        <v>0</v>
      </c>
      <c r="C416">
        <f>IFERROR(_xlfn.SINGLE(INDEX(#REF!,ROW()-1)),"")</f>
        <v>0</v>
      </c>
      <c r="D416">
        <f>IFERROR(_xlfn.SINGLE(INDEX(#REF!,ROW()-1)),"")</f>
        <v>0</v>
      </c>
      <c r="E416">
        <f>IFERROR(_xlfn.SINGLE(INDEX(#REF!,ROW()-1)),"")</f>
        <v>0</v>
      </c>
      <c r="F416">
        <f>IFERROR(_xlfn.SINGLE(INDEX(#REF!,ROW()-1)),"")</f>
        <v>0</v>
      </c>
      <c r="G416">
        <f>IFERROR(_xlfn.SINGLE(INDEX(#REF!,ROW()-1)),"")</f>
        <v>0</v>
      </c>
      <c r="H416">
        <f>IFERROR(_xlfn.SINGLE(INDEX(#REF!,ROW()-1)),"")</f>
        <v>0</v>
      </c>
      <c r="I416">
        <f>IFERROR(_xlfn.SINGLE(INDEX(#REF!,ROW()-1)),"")</f>
        <v>0</v>
      </c>
      <c r="J416">
        <f>IFERROR(_xlfn.SINGLE(INDEX(#REF!,ROW()-1)),"")</f>
        <v>0</v>
      </c>
      <c r="K416">
        <f>IFERROR(_xlfn.SINGLE(INDEX(#REF!,ROW()-1)),"")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IFERROR(_xlfn.SINGLE(INDEX(#REF!,ROW()-1)),"")</f>
        <v>0</v>
      </c>
      <c r="C417">
        <f>IFERROR(_xlfn.SINGLE(INDEX(#REF!,ROW()-1)),"")</f>
        <v>0</v>
      </c>
      <c r="D417">
        <f>IFERROR(_xlfn.SINGLE(INDEX(#REF!,ROW()-1)),"")</f>
        <v>0</v>
      </c>
      <c r="E417">
        <f>IFERROR(_xlfn.SINGLE(INDEX(#REF!,ROW()-1)),"")</f>
        <v>0</v>
      </c>
      <c r="F417">
        <f>IFERROR(_xlfn.SINGLE(INDEX(#REF!,ROW()-1)),"")</f>
        <v>0</v>
      </c>
      <c r="G417">
        <f>IFERROR(_xlfn.SINGLE(INDEX(#REF!,ROW()-1)),"")</f>
        <v>0</v>
      </c>
      <c r="H417">
        <f>IFERROR(_xlfn.SINGLE(INDEX(#REF!,ROW()-1)),"")</f>
        <v>0</v>
      </c>
      <c r="I417">
        <f>IFERROR(_xlfn.SINGLE(INDEX(#REF!,ROW()-1)),"")</f>
        <v>0</v>
      </c>
      <c r="J417">
        <f>IFERROR(_xlfn.SINGLE(INDEX(#REF!,ROW()-1)),"")</f>
        <v>0</v>
      </c>
      <c r="K417">
        <f>IFERROR(_xlfn.SINGLE(INDEX(#REF!,ROW()-1)),"")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IFERROR(_xlfn.SINGLE(INDEX(#REF!,ROW()-1)),"")</f>
        <v>0</v>
      </c>
      <c r="C418">
        <f>IFERROR(_xlfn.SINGLE(INDEX(#REF!,ROW()-1)),"")</f>
        <v>0</v>
      </c>
      <c r="D418">
        <f>IFERROR(_xlfn.SINGLE(INDEX(#REF!,ROW()-1)),"")</f>
        <v>0</v>
      </c>
      <c r="E418">
        <f>IFERROR(_xlfn.SINGLE(INDEX(#REF!,ROW()-1)),"")</f>
        <v>0</v>
      </c>
      <c r="F418">
        <f>IFERROR(_xlfn.SINGLE(INDEX(#REF!,ROW()-1)),"")</f>
        <v>0</v>
      </c>
      <c r="G418">
        <f>IFERROR(_xlfn.SINGLE(INDEX(#REF!,ROW()-1)),"")</f>
        <v>0</v>
      </c>
      <c r="H418">
        <f>IFERROR(_xlfn.SINGLE(INDEX(#REF!,ROW()-1)),"")</f>
        <v>0</v>
      </c>
      <c r="I418">
        <f>IFERROR(_xlfn.SINGLE(INDEX(#REF!,ROW()-1)),"")</f>
        <v>0</v>
      </c>
      <c r="J418">
        <f>IFERROR(_xlfn.SINGLE(INDEX(#REF!,ROW()-1)),"")</f>
        <v>0</v>
      </c>
      <c r="K418">
        <f>IFERROR(_xlfn.SINGLE(INDEX(#REF!,ROW()-1)),"")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IFERROR(_xlfn.SINGLE(INDEX(#REF!,ROW()-1)),"")</f>
        <v>0</v>
      </c>
      <c r="C419">
        <f>IFERROR(_xlfn.SINGLE(INDEX(#REF!,ROW()-1)),"")</f>
        <v>0</v>
      </c>
      <c r="D419">
        <f>IFERROR(_xlfn.SINGLE(INDEX(#REF!,ROW()-1)),"")</f>
        <v>0</v>
      </c>
      <c r="E419">
        <f>IFERROR(_xlfn.SINGLE(INDEX(#REF!,ROW()-1)),"")</f>
        <v>0</v>
      </c>
      <c r="F419">
        <f>IFERROR(_xlfn.SINGLE(INDEX(#REF!,ROW()-1)),"")</f>
        <v>0</v>
      </c>
      <c r="G419">
        <f>IFERROR(_xlfn.SINGLE(INDEX(#REF!,ROW()-1)),"")</f>
        <v>0</v>
      </c>
      <c r="H419">
        <f>IFERROR(_xlfn.SINGLE(INDEX(#REF!,ROW()-1)),"")</f>
        <v>0</v>
      </c>
      <c r="I419">
        <f>IFERROR(_xlfn.SINGLE(INDEX(#REF!,ROW()-1)),"")</f>
        <v>0</v>
      </c>
      <c r="J419">
        <f>IFERROR(_xlfn.SINGLE(INDEX(#REF!,ROW()-1)),"")</f>
        <v>0</v>
      </c>
      <c r="K419">
        <f>IFERROR(_xlfn.SINGLE(INDEX(#REF!,ROW()-1)),"")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IFERROR(_xlfn.SINGLE(INDEX(#REF!,ROW()-1)),"")</f>
        <v>0</v>
      </c>
      <c r="C420">
        <f>IFERROR(_xlfn.SINGLE(INDEX(#REF!,ROW()-1)),"")</f>
        <v>0</v>
      </c>
      <c r="D420">
        <f>IFERROR(_xlfn.SINGLE(INDEX(#REF!,ROW()-1)),"")</f>
        <v>0</v>
      </c>
      <c r="E420">
        <f>IFERROR(_xlfn.SINGLE(INDEX(#REF!,ROW()-1)),"")</f>
        <v>0</v>
      </c>
      <c r="F420">
        <f>IFERROR(_xlfn.SINGLE(INDEX(#REF!,ROW()-1)),"")</f>
        <v>0</v>
      </c>
      <c r="G420">
        <f>IFERROR(_xlfn.SINGLE(INDEX(#REF!,ROW()-1)),"")</f>
        <v>0</v>
      </c>
      <c r="H420">
        <f>IFERROR(_xlfn.SINGLE(INDEX(#REF!,ROW()-1)),"")</f>
        <v>0</v>
      </c>
      <c r="I420">
        <f>IFERROR(_xlfn.SINGLE(INDEX(#REF!,ROW()-1)),"")</f>
        <v>0</v>
      </c>
      <c r="J420">
        <f>IFERROR(_xlfn.SINGLE(INDEX(#REF!,ROW()-1)),"")</f>
        <v>0</v>
      </c>
      <c r="K420">
        <f>IFERROR(_xlfn.SINGLE(INDEX(#REF!,ROW()-1)),"")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IFERROR(_xlfn.SINGLE(INDEX(#REF!,ROW()-1)),"")</f>
        <v>0</v>
      </c>
      <c r="C421">
        <f>IFERROR(_xlfn.SINGLE(INDEX(#REF!,ROW()-1)),"")</f>
        <v>0</v>
      </c>
      <c r="D421">
        <f>IFERROR(_xlfn.SINGLE(INDEX(#REF!,ROW()-1)),"")</f>
        <v>0</v>
      </c>
      <c r="E421">
        <f>IFERROR(_xlfn.SINGLE(INDEX(#REF!,ROW()-1)),"")</f>
        <v>0</v>
      </c>
      <c r="F421">
        <f>IFERROR(_xlfn.SINGLE(INDEX(#REF!,ROW()-1)),"")</f>
        <v>0</v>
      </c>
      <c r="G421">
        <f>IFERROR(_xlfn.SINGLE(INDEX(#REF!,ROW()-1)),"")</f>
        <v>0</v>
      </c>
      <c r="H421">
        <f>IFERROR(_xlfn.SINGLE(INDEX(#REF!,ROW()-1)),"")</f>
        <v>0</v>
      </c>
      <c r="I421">
        <f>IFERROR(_xlfn.SINGLE(INDEX(#REF!,ROW()-1)),"")</f>
        <v>0</v>
      </c>
      <c r="J421">
        <f>IFERROR(_xlfn.SINGLE(INDEX(#REF!,ROW()-1)),"")</f>
        <v>0</v>
      </c>
      <c r="K421">
        <f>IFERROR(_xlfn.SINGLE(INDEX(#REF!,ROW()-1)),"")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IFERROR(_xlfn.SINGLE(INDEX(#REF!,ROW()-1)),"")</f>
        <v>0</v>
      </c>
      <c r="C422">
        <f>IFERROR(_xlfn.SINGLE(INDEX(#REF!,ROW()-1)),"")</f>
        <v>0</v>
      </c>
      <c r="D422">
        <f>IFERROR(_xlfn.SINGLE(INDEX(#REF!,ROW()-1)),"")</f>
        <v>0</v>
      </c>
      <c r="E422">
        <f>IFERROR(_xlfn.SINGLE(INDEX(#REF!,ROW()-1)),"")</f>
        <v>0</v>
      </c>
      <c r="F422">
        <f>IFERROR(_xlfn.SINGLE(INDEX(#REF!,ROW()-1)),"")</f>
        <v>0</v>
      </c>
      <c r="G422">
        <f>IFERROR(_xlfn.SINGLE(INDEX(#REF!,ROW()-1)),"")</f>
        <v>0</v>
      </c>
      <c r="H422">
        <f>IFERROR(_xlfn.SINGLE(INDEX(#REF!,ROW()-1)),"")</f>
        <v>0</v>
      </c>
      <c r="I422">
        <f>IFERROR(_xlfn.SINGLE(INDEX(#REF!,ROW()-1)),"")</f>
        <v>0</v>
      </c>
      <c r="J422">
        <f>IFERROR(_xlfn.SINGLE(INDEX(#REF!,ROW()-1)),"")</f>
        <v>0</v>
      </c>
      <c r="K422">
        <f>IFERROR(_xlfn.SINGLE(INDEX(#REF!,ROW()-1)),"")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IFERROR(_xlfn.SINGLE(INDEX(#REF!,ROW()-1)),"")</f>
        <v>0</v>
      </c>
      <c r="C423">
        <f>IFERROR(_xlfn.SINGLE(INDEX(#REF!,ROW()-1)),"")</f>
        <v>0</v>
      </c>
      <c r="D423">
        <f>IFERROR(_xlfn.SINGLE(INDEX(#REF!,ROW()-1)),"")</f>
        <v>0</v>
      </c>
      <c r="E423">
        <f>IFERROR(_xlfn.SINGLE(INDEX(#REF!,ROW()-1)),"")</f>
        <v>0</v>
      </c>
      <c r="F423">
        <f>IFERROR(_xlfn.SINGLE(INDEX(#REF!,ROW()-1)),"")</f>
        <v>0</v>
      </c>
      <c r="G423">
        <f>IFERROR(_xlfn.SINGLE(INDEX(#REF!,ROW()-1)),"")</f>
        <v>0</v>
      </c>
      <c r="H423">
        <f>IFERROR(_xlfn.SINGLE(INDEX(#REF!,ROW()-1)),"")</f>
        <v>0</v>
      </c>
      <c r="I423">
        <f>IFERROR(_xlfn.SINGLE(INDEX(#REF!,ROW()-1)),"")</f>
        <v>0</v>
      </c>
      <c r="J423">
        <f>IFERROR(_xlfn.SINGLE(INDEX(#REF!,ROW()-1)),"")</f>
        <v>0</v>
      </c>
      <c r="K423">
        <f>IFERROR(_xlfn.SINGLE(INDEX(#REF!,ROW()-1)),"")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IFERROR(_xlfn.SINGLE(INDEX(#REF!,ROW()-1)),"")</f>
        <v>0</v>
      </c>
      <c r="C424">
        <f>IFERROR(_xlfn.SINGLE(INDEX(#REF!,ROW()-1)),"")</f>
        <v>0</v>
      </c>
      <c r="D424">
        <f>IFERROR(_xlfn.SINGLE(INDEX(#REF!,ROW()-1)),"")</f>
        <v>0</v>
      </c>
      <c r="E424">
        <f>IFERROR(_xlfn.SINGLE(INDEX(#REF!,ROW()-1)),"")</f>
        <v>0</v>
      </c>
      <c r="F424">
        <f>IFERROR(_xlfn.SINGLE(INDEX(#REF!,ROW()-1)),"")</f>
        <v>0</v>
      </c>
      <c r="G424">
        <f>IFERROR(_xlfn.SINGLE(INDEX(#REF!,ROW()-1)),"")</f>
        <v>0</v>
      </c>
      <c r="H424">
        <f>IFERROR(_xlfn.SINGLE(INDEX(#REF!,ROW()-1)),"")</f>
        <v>0</v>
      </c>
      <c r="I424">
        <f>IFERROR(_xlfn.SINGLE(INDEX(#REF!,ROW()-1)),"")</f>
        <v>0</v>
      </c>
      <c r="J424">
        <f>IFERROR(_xlfn.SINGLE(INDEX(#REF!,ROW()-1)),"")</f>
        <v>0</v>
      </c>
      <c r="K424">
        <f>IFERROR(_xlfn.SINGLE(INDEX(#REF!,ROW()-1)),"")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IFERROR(_xlfn.SINGLE(INDEX(#REF!,ROW()-1)),"")</f>
        <v>0</v>
      </c>
      <c r="C425">
        <f>IFERROR(_xlfn.SINGLE(INDEX(#REF!,ROW()-1)),"")</f>
        <v>0</v>
      </c>
      <c r="D425">
        <f>IFERROR(_xlfn.SINGLE(INDEX(#REF!,ROW()-1)),"")</f>
        <v>0</v>
      </c>
      <c r="E425">
        <f>IFERROR(_xlfn.SINGLE(INDEX(#REF!,ROW()-1)),"")</f>
        <v>0</v>
      </c>
      <c r="F425">
        <f>IFERROR(_xlfn.SINGLE(INDEX(#REF!,ROW()-1)),"")</f>
        <v>0</v>
      </c>
      <c r="G425">
        <f>IFERROR(_xlfn.SINGLE(INDEX(#REF!,ROW()-1)),"")</f>
        <v>0</v>
      </c>
      <c r="H425">
        <f>IFERROR(_xlfn.SINGLE(INDEX(#REF!,ROW()-1)),"")</f>
        <v>0</v>
      </c>
      <c r="I425">
        <f>IFERROR(_xlfn.SINGLE(INDEX(#REF!,ROW()-1)),"")</f>
        <v>0</v>
      </c>
      <c r="J425">
        <f>IFERROR(_xlfn.SINGLE(INDEX(#REF!,ROW()-1)),"")</f>
        <v>0</v>
      </c>
      <c r="K425">
        <f>IFERROR(_xlfn.SINGLE(INDEX(#REF!,ROW()-1)),"")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IFERROR(_xlfn.SINGLE(INDEX(#REF!,ROW()-1)),"")</f>
        <v>0</v>
      </c>
      <c r="C426">
        <f>IFERROR(_xlfn.SINGLE(INDEX(#REF!,ROW()-1)),"")</f>
        <v>0</v>
      </c>
      <c r="D426">
        <f>IFERROR(_xlfn.SINGLE(INDEX(#REF!,ROW()-1)),"")</f>
        <v>0</v>
      </c>
      <c r="E426">
        <f>IFERROR(_xlfn.SINGLE(INDEX(#REF!,ROW()-1)),"")</f>
        <v>0</v>
      </c>
      <c r="F426">
        <f>IFERROR(_xlfn.SINGLE(INDEX(#REF!,ROW()-1)),"")</f>
        <v>0</v>
      </c>
      <c r="G426">
        <f>IFERROR(_xlfn.SINGLE(INDEX(#REF!,ROW()-1)),"")</f>
        <v>0</v>
      </c>
      <c r="H426">
        <f>IFERROR(_xlfn.SINGLE(INDEX(#REF!,ROW()-1)),"")</f>
        <v>0</v>
      </c>
      <c r="I426">
        <f>IFERROR(_xlfn.SINGLE(INDEX(#REF!,ROW()-1)),"")</f>
        <v>0</v>
      </c>
      <c r="J426">
        <f>IFERROR(_xlfn.SINGLE(INDEX(#REF!,ROW()-1)),"")</f>
        <v>0</v>
      </c>
      <c r="K426">
        <f>IFERROR(_xlfn.SINGLE(INDEX(#REF!,ROW()-1)),"")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IFERROR(_xlfn.SINGLE(INDEX(#REF!,ROW()-1)),"")</f>
        <v>0</v>
      </c>
      <c r="C427">
        <f>IFERROR(_xlfn.SINGLE(INDEX(#REF!,ROW()-1)),"")</f>
        <v>0</v>
      </c>
      <c r="D427">
        <f>IFERROR(_xlfn.SINGLE(INDEX(#REF!,ROW()-1)),"")</f>
        <v>0</v>
      </c>
      <c r="E427">
        <f>IFERROR(_xlfn.SINGLE(INDEX(#REF!,ROW()-1)),"")</f>
        <v>0</v>
      </c>
      <c r="F427">
        <f>IFERROR(_xlfn.SINGLE(INDEX(#REF!,ROW()-1)),"")</f>
        <v>0</v>
      </c>
      <c r="G427">
        <f>IFERROR(_xlfn.SINGLE(INDEX(#REF!,ROW()-1)),"")</f>
        <v>0</v>
      </c>
      <c r="H427">
        <f>IFERROR(_xlfn.SINGLE(INDEX(#REF!,ROW()-1)),"")</f>
        <v>0</v>
      </c>
      <c r="I427">
        <f>IFERROR(_xlfn.SINGLE(INDEX(#REF!,ROW()-1)),"")</f>
        <v>0</v>
      </c>
      <c r="J427">
        <f>IFERROR(_xlfn.SINGLE(INDEX(#REF!,ROW()-1)),"")</f>
        <v>0</v>
      </c>
      <c r="K427">
        <f>IFERROR(_xlfn.SINGLE(INDEX(#REF!,ROW()-1)),"")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IFERROR(_xlfn.SINGLE(INDEX(#REF!,ROW()-1)),"")</f>
        <v>0</v>
      </c>
      <c r="C428">
        <f>IFERROR(_xlfn.SINGLE(INDEX(#REF!,ROW()-1)),"")</f>
        <v>0</v>
      </c>
      <c r="D428">
        <f>IFERROR(_xlfn.SINGLE(INDEX(#REF!,ROW()-1)),"")</f>
        <v>0</v>
      </c>
      <c r="E428">
        <f>IFERROR(_xlfn.SINGLE(INDEX(#REF!,ROW()-1)),"")</f>
        <v>0</v>
      </c>
      <c r="F428">
        <f>IFERROR(_xlfn.SINGLE(INDEX(#REF!,ROW()-1)),"")</f>
        <v>0</v>
      </c>
      <c r="G428">
        <f>IFERROR(_xlfn.SINGLE(INDEX(#REF!,ROW()-1)),"")</f>
        <v>0</v>
      </c>
      <c r="H428">
        <f>IFERROR(_xlfn.SINGLE(INDEX(#REF!,ROW()-1)),"")</f>
        <v>0</v>
      </c>
      <c r="I428">
        <f>IFERROR(_xlfn.SINGLE(INDEX(#REF!,ROW()-1)),"")</f>
        <v>0</v>
      </c>
      <c r="J428">
        <f>IFERROR(_xlfn.SINGLE(INDEX(#REF!,ROW()-1)),"")</f>
        <v>0</v>
      </c>
      <c r="K428">
        <f>IFERROR(_xlfn.SINGLE(INDEX(#REF!,ROW()-1)),"")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IFERROR(_xlfn.SINGLE(INDEX(#REF!,ROW()-1)),"")</f>
        <v>0</v>
      </c>
      <c r="C429">
        <f>IFERROR(_xlfn.SINGLE(INDEX(#REF!,ROW()-1)),"")</f>
        <v>0</v>
      </c>
      <c r="D429">
        <f>IFERROR(_xlfn.SINGLE(INDEX(#REF!,ROW()-1)),"")</f>
        <v>0</v>
      </c>
      <c r="E429">
        <f>IFERROR(_xlfn.SINGLE(INDEX(#REF!,ROW()-1)),"")</f>
        <v>0</v>
      </c>
      <c r="F429">
        <f>IFERROR(_xlfn.SINGLE(INDEX(#REF!,ROW()-1)),"")</f>
        <v>0</v>
      </c>
      <c r="G429">
        <f>IFERROR(_xlfn.SINGLE(INDEX(#REF!,ROW()-1)),"")</f>
        <v>0</v>
      </c>
      <c r="H429">
        <f>IFERROR(_xlfn.SINGLE(INDEX(#REF!,ROW()-1)),"")</f>
        <v>0</v>
      </c>
      <c r="I429">
        <f>IFERROR(_xlfn.SINGLE(INDEX(#REF!,ROW()-1)),"")</f>
        <v>0</v>
      </c>
      <c r="J429">
        <f>IFERROR(_xlfn.SINGLE(INDEX(#REF!,ROW()-1)),"")</f>
        <v>0</v>
      </c>
      <c r="K429">
        <f>IFERROR(_xlfn.SINGLE(INDEX(#REF!,ROW()-1)),"")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IFERROR(_xlfn.SINGLE(INDEX(#REF!,ROW()-1)),"")</f>
        <v>0</v>
      </c>
      <c r="C430">
        <f>IFERROR(_xlfn.SINGLE(INDEX(#REF!,ROW()-1)),"")</f>
        <v>0</v>
      </c>
      <c r="D430">
        <f>IFERROR(_xlfn.SINGLE(INDEX(#REF!,ROW()-1)),"")</f>
        <v>0</v>
      </c>
      <c r="E430">
        <f>IFERROR(_xlfn.SINGLE(INDEX(#REF!,ROW()-1)),"")</f>
        <v>0</v>
      </c>
      <c r="F430">
        <f>IFERROR(_xlfn.SINGLE(INDEX(#REF!,ROW()-1)),"")</f>
        <v>0</v>
      </c>
      <c r="G430">
        <f>IFERROR(_xlfn.SINGLE(INDEX(#REF!,ROW()-1)),"")</f>
        <v>0</v>
      </c>
      <c r="H430">
        <f>IFERROR(_xlfn.SINGLE(INDEX(#REF!,ROW()-1)),"")</f>
        <v>0</v>
      </c>
      <c r="I430">
        <f>IFERROR(_xlfn.SINGLE(INDEX(#REF!,ROW()-1)),"")</f>
        <v>0</v>
      </c>
      <c r="J430">
        <f>IFERROR(_xlfn.SINGLE(INDEX(#REF!,ROW()-1)),"")</f>
        <v>0</v>
      </c>
      <c r="K430">
        <f>IFERROR(_xlfn.SINGLE(INDEX(#REF!,ROW()-1)),"")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IFERROR(_xlfn.SINGLE(INDEX(#REF!,ROW()-1)),"")</f>
        <v>0</v>
      </c>
      <c r="C431">
        <f>IFERROR(_xlfn.SINGLE(INDEX(#REF!,ROW()-1)),"")</f>
        <v>0</v>
      </c>
      <c r="D431">
        <f>IFERROR(_xlfn.SINGLE(INDEX(#REF!,ROW()-1)),"")</f>
        <v>0</v>
      </c>
      <c r="E431">
        <f>IFERROR(_xlfn.SINGLE(INDEX(#REF!,ROW()-1)),"")</f>
        <v>0</v>
      </c>
      <c r="F431">
        <f>IFERROR(_xlfn.SINGLE(INDEX(#REF!,ROW()-1)),"")</f>
        <v>0</v>
      </c>
      <c r="G431">
        <f>IFERROR(_xlfn.SINGLE(INDEX(#REF!,ROW()-1)),"")</f>
        <v>0</v>
      </c>
      <c r="H431">
        <f>IFERROR(_xlfn.SINGLE(INDEX(#REF!,ROW()-1)),"")</f>
        <v>0</v>
      </c>
      <c r="I431">
        <f>IFERROR(_xlfn.SINGLE(INDEX(#REF!,ROW()-1)),"")</f>
        <v>0</v>
      </c>
      <c r="J431">
        <f>IFERROR(_xlfn.SINGLE(INDEX(#REF!,ROW()-1)),"")</f>
        <v>0</v>
      </c>
      <c r="K431">
        <f>IFERROR(_xlfn.SINGLE(INDEX(#REF!,ROW()-1)),"")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IFERROR(_xlfn.SINGLE(INDEX(#REF!,ROW()-1)),"")</f>
        <v>0</v>
      </c>
      <c r="C432">
        <f>IFERROR(_xlfn.SINGLE(INDEX(#REF!,ROW()-1)),"")</f>
        <v>0</v>
      </c>
      <c r="D432">
        <f>IFERROR(_xlfn.SINGLE(INDEX(#REF!,ROW()-1)),"")</f>
        <v>0</v>
      </c>
      <c r="E432">
        <f>IFERROR(_xlfn.SINGLE(INDEX(#REF!,ROW()-1)),"")</f>
        <v>0</v>
      </c>
      <c r="F432">
        <f>IFERROR(_xlfn.SINGLE(INDEX(#REF!,ROW()-1)),"")</f>
        <v>0</v>
      </c>
      <c r="G432">
        <f>IFERROR(_xlfn.SINGLE(INDEX(#REF!,ROW()-1)),"")</f>
        <v>0</v>
      </c>
      <c r="H432">
        <f>IFERROR(_xlfn.SINGLE(INDEX(#REF!,ROW()-1)),"")</f>
        <v>0</v>
      </c>
      <c r="I432">
        <f>IFERROR(_xlfn.SINGLE(INDEX(#REF!,ROW()-1)),"")</f>
        <v>0</v>
      </c>
      <c r="J432">
        <f>IFERROR(_xlfn.SINGLE(INDEX(#REF!,ROW()-1)),"")</f>
        <v>0</v>
      </c>
      <c r="K432">
        <f>IFERROR(_xlfn.SINGLE(INDEX(#REF!,ROW()-1)),"")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IFERROR(_xlfn.SINGLE(INDEX(#REF!,ROW()-1)),"")</f>
        <v>0</v>
      </c>
      <c r="C433">
        <f>IFERROR(_xlfn.SINGLE(INDEX(#REF!,ROW()-1)),"")</f>
        <v>0</v>
      </c>
      <c r="D433">
        <f>IFERROR(_xlfn.SINGLE(INDEX(#REF!,ROW()-1)),"")</f>
        <v>0</v>
      </c>
      <c r="E433">
        <f>IFERROR(_xlfn.SINGLE(INDEX(#REF!,ROW()-1)),"")</f>
        <v>0</v>
      </c>
      <c r="F433">
        <f>IFERROR(_xlfn.SINGLE(INDEX(#REF!,ROW()-1)),"")</f>
        <v>0</v>
      </c>
      <c r="G433">
        <f>IFERROR(_xlfn.SINGLE(INDEX(#REF!,ROW()-1)),"")</f>
        <v>0</v>
      </c>
      <c r="H433">
        <f>IFERROR(_xlfn.SINGLE(INDEX(#REF!,ROW()-1)),"")</f>
        <v>0</v>
      </c>
      <c r="I433">
        <f>IFERROR(_xlfn.SINGLE(INDEX(#REF!,ROW()-1)),"")</f>
        <v>0</v>
      </c>
      <c r="J433">
        <f>IFERROR(_xlfn.SINGLE(INDEX(#REF!,ROW()-1)),"")</f>
        <v>0</v>
      </c>
      <c r="K433">
        <f>IFERROR(_xlfn.SINGLE(INDEX(#REF!,ROW()-1)),"")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IFERROR(_xlfn.SINGLE(INDEX(#REF!,ROW()-1)),"")</f>
        <v>0</v>
      </c>
      <c r="C434">
        <f>IFERROR(_xlfn.SINGLE(INDEX(#REF!,ROW()-1)),"")</f>
        <v>0</v>
      </c>
      <c r="D434">
        <f>IFERROR(_xlfn.SINGLE(INDEX(#REF!,ROW()-1)),"")</f>
        <v>0</v>
      </c>
      <c r="E434">
        <f>IFERROR(_xlfn.SINGLE(INDEX(#REF!,ROW()-1)),"")</f>
        <v>0</v>
      </c>
      <c r="F434">
        <f>IFERROR(_xlfn.SINGLE(INDEX(#REF!,ROW()-1)),"")</f>
        <v>0</v>
      </c>
      <c r="G434">
        <f>IFERROR(_xlfn.SINGLE(INDEX(#REF!,ROW()-1)),"")</f>
        <v>0</v>
      </c>
      <c r="H434">
        <f>IFERROR(_xlfn.SINGLE(INDEX(#REF!,ROW()-1)),"")</f>
        <v>0</v>
      </c>
      <c r="I434">
        <f>IFERROR(_xlfn.SINGLE(INDEX(#REF!,ROW()-1)),"")</f>
        <v>0</v>
      </c>
      <c r="J434">
        <f>IFERROR(_xlfn.SINGLE(INDEX(#REF!,ROW()-1)),"")</f>
        <v>0</v>
      </c>
      <c r="K434">
        <f>IFERROR(_xlfn.SINGLE(INDEX(#REF!,ROW()-1)),"")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IFERROR(_xlfn.SINGLE(INDEX(#REF!,ROW()-1)),"")</f>
        <v>0</v>
      </c>
      <c r="C435">
        <f>IFERROR(_xlfn.SINGLE(INDEX(#REF!,ROW()-1)),"")</f>
        <v>0</v>
      </c>
      <c r="D435">
        <f>IFERROR(_xlfn.SINGLE(INDEX(#REF!,ROW()-1)),"")</f>
        <v>0</v>
      </c>
      <c r="E435">
        <f>IFERROR(_xlfn.SINGLE(INDEX(#REF!,ROW()-1)),"")</f>
        <v>0</v>
      </c>
      <c r="F435">
        <f>IFERROR(_xlfn.SINGLE(INDEX(#REF!,ROW()-1)),"")</f>
        <v>0</v>
      </c>
      <c r="G435">
        <f>IFERROR(_xlfn.SINGLE(INDEX(#REF!,ROW()-1)),"")</f>
        <v>0</v>
      </c>
      <c r="H435">
        <f>IFERROR(_xlfn.SINGLE(INDEX(#REF!,ROW()-1)),"")</f>
        <v>0</v>
      </c>
      <c r="I435">
        <f>IFERROR(_xlfn.SINGLE(INDEX(#REF!,ROW()-1)),"")</f>
        <v>0</v>
      </c>
      <c r="J435">
        <f>IFERROR(_xlfn.SINGLE(INDEX(#REF!,ROW()-1)),"")</f>
        <v>0</v>
      </c>
      <c r="K435">
        <f>IFERROR(_xlfn.SINGLE(INDEX(#REF!,ROW()-1)),"")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IFERROR(_xlfn.SINGLE(INDEX(#REF!,ROW()-1)),"")</f>
        <v>0</v>
      </c>
      <c r="C436">
        <f>IFERROR(_xlfn.SINGLE(INDEX(#REF!,ROW()-1)),"")</f>
        <v>0</v>
      </c>
      <c r="D436">
        <f>IFERROR(_xlfn.SINGLE(INDEX(#REF!,ROW()-1)),"")</f>
        <v>0</v>
      </c>
      <c r="E436">
        <f>IFERROR(_xlfn.SINGLE(INDEX(#REF!,ROW()-1)),"")</f>
        <v>0</v>
      </c>
      <c r="F436">
        <f>IFERROR(_xlfn.SINGLE(INDEX(#REF!,ROW()-1)),"")</f>
        <v>0</v>
      </c>
      <c r="G436">
        <f>IFERROR(_xlfn.SINGLE(INDEX(#REF!,ROW()-1)),"")</f>
        <v>0</v>
      </c>
      <c r="H436">
        <f>IFERROR(_xlfn.SINGLE(INDEX(#REF!,ROW()-1)),"")</f>
        <v>0</v>
      </c>
      <c r="I436">
        <f>IFERROR(_xlfn.SINGLE(INDEX(#REF!,ROW()-1)),"")</f>
        <v>0</v>
      </c>
      <c r="J436">
        <f>IFERROR(_xlfn.SINGLE(INDEX(#REF!,ROW()-1)),"")</f>
        <v>0</v>
      </c>
      <c r="K436">
        <f>IFERROR(_xlfn.SINGLE(INDEX(#REF!,ROW()-1)),"")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IFERROR(_xlfn.SINGLE(INDEX(#REF!,ROW()-1)),"")</f>
        <v>0</v>
      </c>
      <c r="C437">
        <f>IFERROR(_xlfn.SINGLE(INDEX(#REF!,ROW()-1)),"")</f>
        <v>0</v>
      </c>
      <c r="D437">
        <f>IFERROR(_xlfn.SINGLE(INDEX(#REF!,ROW()-1)),"")</f>
        <v>0</v>
      </c>
      <c r="E437">
        <f>IFERROR(_xlfn.SINGLE(INDEX(#REF!,ROW()-1)),"")</f>
        <v>0</v>
      </c>
      <c r="F437">
        <f>IFERROR(_xlfn.SINGLE(INDEX(#REF!,ROW()-1)),"")</f>
        <v>0</v>
      </c>
      <c r="G437">
        <f>IFERROR(_xlfn.SINGLE(INDEX(#REF!,ROW()-1)),"")</f>
        <v>0</v>
      </c>
      <c r="H437">
        <f>IFERROR(_xlfn.SINGLE(INDEX(#REF!,ROW()-1)),"")</f>
        <v>0</v>
      </c>
      <c r="I437">
        <f>IFERROR(_xlfn.SINGLE(INDEX(#REF!,ROW()-1)),"")</f>
        <v>0</v>
      </c>
      <c r="J437">
        <f>IFERROR(_xlfn.SINGLE(INDEX(#REF!,ROW()-1)),"")</f>
        <v>0</v>
      </c>
      <c r="K437">
        <f>IFERROR(_xlfn.SINGLE(INDEX(#REF!,ROW()-1)),"")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IFERROR(_xlfn.SINGLE(INDEX(#REF!,ROW()-1)),"")</f>
        <v>0</v>
      </c>
      <c r="C438">
        <f>IFERROR(_xlfn.SINGLE(INDEX(#REF!,ROW()-1)),"")</f>
        <v>0</v>
      </c>
      <c r="D438">
        <f>IFERROR(_xlfn.SINGLE(INDEX(#REF!,ROW()-1)),"")</f>
        <v>0</v>
      </c>
      <c r="E438">
        <f>IFERROR(_xlfn.SINGLE(INDEX(#REF!,ROW()-1)),"")</f>
        <v>0</v>
      </c>
      <c r="F438">
        <f>IFERROR(_xlfn.SINGLE(INDEX(#REF!,ROW()-1)),"")</f>
        <v>0</v>
      </c>
      <c r="G438">
        <f>IFERROR(_xlfn.SINGLE(INDEX(#REF!,ROW()-1)),"")</f>
        <v>0</v>
      </c>
      <c r="H438">
        <f>IFERROR(_xlfn.SINGLE(INDEX(#REF!,ROW()-1)),"")</f>
        <v>0</v>
      </c>
      <c r="I438">
        <f>IFERROR(_xlfn.SINGLE(INDEX(#REF!,ROW()-1)),"")</f>
        <v>0</v>
      </c>
      <c r="J438">
        <f>IFERROR(_xlfn.SINGLE(INDEX(#REF!,ROW()-1)),"")</f>
        <v>0</v>
      </c>
      <c r="K438">
        <f>IFERROR(_xlfn.SINGLE(INDEX(#REF!,ROW()-1)),"")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IFERROR(_xlfn.SINGLE(INDEX(#REF!,ROW()-1)),"")</f>
        <v>0</v>
      </c>
      <c r="C439">
        <f>IFERROR(_xlfn.SINGLE(INDEX(#REF!,ROW()-1)),"")</f>
        <v>0</v>
      </c>
      <c r="D439">
        <f>IFERROR(_xlfn.SINGLE(INDEX(#REF!,ROW()-1)),"")</f>
        <v>0</v>
      </c>
      <c r="E439">
        <f>IFERROR(_xlfn.SINGLE(INDEX(#REF!,ROW()-1)),"")</f>
        <v>0</v>
      </c>
      <c r="F439">
        <f>IFERROR(_xlfn.SINGLE(INDEX(#REF!,ROW()-1)),"")</f>
        <v>0</v>
      </c>
      <c r="G439">
        <f>IFERROR(_xlfn.SINGLE(INDEX(#REF!,ROW()-1)),"")</f>
        <v>0</v>
      </c>
      <c r="H439">
        <f>IFERROR(_xlfn.SINGLE(INDEX(#REF!,ROW()-1)),"")</f>
        <v>0</v>
      </c>
      <c r="I439">
        <f>IFERROR(_xlfn.SINGLE(INDEX(#REF!,ROW()-1)),"")</f>
        <v>0</v>
      </c>
      <c r="J439">
        <f>IFERROR(_xlfn.SINGLE(INDEX(#REF!,ROW()-1)),"")</f>
        <v>0</v>
      </c>
      <c r="K439">
        <f>IFERROR(_xlfn.SINGLE(INDEX(#REF!,ROW()-1)),"")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IFERROR(_xlfn.SINGLE(INDEX(#REF!,ROW()-1)),"")</f>
        <v>0</v>
      </c>
      <c r="C440">
        <f>IFERROR(_xlfn.SINGLE(INDEX(#REF!,ROW()-1)),"")</f>
        <v>0</v>
      </c>
      <c r="D440">
        <f>IFERROR(_xlfn.SINGLE(INDEX(#REF!,ROW()-1)),"")</f>
        <v>0</v>
      </c>
      <c r="E440">
        <f>IFERROR(_xlfn.SINGLE(INDEX(#REF!,ROW()-1)),"")</f>
        <v>0</v>
      </c>
      <c r="F440">
        <f>IFERROR(_xlfn.SINGLE(INDEX(#REF!,ROW()-1)),"")</f>
        <v>0</v>
      </c>
      <c r="G440">
        <f>IFERROR(_xlfn.SINGLE(INDEX(#REF!,ROW()-1)),"")</f>
        <v>0</v>
      </c>
      <c r="H440">
        <f>IFERROR(_xlfn.SINGLE(INDEX(#REF!,ROW()-1)),"")</f>
        <v>0</v>
      </c>
      <c r="I440">
        <f>IFERROR(_xlfn.SINGLE(INDEX(#REF!,ROW()-1)),"")</f>
        <v>0</v>
      </c>
      <c r="J440">
        <f>IFERROR(_xlfn.SINGLE(INDEX(#REF!,ROW()-1)),"")</f>
        <v>0</v>
      </c>
      <c r="K440">
        <f>IFERROR(_xlfn.SINGLE(INDEX(#REF!,ROW()-1)),"")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IFERROR(_xlfn.SINGLE(INDEX(#REF!,ROW()-1)),"")</f>
        <v>0</v>
      </c>
      <c r="C441">
        <f>IFERROR(_xlfn.SINGLE(INDEX(#REF!,ROW()-1)),"")</f>
        <v>0</v>
      </c>
      <c r="D441">
        <f>IFERROR(_xlfn.SINGLE(INDEX(#REF!,ROW()-1)),"")</f>
        <v>0</v>
      </c>
      <c r="E441">
        <f>IFERROR(_xlfn.SINGLE(INDEX(#REF!,ROW()-1)),"")</f>
        <v>0</v>
      </c>
      <c r="F441">
        <f>IFERROR(_xlfn.SINGLE(INDEX(#REF!,ROW()-1)),"")</f>
        <v>0</v>
      </c>
      <c r="G441">
        <f>IFERROR(_xlfn.SINGLE(INDEX(#REF!,ROW()-1)),"")</f>
        <v>0</v>
      </c>
      <c r="H441">
        <f>IFERROR(_xlfn.SINGLE(INDEX(#REF!,ROW()-1)),"")</f>
        <v>0</v>
      </c>
      <c r="I441">
        <f>IFERROR(_xlfn.SINGLE(INDEX(#REF!,ROW()-1)),"")</f>
        <v>0</v>
      </c>
      <c r="J441">
        <f>IFERROR(_xlfn.SINGLE(INDEX(#REF!,ROW()-1)),"")</f>
        <v>0</v>
      </c>
      <c r="K441">
        <f>IFERROR(_xlfn.SINGLE(INDEX(#REF!,ROW()-1)),"")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IFERROR(_xlfn.SINGLE(INDEX(#REF!,ROW()-1)),"")</f>
        <v>0</v>
      </c>
      <c r="C442">
        <f>IFERROR(_xlfn.SINGLE(INDEX(#REF!,ROW()-1)),"")</f>
        <v>0</v>
      </c>
      <c r="D442">
        <f>IFERROR(_xlfn.SINGLE(INDEX(#REF!,ROW()-1)),"")</f>
        <v>0</v>
      </c>
      <c r="E442">
        <f>IFERROR(_xlfn.SINGLE(INDEX(#REF!,ROW()-1)),"")</f>
        <v>0</v>
      </c>
      <c r="F442">
        <f>IFERROR(_xlfn.SINGLE(INDEX(#REF!,ROW()-1)),"")</f>
        <v>0</v>
      </c>
      <c r="G442">
        <f>IFERROR(_xlfn.SINGLE(INDEX(#REF!,ROW()-1)),"")</f>
        <v>0</v>
      </c>
      <c r="H442">
        <f>IFERROR(_xlfn.SINGLE(INDEX(#REF!,ROW()-1)),"")</f>
        <v>0</v>
      </c>
      <c r="I442">
        <f>IFERROR(_xlfn.SINGLE(INDEX(#REF!,ROW()-1)),"")</f>
        <v>0</v>
      </c>
      <c r="J442">
        <f>IFERROR(_xlfn.SINGLE(INDEX(#REF!,ROW()-1)),"")</f>
        <v>0</v>
      </c>
      <c r="K442">
        <f>IFERROR(_xlfn.SINGLE(INDEX(#REF!,ROW()-1)),"")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IFERROR(_xlfn.SINGLE(INDEX(#REF!,ROW()-1)),"")</f>
        <v>0</v>
      </c>
      <c r="C443">
        <f>IFERROR(_xlfn.SINGLE(INDEX(#REF!,ROW()-1)),"")</f>
        <v>0</v>
      </c>
      <c r="D443">
        <f>IFERROR(_xlfn.SINGLE(INDEX(#REF!,ROW()-1)),"")</f>
        <v>0</v>
      </c>
      <c r="E443">
        <f>IFERROR(_xlfn.SINGLE(INDEX(#REF!,ROW()-1)),"")</f>
        <v>0</v>
      </c>
      <c r="F443">
        <f>IFERROR(_xlfn.SINGLE(INDEX(#REF!,ROW()-1)),"")</f>
        <v>0</v>
      </c>
      <c r="G443">
        <f>IFERROR(_xlfn.SINGLE(INDEX(#REF!,ROW()-1)),"")</f>
        <v>0</v>
      </c>
      <c r="H443">
        <f>IFERROR(_xlfn.SINGLE(INDEX(#REF!,ROW()-1)),"")</f>
        <v>0</v>
      </c>
      <c r="I443">
        <f>IFERROR(_xlfn.SINGLE(INDEX(#REF!,ROW()-1)),"")</f>
        <v>0</v>
      </c>
      <c r="J443">
        <f>IFERROR(_xlfn.SINGLE(INDEX(#REF!,ROW()-1)),"")</f>
        <v>0</v>
      </c>
      <c r="K443">
        <f>IFERROR(_xlfn.SINGLE(INDEX(#REF!,ROW()-1)),"")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IFERROR(_xlfn.SINGLE(INDEX(#REF!,ROW()-1)),"")</f>
        <v>0</v>
      </c>
      <c r="C444">
        <f>IFERROR(_xlfn.SINGLE(INDEX(#REF!,ROW()-1)),"")</f>
        <v>0</v>
      </c>
      <c r="D444">
        <f>IFERROR(_xlfn.SINGLE(INDEX(#REF!,ROW()-1)),"")</f>
        <v>0</v>
      </c>
      <c r="E444">
        <f>IFERROR(_xlfn.SINGLE(INDEX(#REF!,ROW()-1)),"")</f>
        <v>0</v>
      </c>
      <c r="F444">
        <f>IFERROR(_xlfn.SINGLE(INDEX(#REF!,ROW()-1)),"")</f>
        <v>0</v>
      </c>
      <c r="G444">
        <f>IFERROR(_xlfn.SINGLE(INDEX(#REF!,ROW()-1)),"")</f>
        <v>0</v>
      </c>
      <c r="H444">
        <f>IFERROR(_xlfn.SINGLE(INDEX(#REF!,ROW()-1)),"")</f>
        <v>0</v>
      </c>
      <c r="I444">
        <f>IFERROR(_xlfn.SINGLE(INDEX(#REF!,ROW()-1)),"")</f>
        <v>0</v>
      </c>
      <c r="J444">
        <f>IFERROR(_xlfn.SINGLE(INDEX(#REF!,ROW()-1)),"")</f>
        <v>0</v>
      </c>
      <c r="K444">
        <f>IFERROR(_xlfn.SINGLE(INDEX(#REF!,ROW()-1)),"")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IFERROR(_xlfn.SINGLE(INDEX(#REF!,ROW()-1)),"")</f>
        <v>0</v>
      </c>
      <c r="C445">
        <f>IFERROR(_xlfn.SINGLE(INDEX(#REF!,ROW()-1)),"")</f>
        <v>0</v>
      </c>
      <c r="D445">
        <f>IFERROR(_xlfn.SINGLE(INDEX(#REF!,ROW()-1)),"")</f>
        <v>0</v>
      </c>
      <c r="E445">
        <f>IFERROR(_xlfn.SINGLE(INDEX(#REF!,ROW()-1)),"")</f>
        <v>0</v>
      </c>
      <c r="F445">
        <f>IFERROR(_xlfn.SINGLE(INDEX(#REF!,ROW()-1)),"")</f>
        <v>0</v>
      </c>
      <c r="G445">
        <f>IFERROR(_xlfn.SINGLE(INDEX(#REF!,ROW()-1)),"")</f>
        <v>0</v>
      </c>
      <c r="H445">
        <f>IFERROR(_xlfn.SINGLE(INDEX(#REF!,ROW()-1)),"")</f>
        <v>0</v>
      </c>
      <c r="I445">
        <f>IFERROR(_xlfn.SINGLE(INDEX(#REF!,ROW()-1)),"")</f>
        <v>0</v>
      </c>
      <c r="J445">
        <f>IFERROR(_xlfn.SINGLE(INDEX(#REF!,ROW()-1)),"")</f>
        <v>0</v>
      </c>
      <c r="K445">
        <f>IFERROR(_xlfn.SINGLE(INDEX(#REF!,ROW()-1)),"")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IFERROR(_xlfn.SINGLE(INDEX(#REF!,ROW()-1)),"")</f>
        <v>0</v>
      </c>
      <c r="C446">
        <f>IFERROR(_xlfn.SINGLE(INDEX(#REF!,ROW()-1)),"")</f>
        <v>0</v>
      </c>
      <c r="D446">
        <f>IFERROR(_xlfn.SINGLE(INDEX(#REF!,ROW()-1)),"")</f>
        <v>0</v>
      </c>
      <c r="E446">
        <f>IFERROR(_xlfn.SINGLE(INDEX(#REF!,ROW()-1)),"")</f>
        <v>0</v>
      </c>
      <c r="F446">
        <f>IFERROR(_xlfn.SINGLE(INDEX(#REF!,ROW()-1)),"")</f>
        <v>0</v>
      </c>
      <c r="G446">
        <f>IFERROR(_xlfn.SINGLE(INDEX(#REF!,ROW()-1)),"")</f>
        <v>0</v>
      </c>
      <c r="H446">
        <f>IFERROR(_xlfn.SINGLE(INDEX(#REF!,ROW()-1)),"")</f>
        <v>0</v>
      </c>
      <c r="I446">
        <f>IFERROR(_xlfn.SINGLE(INDEX(#REF!,ROW()-1)),"")</f>
        <v>0</v>
      </c>
      <c r="J446">
        <f>IFERROR(_xlfn.SINGLE(INDEX(#REF!,ROW()-1)),"")</f>
        <v>0</v>
      </c>
      <c r="K446">
        <f>IFERROR(_xlfn.SINGLE(INDEX(#REF!,ROW()-1)),"")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IFERROR(_xlfn.SINGLE(INDEX(#REF!,ROW()-1)),"")</f>
        <v>0</v>
      </c>
      <c r="C447">
        <f>IFERROR(_xlfn.SINGLE(INDEX(#REF!,ROW()-1)),"")</f>
        <v>0</v>
      </c>
      <c r="D447">
        <f>IFERROR(_xlfn.SINGLE(INDEX(#REF!,ROW()-1)),"")</f>
        <v>0</v>
      </c>
      <c r="E447">
        <f>IFERROR(_xlfn.SINGLE(INDEX(#REF!,ROW()-1)),"")</f>
        <v>0</v>
      </c>
      <c r="F447">
        <f>IFERROR(_xlfn.SINGLE(INDEX(#REF!,ROW()-1)),"")</f>
        <v>0</v>
      </c>
      <c r="G447">
        <f>IFERROR(_xlfn.SINGLE(INDEX(#REF!,ROW()-1)),"")</f>
        <v>0</v>
      </c>
      <c r="H447">
        <f>IFERROR(_xlfn.SINGLE(INDEX(#REF!,ROW()-1)),"")</f>
        <v>0</v>
      </c>
      <c r="I447">
        <f>IFERROR(_xlfn.SINGLE(INDEX(#REF!,ROW()-1)),"")</f>
        <v>0</v>
      </c>
      <c r="J447">
        <f>IFERROR(_xlfn.SINGLE(INDEX(#REF!,ROW()-1)),"")</f>
        <v>0</v>
      </c>
      <c r="K447">
        <f>IFERROR(_xlfn.SINGLE(INDEX(#REF!,ROW()-1)),"")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IFERROR(_xlfn.SINGLE(INDEX(#REF!,ROW()-1)),"")</f>
        <v>0</v>
      </c>
      <c r="C448">
        <f>IFERROR(_xlfn.SINGLE(INDEX(#REF!,ROW()-1)),"")</f>
        <v>0</v>
      </c>
      <c r="D448">
        <f>IFERROR(_xlfn.SINGLE(INDEX(#REF!,ROW()-1)),"")</f>
        <v>0</v>
      </c>
      <c r="E448">
        <f>IFERROR(_xlfn.SINGLE(INDEX(#REF!,ROW()-1)),"")</f>
        <v>0</v>
      </c>
      <c r="F448">
        <f>IFERROR(_xlfn.SINGLE(INDEX(#REF!,ROW()-1)),"")</f>
        <v>0</v>
      </c>
      <c r="G448">
        <f>IFERROR(_xlfn.SINGLE(INDEX(#REF!,ROW()-1)),"")</f>
        <v>0</v>
      </c>
      <c r="H448">
        <f>IFERROR(_xlfn.SINGLE(INDEX(#REF!,ROW()-1)),"")</f>
        <v>0</v>
      </c>
      <c r="I448">
        <f>IFERROR(_xlfn.SINGLE(INDEX(#REF!,ROW()-1)),"")</f>
        <v>0</v>
      </c>
      <c r="J448">
        <f>IFERROR(_xlfn.SINGLE(INDEX(#REF!,ROW()-1)),"")</f>
        <v>0</v>
      </c>
      <c r="K448">
        <f>IFERROR(_xlfn.SINGLE(INDEX(#REF!,ROW()-1)),"")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IFERROR(_xlfn.SINGLE(INDEX(#REF!,ROW()-1)),"")</f>
        <v>0</v>
      </c>
      <c r="C449">
        <f>IFERROR(_xlfn.SINGLE(INDEX(#REF!,ROW()-1)),"")</f>
        <v>0</v>
      </c>
      <c r="D449">
        <f>IFERROR(_xlfn.SINGLE(INDEX(#REF!,ROW()-1)),"")</f>
        <v>0</v>
      </c>
      <c r="E449">
        <f>IFERROR(_xlfn.SINGLE(INDEX(#REF!,ROW()-1)),"")</f>
        <v>0</v>
      </c>
      <c r="F449">
        <f>IFERROR(_xlfn.SINGLE(INDEX(#REF!,ROW()-1)),"")</f>
        <v>0</v>
      </c>
      <c r="G449">
        <f>IFERROR(_xlfn.SINGLE(INDEX(#REF!,ROW()-1)),"")</f>
        <v>0</v>
      </c>
      <c r="H449">
        <f>IFERROR(_xlfn.SINGLE(INDEX(#REF!,ROW()-1)),"")</f>
        <v>0</v>
      </c>
      <c r="I449">
        <f>IFERROR(_xlfn.SINGLE(INDEX(#REF!,ROW()-1)),"")</f>
        <v>0</v>
      </c>
      <c r="J449">
        <f>IFERROR(_xlfn.SINGLE(INDEX(#REF!,ROW()-1)),"")</f>
        <v>0</v>
      </c>
      <c r="K449">
        <f>IFERROR(_xlfn.SINGLE(INDEX(#REF!,ROW()-1)),"")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IFERROR(_xlfn.SINGLE(INDEX(#REF!,ROW()-1)),"")</f>
        <v>0</v>
      </c>
      <c r="C450">
        <f>IFERROR(_xlfn.SINGLE(INDEX(#REF!,ROW()-1)),"")</f>
        <v>0</v>
      </c>
      <c r="D450">
        <f>IFERROR(_xlfn.SINGLE(INDEX(#REF!,ROW()-1)),"")</f>
        <v>0</v>
      </c>
      <c r="E450">
        <f>IFERROR(_xlfn.SINGLE(INDEX(#REF!,ROW()-1)),"")</f>
        <v>0</v>
      </c>
      <c r="F450">
        <f>IFERROR(_xlfn.SINGLE(INDEX(#REF!,ROW()-1)),"")</f>
        <v>0</v>
      </c>
      <c r="G450">
        <f>IFERROR(_xlfn.SINGLE(INDEX(#REF!,ROW()-1)),"")</f>
        <v>0</v>
      </c>
      <c r="H450">
        <f>IFERROR(_xlfn.SINGLE(INDEX(#REF!,ROW()-1)),"")</f>
        <v>0</v>
      </c>
      <c r="I450">
        <f>IFERROR(_xlfn.SINGLE(INDEX(#REF!,ROW()-1)),"")</f>
        <v>0</v>
      </c>
      <c r="J450">
        <f>IFERROR(_xlfn.SINGLE(INDEX(#REF!,ROW()-1)),"")</f>
        <v>0</v>
      </c>
      <c r="K450">
        <f>IFERROR(_xlfn.SINGLE(INDEX(#REF!,ROW()-1)),"")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IFERROR(_xlfn.SINGLE(INDEX(#REF!,ROW()-1)),"")</f>
        <v>0</v>
      </c>
      <c r="C451">
        <f>IFERROR(_xlfn.SINGLE(INDEX(#REF!,ROW()-1)),"")</f>
        <v>0</v>
      </c>
      <c r="D451">
        <f>IFERROR(_xlfn.SINGLE(INDEX(#REF!,ROW()-1)),"")</f>
        <v>0</v>
      </c>
      <c r="E451">
        <f>IFERROR(_xlfn.SINGLE(INDEX(#REF!,ROW()-1)),"")</f>
        <v>0</v>
      </c>
      <c r="F451">
        <f>IFERROR(_xlfn.SINGLE(INDEX(#REF!,ROW()-1)),"")</f>
        <v>0</v>
      </c>
      <c r="G451">
        <f>IFERROR(_xlfn.SINGLE(INDEX(#REF!,ROW()-1)),"")</f>
        <v>0</v>
      </c>
      <c r="H451">
        <f>IFERROR(_xlfn.SINGLE(INDEX(#REF!,ROW()-1)),"")</f>
        <v>0</v>
      </c>
      <c r="I451">
        <f>IFERROR(_xlfn.SINGLE(INDEX(#REF!,ROW()-1)),"")</f>
        <v>0</v>
      </c>
      <c r="J451">
        <f>IFERROR(_xlfn.SINGLE(INDEX(#REF!,ROW()-1)),"")</f>
        <v>0</v>
      </c>
      <c r="K451">
        <f>IFERROR(_xlfn.SINGLE(INDEX(#REF!,ROW()-1)),"")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IFERROR(_xlfn.SINGLE(INDEX(#REF!,ROW()-1)),"")</f>
        <v>0</v>
      </c>
      <c r="C452">
        <f>IFERROR(_xlfn.SINGLE(INDEX(#REF!,ROW()-1)),"")</f>
        <v>0</v>
      </c>
      <c r="D452">
        <f>IFERROR(_xlfn.SINGLE(INDEX(#REF!,ROW()-1)),"")</f>
        <v>0</v>
      </c>
      <c r="E452">
        <f>IFERROR(_xlfn.SINGLE(INDEX(#REF!,ROW()-1)),"")</f>
        <v>0</v>
      </c>
      <c r="F452">
        <f>IFERROR(_xlfn.SINGLE(INDEX(#REF!,ROW()-1)),"")</f>
        <v>0</v>
      </c>
      <c r="G452">
        <f>IFERROR(_xlfn.SINGLE(INDEX(#REF!,ROW()-1)),"")</f>
        <v>0</v>
      </c>
      <c r="H452">
        <f>IFERROR(_xlfn.SINGLE(INDEX(#REF!,ROW()-1)),"")</f>
        <v>0</v>
      </c>
      <c r="I452">
        <f>IFERROR(_xlfn.SINGLE(INDEX(#REF!,ROW()-1)),"")</f>
        <v>0</v>
      </c>
      <c r="J452">
        <f>IFERROR(_xlfn.SINGLE(INDEX(#REF!,ROW()-1)),"")</f>
        <v>0</v>
      </c>
      <c r="K452">
        <f>IFERROR(_xlfn.SINGLE(INDEX(#REF!,ROW()-1)),"")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IFERROR(_xlfn.SINGLE(INDEX(#REF!,ROW()-1)),"")</f>
        <v>0</v>
      </c>
      <c r="C453">
        <f>IFERROR(_xlfn.SINGLE(INDEX(#REF!,ROW()-1)),"")</f>
        <v>0</v>
      </c>
      <c r="D453">
        <f>IFERROR(_xlfn.SINGLE(INDEX(#REF!,ROW()-1)),"")</f>
        <v>0</v>
      </c>
      <c r="E453">
        <f>IFERROR(_xlfn.SINGLE(INDEX(#REF!,ROW()-1)),"")</f>
        <v>0</v>
      </c>
      <c r="F453">
        <f>IFERROR(_xlfn.SINGLE(INDEX(#REF!,ROW()-1)),"")</f>
        <v>0</v>
      </c>
      <c r="G453">
        <f>IFERROR(_xlfn.SINGLE(INDEX(#REF!,ROW()-1)),"")</f>
        <v>0</v>
      </c>
      <c r="H453">
        <f>IFERROR(_xlfn.SINGLE(INDEX(#REF!,ROW()-1)),"")</f>
        <v>0</v>
      </c>
      <c r="I453">
        <f>IFERROR(_xlfn.SINGLE(INDEX(#REF!,ROW()-1)),"")</f>
        <v>0</v>
      </c>
      <c r="J453">
        <f>IFERROR(_xlfn.SINGLE(INDEX(#REF!,ROW()-1)),"")</f>
        <v>0</v>
      </c>
      <c r="K453">
        <f>IFERROR(_xlfn.SINGLE(INDEX(#REF!,ROW()-1)),"")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IFERROR(_xlfn.SINGLE(INDEX(#REF!,ROW()-1)),"")</f>
        <v>0</v>
      </c>
      <c r="C454">
        <f>IFERROR(_xlfn.SINGLE(INDEX(#REF!,ROW()-1)),"")</f>
        <v>0</v>
      </c>
      <c r="D454">
        <f>IFERROR(_xlfn.SINGLE(INDEX(#REF!,ROW()-1)),"")</f>
        <v>0</v>
      </c>
      <c r="E454">
        <f>IFERROR(_xlfn.SINGLE(INDEX(#REF!,ROW()-1)),"")</f>
        <v>0</v>
      </c>
      <c r="F454">
        <f>IFERROR(_xlfn.SINGLE(INDEX(#REF!,ROW()-1)),"")</f>
        <v>0</v>
      </c>
      <c r="G454">
        <f>IFERROR(_xlfn.SINGLE(INDEX(#REF!,ROW()-1)),"")</f>
        <v>0</v>
      </c>
      <c r="H454">
        <f>IFERROR(_xlfn.SINGLE(INDEX(#REF!,ROW()-1)),"")</f>
        <v>0</v>
      </c>
      <c r="I454">
        <f>IFERROR(_xlfn.SINGLE(INDEX(#REF!,ROW()-1)),"")</f>
        <v>0</v>
      </c>
      <c r="J454">
        <f>IFERROR(_xlfn.SINGLE(INDEX(#REF!,ROW()-1)),"")</f>
        <v>0</v>
      </c>
      <c r="K454">
        <f>IFERROR(_xlfn.SINGLE(INDEX(#REF!,ROW()-1)),"")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IFERROR(_xlfn.SINGLE(INDEX(#REF!,ROW()-1)),"")</f>
        <v>0</v>
      </c>
      <c r="C455">
        <f>IFERROR(_xlfn.SINGLE(INDEX(#REF!,ROW()-1)),"")</f>
        <v>0</v>
      </c>
      <c r="D455">
        <f>IFERROR(_xlfn.SINGLE(INDEX(#REF!,ROW()-1)),"")</f>
        <v>0</v>
      </c>
      <c r="E455">
        <f>IFERROR(_xlfn.SINGLE(INDEX(#REF!,ROW()-1)),"")</f>
        <v>0</v>
      </c>
      <c r="F455">
        <f>IFERROR(_xlfn.SINGLE(INDEX(#REF!,ROW()-1)),"")</f>
        <v>0</v>
      </c>
      <c r="G455">
        <f>IFERROR(_xlfn.SINGLE(INDEX(#REF!,ROW()-1)),"")</f>
        <v>0</v>
      </c>
      <c r="H455">
        <f>IFERROR(_xlfn.SINGLE(INDEX(#REF!,ROW()-1)),"")</f>
        <v>0</v>
      </c>
      <c r="I455">
        <f>IFERROR(_xlfn.SINGLE(INDEX(#REF!,ROW()-1)),"")</f>
        <v>0</v>
      </c>
      <c r="J455">
        <f>IFERROR(_xlfn.SINGLE(INDEX(#REF!,ROW()-1)),"")</f>
        <v>0</v>
      </c>
      <c r="K455">
        <f>IFERROR(_xlfn.SINGLE(INDEX(#REF!,ROW()-1)),"")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IFERROR(_xlfn.SINGLE(INDEX(#REF!,ROW()-1)),"")</f>
        <v>0</v>
      </c>
      <c r="C456">
        <f>IFERROR(_xlfn.SINGLE(INDEX(#REF!,ROW()-1)),"")</f>
        <v>0</v>
      </c>
      <c r="D456">
        <f>IFERROR(_xlfn.SINGLE(INDEX(#REF!,ROW()-1)),"")</f>
        <v>0</v>
      </c>
      <c r="E456">
        <f>IFERROR(_xlfn.SINGLE(INDEX(#REF!,ROW()-1)),"")</f>
        <v>0</v>
      </c>
      <c r="F456">
        <f>IFERROR(_xlfn.SINGLE(INDEX(#REF!,ROW()-1)),"")</f>
        <v>0</v>
      </c>
      <c r="G456">
        <f>IFERROR(_xlfn.SINGLE(INDEX(#REF!,ROW()-1)),"")</f>
        <v>0</v>
      </c>
      <c r="H456">
        <f>IFERROR(_xlfn.SINGLE(INDEX(#REF!,ROW()-1)),"")</f>
        <v>0</v>
      </c>
      <c r="I456">
        <f>IFERROR(_xlfn.SINGLE(INDEX(#REF!,ROW()-1)),"")</f>
        <v>0</v>
      </c>
      <c r="J456">
        <f>IFERROR(_xlfn.SINGLE(INDEX(#REF!,ROW()-1)),"")</f>
        <v>0</v>
      </c>
      <c r="K456">
        <f>IFERROR(_xlfn.SINGLE(INDEX(#REF!,ROW()-1)),"")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IFERROR(_xlfn.SINGLE(INDEX(#REF!,ROW()-1)),"")</f>
        <v>0</v>
      </c>
      <c r="C457">
        <f>IFERROR(_xlfn.SINGLE(INDEX(#REF!,ROW()-1)),"")</f>
        <v>0</v>
      </c>
      <c r="D457">
        <f>IFERROR(_xlfn.SINGLE(INDEX(#REF!,ROW()-1)),"")</f>
        <v>0</v>
      </c>
      <c r="E457">
        <f>IFERROR(_xlfn.SINGLE(INDEX(#REF!,ROW()-1)),"")</f>
        <v>0</v>
      </c>
      <c r="F457">
        <f>IFERROR(_xlfn.SINGLE(INDEX(#REF!,ROW()-1)),"")</f>
        <v>0</v>
      </c>
      <c r="G457">
        <f>IFERROR(_xlfn.SINGLE(INDEX(#REF!,ROW()-1)),"")</f>
        <v>0</v>
      </c>
      <c r="H457">
        <f>IFERROR(_xlfn.SINGLE(INDEX(#REF!,ROW()-1)),"")</f>
        <v>0</v>
      </c>
      <c r="I457">
        <f>IFERROR(_xlfn.SINGLE(INDEX(#REF!,ROW()-1)),"")</f>
        <v>0</v>
      </c>
      <c r="J457">
        <f>IFERROR(_xlfn.SINGLE(INDEX(#REF!,ROW()-1)),"")</f>
        <v>0</v>
      </c>
      <c r="K457">
        <f>IFERROR(_xlfn.SINGLE(INDEX(#REF!,ROW()-1)),"")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IFERROR(_xlfn.SINGLE(INDEX(#REF!,ROW()-1)),"")</f>
        <v>0</v>
      </c>
      <c r="C458">
        <f>IFERROR(_xlfn.SINGLE(INDEX(#REF!,ROW()-1)),"")</f>
        <v>0</v>
      </c>
      <c r="D458">
        <f>IFERROR(_xlfn.SINGLE(INDEX(#REF!,ROW()-1)),"")</f>
        <v>0</v>
      </c>
      <c r="E458">
        <f>IFERROR(_xlfn.SINGLE(INDEX(#REF!,ROW()-1)),"")</f>
        <v>0</v>
      </c>
      <c r="F458">
        <f>IFERROR(_xlfn.SINGLE(INDEX(#REF!,ROW()-1)),"")</f>
        <v>0</v>
      </c>
      <c r="G458">
        <f>IFERROR(_xlfn.SINGLE(INDEX(#REF!,ROW()-1)),"")</f>
        <v>0</v>
      </c>
      <c r="H458">
        <f>IFERROR(_xlfn.SINGLE(INDEX(#REF!,ROW()-1)),"")</f>
        <v>0</v>
      </c>
      <c r="I458">
        <f>IFERROR(_xlfn.SINGLE(INDEX(#REF!,ROW()-1)),"")</f>
        <v>0</v>
      </c>
      <c r="J458">
        <f>IFERROR(_xlfn.SINGLE(INDEX(#REF!,ROW()-1)),"")</f>
        <v>0</v>
      </c>
      <c r="K458">
        <f>IFERROR(_xlfn.SINGLE(INDEX(#REF!,ROW()-1)),"")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IFERROR(_xlfn.SINGLE(INDEX(#REF!,ROW()-1)),"")</f>
        <v>0</v>
      </c>
      <c r="C459">
        <f>IFERROR(_xlfn.SINGLE(INDEX(#REF!,ROW()-1)),"")</f>
        <v>0</v>
      </c>
      <c r="D459">
        <f>IFERROR(_xlfn.SINGLE(INDEX(#REF!,ROW()-1)),"")</f>
        <v>0</v>
      </c>
      <c r="E459">
        <f>IFERROR(_xlfn.SINGLE(INDEX(#REF!,ROW()-1)),"")</f>
        <v>0</v>
      </c>
      <c r="F459">
        <f>IFERROR(_xlfn.SINGLE(INDEX(#REF!,ROW()-1)),"")</f>
        <v>0</v>
      </c>
      <c r="G459">
        <f>IFERROR(_xlfn.SINGLE(INDEX(#REF!,ROW()-1)),"")</f>
        <v>0</v>
      </c>
      <c r="H459">
        <f>IFERROR(_xlfn.SINGLE(INDEX(#REF!,ROW()-1)),"")</f>
        <v>0</v>
      </c>
      <c r="I459">
        <f>IFERROR(_xlfn.SINGLE(INDEX(#REF!,ROW()-1)),"")</f>
        <v>0</v>
      </c>
      <c r="J459">
        <f>IFERROR(_xlfn.SINGLE(INDEX(#REF!,ROW()-1)),"")</f>
        <v>0</v>
      </c>
      <c r="K459">
        <f>IFERROR(_xlfn.SINGLE(INDEX(#REF!,ROW()-1)),"")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IFERROR(_xlfn.SINGLE(INDEX(#REF!,ROW()-1)),"")</f>
        <v>0</v>
      </c>
      <c r="C460">
        <f>IFERROR(_xlfn.SINGLE(INDEX(#REF!,ROW()-1)),"")</f>
        <v>0</v>
      </c>
      <c r="D460">
        <f>IFERROR(_xlfn.SINGLE(INDEX(#REF!,ROW()-1)),"")</f>
        <v>0</v>
      </c>
      <c r="E460">
        <f>IFERROR(_xlfn.SINGLE(INDEX(#REF!,ROW()-1)),"")</f>
        <v>0</v>
      </c>
      <c r="F460">
        <f>IFERROR(_xlfn.SINGLE(INDEX(#REF!,ROW()-1)),"")</f>
        <v>0</v>
      </c>
      <c r="G460">
        <f>IFERROR(_xlfn.SINGLE(INDEX(#REF!,ROW()-1)),"")</f>
        <v>0</v>
      </c>
      <c r="H460">
        <f>IFERROR(_xlfn.SINGLE(INDEX(#REF!,ROW()-1)),"")</f>
        <v>0</v>
      </c>
      <c r="I460">
        <f>IFERROR(_xlfn.SINGLE(INDEX(#REF!,ROW()-1)),"")</f>
        <v>0</v>
      </c>
      <c r="J460">
        <f>IFERROR(_xlfn.SINGLE(INDEX(#REF!,ROW()-1)),"")</f>
        <v>0</v>
      </c>
      <c r="K460">
        <f>IFERROR(_xlfn.SINGLE(INDEX(#REF!,ROW()-1)),"")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IFERROR(_xlfn.SINGLE(INDEX(#REF!,ROW()-1)),"")</f>
        <v>0</v>
      </c>
      <c r="C461">
        <f>IFERROR(_xlfn.SINGLE(INDEX(#REF!,ROW()-1)),"")</f>
        <v>0</v>
      </c>
      <c r="D461">
        <f>IFERROR(_xlfn.SINGLE(INDEX(#REF!,ROW()-1)),"")</f>
        <v>0</v>
      </c>
      <c r="E461">
        <f>IFERROR(_xlfn.SINGLE(INDEX(#REF!,ROW()-1)),"")</f>
        <v>0</v>
      </c>
      <c r="F461">
        <f>IFERROR(_xlfn.SINGLE(INDEX(#REF!,ROW()-1)),"")</f>
        <v>0</v>
      </c>
      <c r="G461">
        <f>IFERROR(_xlfn.SINGLE(INDEX(#REF!,ROW()-1)),"")</f>
        <v>0</v>
      </c>
      <c r="H461">
        <f>IFERROR(_xlfn.SINGLE(INDEX(#REF!,ROW()-1)),"")</f>
        <v>0</v>
      </c>
      <c r="I461">
        <f>IFERROR(_xlfn.SINGLE(INDEX(#REF!,ROW()-1)),"")</f>
        <v>0</v>
      </c>
      <c r="J461">
        <f>IFERROR(_xlfn.SINGLE(INDEX(#REF!,ROW()-1)),"")</f>
        <v>0</v>
      </c>
      <c r="K461">
        <f>IFERROR(_xlfn.SINGLE(INDEX(#REF!,ROW()-1)),"")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IFERROR(_xlfn.SINGLE(INDEX(#REF!,ROW()-1)),"")</f>
        <v>0</v>
      </c>
      <c r="C462">
        <f>IFERROR(_xlfn.SINGLE(INDEX(#REF!,ROW()-1)),"")</f>
        <v>0</v>
      </c>
      <c r="D462">
        <f>IFERROR(_xlfn.SINGLE(INDEX(#REF!,ROW()-1)),"")</f>
        <v>0</v>
      </c>
      <c r="E462">
        <f>IFERROR(_xlfn.SINGLE(INDEX(#REF!,ROW()-1)),"")</f>
        <v>0</v>
      </c>
      <c r="F462">
        <f>IFERROR(_xlfn.SINGLE(INDEX(#REF!,ROW()-1)),"")</f>
        <v>0</v>
      </c>
      <c r="G462">
        <f>IFERROR(_xlfn.SINGLE(INDEX(#REF!,ROW()-1)),"")</f>
        <v>0</v>
      </c>
      <c r="H462">
        <f>IFERROR(_xlfn.SINGLE(INDEX(#REF!,ROW()-1)),"")</f>
        <v>0</v>
      </c>
      <c r="I462">
        <f>IFERROR(_xlfn.SINGLE(INDEX(#REF!,ROW()-1)),"")</f>
        <v>0</v>
      </c>
      <c r="J462">
        <f>IFERROR(_xlfn.SINGLE(INDEX(#REF!,ROW()-1)),"")</f>
        <v>0</v>
      </c>
      <c r="K462">
        <f>IFERROR(_xlfn.SINGLE(INDEX(#REF!,ROW()-1)),"")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IFERROR(_xlfn.SINGLE(INDEX(#REF!,ROW()-1)),"")</f>
        <v>0</v>
      </c>
      <c r="C463">
        <f>IFERROR(_xlfn.SINGLE(INDEX(#REF!,ROW()-1)),"")</f>
        <v>0</v>
      </c>
      <c r="D463">
        <f>IFERROR(_xlfn.SINGLE(INDEX(#REF!,ROW()-1)),"")</f>
        <v>0</v>
      </c>
      <c r="E463">
        <f>IFERROR(_xlfn.SINGLE(INDEX(#REF!,ROW()-1)),"")</f>
        <v>0</v>
      </c>
      <c r="F463">
        <f>IFERROR(_xlfn.SINGLE(INDEX(#REF!,ROW()-1)),"")</f>
        <v>0</v>
      </c>
      <c r="G463">
        <f>IFERROR(_xlfn.SINGLE(INDEX(#REF!,ROW()-1)),"")</f>
        <v>0</v>
      </c>
      <c r="H463">
        <f>IFERROR(_xlfn.SINGLE(INDEX(#REF!,ROW()-1)),"")</f>
        <v>0</v>
      </c>
      <c r="I463">
        <f>IFERROR(_xlfn.SINGLE(INDEX(#REF!,ROW()-1)),"")</f>
        <v>0</v>
      </c>
      <c r="J463">
        <f>IFERROR(_xlfn.SINGLE(INDEX(#REF!,ROW()-1)),"")</f>
        <v>0</v>
      </c>
      <c r="K463">
        <f>IFERROR(_xlfn.SINGLE(INDEX(#REF!,ROW()-1)),"")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IFERROR(_xlfn.SINGLE(INDEX(#REF!,ROW()-1)),"")</f>
        <v>0</v>
      </c>
      <c r="C464">
        <f>IFERROR(_xlfn.SINGLE(INDEX(#REF!,ROW()-1)),"")</f>
        <v>0</v>
      </c>
      <c r="D464">
        <f>IFERROR(_xlfn.SINGLE(INDEX(#REF!,ROW()-1)),"")</f>
        <v>0</v>
      </c>
      <c r="E464">
        <f>IFERROR(_xlfn.SINGLE(INDEX(#REF!,ROW()-1)),"")</f>
        <v>0</v>
      </c>
      <c r="F464">
        <f>IFERROR(_xlfn.SINGLE(INDEX(#REF!,ROW()-1)),"")</f>
        <v>0</v>
      </c>
      <c r="G464">
        <f>IFERROR(_xlfn.SINGLE(INDEX(#REF!,ROW()-1)),"")</f>
        <v>0</v>
      </c>
      <c r="H464">
        <f>IFERROR(_xlfn.SINGLE(INDEX(#REF!,ROW()-1)),"")</f>
        <v>0</v>
      </c>
      <c r="I464">
        <f>IFERROR(_xlfn.SINGLE(INDEX(#REF!,ROW()-1)),"")</f>
        <v>0</v>
      </c>
      <c r="J464">
        <f>IFERROR(_xlfn.SINGLE(INDEX(#REF!,ROW()-1)),"")</f>
        <v>0</v>
      </c>
      <c r="K464">
        <f>IFERROR(_xlfn.SINGLE(INDEX(#REF!,ROW()-1)),"")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IFERROR(_xlfn.SINGLE(INDEX(#REF!,ROW()-1)),"")</f>
        <v>0</v>
      </c>
      <c r="C465">
        <f>IFERROR(_xlfn.SINGLE(INDEX(#REF!,ROW()-1)),"")</f>
        <v>0</v>
      </c>
      <c r="D465">
        <f>IFERROR(_xlfn.SINGLE(INDEX(#REF!,ROW()-1)),"")</f>
        <v>0</v>
      </c>
      <c r="E465">
        <f>IFERROR(_xlfn.SINGLE(INDEX(#REF!,ROW()-1)),"")</f>
        <v>0</v>
      </c>
      <c r="F465">
        <f>IFERROR(_xlfn.SINGLE(INDEX(#REF!,ROW()-1)),"")</f>
        <v>0</v>
      </c>
      <c r="G465">
        <f>IFERROR(_xlfn.SINGLE(INDEX(#REF!,ROW()-1)),"")</f>
        <v>0</v>
      </c>
      <c r="H465">
        <f>IFERROR(_xlfn.SINGLE(INDEX(#REF!,ROW()-1)),"")</f>
        <v>0</v>
      </c>
      <c r="I465">
        <f>IFERROR(_xlfn.SINGLE(INDEX(#REF!,ROW()-1)),"")</f>
        <v>0</v>
      </c>
      <c r="J465">
        <f>IFERROR(_xlfn.SINGLE(INDEX(#REF!,ROW()-1)),"")</f>
        <v>0</v>
      </c>
      <c r="K465">
        <f>IFERROR(_xlfn.SINGLE(INDEX(#REF!,ROW()-1)),"")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IFERROR(_xlfn.SINGLE(INDEX(#REF!,ROW()-1)),"")</f>
        <v>0</v>
      </c>
      <c r="C466">
        <f>IFERROR(_xlfn.SINGLE(INDEX(#REF!,ROW()-1)),"")</f>
        <v>0</v>
      </c>
      <c r="D466">
        <f>IFERROR(_xlfn.SINGLE(INDEX(#REF!,ROW()-1)),"")</f>
        <v>0</v>
      </c>
      <c r="E466">
        <f>IFERROR(_xlfn.SINGLE(INDEX(#REF!,ROW()-1)),"")</f>
        <v>0</v>
      </c>
      <c r="F466">
        <f>IFERROR(_xlfn.SINGLE(INDEX(#REF!,ROW()-1)),"")</f>
        <v>0</v>
      </c>
      <c r="G466">
        <f>IFERROR(_xlfn.SINGLE(INDEX(#REF!,ROW()-1)),"")</f>
        <v>0</v>
      </c>
      <c r="H466">
        <f>IFERROR(_xlfn.SINGLE(INDEX(#REF!,ROW()-1)),"")</f>
        <v>0</v>
      </c>
      <c r="I466">
        <f>IFERROR(_xlfn.SINGLE(INDEX(#REF!,ROW()-1)),"")</f>
        <v>0</v>
      </c>
      <c r="J466">
        <f>IFERROR(_xlfn.SINGLE(INDEX(#REF!,ROW()-1)),"")</f>
        <v>0</v>
      </c>
      <c r="K466">
        <f>IFERROR(_xlfn.SINGLE(INDEX(#REF!,ROW()-1)),"")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IFERROR(_xlfn.SINGLE(INDEX(#REF!,ROW()-1)),"")</f>
        <v>0</v>
      </c>
      <c r="C467">
        <f>IFERROR(_xlfn.SINGLE(INDEX(#REF!,ROW()-1)),"")</f>
        <v>0</v>
      </c>
      <c r="D467">
        <f>IFERROR(_xlfn.SINGLE(INDEX(#REF!,ROW()-1)),"")</f>
        <v>0</v>
      </c>
      <c r="E467">
        <f>IFERROR(_xlfn.SINGLE(INDEX(#REF!,ROW()-1)),"")</f>
        <v>0</v>
      </c>
      <c r="F467">
        <f>IFERROR(_xlfn.SINGLE(INDEX(#REF!,ROW()-1)),"")</f>
        <v>0</v>
      </c>
      <c r="G467">
        <f>IFERROR(_xlfn.SINGLE(INDEX(#REF!,ROW()-1)),"")</f>
        <v>0</v>
      </c>
      <c r="H467">
        <f>IFERROR(_xlfn.SINGLE(INDEX(#REF!,ROW()-1)),"")</f>
        <v>0</v>
      </c>
      <c r="I467">
        <f>IFERROR(_xlfn.SINGLE(INDEX(#REF!,ROW()-1)),"")</f>
        <v>0</v>
      </c>
      <c r="J467">
        <f>IFERROR(_xlfn.SINGLE(INDEX(#REF!,ROW()-1)),"")</f>
        <v>0</v>
      </c>
      <c r="K467">
        <f>IFERROR(_xlfn.SINGLE(INDEX(#REF!,ROW()-1)),"")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IFERROR(_xlfn.SINGLE(INDEX(#REF!,ROW()-1)),"")</f>
        <v>0</v>
      </c>
      <c r="C468">
        <f>IFERROR(_xlfn.SINGLE(INDEX(#REF!,ROW()-1)),"")</f>
        <v>0</v>
      </c>
      <c r="D468">
        <f>IFERROR(_xlfn.SINGLE(INDEX(#REF!,ROW()-1)),"")</f>
        <v>0</v>
      </c>
      <c r="E468">
        <f>IFERROR(_xlfn.SINGLE(INDEX(#REF!,ROW()-1)),"")</f>
        <v>0</v>
      </c>
      <c r="F468">
        <f>IFERROR(_xlfn.SINGLE(INDEX(#REF!,ROW()-1)),"")</f>
        <v>0</v>
      </c>
      <c r="G468">
        <f>IFERROR(_xlfn.SINGLE(INDEX(#REF!,ROW()-1)),"")</f>
        <v>0</v>
      </c>
      <c r="H468">
        <f>IFERROR(_xlfn.SINGLE(INDEX(#REF!,ROW()-1)),"")</f>
        <v>0</v>
      </c>
      <c r="I468">
        <f>IFERROR(_xlfn.SINGLE(INDEX(#REF!,ROW()-1)),"")</f>
        <v>0</v>
      </c>
      <c r="J468">
        <f>IFERROR(_xlfn.SINGLE(INDEX(#REF!,ROW()-1)),"")</f>
        <v>0</v>
      </c>
      <c r="K468">
        <f>IFERROR(_xlfn.SINGLE(INDEX(#REF!,ROW()-1)),"")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IFERROR(_xlfn.SINGLE(INDEX(#REF!,ROW()-1)),"")</f>
        <v>0</v>
      </c>
      <c r="C469">
        <f>IFERROR(_xlfn.SINGLE(INDEX(#REF!,ROW()-1)),"")</f>
        <v>0</v>
      </c>
      <c r="D469">
        <f>IFERROR(_xlfn.SINGLE(INDEX(#REF!,ROW()-1)),"")</f>
        <v>0</v>
      </c>
      <c r="E469">
        <f>IFERROR(_xlfn.SINGLE(INDEX(#REF!,ROW()-1)),"")</f>
        <v>0</v>
      </c>
      <c r="F469">
        <f>IFERROR(_xlfn.SINGLE(INDEX(#REF!,ROW()-1)),"")</f>
        <v>0</v>
      </c>
      <c r="G469">
        <f>IFERROR(_xlfn.SINGLE(INDEX(#REF!,ROW()-1)),"")</f>
        <v>0</v>
      </c>
      <c r="H469">
        <f>IFERROR(_xlfn.SINGLE(INDEX(#REF!,ROW()-1)),"")</f>
        <v>0</v>
      </c>
      <c r="I469">
        <f>IFERROR(_xlfn.SINGLE(INDEX(#REF!,ROW()-1)),"")</f>
        <v>0</v>
      </c>
      <c r="J469">
        <f>IFERROR(_xlfn.SINGLE(INDEX(#REF!,ROW()-1)),"")</f>
        <v>0</v>
      </c>
      <c r="K469">
        <f>IFERROR(_xlfn.SINGLE(INDEX(#REF!,ROW()-1)),"")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IFERROR(_xlfn.SINGLE(INDEX(#REF!,ROW()-1)),"")</f>
        <v>0</v>
      </c>
      <c r="C470">
        <f>IFERROR(_xlfn.SINGLE(INDEX(#REF!,ROW()-1)),"")</f>
        <v>0</v>
      </c>
      <c r="D470">
        <f>IFERROR(_xlfn.SINGLE(INDEX(#REF!,ROW()-1)),"")</f>
        <v>0</v>
      </c>
      <c r="E470">
        <f>IFERROR(_xlfn.SINGLE(INDEX(#REF!,ROW()-1)),"")</f>
        <v>0</v>
      </c>
      <c r="F470">
        <f>IFERROR(_xlfn.SINGLE(INDEX(#REF!,ROW()-1)),"")</f>
        <v>0</v>
      </c>
      <c r="G470">
        <f>IFERROR(_xlfn.SINGLE(INDEX(#REF!,ROW()-1)),"")</f>
        <v>0</v>
      </c>
      <c r="H470">
        <f>IFERROR(_xlfn.SINGLE(INDEX(#REF!,ROW()-1)),"")</f>
        <v>0</v>
      </c>
      <c r="I470">
        <f>IFERROR(_xlfn.SINGLE(INDEX(#REF!,ROW()-1)),"")</f>
        <v>0</v>
      </c>
      <c r="J470">
        <f>IFERROR(_xlfn.SINGLE(INDEX(#REF!,ROW()-1)),"")</f>
        <v>0</v>
      </c>
      <c r="K470">
        <f>IFERROR(_xlfn.SINGLE(INDEX(#REF!,ROW()-1)),"")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IFERROR(_xlfn.SINGLE(INDEX(#REF!,ROW()-1)),"")</f>
        <v>0</v>
      </c>
      <c r="C471">
        <f>IFERROR(_xlfn.SINGLE(INDEX(#REF!,ROW()-1)),"")</f>
        <v>0</v>
      </c>
      <c r="D471">
        <f>IFERROR(_xlfn.SINGLE(INDEX(#REF!,ROW()-1)),"")</f>
        <v>0</v>
      </c>
      <c r="E471">
        <f>IFERROR(_xlfn.SINGLE(INDEX(#REF!,ROW()-1)),"")</f>
        <v>0</v>
      </c>
      <c r="F471">
        <f>IFERROR(_xlfn.SINGLE(INDEX(#REF!,ROW()-1)),"")</f>
        <v>0</v>
      </c>
      <c r="G471">
        <f>IFERROR(_xlfn.SINGLE(INDEX(#REF!,ROW()-1)),"")</f>
        <v>0</v>
      </c>
      <c r="H471">
        <f>IFERROR(_xlfn.SINGLE(INDEX(#REF!,ROW()-1)),"")</f>
        <v>0</v>
      </c>
      <c r="I471">
        <f>IFERROR(_xlfn.SINGLE(INDEX(#REF!,ROW()-1)),"")</f>
        <v>0</v>
      </c>
      <c r="J471">
        <f>IFERROR(_xlfn.SINGLE(INDEX(#REF!,ROW()-1)),"")</f>
        <v>0</v>
      </c>
      <c r="K471">
        <f>IFERROR(_xlfn.SINGLE(INDEX(#REF!,ROW()-1)),"")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IFERROR(_xlfn.SINGLE(INDEX(#REF!,ROW()-1)),"")</f>
        <v>0</v>
      </c>
      <c r="C472">
        <f>IFERROR(_xlfn.SINGLE(INDEX(#REF!,ROW()-1)),"")</f>
        <v>0</v>
      </c>
      <c r="D472">
        <f>IFERROR(_xlfn.SINGLE(INDEX(#REF!,ROW()-1)),"")</f>
        <v>0</v>
      </c>
      <c r="E472">
        <f>IFERROR(_xlfn.SINGLE(INDEX(#REF!,ROW()-1)),"")</f>
        <v>0</v>
      </c>
      <c r="F472">
        <f>IFERROR(_xlfn.SINGLE(INDEX(#REF!,ROW()-1)),"")</f>
        <v>0</v>
      </c>
      <c r="G472">
        <f>IFERROR(_xlfn.SINGLE(INDEX(#REF!,ROW()-1)),"")</f>
        <v>0</v>
      </c>
      <c r="H472">
        <f>IFERROR(_xlfn.SINGLE(INDEX(#REF!,ROW()-1)),"")</f>
        <v>0</v>
      </c>
      <c r="I472">
        <f>IFERROR(_xlfn.SINGLE(INDEX(#REF!,ROW()-1)),"")</f>
        <v>0</v>
      </c>
      <c r="J472">
        <f>IFERROR(_xlfn.SINGLE(INDEX(#REF!,ROW()-1)),"")</f>
        <v>0</v>
      </c>
      <c r="K472">
        <f>IFERROR(_xlfn.SINGLE(INDEX(#REF!,ROW()-1)),"")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IFERROR(_xlfn.SINGLE(INDEX(#REF!,ROW()-1)),"")</f>
        <v>0</v>
      </c>
      <c r="C473">
        <f>IFERROR(_xlfn.SINGLE(INDEX(#REF!,ROW()-1)),"")</f>
        <v>0</v>
      </c>
      <c r="D473">
        <f>IFERROR(_xlfn.SINGLE(INDEX(#REF!,ROW()-1)),"")</f>
        <v>0</v>
      </c>
      <c r="E473">
        <f>IFERROR(_xlfn.SINGLE(INDEX(#REF!,ROW()-1)),"")</f>
        <v>0</v>
      </c>
      <c r="F473">
        <f>IFERROR(_xlfn.SINGLE(INDEX(#REF!,ROW()-1)),"")</f>
        <v>0</v>
      </c>
      <c r="G473">
        <f>IFERROR(_xlfn.SINGLE(INDEX(#REF!,ROW()-1)),"")</f>
        <v>0</v>
      </c>
      <c r="H473">
        <f>IFERROR(_xlfn.SINGLE(INDEX(#REF!,ROW()-1)),"")</f>
        <v>0</v>
      </c>
      <c r="I473">
        <f>IFERROR(_xlfn.SINGLE(INDEX(#REF!,ROW()-1)),"")</f>
        <v>0</v>
      </c>
      <c r="J473">
        <f>IFERROR(_xlfn.SINGLE(INDEX(#REF!,ROW()-1)),"")</f>
        <v>0</v>
      </c>
      <c r="K473">
        <f>IFERROR(_xlfn.SINGLE(INDEX(#REF!,ROW()-1)),"")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IFERROR(_xlfn.SINGLE(INDEX(#REF!,ROW()-1)),"")</f>
        <v>0</v>
      </c>
      <c r="C474">
        <f>IFERROR(_xlfn.SINGLE(INDEX(#REF!,ROW()-1)),"")</f>
        <v>0</v>
      </c>
      <c r="D474">
        <f>IFERROR(_xlfn.SINGLE(INDEX(#REF!,ROW()-1)),"")</f>
        <v>0</v>
      </c>
      <c r="E474">
        <f>IFERROR(_xlfn.SINGLE(INDEX(#REF!,ROW()-1)),"")</f>
        <v>0</v>
      </c>
      <c r="F474">
        <f>IFERROR(_xlfn.SINGLE(INDEX(#REF!,ROW()-1)),"")</f>
        <v>0</v>
      </c>
      <c r="G474">
        <f>IFERROR(_xlfn.SINGLE(INDEX(#REF!,ROW()-1)),"")</f>
        <v>0</v>
      </c>
      <c r="H474">
        <f>IFERROR(_xlfn.SINGLE(INDEX(#REF!,ROW()-1)),"")</f>
        <v>0</v>
      </c>
      <c r="I474">
        <f>IFERROR(_xlfn.SINGLE(INDEX(#REF!,ROW()-1)),"")</f>
        <v>0</v>
      </c>
      <c r="J474">
        <f>IFERROR(_xlfn.SINGLE(INDEX(#REF!,ROW()-1)),"")</f>
        <v>0</v>
      </c>
      <c r="K474">
        <f>IFERROR(_xlfn.SINGLE(INDEX(#REF!,ROW()-1)),"")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IFERROR(_xlfn.SINGLE(INDEX(#REF!,ROW()-1)),"")</f>
        <v>0</v>
      </c>
      <c r="C475">
        <f>IFERROR(_xlfn.SINGLE(INDEX(#REF!,ROW()-1)),"")</f>
        <v>0</v>
      </c>
      <c r="D475">
        <f>IFERROR(_xlfn.SINGLE(INDEX(#REF!,ROW()-1)),"")</f>
        <v>0</v>
      </c>
      <c r="E475">
        <f>IFERROR(_xlfn.SINGLE(INDEX(#REF!,ROW()-1)),"")</f>
        <v>0</v>
      </c>
      <c r="F475">
        <f>IFERROR(_xlfn.SINGLE(INDEX(#REF!,ROW()-1)),"")</f>
        <v>0</v>
      </c>
      <c r="G475">
        <f>IFERROR(_xlfn.SINGLE(INDEX(#REF!,ROW()-1)),"")</f>
        <v>0</v>
      </c>
      <c r="H475">
        <f>IFERROR(_xlfn.SINGLE(INDEX(#REF!,ROW()-1)),"")</f>
        <v>0</v>
      </c>
      <c r="I475">
        <f>IFERROR(_xlfn.SINGLE(INDEX(#REF!,ROW()-1)),"")</f>
        <v>0</v>
      </c>
      <c r="J475">
        <f>IFERROR(_xlfn.SINGLE(INDEX(#REF!,ROW()-1)),"")</f>
        <v>0</v>
      </c>
      <c r="K475">
        <f>IFERROR(_xlfn.SINGLE(INDEX(#REF!,ROW()-1)),"")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IFERROR(_xlfn.SINGLE(INDEX(#REF!,ROW()-1)),"")</f>
        <v>0</v>
      </c>
      <c r="C476">
        <f>IFERROR(_xlfn.SINGLE(INDEX(#REF!,ROW()-1)),"")</f>
        <v>0</v>
      </c>
      <c r="D476">
        <f>IFERROR(_xlfn.SINGLE(INDEX(#REF!,ROW()-1)),"")</f>
        <v>0</v>
      </c>
      <c r="E476">
        <f>IFERROR(_xlfn.SINGLE(INDEX(#REF!,ROW()-1)),"")</f>
        <v>0</v>
      </c>
      <c r="F476">
        <f>IFERROR(_xlfn.SINGLE(INDEX(#REF!,ROW()-1)),"")</f>
        <v>0</v>
      </c>
      <c r="G476">
        <f>IFERROR(_xlfn.SINGLE(INDEX(#REF!,ROW()-1)),"")</f>
        <v>0</v>
      </c>
      <c r="H476">
        <f>IFERROR(_xlfn.SINGLE(INDEX(#REF!,ROW()-1)),"")</f>
        <v>0</v>
      </c>
      <c r="I476">
        <f>IFERROR(_xlfn.SINGLE(INDEX(#REF!,ROW()-1)),"")</f>
        <v>0</v>
      </c>
      <c r="J476">
        <f>IFERROR(_xlfn.SINGLE(INDEX(#REF!,ROW()-1)),"")</f>
        <v>0</v>
      </c>
      <c r="K476">
        <f>IFERROR(_xlfn.SINGLE(INDEX(#REF!,ROW()-1)),"")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IFERROR(_xlfn.SINGLE(INDEX(#REF!,ROW()-1)),"")</f>
        <v>0</v>
      </c>
      <c r="C477">
        <f>IFERROR(_xlfn.SINGLE(INDEX(#REF!,ROW()-1)),"")</f>
        <v>0</v>
      </c>
      <c r="D477">
        <f>IFERROR(_xlfn.SINGLE(INDEX(#REF!,ROW()-1)),"")</f>
        <v>0</v>
      </c>
      <c r="E477">
        <f>IFERROR(_xlfn.SINGLE(INDEX(#REF!,ROW()-1)),"")</f>
        <v>0</v>
      </c>
      <c r="F477">
        <f>IFERROR(_xlfn.SINGLE(INDEX(#REF!,ROW()-1)),"")</f>
        <v>0</v>
      </c>
      <c r="G477">
        <f>IFERROR(_xlfn.SINGLE(INDEX(#REF!,ROW()-1)),"")</f>
        <v>0</v>
      </c>
      <c r="H477">
        <f>IFERROR(_xlfn.SINGLE(INDEX(#REF!,ROW()-1)),"")</f>
        <v>0</v>
      </c>
      <c r="I477">
        <f>IFERROR(_xlfn.SINGLE(INDEX(#REF!,ROW()-1)),"")</f>
        <v>0</v>
      </c>
      <c r="J477">
        <f>IFERROR(_xlfn.SINGLE(INDEX(#REF!,ROW()-1)),"")</f>
        <v>0</v>
      </c>
      <c r="K477">
        <f>IFERROR(_xlfn.SINGLE(INDEX(#REF!,ROW()-1)),"")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IFERROR(_xlfn.SINGLE(INDEX(#REF!,ROW()-1)),"")</f>
        <v>0</v>
      </c>
      <c r="C478">
        <f>IFERROR(_xlfn.SINGLE(INDEX(#REF!,ROW()-1)),"")</f>
        <v>0</v>
      </c>
      <c r="D478">
        <f>IFERROR(_xlfn.SINGLE(INDEX(#REF!,ROW()-1)),"")</f>
        <v>0</v>
      </c>
      <c r="E478">
        <f>IFERROR(_xlfn.SINGLE(INDEX(#REF!,ROW()-1)),"")</f>
        <v>0</v>
      </c>
      <c r="F478">
        <f>IFERROR(_xlfn.SINGLE(INDEX(#REF!,ROW()-1)),"")</f>
        <v>0</v>
      </c>
      <c r="G478">
        <f>IFERROR(_xlfn.SINGLE(INDEX(#REF!,ROW()-1)),"")</f>
        <v>0</v>
      </c>
      <c r="H478">
        <f>IFERROR(_xlfn.SINGLE(INDEX(#REF!,ROW()-1)),"")</f>
        <v>0</v>
      </c>
      <c r="I478">
        <f>IFERROR(_xlfn.SINGLE(INDEX(#REF!,ROW()-1)),"")</f>
        <v>0</v>
      </c>
      <c r="J478">
        <f>IFERROR(_xlfn.SINGLE(INDEX(#REF!,ROW()-1)),"")</f>
        <v>0</v>
      </c>
      <c r="K478">
        <f>IFERROR(_xlfn.SINGLE(INDEX(#REF!,ROW()-1)),"")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IFERROR(_xlfn.SINGLE(INDEX(#REF!,ROW()-1)),"")</f>
        <v>0</v>
      </c>
      <c r="C479">
        <f>IFERROR(_xlfn.SINGLE(INDEX(#REF!,ROW()-1)),"")</f>
        <v>0</v>
      </c>
      <c r="D479">
        <f>IFERROR(_xlfn.SINGLE(INDEX(#REF!,ROW()-1)),"")</f>
        <v>0</v>
      </c>
      <c r="E479">
        <f>IFERROR(_xlfn.SINGLE(INDEX(#REF!,ROW()-1)),"")</f>
        <v>0</v>
      </c>
      <c r="F479">
        <f>IFERROR(_xlfn.SINGLE(INDEX(#REF!,ROW()-1)),"")</f>
        <v>0</v>
      </c>
      <c r="G479">
        <f>IFERROR(_xlfn.SINGLE(INDEX(#REF!,ROW()-1)),"")</f>
        <v>0</v>
      </c>
      <c r="H479">
        <f>IFERROR(_xlfn.SINGLE(INDEX(#REF!,ROW()-1)),"")</f>
        <v>0</v>
      </c>
      <c r="I479">
        <f>IFERROR(_xlfn.SINGLE(INDEX(#REF!,ROW()-1)),"")</f>
        <v>0</v>
      </c>
      <c r="J479">
        <f>IFERROR(_xlfn.SINGLE(INDEX(#REF!,ROW()-1)),"")</f>
        <v>0</v>
      </c>
      <c r="K479">
        <f>IFERROR(_xlfn.SINGLE(INDEX(#REF!,ROW()-1)),"")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IFERROR(_xlfn.SINGLE(INDEX(#REF!,ROW()-1)),"")</f>
        <v>0</v>
      </c>
      <c r="C480">
        <f>IFERROR(_xlfn.SINGLE(INDEX(#REF!,ROW()-1)),"")</f>
        <v>0</v>
      </c>
      <c r="D480">
        <f>IFERROR(_xlfn.SINGLE(INDEX(#REF!,ROW()-1)),"")</f>
        <v>0</v>
      </c>
      <c r="E480">
        <f>IFERROR(_xlfn.SINGLE(INDEX(#REF!,ROW()-1)),"")</f>
        <v>0</v>
      </c>
      <c r="F480">
        <f>IFERROR(_xlfn.SINGLE(INDEX(#REF!,ROW()-1)),"")</f>
        <v>0</v>
      </c>
      <c r="G480">
        <f>IFERROR(_xlfn.SINGLE(INDEX(#REF!,ROW()-1)),"")</f>
        <v>0</v>
      </c>
      <c r="H480">
        <f>IFERROR(_xlfn.SINGLE(INDEX(#REF!,ROW()-1)),"")</f>
        <v>0</v>
      </c>
      <c r="I480">
        <f>IFERROR(_xlfn.SINGLE(INDEX(#REF!,ROW()-1)),"")</f>
        <v>0</v>
      </c>
      <c r="J480">
        <f>IFERROR(_xlfn.SINGLE(INDEX(#REF!,ROW()-1)),"")</f>
        <v>0</v>
      </c>
      <c r="K480">
        <f>IFERROR(_xlfn.SINGLE(INDEX(#REF!,ROW()-1)),"")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IFERROR(_xlfn.SINGLE(INDEX(#REF!,ROW()-1)),"")</f>
        <v>0</v>
      </c>
      <c r="C481">
        <f>IFERROR(_xlfn.SINGLE(INDEX(#REF!,ROW()-1)),"")</f>
        <v>0</v>
      </c>
      <c r="D481">
        <f>IFERROR(_xlfn.SINGLE(INDEX(#REF!,ROW()-1)),"")</f>
        <v>0</v>
      </c>
      <c r="E481">
        <f>IFERROR(_xlfn.SINGLE(INDEX(#REF!,ROW()-1)),"")</f>
        <v>0</v>
      </c>
      <c r="F481">
        <f>IFERROR(_xlfn.SINGLE(INDEX(#REF!,ROW()-1)),"")</f>
        <v>0</v>
      </c>
      <c r="G481">
        <f>IFERROR(_xlfn.SINGLE(INDEX(#REF!,ROW()-1)),"")</f>
        <v>0</v>
      </c>
      <c r="H481">
        <f>IFERROR(_xlfn.SINGLE(INDEX(#REF!,ROW()-1)),"")</f>
        <v>0</v>
      </c>
      <c r="I481">
        <f>IFERROR(_xlfn.SINGLE(INDEX(#REF!,ROW()-1)),"")</f>
        <v>0</v>
      </c>
      <c r="J481">
        <f>IFERROR(_xlfn.SINGLE(INDEX(#REF!,ROW()-1)),"")</f>
        <v>0</v>
      </c>
      <c r="K481">
        <f>IFERROR(_xlfn.SINGLE(INDEX(#REF!,ROW()-1)),"")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IFERROR(_xlfn.SINGLE(INDEX(#REF!,ROW()-1)),"")</f>
        <v>0</v>
      </c>
      <c r="C482">
        <f>IFERROR(_xlfn.SINGLE(INDEX(#REF!,ROW()-1)),"")</f>
        <v>0</v>
      </c>
      <c r="D482">
        <f>IFERROR(_xlfn.SINGLE(INDEX(#REF!,ROW()-1)),"")</f>
        <v>0</v>
      </c>
      <c r="E482">
        <f>IFERROR(_xlfn.SINGLE(INDEX(#REF!,ROW()-1)),"")</f>
        <v>0</v>
      </c>
      <c r="F482">
        <f>IFERROR(_xlfn.SINGLE(INDEX(#REF!,ROW()-1)),"")</f>
        <v>0</v>
      </c>
      <c r="G482">
        <f>IFERROR(_xlfn.SINGLE(INDEX(#REF!,ROW()-1)),"")</f>
        <v>0</v>
      </c>
      <c r="H482">
        <f>IFERROR(_xlfn.SINGLE(INDEX(#REF!,ROW()-1)),"")</f>
        <v>0</v>
      </c>
      <c r="I482">
        <f>IFERROR(_xlfn.SINGLE(INDEX(#REF!,ROW()-1)),"")</f>
        <v>0</v>
      </c>
      <c r="J482">
        <f>IFERROR(_xlfn.SINGLE(INDEX(#REF!,ROW()-1)),"")</f>
        <v>0</v>
      </c>
      <c r="K482">
        <f>IFERROR(_xlfn.SINGLE(INDEX(#REF!,ROW()-1)),"")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IFERROR(_xlfn.SINGLE(INDEX(#REF!,ROW()-1)),"")</f>
        <v>0</v>
      </c>
      <c r="C483">
        <f>IFERROR(_xlfn.SINGLE(INDEX(#REF!,ROW()-1)),"")</f>
        <v>0</v>
      </c>
      <c r="D483">
        <f>IFERROR(_xlfn.SINGLE(INDEX(#REF!,ROW()-1)),"")</f>
        <v>0</v>
      </c>
      <c r="E483">
        <f>IFERROR(_xlfn.SINGLE(INDEX(#REF!,ROW()-1)),"")</f>
        <v>0</v>
      </c>
      <c r="F483">
        <f>IFERROR(_xlfn.SINGLE(INDEX(#REF!,ROW()-1)),"")</f>
        <v>0</v>
      </c>
      <c r="G483">
        <f>IFERROR(_xlfn.SINGLE(INDEX(#REF!,ROW()-1)),"")</f>
        <v>0</v>
      </c>
      <c r="H483">
        <f>IFERROR(_xlfn.SINGLE(INDEX(#REF!,ROW()-1)),"")</f>
        <v>0</v>
      </c>
      <c r="I483">
        <f>IFERROR(_xlfn.SINGLE(INDEX(#REF!,ROW()-1)),"")</f>
        <v>0</v>
      </c>
      <c r="J483">
        <f>IFERROR(_xlfn.SINGLE(INDEX(#REF!,ROW()-1)),"")</f>
        <v>0</v>
      </c>
      <c r="K483">
        <f>IFERROR(_xlfn.SINGLE(INDEX(#REF!,ROW()-1)),"")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IFERROR(_xlfn.SINGLE(INDEX(#REF!,ROW()-1)),"")</f>
        <v>0</v>
      </c>
      <c r="C484">
        <f>IFERROR(_xlfn.SINGLE(INDEX(#REF!,ROW()-1)),"")</f>
        <v>0</v>
      </c>
      <c r="D484">
        <f>IFERROR(_xlfn.SINGLE(INDEX(#REF!,ROW()-1)),"")</f>
        <v>0</v>
      </c>
      <c r="E484">
        <f>IFERROR(_xlfn.SINGLE(INDEX(#REF!,ROW()-1)),"")</f>
        <v>0</v>
      </c>
      <c r="F484">
        <f>IFERROR(_xlfn.SINGLE(INDEX(#REF!,ROW()-1)),"")</f>
        <v>0</v>
      </c>
      <c r="G484">
        <f>IFERROR(_xlfn.SINGLE(INDEX(#REF!,ROW()-1)),"")</f>
        <v>0</v>
      </c>
      <c r="H484">
        <f>IFERROR(_xlfn.SINGLE(INDEX(#REF!,ROW()-1)),"")</f>
        <v>0</v>
      </c>
      <c r="I484">
        <f>IFERROR(_xlfn.SINGLE(INDEX(#REF!,ROW()-1)),"")</f>
        <v>0</v>
      </c>
      <c r="J484">
        <f>IFERROR(_xlfn.SINGLE(INDEX(#REF!,ROW()-1)),"")</f>
        <v>0</v>
      </c>
      <c r="K484">
        <f>IFERROR(_xlfn.SINGLE(INDEX(#REF!,ROW()-1)),"")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IFERROR(_xlfn.SINGLE(INDEX(#REF!,ROW()-1)),"")</f>
        <v>0</v>
      </c>
      <c r="C485">
        <f>IFERROR(_xlfn.SINGLE(INDEX(#REF!,ROW()-1)),"")</f>
        <v>0</v>
      </c>
      <c r="D485">
        <f>IFERROR(_xlfn.SINGLE(INDEX(#REF!,ROW()-1)),"")</f>
        <v>0</v>
      </c>
      <c r="E485">
        <f>IFERROR(_xlfn.SINGLE(INDEX(#REF!,ROW()-1)),"")</f>
        <v>0</v>
      </c>
      <c r="F485">
        <f>IFERROR(_xlfn.SINGLE(INDEX(#REF!,ROW()-1)),"")</f>
        <v>0</v>
      </c>
      <c r="G485">
        <f>IFERROR(_xlfn.SINGLE(INDEX(#REF!,ROW()-1)),"")</f>
        <v>0</v>
      </c>
      <c r="H485">
        <f>IFERROR(_xlfn.SINGLE(INDEX(#REF!,ROW()-1)),"")</f>
        <v>0</v>
      </c>
      <c r="I485">
        <f>IFERROR(_xlfn.SINGLE(INDEX(#REF!,ROW()-1)),"")</f>
        <v>0</v>
      </c>
      <c r="J485">
        <f>IFERROR(_xlfn.SINGLE(INDEX(#REF!,ROW()-1)),"")</f>
        <v>0</v>
      </c>
      <c r="K485">
        <f>IFERROR(_xlfn.SINGLE(INDEX(#REF!,ROW()-1)),"")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IFERROR(_xlfn.SINGLE(INDEX(#REF!,ROW()-1)),"")</f>
        <v>0</v>
      </c>
      <c r="C486">
        <f>IFERROR(_xlfn.SINGLE(INDEX(#REF!,ROW()-1)),"")</f>
        <v>0</v>
      </c>
      <c r="D486">
        <f>IFERROR(_xlfn.SINGLE(INDEX(#REF!,ROW()-1)),"")</f>
        <v>0</v>
      </c>
      <c r="E486">
        <f>IFERROR(_xlfn.SINGLE(INDEX(#REF!,ROW()-1)),"")</f>
        <v>0</v>
      </c>
      <c r="F486">
        <f>IFERROR(_xlfn.SINGLE(INDEX(#REF!,ROW()-1)),"")</f>
        <v>0</v>
      </c>
      <c r="G486">
        <f>IFERROR(_xlfn.SINGLE(INDEX(#REF!,ROW()-1)),"")</f>
        <v>0</v>
      </c>
      <c r="H486">
        <f>IFERROR(_xlfn.SINGLE(INDEX(#REF!,ROW()-1)),"")</f>
        <v>0</v>
      </c>
      <c r="I486">
        <f>IFERROR(_xlfn.SINGLE(INDEX(#REF!,ROW()-1)),"")</f>
        <v>0</v>
      </c>
      <c r="J486">
        <f>IFERROR(_xlfn.SINGLE(INDEX(#REF!,ROW()-1)),"")</f>
        <v>0</v>
      </c>
      <c r="K486">
        <f>IFERROR(_xlfn.SINGLE(INDEX(#REF!,ROW()-1)),"")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IFERROR(_xlfn.SINGLE(INDEX(#REF!,ROW()-1)),"")</f>
        <v>0</v>
      </c>
      <c r="C487">
        <f>IFERROR(_xlfn.SINGLE(INDEX(#REF!,ROW()-1)),"")</f>
        <v>0</v>
      </c>
      <c r="D487">
        <f>IFERROR(_xlfn.SINGLE(INDEX(#REF!,ROW()-1)),"")</f>
        <v>0</v>
      </c>
      <c r="E487">
        <f>IFERROR(_xlfn.SINGLE(INDEX(#REF!,ROW()-1)),"")</f>
        <v>0</v>
      </c>
      <c r="F487">
        <f>IFERROR(_xlfn.SINGLE(INDEX(#REF!,ROW()-1)),"")</f>
        <v>0</v>
      </c>
      <c r="G487">
        <f>IFERROR(_xlfn.SINGLE(INDEX(#REF!,ROW()-1)),"")</f>
        <v>0</v>
      </c>
      <c r="H487">
        <f>IFERROR(_xlfn.SINGLE(INDEX(#REF!,ROW()-1)),"")</f>
        <v>0</v>
      </c>
      <c r="I487">
        <f>IFERROR(_xlfn.SINGLE(INDEX(#REF!,ROW()-1)),"")</f>
        <v>0</v>
      </c>
      <c r="J487">
        <f>IFERROR(_xlfn.SINGLE(INDEX(#REF!,ROW()-1)),"")</f>
        <v>0</v>
      </c>
      <c r="K487">
        <f>IFERROR(_xlfn.SINGLE(INDEX(#REF!,ROW()-1)),"")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IFERROR(_xlfn.SINGLE(INDEX(#REF!,ROW()-1)),"")</f>
        <v>0</v>
      </c>
      <c r="C488">
        <f>IFERROR(_xlfn.SINGLE(INDEX(#REF!,ROW()-1)),"")</f>
        <v>0</v>
      </c>
      <c r="D488">
        <f>IFERROR(_xlfn.SINGLE(INDEX(#REF!,ROW()-1)),"")</f>
        <v>0</v>
      </c>
      <c r="E488">
        <f>IFERROR(_xlfn.SINGLE(INDEX(#REF!,ROW()-1)),"")</f>
        <v>0</v>
      </c>
      <c r="F488">
        <f>IFERROR(_xlfn.SINGLE(INDEX(#REF!,ROW()-1)),"")</f>
        <v>0</v>
      </c>
      <c r="G488">
        <f>IFERROR(_xlfn.SINGLE(INDEX(#REF!,ROW()-1)),"")</f>
        <v>0</v>
      </c>
      <c r="H488">
        <f>IFERROR(_xlfn.SINGLE(INDEX(#REF!,ROW()-1)),"")</f>
        <v>0</v>
      </c>
      <c r="I488">
        <f>IFERROR(_xlfn.SINGLE(INDEX(#REF!,ROW()-1)),"")</f>
        <v>0</v>
      </c>
      <c r="J488">
        <f>IFERROR(_xlfn.SINGLE(INDEX(#REF!,ROW()-1)),"")</f>
        <v>0</v>
      </c>
      <c r="K488">
        <f>IFERROR(_xlfn.SINGLE(INDEX(#REF!,ROW()-1)),"")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IFERROR(_xlfn.SINGLE(INDEX(#REF!,ROW()-1)),"")</f>
        <v>0</v>
      </c>
      <c r="C489">
        <f>IFERROR(_xlfn.SINGLE(INDEX(#REF!,ROW()-1)),"")</f>
        <v>0</v>
      </c>
      <c r="D489">
        <f>IFERROR(_xlfn.SINGLE(INDEX(#REF!,ROW()-1)),"")</f>
        <v>0</v>
      </c>
      <c r="E489">
        <f>IFERROR(_xlfn.SINGLE(INDEX(#REF!,ROW()-1)),"")</f>
        <v>0</v>
      </c>
      <c r="F489">
        <f>IFERROR(_xlfn.SINGLE(INDEX(#REF!,ROW()-1)),"")</f>
        <v>0</v>
      </c>
      <c r="G489">
        <f>IFERROR(_xlfn.SINGLE(INDEX(#REF!,ROW()-1)),"")</f>
        <v>0</v>
      </c>
      <c r="H489">
        <f>IFERROR(_xlfn.SINGLE(INDEX(#REF!,ROW()-1)),"")</f>
        <v>0</v>
      </c>
      <c r="I489">
        <f>IFERROR(_xlfn.SINGLE(INDEX(#REF!,ROW()-1)),"")</f>
        <v>0</v>
      </c>
      <c r="J489">
        <f>IFERROR(_xlfn.SINGLE(INDEX(#REF!,ROW()-1)),"")</f>
        <v>0</v>
      </c>
      <c r="K489">
        <f>IFERROR(_xlfn.SINGLE(INDEX(#REF!,ROW()-1)),"")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IFERROR(_xlfn.SINGLE(INDEX(#REF!,ROW()-1)),"")</f>
        <v>0</v>
      </c>
      <c r="C490">
        <f>IFERROR(_xlfn.SINGLE(INDEX(#REF!,ROW()-1)),"")</f>
        <v>0</v>
      </c>
      <c r="D490">
        <f>IFERROR(_xlfn.SINGLE(INDEX(#REF!,ROW()-1)),"")</f>
        <v>0</v>
      </c>
      <c r="E490">
        <f>IFERROR(_xlfn.SINGLE(INDEX(#REF!,ROW()-1)),"")</f>
        <v>0</v>
      </c>
      <c r="F490">
        <f>IFERROR(_xlfn.SINGLE(INDEX(#REF!,ROW()-1)),"")</f>
        <v>0</v>
      </c>
      <c r="G490">
        <f>IFERROR(_xlfn.SINGLE(INDEX(#REF!,ROW()-1)),"")</f>
        <v>0</v>
      </c>
      <c r="H490">
        <f>IFERROR(_xlfn.SINGLE(INDEX(#REF!,ROW()-1)),"")</f>
        <v>0</v>
      </c>
      <c r="I490">
        <f>IFERROR(_xlfn.SINGLE(INDEX(#REF!,ROW()-1)),"")</f>
        <v>0</v>
      </c>
      <c r="J490">
        <f>IFERROR(_xlfn.SINGLE(INDEX(#REF!,ROW()-1)),"")</f>
        <v>0</v>
      </c>
      <c r="K490">
        <f>IFERROR(_xlfn.SINGLE(INDEX(#REF!,ROW()-1)),"")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IFERROR(_xlfn.SINGLE(INDEX(#REF!,ROW()-1)),"")</f>
        <v>0</v>
      </c>
      <c r="C491">
        <f>IFERROR(_xlfn.SINGLE(INDEX(#REF!,ROW()-1)),"")</f>
        <v>0</v>
      </c>
      <c r="D491">
        <f>IFERROR(_xlfn.SINGLE(INDEX(#REF!,ROW()-1)),"")</f>
        <v>0</v>
      </c>
      <c r="E491">
        <f>IFERROR(_xlfn.SINGLE(INDEX(#REF!,ROW()-1)),"")</f>
        <v>0</v>
      </c>
      <c r="F491">
        <f>IFERROR(_xlfn.SINGLE(INDEX(#REF!,ROW()-1)),"")</f>
        <v>0</v>
      </c>
      <c r="G491">
        <f>IFERROR(_xlfn.SINGLE(INDEX(#REF!,ROW()-1)),"")</f>
        <v>0</v>
      </c>
      <c r="H491">
        <f>IFERROR(_xlfn.SINGLE(INDEX(#REF!,ROW()-1)),"")</f>
        <v>0</v>
      </c>
      <c r="I491">
        <f>IFERROR(_xlfn.SINGLE(INDEX(#REF!,ROW()-1)),"")</f>
        <v>0</v>
      </c>
      <c r="J491">
        <f>IFERROR(_xlfn.SINGLE(INDEX(#REF!,ROW()-1)),"")</f>
        <v>0</v>
      </c>
      <c r="K491">
        <f>IFERROR(_xlfn.SINGLE(INDEX(#REF!,ROW()-1)),"")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IFERROR(_xlfn.SINGLE(INDEX(#REF!,ROW()-1)),"")</f>
        <v>0</v>
      </c>
      <c r="C492">
        <f>IFERROR(_xlfn.SINGLE(INDEX(#REF!,ROW()-1)),"")</f>
        <v>0</v>
      </c>
      <c r="D492">
        <f>IFERROR(_xlfn.SINGLE(INDEX(#REF!,ROW()-1)),"")</f>
        <v>0</v>
      </c>
      <c r="E492">
        <f>IFERROR(_xlfn.SINGLE(INDEX(#REF!,ROW()-1)),"")</f>
        <v>0</v>
      </c>
      <c r="F492">
        <f>IFERROR(_xlfn.SINGLE(INDEX(#REF!,ROW()-1)),"")</f>
        <v>0</v>
      </c>
      <c r="G492">
        <f>IFERROR(_xlfn.SINGLE(INDEX(#REF!,ROW()-1)),"")</f>
        <v>0</v>
      </c>
      <c r="H492">
        <f>IFERROR(_xlfn.SINGLE(INDEX(#REF!,ROW()-1)),"")</f>
        <v>0</v>
      </c>
      <c r="I492">
        <f>IFERROR(_xlfn.SINGLE(INDEX(#REF!,ROW()-1)),"")</f>
        <v>0</v>
      </c>
      <c r="J492">
        <f>IFERROR(_xlfn.SINGLE(INDEX(#REF!,ROW()-1)),"")</f>
        <v>0</v>
      </c>
      <c r="K492">
        <f>IFERROR(_xlfn.SINGLE(INDEX(#REF!,ROW()-1)),"")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IFERROR(_xlfn.SINGLE(INDEX(#REF!,ROW()-1)),"")</f>
        <v>0</v>
      </c>
      <c r="C493">
        <f>IFERROR(_xlfn.SINGLE(INDEX(#REF!,ROW()-1)),"")</f>
        <v>0</v>
      </c>
      <c r="D493">
        <f>IFERROR(_xlfn.SINGLE(INDEX(#REF!,ROW()-1)),"")</f>
        <v>0</v>
      </c>
      <c r="E493">
        <f>IFERROR(_xlfn.SINGLE(INDEX(#REF!,ROW()-1)),"")</f>
        <v>0</v>
      </c>
      <c r="F493">
        <f>IFERROR(_xlfn.SINGLE(INDEX(#REF!,ROW()-1)),"")</f>
        <v>0</v>
      </c>
      <c r="G493">
        <f>IFERROR(_xlfn.SINGLE(INDEX(#REF!,ROW()-1)),"")</f>
        <v>0</v>
      </c>
      <c r="H493">
        <f>IFERROR(_xlfn.SINGLE(INDEX(#REF!,ROW()-1)),"")</f>
        <v>0</v>
      </c>
      <c r="I493">
        <f>IFERROR(_xlfn.SINGLE(INDEX(#REF!,ROW()-1)),"")</f>
        <v>0</v>
      </c>
      <c r="J493">
        <f>IFERROR(_xlfn.SINGLE(INDEX(#REF!,ROW()-1)),"")</f>
        <v>0</v>
      </c>
      <c r="K493">
        <f>IFERROR(_xlfn.SINGLE(INDEX(#REF!,ROW()-1)),"")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IFERROR(_xlfn.SINGLE(INDEX(#REF!,ROW()-1)),"")</f>
        <v>0</v>
      </c>
      <c r="C494">
        <f>IFERROR(_xlfn.SINGLE(INDEX(#REF!,ROW()-1)),"")</f>
        <v>0</v>
      </c>
      <c r="D494">
        <f>IFERROR(_xlfn.SINGLE(INDEX(#REF!,ROW()-1)),"")</f>
        <v>0</v>
      </c>
      <c r="E494">
        <f>IFERROR(_xlfn.SINGLE(INDEX(#REF!,ROW()-1)),"")</f>
        <v>0</v>
      </c>
      <c r="F494">
        <f>IFERROR(_xlfn.SINGLE(INDEX(#REF!,ROW()-1)),"")</f>
        <v>0</v>
      </c>
      <c r="G494">
        <f>IFERROR(_xlfn.SINGLE(INDEX(#REF!,ROW()-1)),"")</f>
        <v>0</v>
      </c>
      <c r="H494">
        <f>IFERROR(_xlfn.SINGLE(INDEX(#REF!,ROW()-1)),"")</f>
        <v>0</v>
      </c>
      <c r="I494">
        <f>IFERROR(_xlfn.SINGLE(INDEX(#REF!,ROW()-1)),"")</f>
        <v>0</v>
      </c>
      <c r="J494">
        <f>IFERROR(_xlfn.SINGLE(INDEX(#REF!,ROW()-1)),"")</f>
        <v>0</v>
      </c>
      <c r="K494">
        <f>IFERROR(_xlfn.SINGLE(INDEX(#REF!,ROW()-1)),"")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IFERROR(_xlfn.SINGLE(INDEX(#REF!,ROW()-1)),"")</f>
        <v>0</v>
      </c>
      <c r="C495">
        <f>IFERROR(_xlfn.SINGLE(INDEX(#REF!,ROW()-1)),"")</f>
        <v>0</v>
      </c>
      <c r="D495">
        <f>IFERROR(_xlfn.SINGLE(INDEX(#REF!,ROW()-1)),"")</f>
        <v>0</v>
      </c>
      <c r="E495">
        <f>IFERROR(_xlfn.SINGLE(INDEX(#REF!,ROW()-1)),"")</f>
        <v>0</v>
      </c>
      <c r="F495">
        <f>IFERROR(_xlfn.SINGLE(INDEX(#REF!,ROW()-1)),"")</f>
        <v>0</v>
      </c>
      <c r="G495">
        <f>IFERROR(_xlfn.SINGLE(INDEX(#REF!,ROW()-1)),"")</f>
        <v>0</v>
      </c>
      <c r="H495">
        <f>IFERROR(_xlfn.SINGLE(INDEX(#REF!,ROW()-1)),"")</f>
        <v>0</v>
      </c>
      <c r="I495">
        <f>IFERROR(_xlfn.SINGLE(INDEX(#REF!,ROW()-1)),"")</f>
        <v>0</v>
      </c>
      <c r="J495">
        <f>IFERROR(_xlfn.SINGLE(INDEX(#REF!,ROW()-1)),"")</f>
        <v>0</v>
      </c>
      <c r="K495">
        <f>IFERROR(_xlfn.SINGLE(INDEX(#REF!,ROW()-1)),"")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IFERROR(_xlfn.SINGLE(INDEX(#REF!,ROW()-1)),"")</f>
        <v>0</v>
      </c>
      <c r="C496">
        <f>IFERROR(_xlfn.SINGLE(INDEX(#REF!,ROW()-1)),"")</f>
        <v>0</v>
      </c>
      <c r="D496">
        <f>IFERROR(_xlfn.SINGLE(INDEX(#REF!,ROW()-1)),"")</f>
        <v>0</v>
      </c>
      <c r="E496">
        <f>IFERROR(_xlfn.SINGLE(INDEX(#REF!,ROW()-1)),"")</f>
        <v>0</v>
      </c>
      <c r="F496">
        <f>IFERROR(_xlfn.SINGLE(INDEX(#REF!,ROW()-1)),"")</f>
        <v>0</v>
      </c>
      <c r="G496">
        <f>IFERROR(_xlfn.SINGLE(INDEX(#REF!,ROW()-1)),"")</f>
        <v>0</v>
      </c>
      <c r="H496">
        <f>IFERROR(_xlfn.SINGLE(INDEX(#REF!,ROW()-1)),"")</f>
        <v>0</v>
      </c>
      <c r="I496">
        <f>IFERROR(_xlfn.SINGLE(INDEX(#REF!,ROW()-1)),"")</f>
        <v>0</v>
      </c>
      <c r="J496">
        <f>IFERROR(_xlfn.SINGLE(INDEX(#REF!,ROW()-1)),"")</f>
        <v>0</v>
      </c>
      <c r="K496">
        <f>IFERROR(_xlfn.SINGLE(INDEX(#REF!,ROW()-1)),"")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IFERROR(_xlfn.SINGLE(INDEX(#REF!,ROW()-1)),"")</f>
        <v>0</v>
      </c>
      <c r="C497">
        <f>IFERROR(_xlfn.SINGLE(INDEX(#REF!,ROW()-1)),"")</f>
        <v>0</v>
      </c>
      <c r="D497">
        <f>IFERROR(_xlfn.SINGLE(INDEX(#REF!,ROW()-1)),"")</f>
        <v>0</v>
      </c>
      <c r="E497">
        <f>IFERROR(_xlfn.SINGLE(INDEX(#REF!,ROW()-1)),"")</f>
        <v>0</v>
      </c>
      <c r="F497">
        <f>IFERROR(_xlfn.SINGLE(INDEX(#REF!,ROW()-1)),"")</f>
        <v>0</v>
      </c>
      <c r="G497">
        <f>IFERROR(_xlfn.SINGLE(INDEX(#REF!,ROW()-1)),"")</f>
        <v>0</v>
      </c>
      <c r="H497">
        <f>IFERROR(_xlfn.SINGLE(INDEX(#REF!,ROW()-1)),"")</f>
        <v>0</v>
      </c>
      <c r="I497">
        <f>IFERROR(_xlfn.SINGLE(INDEX(#REF!,ROW()-1)),"")</f>
        <v>0</v>
      </c>
      <c r="J497">
        <f>IFERROR(_xlfn.SINGLE(INDEX(#REF!,ROW()-1)),"")</f>
        <v>0</v>
      </c>
      <c r="K497">
        <f>IFERROR(_xlfn.SINGLE(INDEX(#REF!,ROW()-1)),"")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IFERROR(_xlfn.SINGLE(INDEX(#REF!,ROW()-1)),"")</f>
        <v>0</v>
      </c>
      <c r="C498">
        <f>IFERROR(_xlfn.SINGLE(INDEX(#REF!,ROW()-1)),"")</f>
        <v>0</v>
      </c>
      <c r="D498">
        <f>IFERROR(_xlfn.SINGLE(INDEX(#REF!,ROW()-1)),"")</f>
        <v>0</v>
      </c>
      <c r="E498">
        <f>IFERROR(_xlfn.SINGLE(INDEX(#REF!,ROW()-1)),"")</f>
        <v>0</v>
      </c>
      <c r="F498">
        <f>IFERROR(_xlfn.SINGLE(INDEX(#REF!,ROW()-1)),"")</f>
        <v>0</v>
      </c>
      <c r="G498">
        <f>IFERROR(_xlfn.SINGLE(INDEX(#REF!,ROW()-1)),"")</f>
        <v>0</v>
      </c>
      <c r="H498">
        <f>IFERROR(_xlfn.SINGLE(INDEX(#REF!,ROW()-1)),"")</f>
        <v>0</v>
      </c>
      <c r="I498">
        <f>IFERROR(_xlfn.SINGLE(INDEX(#REF!,ROW()-1)),"")</f>
        <v>0</v>
      </c>
      <c r="J498">
        <f>IFERROR(_xlfn.SINGLE(INDEX(#REF!,ROW()-1)),"")</f>
        <v>0</v>
      </c>
      <c r="K498">
        <f>IFERROR(_xlfn.SINGLE(INDEX(#REF!,ROW()-1)),"")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IFERROR(_xlfn.SINGLE(INDEX(#REF!,ROW()-1)),"")</f>
        <v>0</v>
      </c>
      <c r="C499">
        <f>IFERROR(_xlfn.SINGLE(INDEX(#REF!,ROW()-1)),"")</f>
        <v>0</v>
      </c>
      <c r="D499">
        <f>IFERROR(_xlfn.SINGLE(INDEX(#REF!,ROW()-1)),"")</f>
        <v>0</v>
      </c>
      <c r="E499">
        <f>IFERROR(_xlfn.SINGLE(INDEX(#REF!,ROW()-1)),"")</f>
        <v>0</v>
      </c>
      <c r="F499">
        <f>IFERROR(_xlfn.SINGLE(INDEX(#REF!,ROW()-1)),"")</f>
        <v>0</v>
      </c>
      <c r="G499">
        <f>IFERROR(_xlfn.SINGLE(INDEX(#REF!,ROW()-1)),"")</f>
        <v>0</v>
      </c>
      <c r="H499">
        <f>IFERROR(_xlfn.SINGLE(INDEX(#REF!,ROW()-1)),"")</f>
        <v>0</v>
      </c>
      <c r="I499">
        <f>IFERROR(_xlfn.SINGLE(INDEX(#REF!,ROW()-1)),"")</f>
        <v>0</v>
      </c>
      <c r="J499">
        <f>IFERROR(_xlfn.SINGLE(INDEX(#REF!,ROW()-1)),"")</f>
        <v>0</v>
      </c>
      <c r="K499">
        <f>IFERROR(_xlfn.SINGLE(INDEX(#REF!,ROW()-1)),"")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IFERROR(_xlfn.SINGLE(INDEX(#REF!,ROW()-1)),"")</f>
        <v>0</v>
      </c>
      <c r="C500">
        <f>IFERROR(_xlfn.SINGLE(INDEX(#REF!,ROW()-1)),"")</f>
        <v>0</v>
      </c>
      <c r="D500">
        <f>IFERROR(_xlfn.SINGLE(INDEX(#REF!,ROW()-1)),"")</f>
        <v>0</v>
      </c>
      <c r="E500">
        <f>IFERROR(_xlfn.SINGLE(INDEX(#REF!,ROW()-1)),"")</f>
        <v>0</v>
      </c>
      <c r="F500">
        <f>IFERROR(_xlfn.SINGLE(INDEX(#REF!,ROW()-1)),"")</f>
        <v>0</v>
      </c>
      <c r="G500">
        <f>IFERROR(_xlfn.SINGLE(INDEX(#REF!,ROW()-1)),"")</f>
        <v>0</v>
      </c>
      <c r="H500">
        <f>IFERROR(_xlfn.SINGLE(INDEX(#REF!,ROW()-1)),"")</f>
        <v>0</v>
      </c>
      <c r="I500">
        <f>IFERROR(_xlfn.SINGLE(INDEX(#REF!,ROW()-1)),"")</f>
        <v>0</v>
      </c>
      <c r="J500">
        <f>IFERROR(_xlfn.SINGLE(INDEX(#REF!,ROW()-1)),"")</f>
        <v>0</v>
      </c>
      <c r="K500">
        <f>IFERROR(_xlfn.SINGLE(INDEX(#REF!,ROW()-1)),"")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IFERROR(_xlfn.SINGLE(INDEX(#REF!,ROW()-1)),"")</f>
        <v>0</v>
      </c>
      <c r="C501">
        <f>IFERROR(_xlfn.SINGLE(INDEX(#REF!,ROW()-1)),"")</f>
        <v>0</v>
      </c>
      <c r="D501">
        <f>IFERROR(_xlfn.SINGLE(INDEX(#REF!,ROW()-1)),"")</f>
        <v>0</v>
      </c>
      <c r="E501">
        <f>IFERROR(_xlfn.SINGLE(INDEX(#REF!,ROW()-1)),"")</f>
        <v>0</v>
      </c>
      <c r="F501">
        <f>IFERROR(_xlfn.SINGLE(INDEX(#REF!,ROW()-1)),"")</f>
        <v>0</v>
      </c>
      <c r="G501">
        <f>IFERROR(_xlfn.SINGLE(INDEX(#REF!,ROW()-1)),"")</f>
        <v>0</v>
      </c>
      <c r="H501">
        <f>IFERROR(_xlfn.SINGLE(INDEX(#REF!,ROW()-1)),"")</f>
        <v>0</v>
      </c>
      <c r="I501">
        <f>IFERROR(_xlfn.SINGLE(INDEX(#REF!,ROW()-1)),"")</f>
        <v>0</v>
      </c>
      <c r="J501">
        <f>IFERROR(_xlfn.SINGLE(INDEX(#REF!,ROW()-1)),"")</f>
        <v>0</v>
      </c>
      <c r="K501">
        <f>IFERROR(_xlfn.SINGLE(INDEX(#REF!,ROW()-1)),"")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IFERROR(_xlfn.SINGLE(INDEX(#REF!,ROW()-1)),"")</f>
        <v>0</v>
      </c>
      <c r="C502">
        <f>IFERROR(_xlfn.SINGLE(INDEX(#REF!,ROW()-1)),"")</f>
        <v>0</v>
      </c>
      <c r="D502">
        <f>IFERROR(_xlfn.SINGLE(INDEX(#REF!,ROW()-1)),"")</f>
        <v>0</v>
      </c>
      <c r="E502">
        <f>IFERROR(_xlfn.SINGLE(INDEX(#REF!,ROW()-1)),"")</f>
        <v>0</v>
      </c>
      <c r="F502">
        <f>IFERROR(_xlfn.SINGLE(INDEX(#REF!,ROW()-1)),"")</f>
        <v>0</v>
      </c>
      <c r="G502">
        <f>IFERROR(_xlfn.SINGLE(INDEX(#REF!,ROW()-1)),"")</f>
        <v>0</v>
      </c>
      <c r="H502">
        <f>IFERROR(_xlfn.SINGLE(INDEX(#REF!,ROW()-1)),"")</f>
        <v>0</v>
      </c>
      <c r="I502">
        <f>IFERROR(_xlfn.SINGLE(INDEX(#REF!,ROW()-1)),"")</f>
        <v>0</v>
      </c>
      <c r="J502">
        <f>IFERROR(_xlfn.SINGLE(INDEX(#REF!,ROW()-1)),"")</f>
        <v>0</v>
      </c>
      <c r="K502">
        <f>IFERROR(_xlfn.SINGLE(INDEX(#REF!,ROW()-1)),"")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IFERROR(_xlfn.SINGLE(INDEX(#REF!,ROW()-1)),"")</f>
        <v>0</v>
      </c>
      <c r="C503">
        <f>IFERROR(_xlfn.SINGLE(INDEX(#REF!,ROW()-1)),"")</f>
        <v>0</v>
      </c>
      <c r="D503">
        <f>IFERROR(_xlfn.SINGLE(INDEX(#REF!,ROW()-1)),"")</f>
        <v>0</v>
      </c>
      <c r="E503">
        <f>IFERROR(_xlfn.SINGLE(INDEX(#REF!,ROW()-1)),"")</f>
        <v>0</v>
      </c>
      <c r="F503">
        <f>IFERROR(_xlfn.SINGLE(INDEX(#REF!,ROW()-1)),"")</f>
        <v>0</v>
      </c>
      <c r="G503">
        <f>IFERROR(_xlfn.SINGLE(INDEX(#REF!,ROW()-1)),"")</f>
        <v>0</v>
      </c>
      <c r="H503">
        <f>IFERROR(_xlfn.SINGLE(INDEX(#REF!,ROW()-1)),"")</f>
        <v>0</v>
      </c>
      <c r="I503">
        <f>IFERROR(_xlfn.SINGLE(INDEX(#REF!,ROW()-1)),"")</f>
        <v>0</v>
      </c>
      <c r="J503">
        <f>IFERROR(_xlfn.SINGLE(INDEX(#REF!,ROW()-1)),"")</f>
        <v>0</v>
      </c>
      <c r="K503">
        <f>IFERROR(_xlfn.SINGLE(INDEX(#REF!,ROW()-1)),"")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IFERROR(_xlfn.SINGLE(INDEX(#REF!,ROW()-1)),"")</f>
        <v>0</v>
      </c>
      <c r="C504">
        <f>IFERROR(_xlfn.SINGLE(INDEX(#REF!,ROW()-1)),"")</f>
        <v>0</v>
      </c>
      <c r="D504">
        <f>IFERROR(_xlfn.SINGLE(INDEX(#REF!,ROW()-1)),"")</f>
        <v>0</v>
      </c>
      <c r="E504">
        <f>IFERROR(_xlfn.SINGLE(INDEX(#REF!,ROW()-1)),"")</f>
        <v>0</v>
      </c>
      <c r="F504">
        <f>IFERROR(_xlfn.SINGLE(INDEX(#REF!,ROW()-1)),"")</f>
        <v>0</v>
      </c>
      <c r="G504">
        <f>IFERROR(_xlfn.SINGLE(INDEX(#REF!,ROW()-1)),"")</f>
        <v>0</v>
      </c>
      <c r="H504">
        <f>IFERROR(_xlfn.SINGLE(INDEX(#REF!,ROW()-1)),"")</f>
        <v>0</v>
      </c>
      <c r="I504">
        <f>IFERROR(_xlfn.SINGLE(INDEX(#REF!,ROW()-1)),"")</f>
        <v>0</v>
      </c>
      <c r="J504">
        <f>IFERROR(_xlfn.SINGLE(INDEX(#REF!,ROW()-1)),"")</f>
        <v>0</v>
      </c>
      <c r="K504">
        <f>IFERROR(_xlfn.SINGLE(INDEX(#REF!,ROW()-1)),"")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IFERROR(_xlfn.SINGLE(INDEX(#REF!,ROW()-1)),"")</f>
        <v>0</v>
      </c>
      <c r="C505">
        <f>IFERROR(_xlfn.SINGLE(INDEX(#REF!,ROW()-1)),"")</f>
        <v>0</v>
      </c>
      <c r="D505">
        <f>IFERROR(_xlfn.SINGLE(INDEX(#REF!,ROW()-1)),"")</f>
        <v>0</v>
      </c>
      <c r="E505">
        <f>IFERROR(_xlfn.SINGLE(INDEX(#REF!,ROW()-1)),"")</f>
        <v>0</v>
      </c>
      <c r="F505">
        <f>IFERROR(_xlfn.SINGLE(INDEX(#REF!,ROW()-1)),"")</f>
        <v>0</v>
      </c>
      <c r="G505">
        <f>IFERROR(_xlfn.SINGLE(INDEX(#REF!,ROW()-1)),"")</f>
        <v>0</v>
      </c>
      <c r="H505">
        <f>IFERROR(_xlfn.SINGLE(INDEX(#REF!,ROW()-1)),"")</f>
        <v>0</v>
      </c>
      <c r="I505">
        <f>IFERROR(_xlfn.SINGLE(INDEX(#REF!,ROW()-1)),"")</f>
        <v>0</v>
      </c>
      <c r="J505">
        <f>IFERROR(_xlfn.SINGLE(INDEX(#REF!,ROW()-1)),"")</f>
        <v>0</v>
      </c>
      <c r="K505">
        <f>IFERROR(_xlfn.SINGLE(INDEX(#REF!,ROW()-1)),"")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IFERROR(_xlfn.SINGLE(INDEX(#REF!,ROW()-1)),"")</f>
        <v>0</v>
      </c>
      <c r="C506">
        <f>IFERROR(_xlfn.SINGLE(INDEX(#REF!,ROW()-1)),"")</f>
        <v>0</v>
      </c>
      <c r="D506">
        <f>IFERROR(_xlfn.SINGLE(INDEX(#REF!,ROW()-1)),"")</f>
        <v>0</v>
      </c>
      <c r="E506">
        <f>IFERROR(_xlfn.SINGLE(INDEX(#REF!,ROW()-1)),"")</f>
        <v>0</v>
      </c>
      <c r="F506">
        <f>IFERROR(_xlfn.SINGLE(INDEX(#REF!,ROW()-1)),"")</f>
        <v>0</v>
      </c>
      <c r="G506">
        <f>IFERROR(_xlfn.SINGLE(INDEX(#REF!,ROW()-1)),"")</f>
        <v>0</v>
      </c>
      <c r="H506">
        <f>IFERROR(_xlfn.SINGLE(INDEX(#REF!,ROW()-1)),"")</f>
        <v>0</v>
      </c>
      <c r="I506">
        <f>IFERROR(_xlfn.SINGLE(INDEX(#REF!,ROW()-1)),"")</f>
        <v>0</v>
      </c>
      <c r="J506">
        <f>IFERROR(_xlfn.SINGLE(INDEX(#REF!,ROW()-1)),"")</f>
        <v>0</v>
      </c>
      <c r="K506">
        <f>IFERROR(_xlfn.SINGLE(INDEX(#REF!,ROW()-1)),"")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IFERROR(_xlfn.SINGLE(INDEX(#REF!,ROW()-1)),"")</f>
        <v>0</v>
      </c>
      <c r="C507">
        <f>IFERROR(_xlfn.SINGLE(INDEX(#REF!,ROW()-1)),"")</f>
        <v>0</v>
      </c>
      <c r="D507">
        <f>IFERROR(_xlfn.SINGLE(INDEX(#REF!,ROW()-1)),"")</f>
        <v>0</v>
      </c>
      <c r="E507">
        <f>IFERROR(_xlfn.SINGLE(INDEX(#REF!,ROW()-1)),"")</f>
        <v>0</v>
      </c>
      <c r="F507">
        <f>IFERROR(_xlfn.SINGLE(INDEX(#REF!,ROW()-1)),"")</f>
        <v>0</v>
      </c>
      <c r="G507">
        <f>IFERROR(_xlfn.SINGLE(INDEX(#REF!,ROW()-1)),"")</f>
        <v>0</v>
      </c>
      <c r="H507">
        <f>IFERROR(_xlfn.SINGLE(INDEX(#REF!,ROW()-1)),"")</f>
        <v>0</v>
      </c>
      <c r="I507">
        <f>IFERROR(_xlfn.SINGLE(INDEX(#REF!,ROW()-1)),"")</f>
        <v>0</v>
      </c>
      <c r="J507">
        <f>IFERROR(_xlfn.SINGLE(INDEX(#REF!,ROW()-1)),"")</f>
        <v>0</v>
      </c>
      <c r="K507">
        <f>IFERROR(_xlfn.SINGLE(INDEX(#REF!,ROW()-1)),"")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IFERROR(_xlfn.SINGLE(INDEX(#REF!,ROW()-1)),"")</f>
        <v>0</v>
      </c>
      <c r="C508">
        <f>IFERROR(_xlfn.SINGLE(INDEX(#REF!,ROW()-1)),"")</f>
        <v>0</v>
      </c>
      <c r="D508">
        <f>IFERROR(_xlfn.SINGLE(INDEX(#REF!,ROW()-1)),"")</f>
        <v>0</v>
      </c>
      <c r="E508">
        <f>IFERROR(_xlfn.SINGLE(INDEX(#REF!,ROW()-1)),"")</f>
        <v>0</v>
      </c>
      <c r="F508">
        <f>IFERROR(_xlfn.SINGLE(INDEX(#REF!,ROW()-1)),"")</f>
        <v>0</v>
      </c>
      <c r="G508">
        <f>IFERROR(_xlfn.SINGLE(INDEX(#REF!,ROW()-1)),"")</f>
        <v>0</v>
      </c>
      <c r="H508">
        <f>IFERROR(_xlfn.SINGLE(INDEX(#REF!,ROW()-1)),"")</f>
        <v>0</v>
      </c>
      <c r="I508">
        <f>IFERROR(_xlfn.SINGLE(INDEX(#REF!,ROW()-1)),"")</f>
        <v>0</v>
      </c>
      <c r="J508">
        <f>IFERROR(_xlfn.SINGLE(INDEX(#REF!,ROW()-1)),"")</f>
        <v>0</v>
      </c>
      <c r="K508">
        <f>IFERROR(_xlfn.SINGLE(INDEX(#REF!,ROW()-1)),"")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IFERROR(_xlfn.SINGLE(INDEX(#REF!,ROW()-1)),"")</f>
        <v>0</v>
      </c>
      <c r="C509">
        <f>IFERROR(_xlfn.SINGLE(INDEX(#REF!,ROW()-1)),"")</f>
        <v>0</v>
      </c>
      <c r="D509">
        <f>IFERROR(_xlfn.SINGLE(INDEX(#REF!,ROW()-1)),"")</f>
        <v>0</v>
      </c>
      <c r="E509">
        <f>IFERROR(_xlfn.SINGLE(INDEX(#REF!,ROW()-1)),"")</f>
        <v>0</v>
      </c>
      <c r="F509">
        <f>IFERROR(_xlfn.SINGLE(INDEX(#REF!,ROW()-1)),"")</f>
        <v>0</v>
      </c>
      <c r="G509">
        <f>IFERROR(_xlfn.SINGLE(INDEX(#REF!,ROW()-1)),"")</f>
        <v>0</v>
      </c>
      <c r="H509">
        <f>IFERROR(_xlfn.SINGLE(INDEX(#REF!,ROW()-1)),"")</f>
        <v>0</v>
      </c>
      <c r="I509">
        <f>IFERROR(_xlfn.SINGLE(INDEX(#REF!,ROW()-1)),"")</f>
        <v>0</v>
      </c>
      <c r="J509">
        <f>IFERROR(_xlfn.SINGLE(INDEX(#REF!,ROW()-1)),"")</f>
        <v>0</v>
      </c>
      <c r="K509">
        <f>IFERROR(_xlfn.SINGLE(INDEX(#REF!,ROW()-1)),"")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IFERROR(_xlfn.SINGLE(INDEX(#REF!,ROW()-1)),"")</f>
        <v>0</v>
      </c>
      <c r="C510">
        <f>IFERROR(_xlfn.SINGLE(INDEX(#REF!,ROW()-1)),"")</f>
        <v>0</v>
      </c>
      <c r="D510">
        <f>IFERROR(_xlfn.SINGLE(INDEX(#REF!,ROW()-1)),"")</f>
        <v>0</v>
      </c>
      <c r="E510">
        <f>IFERROR(_xlfn.SINGLE(INDEX(#REF!,ROW()-1)),"")</f>
        <v>0</v>
      </c>
      <c r="F510">
        <f>IFERROR(_xlfn.SINGLE(INDEX(#REF!,ROW()-1)),"")</f>
        <v>0</v>
      </c>
      <c r="G510">
        <f>IFERROR(_xlfn.SINGLE(INDEX(#REF!,ROW()-1)),"")</f>
        <v>0</v>
      </c>
      <c r="H510">
        <f>IFERROR(_xlfn.SINGLE(INDEX(#REF!,ROW()-1)),"")</f>
        <v>0</v>
      </c>
      <c r="I510">
        <f>IFERROR(_xlfn.SINGLE(INDEX(#REF!,ROW()-1)),"")</f>
        <v>0</v>
      </c>
      <c r="J510">
        <f>IFERROR(_xlfn.SINGLE(INDEX(#REF!,ROW()-1)),"")</f>
        <v>0</v>
      </c>
      <c r="K510">
        <f>IFERROR(_xlfn.SINGLE(INDEX(#REF!,ROW()-1)),"")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IFERROR(_xlfn.SINGLE(INDEX(#REF!,ROW()-1)),"")</f>
        <v>0</v>
      </c>
      <c r="C511">
        <f>IFERROR(_xlfn.SINGLE(INDEX(#REF!,ROW()-1)),"")</f>
        <v>0</v>
      </c>
      <c r="D511">
        <f>IFERROR(_xlfn.SINGLE(INDEX(#REF!,ROW()-1)),"")</f>
        <v>0</v>
      </c>
      <c r="E511">
        <f>IFERROR(_xlfn.SINGLE(INDEX(#REF!,ROW()-1)),"")</f>
        <v>0</v>
      </c>
      <c r="F511">
        <f>IFERROR(_xlfn.SINGLE(INDEX(#REF!,ROW()-1)),"")</f>
        <v>0</v>
      </c>
      <c r="G511">
        <f>IFERROR(_xlfn.SINGLE(INDEX(#REF!,ROW()-1)),"")</f>
        <v>0</v>
      </c>
      <c r="H511">
        <f>IFERROR(_xlfn.SINGLE(INDEX(#REF!,ROW()-1)),"")</f>
        <v>0</v>
      </c>
      <c r="I511">
        <f>IFERROR(_xlfn.SINGLE(INDEX(#REF!,ROW()-1)),"")</f>
        <v>0</v>
      </c>
      <c r="J511">
        <f>IFERROR(_xlfn.SINGLE(INDEX(#REF!,ROW()-1)),"")</f>
        <v>0</v>
      </c>
      <c r="K511">
        <f>IFERROR(_xlfn.SINGLE(INDEX(#REF!,ROW()-1)),"")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IFERROR(_xlfn.SINGLE(INDEX(#REF!,ROW()-1)),"")</f>
        <v>0</v>
      </c>
      <c r="C512">
        <f>IFERROR(_xlfn.SINGLE(INDEX(#REF!,ROW()-1)),"")</f>
        <v>0</v>
      </c>
      <c r="D512">
        <f>IFERROR(_xlfn.SINGLE(INDEX(#REF!,ROW()-1)),"")</f>
        <v>0</v>
      </c>
      <c r="E512">
        <f>IFERROR(_xlfn.SINGLE(INDEX(#REF!,ROW()-1)),"")</f>
        <v>0</v>
      </c>
      <c r="F512">
        <f>IFERROR(_xlfn.SINGLE(INDEX(#REF!,ROW()-1)),"")</f>
        <v>0</v>
      </c>
      <c r="G512">
        <f>IFERROR(_xlfn.SINGLE(INDEX(#REF!,ROW()-1)),"")</f>
        <v>0</v>
      </c>
      <c r="H512">
        <f>IFERROR(_xlfn.SINGLE(INDEX(#REF!,ROW()-1)),"")</f>
        <v>0</v>
      </c>
      <c r="I512">
        <f>IFERROR(_xlfn.SINGLE(INDEX(#REF!,ROW()-1)),"")</f>
        <v>0</v>
      </c>
      <c r="J512">
        <f>IFERROR(_xlfn.SINGLE(INDEX(#REF!,ROW()-1)),"")</f>
        <v>0</v>
      </c>
      <c r="K512">
        <f>IFERROR(_xlfn.SINGLE(INDEX(#REF!,ROW()-1)),"")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IFERROR(_xlfn.SINGLE(INDEX(#REF!,ROW()-1)),"")</f>
        <v>0</v>
      </c>
      <c r="C513">
        <f>IFERROR(_xlfn.SINGLE(INDEX(#REF!,ROW()-1)),"")</f>
        <v>0</v>
      </c>
      <c r="D513">
        <f>IFERROR(_xlfn.SINGLE(INDEX(#REF!,ROW()-1)),"")</f>
        <v>0</v>
      </c>
      <c r="E513">
        <f>IFERROR(_xlfn.SINGLE(INDEX(#REF!,ROW()-1)),"")</f>
        <v>0</v>
      </c>
      <c r="F513">
        <f>IFERROR(_xlfn.SINGLE(INDEX(#REF!,ROW()-1)),"")</f>
        <v>0</v>
      </c>
      <c r="G513">
        <f>IFERROR(_xlfn.SINGLE(INDEX(#REF!,ROW()-1)),"")</f>
        <v>0</v>
      </c>
      <c r="H513">
        <f>IFERROR(_xlfn.SINGLE(INDEX(#REF!,ROW()-1)),"")</f>
        <v>0</v>
      </c>
      <c r="I513">
        <f>IFERROR(_xlfn.SINGLE(INDEX(#REF!,ROW()-1)),"")</f>
        <v>0</v>
      </c>
      <c r="J513">
        <f>IFERROR(_xlfn.SINGLE(INDEX(#REF!,ROW()-1)),"")</f>
        <v>0</v>
      </c>
      <c r="K513">
        <f>IFERROR(_xlfn.SINGLE(INDEX(#REF!,ROW()-1)),"")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IFERROR(_xlfn.SINGLE(INDEX(#REF!,ROW()-1)),"")</f>
        <v>0</v>
      </c>
      <c r="C514">
        <f>IFERROR(_xlfn.SINGLE(INDEX(#REF!,ROW()-1)),"")</f>
        <v>0</v>
      </c>
      <c r="D514">
        <f>IFERROR(_xlfn.SINGLE(INDEX(#REF!,ROW()-1)),"")</f>
        <v>0</v>
      </c>
      <c r="E514">
        <f>IFERROR(_xlfn.SINGLE(INDEX(#REF!,ROW()-1)),"")</f>
        <v>0</v>
      </c>
      <c r="F514">
        <f>IFERROR(_xlfn.SINGLE(INDEX(#REF!,ROW()-1)),"")</f>
        <v>0</v>
      </c>
      <c r="G514">
        <f>IFERROR(_xlfn.SINGLE(INDEX(#REF!,ROW()-1)),"")</f>
        <v>0</v>
      </c>
      <c r="H514">
        <f>IFERROR(_xlfn.SINGLE(INDEX(#REF!,ROW()-1)),"")</f>
        <v>0</v>
      </c>
      <c r="I514">
        <f>IFERROR(_xlfn.SINGLE(INDEX(#REF!,ROW()-1)),"")</f>
        <v>0</v>
      </c>
      <c r="J514">
        <f>IFERROR(_xlfn.SINGLE(INDEX(#REF!,ROW()-1)),"")</f>
        <v>0</v>
      </c>
      <c r="K514">
        <f>IFERROR(_xlfn.SINGLE(INDEX(#REF!,ROW()-1)),"")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IFERROR(_xlfn.SINGLE(INDEX(#REF!,ROW()-1)),"")</f>
        <v>0</v>
      </c>
      <c r="C515">
        <f>IFERROR(_xlfn.SINGLE(INDEX(#REF!,ROW()-1)),"")</f>
        <v>0</v>
      </c>
      <c r="D515">
        <f>IFERROR(_xlfn.SINGLE(INDEX(#REF!,ROW()-1)),"")</f>
        <v>0</v>
      </c>
      <c r="E515">
        <f>IFERROR(_xlfn.SINGLE(INDEX(#REF!,ROW()-1)),"")</f>
        <v>0</v>
      </c>
      <c r="F515">
        <f>IFERROR(_xlfn.SINGLE(INDEX(#REF!,ROW()-1)),"")</f>
        <v>0</v>
      </c>
      <c r="G515">
        <f>IFERROR(_xlfn.SINGLE(INDEX(#REF!,ROW()-1)),"")</f>
        <v>0</v>
      </c>
      <c r="H515">
        <f>IFERROR(_xlfn.SINGLE(INDEX(#REF!,ROW()-1)),"")</f>
        <v>0</v>
      </c>
      <c r="I515">
        <f>IFERROR(_xlfn.SINGLE(INDEX(#REF!,ROW()-1)),"")</f>
        <v>0</v>
      </c>
      <c r="J515">
        <f>IFERROR(_xlfn.SINGLE(INDEX(#REF!,ROW()-1)),"")</f>
        <v>0</v>
      </c>
      <c r="K515">
        <f>IFERROR(_xlfn.SINGLE(INDEX(#REF!,ROW()-1)),"")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IFERROR(_xlfn.SINGLE(INDEX(#REF!,ROW()-1)),"")</f>
        <v>0</v>
      </c>
      <c r="C516">
        <f>IFERROR(_xlfn.SINGLE(INDEX(#REF!,ROW()-1)),"")</f>
        <v>0</v>
      </c>
      <c r="D516">
        <f>IFERROR(_xlfn.SINGLE(INDEX(#REF!,ROW()-1)),"")</f>
        <v>0</v>
      </c>
      <c r="E516">
        <f>IFERROR(_xlfn.SINGLE(INDEX(#REF!,ROW()-1)),"")</f>
        <v>0</v>
      </c>
      <c r="F516">
        <f>IFERROR(_xlfn.SINGLE(INDEX(#REF!,ROW()-1)),"")</f>
        <v>0</v>
      </c>
      <c r="G516">
        <f>IFERROR(_xlfn.SINGLE(INDEX(#REF!,ROW()-1)),"")</f>
        <v>0</v>
      </c>
      <c r="H516">
        <f>IFERROR(_xlfn.SINGLE(INDEX(#REF!,ROW()-1)),"")</f>
        <v>0</v>
      </c>
      <c r="I516">
        <f>IFERROR(_xlfn.SINGLE(INDEX(#REF!,ROW()-1)),"")</f>
        <v>0</v>
      </c>
      <c r="J516">
        <f>IFERROR(_xlfn.SINGLE(INDEX(#REF!,ROW()-1)),"")</f>
        <v>0</v>
      </c>
      <c r="K516">
        <f>IFERROR(_xlfn.SINGLE(INDEX(#REF!,ROW()-1)),"")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IFERROR(_xlfn.SINGLE(INDEX(#REF!,ROW()-1)),"")</f>
        <v>0</v>
      </c>
      <c r="C517">
        <f>IFERROR(_xlfn.SINGLE(INDEX(#REF!,ROW()-1)),"")</f>
        <v>0</v>
      </c>
      <c r="D517">
        <f>IFERROR(_xlfn.SINGLE(INDEX(#REF!,ROW()-1)),"")</f>
        <v>0</v>
      </c>
      <c r="E517">
        <f>IFERROR(_xlfn.SINGLE(INDEX(#REF!,ROW()-1)),"")</f>
        <v>0</v>
      </c>
      <c r="F517">
        <f>IFERROR(_xlfn.SINGLE(INDEX(#REF!,ROW()-1)),"")</f>
        <v>0</v>
      </c>
      <c r="G517">
        <f>IFERROR(_xlfn.SINGLE(INDEX(#REF!,ROW()-1)),"")</f>
        <v>0</v>
      </c>
      <c r="H517">
        <f>IFERROR(_xlfn.SINGLE(INDEX(#REF!,ROW()-1)),"")</f>
        <v>0</v>
      </c>
      <c r="I517">
        <f>IFERROR(_xlfn.SINGLE(INDEX(#REF!,ROW()-1)),"")</f>
        <v>0</v>
      </c>
      <c r="J517">
        <f>IFERROR(_xlfn.SINGLE(INDEX(#REF!,ROW()-1)),"")</f>
        <v>0</v>
      </c>
      <c r="K517">
        <f>IFERROR(_xlfn.SINGLE(INDEX(#REF!,ROW()-1)),"")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IFERROR(_xlfn.SINGLE(INDEX(#REF!,ROW()-1)),"")</f>
        <v>0</v>
      </c>
      <c r="C518">
        <f>IFERROR(_xlfn.SINGLE(INDEX(#REF!,ROW()-1)),"")</f>
        <v>0</v>
      </c>
      <c r="D518">
        <f>IFERROR(_xlfn.SINGLE(INDEX(#REF!,ROW()-1)),"")</f>
        <v>0</v>
      </c>
      <c r="E518">
        <f>IFERROR(_xlfn.SINGLE(INDEX(#REF!,ROW()-1)),"")</f>
        <v>0</v>
      </c>
      <c r="F518">
        <f>IFERROR(_xlfn.SINGLE(INDEX(#REF!,ROW()-1)),"")</f>
        <v>0</v>
      </c>
      <c r="G518">
        <f>IFERROR(_xlfn.SINGLE(INDEX(#REF!,ROW()-1)),"")</f>
        <v>0</v>
      </c>
      <c r="H518">
        <f>IFERROR(_xlfn.SINGLE(INDEX(#REF!,ROW()-1)),"")</f>
        <v>0</v>
      </c>
      <c r="I518">
        <f>IFERROR(_xlfn.SINGLE(INDEX(#REF!,ROW()-1)),"")</f>
        <v>0</v>
      </c>
      <c r="J518">
        <f>IFERROR(_xlfn.SINGLE(INDEX(#REF!,ROW()-1)),"")</f>
        <v>0</v>
      </c>
      <c r="K518">
        <f>IFERROR(_xlfn.SINGLE(INDEX(#REF!,ROW()-1)),"")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IFERROR(_xlfn.SINGLE(INDEX(#REF!,ROW()-1)),"")</f>
        <v>0</v>
      </c>
      <c r="C519">
        <f>IFERROR(_xlfn.SINGLE(INDEX(#REF!,ROW()-1)),"")</f>
        <v>0</v>
      </c>
      <c r="D519">
        <f>IFERROR(_xlfn.SINGLE(INDEX(#REF!,ROW()-1)),"")</f>
        <v>0</v>
      </c>
      <c r="E519">
        <f>IFERROR(_xlfn.SINGLE(INDEX(#REF!,ROW()-1)),"")</f>
        <v>0</v>
      </c>
      <c r="F519">
        <f>IFERROR(_xlfn.SINGLE(INDEX(#REF!,ROW()-1)),"")</f>
        <v>0</v>
      </c>
      <c r="G519">
        <f>IFERROR(_xlfn.SINGLE(INDEX(#REF!,ROW()-1)),"")</f>
        <v>0</v>
      </c>
      <c r="H519">
        <f>IFERROR(_xlfn.SINGLE(INDEX(#REF!,ROW()-1)),"")</f>
        <v>0</v>
      </c>
      <c r="I519">
        <f>IFERROR(_xlfn.SINGLE(INDEX(#REF!,ROW()-1)),"")</f>
        <v>0</v>
      </c>
      <c r="J519">
        <f>IFERROR(_xlfn.SINGLE(INDEX(#REF!,ROW()-1)),"")</f>
        <v>0</v>
      </c>
      <c r="K519">
        <f>IFERROR(_xlfn.SINGLE(INDEX(#REF!,ROW()-1)),"")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IFERROR(_xlfn.SINGLE(INDEX(#REF!,ROW()-1)),"")</f>
        <v>0</v>
      </c>
      <c r="C520">
        <f>IFERROR(_xlfn.SINGLE(INDEX(#REF!,ROW()-1)),"")</f>
        <v>0</v>
      </c>
      <c r="D520">
        <f>IFERROR(_xlfn.SINGLE(INDEX(#REF!,ROW()-1)),"")</f>
        <v>0</v>
      </c>
      <c r="E520">
        <f>IFERROR(_xlfn.SINGLE(INDEX(#REF!,ROW()-1)),"")</f>
        <v>0</v>
      </c>
      <c r="F520">
        <f>IFERROR(_xlfn.SINGLE(INDEX(#REF!,ROW()-1)),"")</f>
        <v>0</v>
      </c>
      <c r="G520">
        <f>IFERROR(_xlfn.SINGLE(INDEX(#REF!,ROW()-1)),"")</f>
        <v>0</v>
      </c>
      <c r="H520">
        <f>IFERROR(_xlfn.SINGLE(INDEX(#REF!,ROW()-1)),"")</f>
        <v>0</v>
      </c>
      <c r="I520">
        <f>IFERROR(_xlfn.SINGLE(INDEX(#REF!,ROW()-1)),"")</f>
        <v>0</v>
      </c>
      <c r="J520">
        <f>IFERROR(_xlfn.SINGLE(INDEX(#REF!,ROW()-1)),"")</f>
        <v>0</v>
      </c>
      <c r="K520">
        <f>IFERROR(_xlfn.SINGLE(INDEX(#REF!,ROW()-1)),"")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IFERROR(_xlfn.SINGLE(INDEX(#REF!,ROW()-1)),"")</f>
        <v>0</v>
      </c>
      <c r="C521">
        <f>IFERROR(_xlfn.SINGLE(INDEX(#REF!,ROW()-1)),"")</f>
        <v>0</v>
      </c>
      <c r="D521">
        <f>IFERROR(_xlfn.SINGLE(INDEX(#REF!,ROW()-1)),"")</f>
        <v>0</v>
      </c>
      <c r="E521">
        <f>IFERROR(_xlfn.SINGLE(INDEX(#REF!,ROW()-1)),"")</f>
        <v>0</v>
      </c>
      <c r="F521">
        <f>IFERROR(_xlfn.SINGLE(INDEX(#REF!,ROW()-1)),"")</f>
        <v>0</v>
      </c>
      <c r="G521">
        <f>IFERROR(_xlfn.SINGLE(INDEX(#REF!,ROW()-1)),"")</f>
        <v>0</v>
      </c>
      <c r="H521">
        <f>IFERROR(_xlfn.SINGLE(INDEX(#REF!,ROW()-1)),"")</f>
        <v>0</v>
      </c>
      <c r="I521">
        <f>IFERROR(_xlfn.SINGLE(INDEX(#REF!,ROW()-1)),"")</f>
        <v>0</v>
      </c>
      <c r="J521">
        <f>IFERROR(_xlfn.SINGLE(INDEX(#REF!,ROW()-1)),"")</f>
        <v>0</v>
      </c>
      <c r="K521">
        <f>IFERROR(_xlfn.SINGLE(INDEX(#REF!,ROW()-1)),"")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IFERROR(_xlfn.SINGLE(INDEX(#REF!,ROW()-1)),"")</f>
        <v>0</v>
      </c>
      <c r="C522">
        <f>IFERROR(_xlfn.SINGLE(INDEX(#REF!,ROW()-1)),"")</f>
        <v>0</v>
      </c>
      <c r="D522">
        <f>IFERROR(_xlfn.SINGLE(INDEX(#REF!,ROW()-1)),"")</f>
        <v>0</v>
      </c>
      <c r="E522">
        <f>IFERROR(_xlfn.SINGLE(INDEX(#REF!,ROW()-1)),"")</f>
        <v>0</v>
      </c>
      <c r="F522">
        <f>IFERROR(_xlfn.SINGLE(INDEX(#REF!,ROW()-1)),"")</f>
        <v>0</v>
      </c>
      <c r="G522">
        <f>IFERROR(_xlfn.SINGLE(INDEX(#REF!,ROW()-1)),"")</f>
        <v>0</v>
      </c>
      <c r="H522">
        <f>IFERROR(_xlfn.SINGLE(INDEX(#REF!,ROW()-1)),"")</f>
        <v>0</v>
      </c>
      <c r="I522">
        <f>IFERROR(_xlfn.SINGLE(INDEX(#REF!,ROW()-1)),"")</f>
        <v>0</v>
      </c>
      <c r="J522">
        <f>IFERROR(_xlfn.SINGLE(INDEX(#REF!,ROW()-1)),"")</f>
        <v>0</v>
      </c>
      <c r="K522">
        <f>IFERROR(_xlfn.SINGLE(INDEX(#REF!,ROW()-1)),"")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IFERROR(_xlfn.SINGLE(INDEX(#REF!,ROW()-1)),"")</f>
        <v>0</v>
      </c>
      <c r="C523">
        <f>IFERROR(_xlfn.SINGLE(INDEX(#REF!,ROW()-1)),"")</f>
        <v>0</v>
      </c>
      <c r="D523">
        <f>IFERROR(_xlfn.SINGLE(INDEX(#REF!,ROW()-1)),"")</f>
        <v>0</v>
      </c>
      <c r="E523">
        <f>IFERROR(_xlfn.SINGLE(INDEX(#REF!,ROW()-1)),"")</f>
        <v>0</v>
      </c>
      <c r="F523">
        <f>IFERROR(_xlfn.SINGLE(INDEX(#REF!,ROW()-1)),"")</f>
        <v>0</v>
      </c>
      <c r="G523">
        <f>IFERROR(_xlfn.SINGLE(INDEX(#REF!,ROW()-1)),"")</f>
        <v>0</v>
      </c>
      <c r="H523">
        <f>IFERROR(_xlfn.SINGLE(INDEX(#REF!,ROW()-1)),"")</f>
        <v>0</v>
      </c>
      <c r="I523">
        <f>IFERROR(_xlfn.SINGLE(INDEX(#REF!,ROW()-1)),"")</f>
        <v>0</v>
      </c>
      <c r="J523">
        <f>IFERROR(_xlfn.SINGLE(INDEX(#REF!,ROW()-1)),"")</f>
        <v>0</v>
      </c>
      <c r="K523">
        <f>IFERROR(_xlfn.SINGLE(INDEX(#REF!,ROW()-1)),"")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IFERROR(_xlfn.SINGLE(INDEX(#REF!,ROW()-1)),"")</f>
        <v>0</v>
      </c>
      <c r="C524">
        <f>IFERROR(_xlfn.SINGLE(INDEX(#REF!,ROW()-1)),"")</f>
        <v>0</v>
      </c>
      <c r="D524">
        <f>IFERROR(_xlfn.SINGLE(INDEX(#REF!,ROW()-1)),"")</f>
        <v>0</v>
      </c>
      <c r="E524">
        <f>IFERROR(_xlfn.SINGLE(INDEX(#REF!,ROW()-1)),"")</f>
        <v>0</v>
      </c>
      <c r="F524">
        <f>IFERROR(_xlfn.SINGLE(INDEX(#REF!,ROW()-1)),"")</f>
        <v>0</v>
      </c>
      <c r="G524">
        <f>IFERROR(_xlfn.SINGLE(INDEX(#REF!,ROW()-1)),"")</f>
        <v>0</v>
      </c>
      <c r="H524">
        <f>IFERROR(_xlfn.SINGLE(INDEX(#REF!,ROW()-1)),"")</f>
        <v>0</v>
      </c>
      <c r="I524">
        <f>IFERROR(_xlfn.SINGLE(INDEX(#REF!,ROW()-1)),"")</f>
        <v>0</v>
      </c>
      <c r="J524">
        <f>IFERROR(_xlfn.SINGLE(INDEX(#REF!,ROW()-1)),"")</f>
        <v>0</v>
      </c>
      <c r="K524">
        <f>IFERROR(_xlfn.SINGLE(INDEX(#REF!,ROW()-1)),"")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IFERROR(_xlfn.SINGLE(INDEX(#REF!,ROW()-1)),"")</f>
        <v>0</v>
      </c>
      <c r="C525">
        <f>IFERROR(_xlfn.SINGLE(INDEX(#REF!,ROW()-1)),"")</f>
        <v>0</v>
      </c>
      <c r="D525">
        <f>IFERROR(_xlfn.SINGLE(INDEX(#REF!,ROW()-1)),"")</f>
        <v>0</v>
      </c>
      <c r="E525">
        <f>IFERROR(_xlfn.SINGLE(INDEX(#REF!,ROW()-1)),"")</f>
        <v>0</v>
      </c>
      <c r="F525">
        <f>IFERROR(_xlfn.SINGLE(INDEX(#REF!,ROW()-1)),"")</f>
        <v>0</v>
      </c>
      <c r="G525">
        <f>IFERROR(_xlfn.SINGLE(INDEX(#REF!,ROW()-1)),"")</f>
        <v>0</v>
      </c>
      <c r="H525">
        <f>IFERROR(_xlfn.SINGLE(INDEX(#REF!,ROW()-1)),"")</f>
        <v>0</v>
      </c>
      <c r="I525">
        <f>IFERROR(_xlfn.SINGLE(INDEX(#REF!,ROW()-1)),"")</f>
        <v>0</v>
      </c>
      <c r="J525">
        <f>IFERROR(_xlfn.SINGLE(INDEX(#REF!,ROW()-1)),"")</f>
        <v>0</v>
      </c>
      <c r="K525">
        <f>IFERROR(_xlfn.SINGLE(INDEX(#REF!,ROW()-1)),"")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IFERROR(_xlfn.SINGLE(INDEX(#REF!,ROW()-1)),"")</f>
        <v>0</v>
      </c>
      <c r="C526">
        <f>IFERROR(_xlfn.SINGLE(INDEX(#REF!,ROW()-1)),"")</f>
        <v>0</v>
      </c>
      <c r="D526">
        <f>IFERROR(_xlfn.SINGLE(INDEX(#REF!,ROW()-1)),"")</f>
        <v>0</v>
      </c>
      <c r="E526">
        <f>IFERROR(_xlfn.SINGLE(INDEX(#REF!,ROW()-1)),"")</f>
        <v>0</v>
      </c>
      <c r="F526">
        <f>IFERROR(_xlfn.SINGLE(INDEX(#REF!,ROW()-1)),"")</f>
        <v>0</v>
      </c>
      <c r="G526">
        <f>IFERROR(_xlfn.SINGLE(INDEX(#REF!,ROW()-1)),"")</f>
        <v>0</v>
      </c>
      <c r="H526">
        <f>IFERROR(_xlfn.SINGLE(INDEX(#REF!,ROW()-1)),"")</f>
        <v>0</v>
      </c>
      <c r="I526">
        <f>IFERROR(_xlfn.SINGLE(INDEX(#REF!,ROW()-1)),"")</f>
        <v>0</v>
      </c>
      <c r="J526">
        <f>IFERROR(_xlfn.SINGLE(INDEX(#REF!,ROW()-1)),"")</f>
        <v>0</v>
      </c>
      <c r="K526">
        <f>IFERROR(_xlfn.SINGLE(INDEX(#REF!,ROW()-1)),"")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IFERROR(_xlfn.SINGLE(INDEX(#REF!,ROW()-1)),"")</f>
        <v>0</v>
      </c>
      <c r="C527">
        <f>IFERROR(_xlfn.SINGLE(INDEX(#REF!,ROW()-1)),"")</f>
        <v>0</v>
      </c>
      <c r="D527">
        <f>IFERROR(_xlfn.SINGLE(INDEX(#REF!,ROW()-1)),"")</f>
        <v>0</v>
      </c>
      <c r="E527">
        <f>IFERROR(_xlfn.SINGLE(INDEX(#REF!,ROW()-1)),"")</f>
        <v>0</v>
      </c>
      <c r="F527">
        <f>IFERROR(_xlfn.SINGLE(INDEX(#REF!,ROW()-1)),"")</f>
        <v>0</v>
      </c>
      <c r="G527">
        <f>IFERROR(_xlfn.SINGLE(INDEX(#REF!,ROW()-1)),"")</f>
        <v>0</v>
      </c>
      <c r="H527">
        <f>IFERROR(_xlfn.SINGLE(INDEX(#REF!,ROW()-1)),"")</f>
        <v>0</v>
      </c>
      <c r="I527">
        <f>IFERROR(_xlfn.SINGLE(INDEX(#REF!,ROW()-1)),"")</f>
        <v>0</v>
      </c>
      <c r="J527">
        <f>IFERROR(_xlfn.SINGLE(INDEX(#REF!,ROW()-1)),"")</f>
        <v>0</v>
      </c>
      <c r="K527">
        <f>IFERROR(_xlfn.SINGLE(INDEX(#REF!,ROW()-1)),"")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IFERROR(_xlfn.SINGLE(INDEX(#REF!,ROW()-1)),"")</f>
        <v>0</v>
      </c>
      <c r="C528">
        <f>IFERROR(_xlfn.SINGLE(INDEX(#REF!,ROW()-1)),"")</f>
        <v>0</v>
      </c>
      <c r="D528">
        <f>IFERROR(_xlfn.SINGLE(INDEX(#REF!,ROW()-1)),"")</f>
        <v>0</v>
      </c>
      <c r="E528">
        <f>IFERROR(_xlfn.SINGLE(INDEX(#REF!,ROW()-1)),"")</f>
        <v>0</v>
      </c>
      <c r="F528">
        <f>IFERROR(_xlfn.SINGLE(INDEX(#REF!,ROW()-1)),"")</f>
        <v>0</v>
      </c>
      <c r="G528">
        <f>IFERROR(_xlfn.SINGLE(INDEX(#REF!,ROW()-1)),"")</f>
        <v>0</v>
      </c>
      <c r="H528">
        <f>IFERROR(_xlfn.SINGLE(INDEX(#REF!,ROW()-1)),"")</f>
        <v>0</v>
      </c>
      <c r="I528">
        <f>IFERROR(_xlfn.SINGLE(INDEX(#REF!,ROW()-1)),"")</f>
        <v>0</v>
      </c>
      <c r="J528">
        <f>IFERROR(_xlfn.SINGLE(INDEX(#REF!,ROW()-1)),"")</f>
        <v>0</v>
      </c>
      <c r="K528">
        <f>IFERROR(_xlfn.SINGLE(INDEX(#REF!,ROW()-1)),"")</f>
        <v>0</v>
      </c>
      <c r="L528">
        <f t="shared" si="16"/>
        <v>0</v>
      </c>
      <c r="M528" t="str">
        <f t="shared" si="17"/>
        <v/>
      </c>
    </row>
    <row r="529" spans="1:13">
      <c r="A529">
        <f>ROW()</f>
        <v>529</v>
      </c>
      <c r="B529">
        <f>IFERROR(_xlfn.SINGLE(INDEX(#REF!,ROW()-1)),"")</f>
        <v>0</v>
      </c>
      <c r="C529">
        <f>IFERROR(_xlfn.SINGLE(INDEX(#REF!,ROW()-1)),"")</f>
        <v>0</v>
      </c>
      <c r="D529">
        <f>IFERROR(_xlfn.SINGLE(INDEX(#REF!,ROW()-1)),"")</f>
        <v>0</v>
      </c>
      <c r="E529">
        <f>IFERROR(_xlfn.SINGLE(INDEX(#REF!,ROW()-1)),"")</f>
        <v>0</v>
      </c>
      <c r="F529">
        <f>IFERROR(_xlfn.SINGLE(INDEX(#REF!,ROW()-1)),"")</f>
        <v>0</v>
      </c>
      <c r="G529">
        <f>IFERROR(_xlfn.SINGLE(INDEX(#REF!,ROW()-1)),"")</f>
        <v>0</v>
      </c>
      <c r="H529">
        <f>IFERROR(_xlfn.SINGLE(INDEX(#REF!,ROW()-1)),"")</f>
        <v>0</v>
      </c>
      <c r="I529">
        <f>IFERROR(_xlfn.SINGLE(INDEX(#REF!,ROW()-1)),"")</f>
        <v>0</v>
      </c>
      <c r="J529">
        <f>IFERROR(_xlfn.SINGLE(INDEX(#REF!,ROW()-1)),"")</f>
        <v>0</v>
      </c>
      <c r="K529">
        <f>IFERROR(_xlfn.SINGLE(INDEX(#REF!,ROW()-1)),"")</f>
        <v>0</v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  <v>0</v>
      </c>
      <c r="M529" t="str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  <v/>
      </c>
    </row>
    <row r="530" spans="1:13">
      <c r="A530">
        <f>ROW()</f>
        <v>530</v>
      </c>
      <c r="B530">
        <f>IFERROR(_xlfn.SINGLE(INDEX(#REF!,ROW()-1)),"")</f>
        <v>0</v>
      </c>
      <c r="C530">
        <f>IFERROR(_xlfn.SINGLE(INDEX(#REF!,ROW()-1)),"")</f>
        <v>0</v>
      </c>
      <c r="D530">
        <f>IFERROR(_xlfn.SINGLE(INDEX(#REF!,ROW()-1)),"")</f>
        <v>0</v>
      </c>
      <c r="E530">
        <f>IFERROR(_xlfn.SINGLE(INDEX(#REF!,ROW()-1)),"")</f>
        <v>0</v>
      </c>
      <c r="F530">
        <f>IFERROR(_xlfn.SINGLE(INDEX(#REF!,ROW()-1)),"")</f>
        <v>0</v>
      </c>
      <c r="G530">
        <f>IFERROR(_xlfn.SINGLE(INDEX(#REF!,ROW()-1)),"")</f>
        <v>0</v>
      </c>
      <c r="H530">
        <f>IFERROR(_xlfn.SINGLE(INDEX(#REF!,ROW()-1)),"")</f>
        <v>0</v>
      </c>
      <c r="I530">
        <f>IFERROR(_xlfn.SINGLE(INDEX(#REF!,ROW()-1)),"")</f>
        <v>0</v>
      </c>
      <c r="J530">
        <f>IFERROR(_xlfn.SINGLE(INDEX(#REF!,ROW()-1)),"")</f>
        <v>0</v>
      </c>
      <c r="K530">
        <f>IFERROR(_xlfn.SINGLE(INDEX(#REF!,ROW()-1)),"")</f>
        <v>0</v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  <v>0</v>
      </c>
      <c r="M530" t="str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  <v/>
      </c>
    </row>
    <row r="531" spans="1:13">
      <c r="A531">
        <f>ROW()</f>
        <v>531</v>
      </c>
      <c r="B531" t="str">
        <f>IFERROR(_xlfn.SINGLE(INDEX(#REF!,ROW()-1)),"")</f>
        <v>Neuron</v>
      </c>
      <c r="C531">
        <f>IFERROR(_xlfn.SINGLE(INDEX(#REF!,ROW()-1)),"")</f>
        <v>0</v>
      </c>
      <c r="D531">
        <f>IFERROR(_xlfn.SINGLE(INDEX(#REF!,ROW()-1)),"")</f>
        <v>0</v>
      </c>
      <c r="E531">
        <f>IFERROR(_xlfn.SINGLE(INDEX(#REF!,ROW()-1)),"")</f>
        <v>0</v>
      </c>
      <c r="F531" t="str">
        <f>IFERROR(_xlfn.SINGLE(INDEX(#REF!,ROW()-1)),"")</f>
        <v>LIJ-SDF-MACH-AC</v>
      </c>
      <c r="G531">
        <f>IFERROR(_xlfn.SINGLE(INDEX(#REF!,ROW()-1)),"")</f>
        <v>0</v>
      </c>
      <c r="H531">
        <f>IFERROR(_xlfn.SINGLE(INDEX(#REF!,ROW()-1)),"")</f>
        <v>0</v>
      </c>
      <c r="I531">
        <f>IFERROR(_xlfn.SINGLE(INDEX(#REF!,ROW()-1)),"")</f>
        <v>0</v>
      </c>
      <c r="J531">
        <f>IFERROR(_xlfn.SINGLE(INDEX(#REF!,ROW()-1)),"")</f>
        <v>0</v>
      </c>
      <c r="K531">
        <f>IFERROR(_xlfn.SINGLE(INDEX(#REF!,ROW()-1)),"")</f>
        <v>0</v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  <v>0</v>
      </c>
      <c r="M531" t="str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  <v/>
      </c>
    </row>
    <row r="532" spans="1:13">
      <c r="A532">
        <f>ROW()</f>
        <v>532</v>
      </c>
      <c r="B532" t="str">
        <f>IFERROR(_xlfn.SINGLE(INDEX(#REF!,ROW()-1)),"")</f>
        <v>Neuron</v>
      </c>
      <c r="C532">
        <f>IFERROR(_xlfn.SINGLE(INDEX(#REF!,ROW()-1)),"")</f>
        <v>0</v>
      </c>
      <c r="D532">
        <f>IFERROR(_xlfn.SINGLE(INDEX(#REF!,ROW()-1)),"")</f>
        <v>0</v>
      </c>
      <c r="E532">
        <f>IFERROR(_xlfn.SINGLE(INDEX(#REF!,ROW()-1)),"")</f>
        <v>0</v>
      </c>
      <c r="F532" t="str">
        <f>IFERROR(_xlfn.SINGLE(INDEX(#REF!,ROW()-1)),"")</f>
        <v>LIJ-SDF-MACH-AC</v>
      </c>
      <c r="G532">
        <f>IFERROR(_xlfn.SINGLE(INDEX(#REF!,ROW()-1)),"")</f>
        <v>0</v>
      </c>
      <c r="H532">
        <f>IFERROR(_xlfn.SINGLE(INDEX(#REF!,ROW()-1)),"")</f>
        <v>0</v>
      </c>
      <c r="I532">
        <f>IFERROR(_xlfn.SINGLE(INDEX(#REF!,ROW()-1)),"")</f>
        <v>0</v>
      </c>
      <c r="J532">
        <f>IFERROR(_xlfn.SINGLE(INDEX(#REF!,ROW()-1)),"")</f>
        <v>0</v>
      </c>
      <c r="K532">
        <f>IFERROR(_xlfn.SINGLE(INDEX(#REF!,ROW()-1)),"")</f>
        <v>0</v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  <v>0</v>
      </c>
      <c r="M532" t="str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  <v/>
      </c>
    </row>
  </sheetData>
  <conditionalFormatting sqref="L2:L528">
    <cfRule type="expression" dxfId="39" priority="2">
      <formula>$L2&gt;0</formula>
    </cfRule>
    <cfRule type="expression" dxfId="38" priority="3">
      <formula>$L2=0</formula>
    </cfRule>
  </conditionalFormatting>
  <conditionalFormatting sqref="M2:M528">
    <cfRule type="expression" dxfId="37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7" t="s">
        <v>13</v>
      </c>
      <c r="B1" s="62"/>
      <c r="C1" s="62"/>
      <c r="D1" s="62"/>
    </row>
    <row r="2" spans="1:4" ht="15" customHeight="1">
      <c r="A2" s="60" t="s">
        <v>14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15</v>
      </c>
      <c r="B4" s="43" t="s">
        <v>16</v>
      </c>
      <c r="C4" s="43" t="s">
        <v>17</v>
      </c>
      <c r="D4" s="43" t="s">
        <v>18</v>
      </c>
    </row>
    <row r="5" spans="1:4" ht="15" customHeight="1">
      <c r="A5" s="44" t="s">
        <v>19</v>
      </c>
      <c r="B5" s="44" t="s">
        <v>20</v>
      </c>
      <c r="C5" s="44" t="s">
        <v>21</v>
      </c>
      <c r="D5" s="44" t="s">
        <v>22</v>
      </c>
    </row>
    <row r="6" spans="1:4" ht="15" customHeight="1">
      <c r="A6" s="44" t="s">
        <v>23</v>
      </c>
      <c r="B6" s="44" t="s">
        <v>24</v>
      </c>
      <c r="C6" s="44" t="s">
        <v>25</v>
      </c>
      <c r="D6" s="44" t="s">
        <v>26</v>
      </c>
    </row>
    <row r="7" spans="1:4" ht="15" customHeight="1">
      <c r="A7" s="44" t="s">
        <v>27</v>
      </c>
      <c r="B7" s="44" t="s">
        <v>28</v>
      </c>
      <c r="C7" s="44" t="s">
        <v>29</v>
      </c>
      <c r="D7" s="44" t="s">
        <v>30</v>
      </c>
    </row>
    <row r="8" spans="1:4" ht="15" customHeight="1">
      <c r="A8" s="44" t="s">
        <v>31</v>
      </c>
      <c r="B8" s="44" t="s">
        <v>32</v>
      </c>
      <c r="C8" s="44" t="s">
        <v>33</v>
      </c>
      <c r="D8" s="44" t="s">
        <v>34</v>
      </c>
    </row>
    <row r="9" spans="1:4" ht="15" customHeight="1">
      <c r="A9" s="44" t="s">
        <v>35</v>
      </c>
      <c r="B9" s="44" t="s">
        <v>36</v>
      </c>
      <c r="C9" s="44" t="s">
        <v>37</v>
      </c>
      <c r="D9" s="44" t="s">
        <v>38</v>
      </c>
    </row>
    <row r="10" spans="1:4" ht="15" customHeight="1">
      <c r="A10" s="44" t="s">
        <v>39</v>
      </c>
      <c r="B10" s="44" t="s">
        <v>40</v>
      </c>
      <c r="C10" s="44" t="s">
        <v>41</v>
      </c>
      <c r="D10" s="44" t="s">
        <v>42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9" t="s">
        <v>43</v>
      </c>
      <c r="B13" s="62"/>
      <c r="C13" s="62"/>
      <c r="D13" s="62"/>
    </row>
    <row r="14" spans="1:4" ht="15" customHeight="1">
      <c r="A14" s="49" t="s">
        <v>44</v>
      </c>
      <c r="B14" s="58" t="s">
        <v>45</v>
      </c>
      <c r="C14" s="62"/>
      <c r="D14" s="62"/>
    </row>
    <row r="15" spans="1:4" ht="15" customHeight="1">
      <c r="A15" s="49" t="s">
        <v>46</v>
      </c>
      <c r="B15" s="58" t="s">
        <v>47</v>
      </c>
      <c r="C15" s="62"/>
      <c r="D15" s="62"/>
    </row>
    <row r="16" spans="1:4" ht="15" customHeight="1">
      <c r="A16" s="49" t="s">
        <v>48</v>
      </c>
      <c r="B16" s="58" t="s">
        <v>49</v>
      </c>
      <c r="C16" s="62"/>
      <c r="D16" s="62"/>
    </row>
    <row r="17" spans="1:4" ht="15" customHeight="1">
      <c r="A17" s="49" t="s">
        <v>50</v>
      </c>
      <c r="B17" s="58" t="s">
        <v>51</v>
      </c>
      <c r="C17" s="62"/>
      <c r="D17" s="62"/>
    </row>
    <row r="18" spans="1:4" ht="15" customHeight="1">
      <c r="A18" s="49" t="s">
        <v>52</v>
      </c>
      <c r="B18" s="58" t="s">
        <v>53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9" t="s">
        <v>54</v>
      </c>
      <c r="B20" s="62"/>
      <c r="C20" s="62"/>
      <c r="D20" s="62"/>
    </row>
    <row r="21" spans="1:4" ht="15" customHeight="1">
      <c r="A21" s="58" t="s">
        <v>55</v>
      </c>
      <c r="B21" s="62"/>
      <c r="C21" s="62"/>
      <c r="D21" s="62"/>
    </row>
    <row r="22" spans="1:4" ht="15" customHeight="1">
      <c r="A22" s="58" t="s">
        <v>56</v>
      </c>
      <c r="B22" s="62"/>
      <c r="C22" s="62"/>
      <c r="D22" s="62"/>
    </row>
    <row r="23" spans="1:4" ht="15" customHeight="1">
      <c r="A23" s="58" t="s">
        <v>57</v>
      </c>
      <c r="B23" s="62"/>
      <c r="C23" s="62"/>
      <c r="D23" s="62"/>
    </row>
    <row r="24" spans="1:4" ht="15" customHeight="1">
      <c r="A24" s="58" t="s">
        <v>58</v>
      </c>
      <c r="B24" s="62"/>
      <c r="C24" s="62"/>
      <c r="D24" s="62"/>
    </row>
    <row r="25" spans="1:4" ht="15" customHeight="1">
      <c r="A25" s="58" t="s">
        <v>59</v>
      </c>
      <c r="B25" s="62"/>
      <c r="C25" s="62"/>
      <c r="D25" s="62"/>
    </row>
    <row r="26" spans="1:4" ht="41.25" customHeight="1">
      <c r="A26" s="49" t="s">
        <v>60</v>
      </c>
      <c r="B26" s="49"/>
      <c r="C26" s="49"/>
      <c r="D26" s="49"/>
    </row>
    <row r="27" spans="1:4" ht="15.75" customHeight="1">
      <c r="A27" s="59" t="s">
        <v>61</v>
      </c>
      <c r="B27" s="62"/>
      <c r="C27" s="62"/>
      <c r="D27" s="62"/>
    </row>
    <row r="28" spans="1:4" ht="15" customHeight="1">
      <c r="A28" s="58"/>
      <c r="B28" s="62"/>
      <c r="C28" s="62"/>
      <c r="D28" s="62"/>
    </row>
    <row r="29" spans="1:4" ht="15" customHeight="1">
      <c r="A29" s="58" t="s">
        <v>62</v>
      </c>
      <c r="B29" s="62"/>
      <c r="C29" s="62"/>
      <c r="D29" s="62"/>
    </row>
    <row r="30" spans="1:4" ht="15" customHeight="1">
      <c r="A30" s="58" t="s">
        <v>63</v>
      </c>
      <c r="B30" s="62"/>
      <c r="C30" s="62"/>
      <c r="D30" s="62"/>
    </row>
    <row r="31" spans="1:4" ht="15" customHeight="1">
      <c r="A31" s="58" t="s">
        <v>64</v>
      </c>
      <c r="B31" s="62"/>
      <c r="C31" s="62"/>
      <c r="D31" s="62"/>
    </row>
    <row r="32" spans="1:4" ht="94.5" customHeight="1">
      <c r="A32" s="49" t="s">
        <v>65</v>
      </c>
      <c r="B32" s="49"/>
      <c r="C32" s="49"/>
      <c r="D32" s="49"/>
    </row>
    <row r="33" spans="1:4" ht="94.5" customHeight="1">
      <c r="A33" s="49" t="s">
        <v>66</v>
      </c>
      <c r="B33" s="49"/>
      <c r="C33" s="49"/>
      <c r="D33" s="49"/>
    </row>
    <row r="34" spans="1:4" ht="68.25" customHeight="1">
      <c r="A34" s="49" t="s">
        <v>67</v>
      </c>
      <c r="B34" s="49"/>
      <c r="C34" s="49"/>
      <c r="D34" s="49"/>
    </row>
    <row r="35" spans="1:4" ht="68.25" customHeight="1">
      <c r="A35" s="49" t="s">
        <v>68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69</v>
      </c>
      <c r="B37" s="49"/>
      <c r="C37" s="49"/>
      <c r="D37" s="49"/>
    </row>
    <row r="38" spans="1:4" ht="54.75" customHeight="1">
      <c r="A38" s="49" t="s">
        <v>70</v>
      </c>
      <c r="B38" s="49"/>
      <c r="C38" s="49"/>
      <c r="D38" s="49"/>
    </row>
    <row r="39" spans="1:4" ht="54.75" customHeight="1">
      <c r="A39" s="49" t="s">
        <v>71</v>
      </c>
      <c r="B39" s="49"/>
      <c r="C39" s="49"/>
      <c r="D39" s="49"/>
    </row>
    <row r="40" spans="1:4" ht="68.25" customHeight="1">
      <c r="A40" s="49" t="s">
        <v>72</v>
      </c>
      <c r="B40" s="49"/>
      <c r="C40" s="49"/>
      <c r="D40" s="49"/>
    </row>
    <row r="41" spans="1:4" ht="68.25" customHeight="1">
      <c r="A41" s="49" t="s">
        <v>73</v>
      </c>
      <c r="B41" s="49"/>
      <c r="C41" s="49"/>
      <c r="D41" s="49"/>
    </row>
    <row r="42" spans="1:4" ht="54.75" customHeight="1">
      <c r="A42" s="49" t="s">
        <v>74</v>
      </c>
      <c r="B42" s="49"/>
      <c r="C42" s="49"/>
      <c r="D42" s="49"/>
    </row>
    <row r="43" spans="1:4" ht="54.75" customHeight="1">
      <c r="A43" s="49" t="s">
        <v>75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60">
      <c r="A45" s="56" t="s">
        <v>76</v>
      </c>
      <c r="B45" s="49"/>
      <c r="C45" s="49"/>
      <c r="D45" s="49"/>
    </row>
    <row r="46" spans="1:4" ht="45">
      <c r="A46" s="49" t="s">
        <v>77</v>
      </c>
      <c r="B46" s="49"/>
      <c r="C46" s="49"/>
      <c r="D46" s="49"/>
    </row>
    <row r="47" spans="1:4" ht="60">
      <c r="A47" s="49" t="s">
        <v>78</v>
      </c>
      <c r="B47" s="49"/>
      <c r="C47" s="49"/>
      <c r="D47" s="49"/>
    </row>
    <row r="48" spans="1:4" ht="60">
      <c r="A48" s="49" t="s">
        <v>79</v>
      </c>
      <c r="B48" s="49"/>
      <c r="C48" s="49"/>
      <c r="D48" s="49"/>
    </row>
    <row r="49" spans="1:4" ht="75">
      <c r="A49" s="49" t="s">
        <v>80</v>
      </c>
      <c r="B49" s="49"/>
      <c r="C49" s="49"/>
      <c r="D49" s="49"/>
    </row>
    <row r="50" spans="1:4" ht="75">
      <c r="A50" s="49" t="s">
        <v>81</v>
      </c>
      <c r="B50" s="49"/>
      <c r="C50" s="49"/>
      <c r="D50" s="49"/>
    </row>
    <row r="51" spans="1:4">
      <c r="A51" s="49" t="s">
        <v>82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83</v>
      </c>
      <c r="B53" s="49"/>
      <c r="C53" s="49"/>
      <c r="D53" s="49"/>
    </row>
    <row r="54" spans="1:4" ht="60">
      <c r="A54" s="49" t="s">
        <v>84</v>
      </c>
      <c r="B54" s="49"/>
      <c r="C54" s="49"/>
      <c r="D54" s="49"/>
    </row>
    <row r="55" spans="1:4" ht="60">
      <c r="A55" s="49" t="s">
        <v>85</v>
      </c>
      <c r="B55" s="49"/>
      <c r="C55" s="49"/>
      <c r="D55" s="49"/>
    </row>
    <row r="56" spans="1:4">
      <c r="A56" s="49" t="s">
        <v>86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 spans="1:8">
      <c r="A82" t="s">
        <v>87</v>
      </c>
    </row>
    <row r="83" spans="1:8">
      <c r="A83" t="s">
        <v>88</v>
      </c>
    </row>
    <row r="84" spans="1:8">
      <c r="A84" t="s">
        <v>89</v>
      </c>
    </row>
    <row r="85" spans="1:8">
      <c r="A85" t="s">
        <v>90</v>
      </c>
    </row>
    <row r="86" spans="1:8">
      <c r="A86" t="s">
        <v>91</v>
      </c>
    </row>
    <row r="87" spans="1:8">
      <c r="A87" t="s">
        <v>92</v>
      </c>
    </row>
    <row r="88" spans="1:8">
      <c r="A88" t="s">
        <v>93</v>
      </c>
    </row>
    <row r="89" spans="1:8">
      <c r="A89" t="s">
        <v>94</v>
      </c>
    </row>
    <row r="92" spans="1:8">
      <c r="A92" t="s">
        <v>95</v>
      </c>
    </row>
    <row r="94" spans="1:8">
      <c r="A94" t="s">
        <v>96</v>
      </c>
      <c r="B94" t="s">
        <v>97</v>
      </c>
      <c r="C94" t="s">
        <v>98</v>
      </c>
      <c r="D94" t="s">
        <v>99</v>
      </c>
      <c r="E94" t="s">
        <v>100</v>
      </c>
      <c r="F94" t="s">
        <v>101</v>
      </c>
      <c r="G94" t="s">
        <v>102</v>
      </c>
      <c r="H94" t="s">
        <v>103</v>
      </c>
    </row>
    <row r="95" spans="1:8">
      <c r="A95" t="s">
        <v>104</v>
      </c>
      <c r="B95" t="s">
        <v>105</v>
      </c>
      <c r="C95" t="s">
        <v>106</v>
      </c>
      <c r="D95" t="s">
        <v>107</v>
      </c>
      <c r="E95" t="s">
        <v>108</v>
      </c>
      <c r="F95" t="s">
        <v>109</v>
      </c>
      <c r="G95" t="s">
        <v>110</v>
      </c>
      <c r="H95" t="s">
        <v>111</v>
      </c>
    </row>
    <row r="96" spans="1:8">
      <c r="A96" t="s">
        <v>112</v>
      </c>
      <c r="B96" t="s">
        <v>113</v>
      </c>
      <c r="C96" t="s">
        <v>114</v>
      </c>
      <c r="D96" t="s">
        <v>115</v>
      </c>
      <c r="E96" t="s">
        <v>116</v>
      </c>
      <c r="F96" t="s">
        <v>117</v>
      </c>
      <c r="G96" t="s">
        <v>118</v>
      </c>
      <c r="H96" t="s">
        <v>119</v>
      </c>
    </row>
    <row r="97" spans="1:8">
      <c r="A97" t="s">
        <v>120</v>
      </c>
      <c r="B97" t="s">
        <v>121</v>
      </c>
      <c r="C97" t="s">
        <v>122</v>
      </c>
      <c r="D97" t="s">
        <v>123</v>
      </c>
      <c r="E97" t="s">
        <v>124</v>
      </c>
      <c r="F97" t="s">
        <v>125</v>
      </c>
      <c r="G97" t="s">
        <v>126</v>
      </c>
      <c r="H97" t="s">
        <v>127</v>
      </c>
    </row>
  </sheetData>
  <mergeCells count="19"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  <mergeCell ref="A1:D1"/>
    <mergeCell ref="A25:D25"/>
    <mergeCell ref="B16:D16"/>
    <mergeCell ref="A27:D27"/>
    <mergeCell ref="A21:D21"/>
    <mergeCell ref="B18:D1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128</v>
      </c>
      <c r="B1" s="50" t="s">
        <v>129</v>
      </c>
      <c r="C1" s="50" t="s">
        <v>130</v>
      </c>
      <c r="D1" s="50" t="s">
        <v>131</v>
      </c>
      <c r="E1" s="50" t="s">
        <v>132</v>
      </c>
      <c r="F1" s="50" t="s">
        <v>133</v>
      </c>
      <c r="G1" s="50" t="s">
        <v>134</v>
      </c>
      <c r="H1" s="50" t="s">
        <v>135</v>
      </c>
      <c r="I1" s="50" t="s">
        <v>136</v>
      </c>
      <c r="J1" s="50" t="s">
        <v>137</v>
      </c>
      <c r="K1" s="50" t="s">
        <v>138</v>
      </c>
      <c r="L1" s="50" t="s">
        <v>139</v>
      </c>
      <c r="M1" s="50" t="s">
        <v>140</v>
      </c>
      <c r="N1" s="50" t="s">
        <v>141</v>
      </c>
      <c r="O1" s="50" t="s">
        <v>142</v>
      </c>
      <c r="P1" s="50" t="s">
        <v>143</v>
      </c>
      <c r="Q1" s="50" t="s">
        <v>144</v>
      </c>
      <c r="R1" s="50" t="s">
        <v>145</v>
      </c>
      <c r="S1" s="50" t="s">
        <v>146</v>
      </c>
      <c r="T1" s="50" t="s">
        <v>147</v>
      </c>
      <c r="U1" s="50" t="s">
        <v>148</v>
      </c>
      <c r="V1" s="50" t="s">
        <v>149</v>
      </c>
      <c r="W1" s="50" t="s">
        <v>150</v>
      </c>
      <c r="X1" s="50" t="s">
        <v>151</v>
      </c>
      <c r="Y1" s="50" t="s">
        <v>152</v>
      </c>
      <c r="Z1" s="50" t="s">
        <v>153</v>
      </c>
    </row>
    <row r="2" spans="1:26" ht="45.75" customHeight="1">
      <c r="A2" s="4" t="s">
        <v>154</v>
      </c>
      <c r="B2" s="24" t="s">
        <v>155</v>
      </c>
      <c r="C2" t="s">
        <v>156</v>
      </c>
      <c r="D2" t="str">
        <f>IF($C2="","",IFERROR(LOOKUP(2,1/('03_Warehouse_Movements'!$C$2:$C$500=$A2),'03_Warehouse_Movements'!$E$2:$E$500),$C2))</f>
        <v>ACTIVE</v>
      </c>
      <c r="E2" t="s">
        <v>157</v>
      </c>
      <c r="F2" t="s">
        <v>158</v>
      </c>
      <c r="G2" s="25">
        <v>7</v>
      </c>
      <c r="H2" s="3" t="str">
        <f t="shared" ref="H2:H65" si="0">IF(AND($F2="TEMP",$G2&gt;0,$M2&lt;&gt;""),$M2+$G2,"")</f>
        <v/>
      </c>
      <c r="I2" s="3" t="s">
        <v>159</v>
      </c>
      <c r="J2" s="4" t="s">
        <v>160</v>
      </c>
      <c r="K2" s="3">
        <v>46053</v>
      </c>
      <c r="L2" s="4" t="s">
        <v>161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162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163</v>
      </c>
      <c r="B3" s="24"/>
      <c r="C3" t="s">
        <v>164</v>
      </c>
      <c r="D3" t="str">
        <f>IF($C3="","",IFERROR(LOOKUP(2,1/('03_Warehouse_Movements'!$C$2:$C$500=$A3),'03_Warehouse_Movements'!$E$2:$E$500),$C3))</f>
        <v>STAGED</v>
      </c>
      <c r="E3" t="s">
        <v>165</v>
      </c>
      <c r="F3" t="s">
        <v>166</v>
      </c>
      <c r="G3" s="25"/>
      <c r="H3" s="3" t="str">
        <f t="shared" si="0"/>
        <v/>
      </c>
      <c r="I3" s="3" t="s">
        <v>167</v>
      </c>
      <c r="J3" s="4" t="s">
        <v>168</v>
      </c>
      <c r="K3" s="3">
        <v>46052</v>
      </c>
      <c r="L3" s="4" t="s">
        <v>169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170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171</v>
      </c>
      <c r="B4" s="4" t="s">
        <v>172</v>
      </c>
      <c r="C4" t="s">
        <v>173</v>
      </c>
      <c r="D4" t="str">
        <f>IF($C4="","",IFERROR(LOOKUP(2,1/('03_Warehouse_Movements'!$C$2:$C$500=$A4),'03_Warehouse_Movements'!$E$2:$E$500),$C4))</f>
        <v>UNSAFE</v>
      </c>
      <c r="E4" t="s">
        <v>157</v>
      </c>
      <c r="F4" t="s">
        <v>174</v>
      </c>
      <c r="G4" s="25"/>
      <c r="H4" s="3" t="str">
        <f t="shared" si="0"/>
        <v/>
      </c>
      <c r="I4" s="3" t="s">
        <v>175</v>
      </c>
      <c r="J4" s="4" t="s">
        <v>176</v>
      </c>
      <c r="K4" s="3">
        <v>46046</v>
      </c>
      <c r="L4" s="4" t="s">
        <v>161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177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178</v>
      </c>
      <c r="B5" s="4" t="s">
        <v>179</v>
      </c>
      <c r="C5" t="s">
        <v>179</v>
      </c>
      <c r="D5" t="str">
        <f>IF($C5="","",IFERROR(LOOKUP(2,1/('03_Warehouse_Movements'!$C$2:$C$500=$A5),'03_Warehouse_Movements'!$E$2:$E$500),$C5))</f>
        <v>48x T24i-30</v>
      </c>
      <c r="E5" t="s">
        <v>157</v>
      </c>
      <c r="F5" t="s">
        <v>166</v>
      </c>
      <c r="G5" s="25"/>
      <c r="H5" s="3" t="str">
        <f t="shared" si="0"/>
        <v/>
      </c>
      <c r="I5" s="3" t="s">
        <v>180</v>
      </c>
      <c r="J5" s="4" t="s">
        <v>168</v>
      </c>
      <c r="K5" s="3">
        <v>46051</v>
      </c>
      <c r="L5" s="4" t="s">
        <v>181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182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183</v>
      </c>
      <c r="B6" s="4" t="s">
        <v>184</v>
      </c>
      <c r="C6" t="s">
        <v>185</v>
      </c>
      <c r="D6" t="str">
        <f>IF($C6="","",IFERROR(LOOKUP(2,1/('03_Warehouse_Movements'!$C$2:$C$500=$A6),'03_Warehouse_Movements'!$E$2:$E$500),$C6))</f>
        <v>capsule &amp; GCX</v>
      </c>
      <c r="E6" t="s">
        <v>157</v>
      </c>
      <c r="F6" t="s">
        <v>166</v>
      </c>
      <c r="G6" s="25"/>
      <c r="H6" s="3" t="str">
        <f t="shared" si="0"/>
        <v/>
      </c>
      <c r="I6" s="3" t="s">
        <v>186</v>
      </c>
      <c r="J6" s="4" t="s">
        <v>187</v>
      </c>
      <c r="K6" s="3">
        <v>46059</v>
      </c>
      <c r="L6" s="4" t="s">
        <v>188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189</v>
      </c>
      <c r="B7" s="4"/>
      <c r="C7" t="s">
        <v>190</v>
      </c>
      <c r="D7" t="str">
        <f>IF($C7="","",IFERROR(LOOKUP(2,1/('03_Warehouse_Movements'!$C$2:$C$500=$A7),'03_Warehouse_Movements'!$E$2:$E$500),$C7))</f>
        <v>19x T24 Thinkvision Monitor 63CFMAR1US</v>
      </c>
      <c r="E7" t="s">
        <v>165</v>
      </c>
      <c r="F7" t="s">
        <v>166</v>
      </c>
      <c r="G7" s="25"/>
      <c r="H7" s="3" t="str">
        <f t="shared" si="0"/>
        <v/>
      </c>
      <c r="I7" s="4" t="s">
        <v>191</v>
      </c>
      <c r="K7" s="3">
        <v>46052</v>
      </c>
      <c r="L7" s="4" t="s">
        <v>181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192</v>
      </c>
      <c r="B8" s="4"/>
      <c r="C8" t="s">
        <v>193</v>
      </c>
      <c r="D8" t="str">
        <f>IF($C8="","",IFERROR(LOOKUP(2,1/('03_Warehouse_Movements'!$C$2:$C$500=$A8),'03_Warehouse_Movements'!$E$2:$E$500),$C8))</f>
        <v>TEMP</v>
      </c>
      <c r="E8" t="s">
        <v>165</v>
      </c>
      <c r="F8" t="s">
        <v>194</v>
      </c>
      <c r="G8" s="25">
        <v>14</v>
      </c>
      <c r="H8" s="3" t="str">
        <f t="shared" si="0"/>
        <v/>
      </c>
      <c r="I8" s="3" t="s">
        <v>180</v>
      </c>
      <c r="J8" s="4" t="s">
        <v>168</v>
      </c>
      <c r="K8" s="3">
        <v>46052</v>
      </c>
      <c r="L8" s="4" t="s">
        <v>181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195</v>
      </c>
      <c r="B9" s="4" t="s">
        <v>196</v>
      </c>
      <c r="C9" t="s">
        <v>197</v>
      </c>
      <c r="D9" t="str">
        <f>IF($C9="","",IFERROR(LOOKUP(2,1/('03_Warehouse_Movements'!$C$2:$C$500=$A9),'03_Warehouse_Movements'!$E$2:$E$500),$C9))</f>
        <v>SAMPLE: Power Supplies</v>
      </c>
      <c r="E9" t="s">
        <v>157</v>
      </c>
      <c r="F9" t="s">
        <v>166</v>
      </c>
      <c r="G9" s="25"/>
      <c r="H9" s="3" t="str">
        <f t="shared" si="0"/>
        <v/>
      </c>
      <c r="I9" s="3" t="s">
        <v>198</v>
      </c>
      <c r="J9" s="4" t="s">
        <v>168</v>
      </c>
      <c r="K9" s="3">
        <v>46052</v>
      </c>
      <c r="L9" s="4" t="s">
        <v>169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199</v>
      </c>
      <c r="B10" s="4"/>
      <c r="C10" t="s">
        <v>200</v>
      </c>
      <c r="D10" t="str">
        <f>IF($C10="","",IFERROR(LOOKUP(2,1/('03_Warehouse_Movements'!$C$2:$C$500=$A10),'03_Warehouse_Movements'!$E$2:$E$500),$C10))</f>
        <v>SAMPLE: Imaging Equipment</v>
      </c>
      <c r="E10" t="s">
        <v>157</v>
      </c>
      <c r="F10" t="s">
        <v>166</v>
      </c>
      <c r="G10" s="25"/>
      <c r="H10" s="3" t="str">
        <f t="shared" si="0"/>
        <v/>
      </c>
      <c r="I10" s="3" t="s">
        <v>201</v>
      </c>
      <c r="J10" s="4" t="s">
        <v>168</v>
      </c>
      <c r="K10" s="3">
        <v>46052</v>
      </c>
      <c r="L10" s="4" t="s">
        <v>169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202</v>
      </c>
      <c r="B11" s="4"/>
      <c r="C11" t="s">
        <v>203</v>
      </c>
      <c r="D11" t="str">
        <f>IF($C11="","",IFERROR(LOOKUP(2,1/('03_Warehouse_Movements'!$C$2:$C$500=$A11),'03_Warehouse_Movements'!$E$2:$E$500),$C11))</f>
        <v>SAMPLE: Misc Hardware</v>
      </c>
      <c r="E11" t="s">
        <v>157</v>
      </c>
      <c r="F11" t="s">
        <v>166</v>
      </c>
      <c r="G11" s="25"/>
      <c r="H11" s="3" t="str">
        <f t="shared" si="0"/>
        <v/>
      </c>
      <c r="I11" s="3" t="s">
        <v>204</v>
      </c>
      <c r="J11" s="4" t="s">
        <v>168</v>
      </c>
      <c r="K11" s="3">
        <v>46052</v>
      </c>
      <c r="L11" s="4" t="s">
        <v>169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205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206</v>
      </c>
      <c r="B12" s="4"/>
      <c r="C12" t="s">
        <v>207</v>
      </c>
      <c r="D12" t="str">
        <f>IF($C12="","",IFERROR(LOOKUP(2,1/('03_Warehouse_Movements'!$C$2:$C$500=$A12),'03_Warehouse_Movements'!$E$2:$E$500),$C12))</f>
        <v>SAMPLE: Dell Devices</v>
      </c>
      <c r="E12" t="s">
        <v>157</v>
      </c>
      <c r="F12" t="s">
        <v>166</v>
      </c>
      <c r="G12" s="25"/>
      <c r="H12" s="3" t="str">
        <f t="shared" si="0"/>
        <v/>
      </c>
      <c r="I12" s="3" t="s">
        <v>208</v>
      </c>
      <c r="J12" s="4" t="s">
        <v>168</v>
      </c>
      <c r="K12" s="3">
        <v>46052</v>
      </c>
      <c r="L12" s="4" t="s">
        <v>169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209</v>
      </c>
      <c r="B13" s="4"/>
      <c r="C13" t="s">
        <v>210</v>
      </c>
      <c r="D13" t="str">
        <f>IF($C13="","",IFERROR(LOOKUP(2,1/('03_Warehouse_Movements'!$C$2:$C$500=$A13),'03_Warehouse_Movements'!$E$2:$E$500),$C13))</f>
        <v>PAL-0000013</v>
      </c>
      <c r="E13" t="s">
        <v>157</v>
      </c>
      <c r="F13" t="s">
        <v>166</v>
      </c>
      <c r="G13" s="25"/>
      <c r="H13" s="3" t="str">
        <f t="shared" si="0"/>
        <v/>
      </c>
      <c r="I13" s="3" t="s">
        <v>167</v>
      </c>
      <c r="J13" s="4" t="s">
        <v>168</v>
      </c>
      <c r="K13" s="3">
        <v>46052</v>
      </c>
      <c r="L13" s="4" t="s">
        <v>169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211</v>
      </c>
      <c r="B14" s="4"/>
      <c r="C14" t="s">
        <v>212</v>
      </c>
      <c r="D14" t="str">
        <f>IF($C14="","",IFERROR(LOOKUP(2,1/('03_Warehouse_Movements'!$C$2:$C$500=$A14),'03_Warehouse_Movements'!$E$2:$E$500),$C14))</f>
        <v>SAMPLE: Cables &amp; Adapters</v>
      </c>
      <c r="E14" t="s">
        <v>157</v>
      </c>
      <c r="F14" t="s">
        <v>194</v>
      </c>
      <c r="G14" s="25">
        <v>14</v>
      </c>
      <c r="H14" s="3" t="str">
        <f t="shared" si="0"/>
        <v/>
      </c>
      <c r="I14" s="3" t="s">
        <v>213</v>
      </c>
      <c r="J14" s="4" t="s">
        <v>168</v>
      </c>
      <c r="K14" s="3">
        <v>46052</v>
      </c>
      <c r="L14" s="4" t="s">
        <v>169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214</v>
      </c>
      <c r="B15" s="4"/>
      <c r="C15" t="s">
        <v>215</v>
      </c>
      <c r="D15" t="str">
        <f>IF($C15="","",IFERROR(LOOKUP(2,1/('03_Warehouse_Movements'!$C$2:$C$500=$A15),'03_Warehouse_Movements'!$E$2:$E$500),$C15))</f>
        <v>SAMPLE: Racks &amp; Rails</v>
      </c>
      <c r="E15" t="s">
        <v>157</v>
      </c>
      <c r="F15" t="s">
        <v>166</v>
      </c>
      <c r="G15" s="25"/>
      <c r="H15" s="3" t="str">
        <f t="shared" si="0"/>
        <v/>
      </c>
      <c r="I15" s="3" t="s">
        <v>216</v>
      </c>
      <c r="J15" s="4" t="s">
        <v>168</v>
      </c>
      <c r="K15" s="3">
        <v>46052</v>
      </c>
      <c r="L15" s="4" t="s">
        <v>169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217</v>
      </c>
      <c r="B16" s="4" t="s">
        <v>218</v>
      </c>
      <c r="C16" t="s">
        <v>219</v>
      </c>
      <c r="D16" t="str">
        <f>IF($C16="","",IFERROR(LOOKUP(2,1/('03_Warehouse_Movements'!$C$2:$C$500=$A16),'03_Warehouse_Movements'!$E$2:$E$500),$C16))</f>
        <v>SAMPLE: Networking Gear</v>
      </c>
      <c r="E16" t="s">
        <v>157</v>
      </c>
      <c r="F16" t="s">
        <v>166</v>
      </c>
      <c r="G16" s="25"/>
      <c r="H16" s="3" t="str">
        <f t="shared" si="0"/>
        <v/>
      </c>
      <c r="I16" s="3" t="s">
        <v>220</v>
      </c>
      <c r="J16" s="4" t="s">
        <v>168</v>
      </c>
      <c r="K16" s="3">
        <v>46052</v>
      </c>
      <c r="L16" s="4" t="s">
        <v>169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221</v>
      </c>
      <c r="B17" s="4"/>
      <c r="C17" t="s">
        <v>222</v>
      </c>
      <c r="D17" t="str">
        <f>IF($C17="","",IFERROR(LOOKUP(2,1/('03_Warehouse_Movements'!$C$2:$C$500=$A17),'03_Warehouse_Movements'!$E$2:$E$500),$C17))</f>
        <v>SAMPLE: Keyboards &amp; Mice</v>
      </c>
      <c r="E17" t="s">
        <v>157</v>
      </c>
      <c r="F17" t="s">
        <v>166</v>
      </c>
      <c r="G17" s="25"/>
      <c r="H17" s="3" t="str">
        <f t="shared" si="0"/>
        <v/>
      </c>
      <c r="I17" s="3" t="s">
        <v>223</v>
      </c>
      <c r="J17" s="4" t="s">
        <v>168</v>
      </c>
      <c r="K17" s="3">
        <v>46052</v>
      </c>
      <c r="L17" s="4" t="s">
        <v>169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224</v>
      </c>
      <c r="B18" s="4"/>
      <c r="C18" t="s">
        <v>225</v>
      </c>
      <c r="D18" t="str">
        <f>IF($C18="","",IFERROR(LOOKUP(2,1/('03_Warehouse_Movements'!$C$2:$C$500=$A18),'03_Warehouse_Movements'!$E$2:$E$500),$C18))</f>
        <v>SAMPLE: Spare Parts</v>
      </c>
      <c r="E18" t="s">
        <v>157</v>
      </c>
      <c r="F18" t="s">
        <v>166</v>
      </c>
      <c r="G18" s="25"/>
      <c r="H18" s="3" t="str">
        <f t="shared" si="0"/>
        <v/>
      </c>
      <c r="I18" s="3" t="s">
        <v>226</v>
      </c>
      <c r="J18" s="4" t="s">
        <v>168</v>
      </c>
      <c r="K18" s="3">
        <v>46052</v>
      </c>
      <c r="L18" s="4" t="s">
        <v>169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227</v>
      </c>
      <c r="B19" s="4"/>
      <c r="C19" t="s">
        <v>228</v>
      </c>
      <c r="D19" t="str">
        <f>IF($C19="","",IFERROR(LOOKUP(2,1/('03_Warehouse_Movements'!$C$2:$C$500=$A19),'03_Warehouse_Movements'!$E$2:$E$500),$C19))</f>
        <v>PAL-0000019</v>
      </c>
      <c r="E19" t="s">
        <v>157</v>
      </c>
      <c r="F19" t="s">
        <v>166</v>
      </c>
      <c r="G19" s="25"/>
      <c r="H19" s="3" t="str">
        <f t="shared" si="0"/>
        <v/>
      </c>
      <c r="I19" s="3" t="s">
        <v>198</v>
      </c>
      <c r="J19" s="4" t="s">
        <v>168</v>
      </c>
      <c r="K19" s="3">
        <v>46052</v>
      </c>
      <c r="L19" s="4" t="s">
        <v>169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229</v>
      </c>
      <c r="B20" s="4"/>
      <c r="C20" t="s">
        <v>230</v>
      </c>
      <c r="D20" t="str">
        <f>IF($C20="","",IFERROR(LOOKUP(2,1/('03_Warehouse_Movements'!$C$2:$C$500=$A20),'03_Warehouse_Movements'!$E$2:$E$500),$C20))</f>
        <v>PAL-0000020</v>
      </c>
      <c r="E20" t="s">
        <v>157</v>
      </c>
      <c r="F20" t="s">
        <v>194</v>
      </c>
      <c r="G20" s="25">
        <v>14</v>
      </c>
      <c r="H20" s="3" t="str">
        <f t="shared" si="0"/>
        <v/>
      </c>
      <c r="I20" s="3" t="s">
        <v>201</v>
      </c>
      <c r="J20" s="4" t="s">
        <v>168</v>
      </c>
      <c r="K20" s="3">
        <v>46052</v>
      </c>
      <c r="L20" s="4" t="s">
        <v>169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231</v>
      </c>
      <c r="B21" s="4"/>
      <c r="C21" t="s">
        <v>232</v>
      </c>
      <c r="D21" t="str">
        <f>IF($C21="","",IFERROR(LOOKUP(2,1/('03_Warehouse_Movements'!$C$2:$C$500=$A21),'03_Warehouse_Movements'!$E$2:$E$500),$C21))</f>
        <v>PAL-0000021</v>
      </c>
      <c r="E21" t="s">
        <v>157</v>
      </c>
      <c r="F21" t="s">
        <v>166</v>
      </c>
      <c r="G21" s="25"/>
      <c r="H21" s="3" t="str">
        <f t="shared" si="0"/>
        <v/>
      </c>
      <c r="I21" s="3" t="s">
        <v>204</v>
      </c>
      <c r="J21" s="4" t="s">
        <v>168</v>
      </c>
      <c r="K21" s="3">
        <v>46052</v>
      </c>
      <c r="L21" s="4" t="s">
        <v>169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233</v>
      </c>
      <c r="B22" s="4"/>
      <c r="C22" t="s">
        <v>234</v>
      </c>
      <c r="D22" t="str">
        <f>IF($C22="","",IFERROR(LOOKUP(2,1/('03_Warehouse_Movements'!$C$2:$C$500=$A22),'03_Warehouse_Movements'!$E$2:$E$500),$C22))</f>
        <v>PAL-0000022</v>
      </c>
      <c r="E22" t="s">
        <v>157</v>
      </c>
      <c r="F22" t="s">
        <v>166</v>
      </c>
      <c r="G22" s="25"/>
      <c r="H22" s="3" t="str">
        <f t="shared" si="0"/>
        <v/>
      </c>
      <c r="I22" s="3" t="s">
        <v>208</v>
      </c>
      <c r="J22" s="4" t="s">
        <v>168</v>
      </c>
      <c r="K22" s="3">
        <v>46052</v>
      </c>
      <c r="L22" s="4" t="s">
        <v>169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235</v>
      </c>
      <c r="B23" s="4" t="s">
        <v>236</v>
      </c>
      <c r="C23" t="s">
        <v>237</v>
      </c>
      <c r="D23" t="str">
        <f>IF($C23="","",IFERROR(LOOKUP(2,1/('03_Warehouse_Movements'!$C$2:$C$500=$A23),'03_Warehouse_Movements'!$E$2:$E$500),$C23))</f>
        <v>PAL-0000023</v>
      </c>
      <c r="E23" t="s">
        <v>157</v>
      </c>
      <c r="F23" t="s">
        <v>166</v>
      </c>
      <c r="G23" s="25"/>
      <c r="H23" s="3" t="str">
        <f t="shared" si="0"/>
        <v/>
      </c>
      <c r="I23" s="3" t="s">
        <v>167</v>
      </c>
      <c r="J23" s="4" t="s">
        <v>168</v>
      </c>
      <c r="K23" s="3">
        <v>46052</v>
      </c>
      <c r="L23" s="4" t="s">
        <v>169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238</v>
      </c>
      <c r="B24" s="4"/>
      <c r="C24" t="s">
        <v>239</v>
      </c>
      <c r="D24" t="str">
        <f>IF($C24="","",IFERROR(LOOKUP(2,1/('03_Warehouse_Movements'!$C$2:$C$500=$A24),'03_Warehouse_Movements'!$E$2:$E$500),$C24))</f>
        <v>PAL-0000024</v>
      </c>
      <c r="E24" t="s">
        <v>157</v>
      </c>
      <c r="F24" t="s">
        <v>166</v>
      </c>
      <c r="G24" s="25"/>
      <c r="H24" s="3" t="str">
        <f t="shared" si="0"/>
        <v/>
      </c>
      <c r="I24" s="3" t="s">
        <v>213</v>
      </c>
      <c r="J24" s="4" t="s">
        <v>168</v>
      </c>
      <c r="K24" s="3">
        <v>46052</v>
      </c>
      <c r="L24" s="4" t="s">
        <v>169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240</v>
      </c>
      <c r="B25" s="4"/>
      <c r="C25" t="s">
        <v>241</v>
      </c>
      <c r="D25" t="str">
        <f>IF($C25="","",IFERROR(LOOKUP(2,1/('03_Warehouse_Movements'!$C$2:$C$500=$A25),'03_Warehouse_Movements'!$E$2:$E$500),$C25))</f>
        <v>PAL-0000025</v>
      </c>
      <c r="E25" t="s">
        <v>157</v>
      </c>
      <c r="F25" t="s">
        <v>166</v>
      </c>
      <c r="G25" s="25"/>
      <c r="H25" s="3" t="str">
        <f t="shared" si="0"/>
        <v/>
      </c>
      <c r="I25" s="3" t="s">
        <v>216</v>
      </c>
      <c r="J25" s="4" t="s">
        <v>168</v>
      </c>
      <c r="K25" s="3">
        <v>46052</v>
      </c>
      <c r="L25" s="4" t="s">
        <v>169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242</v>
      </c>
      <c r="B26" s="4"/>
      <c r="C26" t="s">
        <v>243</v>
      </c>
      <c r="D26" t="str">
        <f>IF($C26="","",IFERROR(LOOKUP(2,1/('03_Warehouse_Movements'!$C$2:$C$500=$A26),'03_Warehouse_Movements'!$E$2:$E$500),$C26))</f>
        <v>PAL-0000026</v>
      </c>
      <c r="E26" t="s">
        <v>157</v>
      </c>
      <c r="F26" t="s">
        <v>194</v>
      </c>
      <c r="G26" s="25">
        <v>14</v>
      </c>
      <c r="H26" s="3" t="str">
        <f t="shared" si="0"/>
        <v/>
      </c>
      <c r="I26" s="3" t="s">
        <v>220</v>
      </c>
      <c r="J26" s="4" t="s">
        <v>168</v>
      </c>
      <c r="K26" s="3">
        <v>46052</v>
      </c>
      <c r="L26" s="4" t="s">
        <v>169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244</v>
      </c>
      <c r="B27" s="4"/>
      <c r="C27" t="s">
        <v>245</v>
      </c>
      <c r="D27" t="str">
        <f>IF($C27="","",IFERROR(LOOKUP(2,1/('03_Warehouse_Movements'!$C$2:$C$500=$A27),'03_Warehouse_Movements'!$E$2:$E$500),$C27))</f>
        <v>PAL-0000027</v>
      </c>
      <c r="E27" t="s">
        <v>157</v>
      </c>
      <c r="F27" t="s">
        <v>166</v>
      </c>
      <c r="G27" s="25"/>
      <c r="H27" s="3" t="str">
        <f t="shared" si="0"/>
        <v/>
      </c>
      <c r="I27" s="3" t="s">
        <v>223</v>
      </c>
      <c r="J27" s="4" t="s">
        <v>168</v>
      </c>
      <c r="K27" s="3">
        <v>46052</v>
      </c>
      <c r="L27" s="4" t="s">
        <v>169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246</v>
      </c>
      <c r="B28" s="4"/>
      <c r="C28" t="s">
        <v>247</v>
      </c>
      <c r="D28" t="str">
        <f>IF($C28="","",IFERROR(LOOKUP(2,1/('03_Warehouse_Movements'!$C$2:$C$500=$A28),'03_Warehouse_Movements'!$E$2:$E$500),$C28))</f>
        <v>PAL-0000028</v>
      </c>
      <c r="E28" t="s">
        <v>157</v>
      </c>
      <c r="F28" t="s">
        <v>166</v>
      </c>
      <c r="G28" s="25"/>
      <c r="H28" s="3" t="str">
        <f t="shared" si="0"/>
        <v/>
      </c>
      <c r="I28" s="3" t="s">
        <v>226</v>
      </c>
      <c r="J28" s="4" t="s">
        <v>168</v>
      </c>
      <c r="K28" s="3">
        <v>46052</v>
      </c>
      <c r="L28" s="4" t="s">
        <v>169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248</v>
      </c>
      <c r="B29" s="4"/>
      <c r="C29" t="s">
        <v>249</v>
      </c>
      <c r="D29" t="str">
        <f>IF($C29="","",IFERROR(LOOKUP(2,1/('03_Warehouse_Movements'!$C$2:$C$500=$A29),'03_Warehouse_Movements'!$E$2:$E$500),$C29))</f>
        <v>PAL-0000029</v>
      </c>
      <c r="E29" t="s">
        <v>157</v>
      </c>
      <c r="F29" t="s">
        <v>166</v>
      </c>
      <c r="G29" s="25"/>
      <c r="H29" s="3" t="str">
        <f t="shared" si="0"/>
        <v/>
      </c>
      <c r="I29" s="3" t="s">
        <v>198</v>
      </c>
      <c r="J29" s="4" t="s">
        <v>168</v>
      </c>
      <c r="K29" s="3">
        <v>46052</v>
      </c>
      <c r="L29" s="4" t="s">
        <v>169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250</v>
      </c>
      <c r="B30" s="4" t="s">
        <v>251</v>
      </c>
      <c r="C30" t="s">
        <v>252</v>
      </c>
      <c r="D30" t="str">
        <f>IF($C30="","",IFERROR(LOOKUP(2,1/('03_Warehouse_Movements'!$C$2:$C$500=$A30),'03_Warehouse_Movements'!$E$2:$E$500),$C30))</f>
        <v>PAL-0000030</v>
      </c>
      <c r="E30" t="s">
        <v>157</v>
      </c>
      <c r="F30" t="s">
        <v>166</v>
      </c>
      <c r="G30" s="25"/>
      <c r="H30" s="3" t="str">
        <f t="shared" si="0"/>
        <v/>
      </c>
      <c r="I30" s="3" t="s">
        <v>201</v>
      </c>
      <c r="J30" s="4" t="s">
        <v>168</v>
      </c>
      <c r="K30" s="3">
        <v>46052</v>
      </c>
      <c r="L30" s="4" t="s">
        <v>169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253</v>
      </c>
      <c r="B31" s="4"/>
      <c r="C31" t="s">
        <v>254</v>
      </c>
      <c r="D31" t="str">
        <f>IF($C31="","",IFERROR(LOOKUP(2,1/('03_Warehouse_Movements'!$C$2:$C$500=$A31),'03_Warehouse_Movements'!$E$2:$E$500),$C31))</f>
        <v>PAL-0000031</v>
      </c>
      <c r="E31" t="s">
        <v>157</v>
      </c>
      <c r="F31" t="s">
        <v>166</v>
      </c>
      <c r="G31" s="25"/>
      <c r="H31" s="3" t="str">
        <f t="shared" si="0"/>
        <v/>
      </c>
      <c r="I31" s="3" t="s">
        <v>204</v>
      </c>
      <c r="J31" s="4" t="s">
        <v>168</v>
      </c>
      <c r="K31" s="3">
        <v>46052</v>
      </c>
      <c r="L31" s="4" t="s">
        <v>169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255</v>
      </c>
      <c r="B32" s="4"/>
      <c r="C32" t="s">
        <v>256</v>
      </c>
      <c r="D32" t="str">
        <f>IF($C32="","",IFERROR(LOOKUP(2,1/('03_Warehouse_Movements'!$C$2:$C$500=$A32),'03_Warehouse_Movements'!$E$2:$E$500),$C32))</f>
        <v>PAL-0000032</v>
      </c>
      <c r="E32" t="s">
        <v>157</v>
      </c>
      <c r="F32" t="s">
        <v>194</v>
      </c>
      <c r="G32" s="25">
        <v>14</v>
      </c>
      <c r="H32" s="3" t="str">
        <f t="shared" si="0"/>
        <v/>
      </c>
      <c r="I32" s="3" t="s">
        <v>208</v>
      </c>
      <c r="J32" s="4" t="s">
        <v>168</v>
      </c>
      <c r="K32" s="3">
        <v>46052</v>
      </c>
      <c r="L32" s="4" t="s">
        <v>169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257</v>
      </c>
      <c r="B33" s="4"/>
      <c r="C33" t="s">
        <v>258</v>
      </c>
      <c r="D33" t="str">
        <f>IF($C33="","",IFERROR(LOOKUP(2,1/('03_Warehouse_Movements'!$C$2:$C$500=$A33),'03_Warehouse_Movements'!$E$2:$E$500),$C33))</f>
        <v>PAL-0000033</v>
      </c>
      <c r="E33" t="s">
        <v>157</v>
      </c>
      <c r="F33" t="s">
        <v>166</v>
      </c>
      <c r="G33" s="25"/>
      <c r="H33" s="3" t="str">
        <f t="shared" si="0"/>
        <v/>
      </c>
      <c r="I33" s="3" t="s">
        <v>167</v>
      </c>
      <c r="J33" s="4" t="s">
        <v>168</v>
      </c>
      <c r="K33" s="3">
        <v>46052</v>
      </c>
      <c r="L33" s="4" t="s">
        <v>169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259</v>
      </c>
      <c r="B34" s="4"/>
      <c r="C34" t="s">
        <v>260</v>
      </c>
      <c r="D34" t="str">
        <f>IF($C34="","",IFERROR(LOOKUP(2,1/('03_Warehouse_Movements'!$C$2:$C$500=$A34),'03_Warehouse_Movements'!$E$2:$E$500),$C34))</f>
        <v>PAL-0000034</v>
      </c>
      <c r="E34" t="s">
        <v>157</v>
      </c>
      <c r="F34" t="s">
        <v>166</v>
      </c>
      <c r="G34" s="25"/>
      <c r="H34" s="3" t="str">
        <f t="shared" si="0"/>
        <v/>
      </c>
      <c r="I34" s="3" t="s">
        <v>213</v>
      </c>
      <c r="J34" s="4" t="s">
        <v>168</v>
      </c>
      <c r="K34" s="3">
        <v>46052</v>
      </c>
      <c r="L34" s="4" t="s">
        <v>169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261</v>
      </c>
      <c r="B35" s="4"/>
      <c r="C35" t="s">
        <v>262</v>
      </c>
      <c r="D35" t="str">
        <f>IF($C35="","",IFERROR(LOOKUP(2,1/('03_Warehouse_Movements'!$C$2:$C$500=$A35),'03_Warehouse_Movements'!$E$2:$E$500),$C35))</f>
        <v>PAL-0000035</v>
      </c>
      <c r="E35" t="s">
        <v>157</v>
      </c>
      <c r="F35" t="s">
        <v>166</v>
      </c>
      <c r="G35" s="25"/>
      <c r="H35" s="3" t="str">
        <f t="shared" si="0"/>
        <v/>
      </c>
      <c r="I35" s="3" t="s">
        <v>216</v>
      </c>
      <c r="J35" s="4" t="s">
        <v>168</v>
      </c>
      <c r="K35" s="3">
        <v>46052</v>
      </c>
      <c r="L35" s="4" t="s">
        <v>169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263</v>
      </c>
      <c r="B36" s="4"/>
      <c r="C36" t="s">
        <v>264</v>
      </c>
      <c r="D36" t="str">
        <f>IF($C36="","",IFERROR(LOOKUP(2,1/('03_Warehouse_Movements'!$C$2:$C$500=$A36),'03_Warehouse_Movements'!$E$2:$E$500),$C36))</f>
        <v>PAL-0000036</v>
      </c>
      <c r="E36" t="s">
        <v>157</v>
      </c>
      <c r="F36" t="s">
        <v>166</v>
      </c>
      <c r="G36" s="25"/>
      <c r="H36" s="3" t="str">
        <f t="shared" si="0"/>
        <v/>
      </c>
      <c r="I36" s="3" t="s">
        <v>220</v>
      </c>
      <c r="J36" s="4" t="s">
        <v>168</v>
      </c>
      <c r="K36" s="3">
        <v>46052</v>
      </c>
      <c r="L36" s="4" t="s">
        <v>169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265</v>
      </c>
      <c r="B37" s="4" t="s">
        <v>266</v>
      </c>
      <c r="C37" t="s">
        <v>267</v>
      </c>
      <c r="D37" t="str">
        <f>IF($C37="","",IFERROR(LOOKUP(2,1/('03_Warehouse_Movements'!$C$2:$C$500=$A37),'03_Warehouse_Movements'!$E$2:$E$500),$C37))</f>
        <v>PAL-0000037</v>
      </c>
      <c r="E37" t="s">
        <v>157</v>
      </c>
      <c r="F37" t="s">
        <v>166</v>
      </c>
      <c r="G37" s="25"/>
      <c r="H37" s="3" t="str">
        <f t="shared" si="0"/>
        <v/>
      </c>
      <c r="I37" s="3" t="s">
        <v>223</v>
      </c>
      <c r="J37" s="4" t="s">
        <v>168</v>
      </c>
      <c r="K37" s="3">
        <v>46052</v>
      </c>
      <c r="L37" s="4" t="s">
        <v>169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268</v>
      </c>
      <c r="B38" s="4"/>
      <c r="C38" t="s">
        <v>269</v>
      </c>
      <c r="D38" t="str">
        <f>IF($C38="","",IFERROR(LOOKUP(2,1/('03_Warehouse_Movements'!$C$2:$C$500=$A38),'03_Warehouse_Movements'!$E$2:$E$500),$C38))</f>
        <v>PAL-0000038</v>
      </c>
      <c r="E38" t="s">
        <v>157</v>
      </c>
      <c r="F38" t="s">
        <v>194</v>
      </c>
      <c r="G38" s="25">
        <v>14</v>
      </c>
      <c r="H38" s="3" t="str">
        <f t="shared" si="0"/>
        <v/>
      </c>
      <c r="I38" s="3" t="s">
        <v>226</v>
      </c>
      <c r="J38" s="4" t="s">
        <v>168</v>
      </c>
      <c r="K38" s="3">
        <v>46052</v>
      </c>
      <c r="L38" s="4" t="s">
        <v>169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270</v>
      </c>
      <c r="B39" s="4"/>
      <c r="C39" t="s">
        <v>271</v>
      </c>
      <c r="D39" t="str">
        <f>IF($C39="","",IFERROR(LOOKUP(2,1/('03_Warehouse_Movements'!$C$2:$C$500=$A39),'03_Warehouse_Movements'!$E$2:$E$500),$C39))</f>
        <v>PAL-0000039</v>
      </c>
      <c r="E39" t="s">
        <v>157</v>
      </c>
      <c r="F39" t="s">
        <v>166</v>
      </c>
      <c r="G39" s="25"/>
      <c r="H39" s="3" t="str">
        <f t="shared" si="0"/>
        <v/>
      </c>
      <c r="I39" s="3" t="s">
        <v>198</v>
      </c>
      <c r="J39" s="4" t="s">
        <v>168</v>
      </c>
      <c r="K39" s="3">
        <v>46052</v>
      </c>
      <c r="L39" s="4" t="s">
        <v>169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272</v>
      </c>
      <c r="B40" s="4"/>
      <c r="C40" t="s">
        <v>273</v>
      </c>
      <c r="D40" t="str">
        <f>IF($C40="","",IFERROR(LOOKUP(2,1/('03_Warehouse_Movements'!$C$2:$C$500=$A40),'03_Warehouse_Movements'!$E$2:$E$500),$C40))</f>
        <v>PAL-0000040</v>
      </c>
      <c r="E40" t="s">
        <v>157</v>
      </c>
      <c r="F40" t="s">
        <v>166</v>
      </c>
      <c r="G40" s="25"/>
      <c r="H40" s="3" t="str">
        <f t="shared" si="0"/>
        <v/>
      </c>
      <c r="I40" s="3" t="s">
        <v>201</v>
      </c>
      <c r="J40" s="4" t="s">
        <v>168</v>
      </c>
      <c r="K40" s="3">
        <v>46052</v>
      </c>
      <c r="L40" s="4" t="s">
        <v>169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274</v>
      </c>
      <c r="B41" s="4"/>
      <c r="C41" t="s">
        <v>275</v>
      </c>
      <c r="D41" t="str">
        <f>IF($C41="","",IFERROR(LOOKUP(2,1/('03_Warehouse_Movements'!$C$2:$C$500=$A41),'03_Warehouse_Movements'!$E$2:$E$500),$C41))</f>
        <v>PAL-0000041</v>
      </c>
      <c r="E41" t="s">
        <v>157</v>
      </c>
      <c r="F41" t="s">
        <v>166</v>
      </c>
      <c r="G41" s="25"/>
      <c r="H41" s="3" t="str">
        <f t="shared" si="0"/>
        <v/>
      </c>
      <c r="I41" s="3" t="s">
        <v>204</v>
      </c>
      <c r="J41" s="4" t="s">
        <v>168</v>
      </c>
      <c r="K41" s="3">
        <v>46052</v>
      </c>
      <c r="L41" s="4" t="s">
        <v>169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276</v>
      </c>
      <c r="B42" s="4"/>
      <c r="C42" t="s">
        <v>277</v>
      </c>
      <c r="D42" t="str">
        <f>IF($C42="","",IFERROR(LOOKUP(2,1/('03_Warehouse_Movements'!$C$2:$C$500=$A42),'03_Warehouse_Movements'!$E$2:$E$500),$C42))</f>
        <v>PAL-0000042</v>
      </c>
      <c r="E42" t="s">
        <v>157</v>
      </c>
      <c r="F42" t="s">
        <v>166</v>
      </c>
      <c r="G42" s="25"/>
      <c r="H42" s="3" t="str">
        <f t="shared" si="0"/>
        <v/>
      </c>
      <c r="I42" s="3" t="s">
        <v>208</v>
      </c>
      <c r="J42" s="4" t="s">
        <v>168</v>
      </c>
      <c r="K42" s="3">
        <v>46052</v>
      </c>
      <c r="L42" s="4" t="s">
        <v>169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278</v>
      </c>
      <c r="B43" s="4"/>
      <c r="C43" t="s">
        <v>279</v>
      </c>
      <c r="D43" t="str">
        <f>IF($C43="","",IFERROR(LOOKUP(2,1/('03_Warehouse_Movements'!$C$2:$C$500=$A43),'03_Warehouse_Movements'!$E$2:$E$500),$C43))</f>
        <v>PAL-0000043</v>
      </c>
      <c r="E43" t="s">
        <v>157</v>
      </c>
      <c r="F43" t="s">
        <v>166</v>
      </c>
      <c r="G43" s="25"/>
      <c r="H43" s="3" t="str">
        <f t="shared" si="0"/>
        <v/>
      </c>
      <c r="I43" s="3" t="s">
        <v>167</v>
      </c>
      <c r="J43" s="4" t="s">
        <v>168</v>
      </c>
      <c r="K43" s="3">
        <v>46052</v>
      </c>
      <c r="L43" s="4" t="s">
        <v>169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280</v>
      </c>
      <c r="B44" s="4" t="s">
        <v>281</v>
      </c>
      <c r="C44" t="s">
        <v>282</v>
      </c>
      <c r="D44" t="str">
        <f>IF($C44="","",IFERROR(LOOKUP(2,1/('03_Warehouse_Movements'!$C$2:$C$500=$A44),'03_Warehouse_Movements'!$E$2:$E$500),$C44))</f>
        <v>PAL-0000044</v>
      </c>
      <c r="E44" t="s">
        <v>157</v>
      </c>
      <c r="F44" t="s">
        <v>194</v>
      </c>
      <c r="G44" s="25">
        <v>14</v>
      </c>
      <c r="H44" s="3" t="str">
        <f t="shared" si="0"/>
        <v/>
      </c>
      <c r="I44" s="3" t="s">
        <v>213</v>
      </c>
      <c r="J44" s="4" t="s">
        <v>168</v>
      </c>
      <c r="K44" s="3">
        <v>46052</v>
      </c>
      <c r="L44" s="4" t="s">
        <v>169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283</v>
      </c>
      <c r="B45" s="4"/>
      <c r="C45" t="s">
        <v>284</v>
      </c>
      <c r="D45" t="str">
        <f>IF($C45="","",IFERROR(LOOKUP(2,1/('03_Warehouse_Movements'!$C$2:$C$500=$A45),'03_Warehouse_Movements'!$E$2:$E$500),$C45))</f>
        <v>PAL-0000045</v>
      </c>
      <c r="E45" t="s">
        <v>157</v>
      </c>
      <c r="F45" t="s">
        <v>166</v>
      </c>
      <c r="G45" s="25"/>
      <c r="H45" s="3" t="str">
        <f t="shared" si="0"/>
        <v/>
      </c>
      <c r="I45" s="3" t="s">
        <v>216</v>
      </c>
      <c r="J45" s="4" t="s">
        <v>168</v>
      </c>
      <c r="K45" s="3">
        <v>46052</v>
      </c>
      <c r="L45" s="4" t="s">
        <v>169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285</v>
      </c>
      <c r="B46" s="4"/>
      <c r="C46" t="s">
        <v>286</v>
      </c>
      <c r="D46" t="str">
        <f>IF($C46="","",IFERROR(LOOKUP(2,1/('03_Warehouse_Movements'!$C$2:$C$500=$A46),'03_Warehouse_Movements'!$E$2:$E$500),$C46))</f>
        <v>PAL-0000046</v>
      </c>
      <c r="E46" t="s">
        <v>157</v>
      </c>
      <c r="F46" t="s">
        <v>166</v>
      </c>
      <c r="G46" s="25"/>
      <c r="H46" s="3" t="str">
        <f t="shared" si="0"/>
        <v/>
      </c>
      <c r="I46" s="3" t="s">
        <v>220</v>
      </c>
      <c r="J46" s="4" t="s">
        <v>168</v>
      </c>
      <c r="K46" s="3">
        <v>46052</v>
      </c>
      <c r="L46" s="4" t="s">
        <v>169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287</v>
      </c>
      <c r="B47" s="4"/>
      <c r="C47" t="s">
        <v>288</v>
      </c>
      <c r="D47" t="str">
        <f>IF($C47="","",IFERROR(LOOKUP(2,1/('03_Warehouse_Movements'!$C$2:$C$500=$A47),'03_Warehouse_Movements'!$E$2:$E$500),$C47))</f>
        <v>PAL-0000047</v>
      </c>
      <c r="E47" t="s">
        <v>157</v>
      </c>
      <c r="F47" t="s">
        <v>166</v>
      </c>
      <c r="G47" s="25"/>
      <c r="H47" s="3" t="str">
        <f t="shared" si="0"/>
        <v/>
      </c>
      <c r="I47" s="3" t="s">
        <v>223</v>
      </c>
      <c r="J47" s="4" t="s">
        <v>168</v>
      </c>
      <c r="K47" s="3">
        <v>46052</v>
      </c>
      <c r="L47" s="4" t="s">
        <v>169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289</v>
      </c>
      <c r="B48" s="4"/>
      <c r="C48" t="s">
        <v>290</v>
      </c>
      <c r="D48" t="str">
        <f>IF($C48="","",IFERROR(LOOKUP(2,1/('03_Warehouse_Movements'!$C$2:$C$500=$A48),'03_Warehouse_Movements'!$E$2:$E$500),$C48))</f>
        <v>PAL-0000048</v>
      </c>
      <c r="E48" t="s">
        <v>157</v>
      </c>
      <c r="F48" t="s">
        <v>166</v>
      </c>
      <c r="G48" s="25"/>
      <c r="H48" s="3" t="str">
        <f t="shared" si="0"/>
        <v/>
      </c>
      <c r="I48" s="3" t="s">
        <v>226</v>
      </c>
      <c r="J48" s="4" t="s">
        <v>168</v>
      </c>
      <c r="K48" s="3">
        <v>46052</v>
      </c>
      <c r="L48" s="4" t="s">
        <v>169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291</v>
      </c>
      <c r="B49" s="4"/>
      <c r="C49" t="s">
        <v>292</v>
      </c>
      <c r="D49" t="str">
        <f>IF($C49="","",IFERROR(LOOKUP(2,1/('03_Warehouse_Movements'!$C$2:$C$500=$A49),'03_Warehouse_Movements'!$E$2:$E$500),$C49))</f>
        <v>PAL-0000049</v>
      </c>
      <c r="E49" t="s">
        <v>157</v>
      </c>
      <c r="F49" t="s">
        <v>166</v>
      </c>
      <c r="G49" s="25"/>
      <c r="H49" s="3" t="str">
        <f t="shared" si="0"/>
        <v/>
      </c>
      <c r="I49" s="3" t="s">
        <v>198</v>
      </c>
      <c r="J49" s="4" t="s">
        <v>168</v>
      </c>
      <c r="K49" s="3">
        <v>46052</v>
      </c>
      <c r="L49" s="4" t="s">
        <v>169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293</v>
      </c>
      <c r="B50" s="4"/>
      <c r="C50" t="s">
        <v>294</v>
      </c>
      <c r="D50" t="str">
        <f>IF($C50="","",IFERROR(LOOKUP(2,1/('03_Warehouse_Movements'!$C$2:$C$500=$A50),'03_Warehouse_Movements'!$E$2:$E$500),$C50))</f>
        <v>PAL-0000050</v>
      </c>
      <c r="E50" t="s">
        <v>157</v>
      </c>
      <c r="F50" t="s">
        <v>194</v>
      </c>
      <c r="G50" s="25">
        <v>14</v>
      </c>
      <c r="H50" s="3" t="str">
        <f t="shared" si="0"/>
        <v/>
      </c>
      <c r="I50" s="3" t="s">
        <v>201</v>
      </c>
      <c r="J50" s="4" t="s">
        <v>168</v>
      </c>
      <c r="K50" s="3">
        <v>46052</v>
      </c>
      <c r="L50" s="4" t="s">
        <v>169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295</v>
      </c>
      <c r="B51" s="4" t="s">
        <v>296</v>
      </c>
      <c r="C51" t="s">
        <v>297</v>
      </c>
      <c r="D51" t="str">
        <f>IF($C51="","",IFERROR(LOOKUP(2,1/('03_Warehouse_Movements'!$C$2:$C$500=$A51),'03_Warehouse_Movements'!$E$2:$E$500),$C51))</f>
        <v>RETIRED</v>
      </c>
      <c r="E51" t="s">
        <v>298</v>
      </c>
      <c r="F51" t="s">
        <v>166</v>
      </c>
      <c r="G51" s="25"/>
      <c r="H51" s="3" t="str">
        <f t="shared" si="0"/>
        <v/>
      </c>
      <c r="I51" s="3" t="s">
        <v>204</v>
      </c>
      <c r="J51" s="4" t="s">
        <v>168</v>
      </c>
      <c r="K51" s="3">
        <v>46052</v>
      </c>
      <c r="L51" s="4" t="s">
        <v>169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299</v>
      </c>
      <c r="B52" s="4"/>
      <c r="C52" t="s">
        <v>300</v>
      </c>
      <c r="D52" t="str">
        <f>IF($C52="","",IFERROR(LOOKUP(2,1/('03_Warehouse_Movements'!$C$2:$C$500=$A52),'03_Warehouse_Movements'!$E$2:$E$500),$C52))</f>
        <v>PAL-0000052</v>
      </c>
      <c r="E52" t="s">
        <v>298</v>
      </c>
      <c r="F52" t="s">
        <v>166</v>
      </c>
      <c r="G52" s="25"/>
      <c r="H52" s="3" t="str">
        <f t="shared" si="0"/>
        <v/>
      </c>
      <c r="I52" s="3" t="s">
        <v>208</v>
      </c>
      <c r="J52" s="4" t="s">
        <v>168</v>
      </c>
      <c r="K52" s="3">
        <v>46052</v>
      </c>
      <c r="L52" s="4" t="s">
        <v>169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301</v>
      </c>
      <c r="B53" s="4"/>
      <c r="C53" t="s">
        <v>302</v>
      </c>
      <c r="D53" t="str">
        <f>IF($C53="","",IFERROR(LOOKUP(2,1/('03_Warehouse_Movements'!$C$2:$C$500=$A53),'03_Warehouse_Movements'!$E$2:$E$500),$C53))</f>
        <v>PAL-0000053</v>
      </c>
      <c r="E53" t="s">
        <v>157</v>
      </c>
      <c r="F53" t="s">
        <v>166</v>
      </c>
      <c r="G53" s="25"/>
      <c r="H53" s="3" t="str">
        <f t="shared" si="0"/>
        <v/>
      </c>
      <c r="I53" s="3" t="s">
        <v>167</v>
      </c>
      <c r="J53" s="4" t="s">
        <v>168</v>
      </c>
      <c r="K53" s="3">
        <v>46052</v>
      </c>
      <c r="L53" s="4" t="s">
        <v>169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303</v>
      </c>
      <c r="B54" s="4"/>
      <c r="C54" t="s">
        <v>304</v>
      </c>
      <c r="D54" t="str">
        <f>IF($C54="","",IFERROR(LOOKUP(2,1/('03_Warehouse_Movements'!$C$2:$C$500=$A54),'03_Warehouse_Movements'!$E$2:$E$500),$C54))</f>
        <v>PAL-0000054</v>
      </c>
      <c r="E54" t="s">
        <v>157</v>
      </c>
      <c r="F54" t="s">
        <v>166</v>
      </c>
      <c r="G54" s="25"/>
      <c r="H54" s="3" t="str">
        <f t="shared" si="0"/>
        <v/>
      </c>
      <c r="I54" s="3" t="s">
        <v>213</v>
      </c>
      <c r="J54" s="4" t="s">
        <v>168</v>
      </c>
      <c r="K54" s="3">
        <v>46052</v>
      </c>
      <c r="L54" s="4" t="s">
        <v>169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305</v>
      </c>
      <c r="B55" s="4"/>
      <c r="C55" t="s">
        <v>306</v>
      </c>
      <c r="D55" t="str">
        <f>IF($C55="","",IFERROR(LOOKUP(2,1/('03_Warehouse_Movements'!$C$2:$C$500=$A55),'03_Warehouse_Movements'!$E$2:$E$500),$C55))</f>
        <v>PAL-0000055</v>
      </c>
      <c r="E55" t="s">
        <v>157</v>
      </c>
      <c r="F55" t="s">
        <v>166</v>
      </c>
      <c r="G55" s="25"/>
      <c r="H55" s="3" t="str">
        <f t="shared" si="0"/>
        <v/>
      </c>
      <c r="I55" s="3" t="s">
        <v>216</v>
      </c>
      <c r="J55" s="4" t="s">
        <v>168</v>
      </c>
      <c r="K55" s="3">
        <v>46052</v>
      </c>
      <c r="L55" s="4" t="s">
        <v>169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307</v>
      </c>
      <c r="B56" s="4"/>
      <c r="C56" t="s">
        <v>308</v>
      </c>
      <c r="D56" t="str">
        <f>IF($C56="","",IFERROR(LOOKUP(2,1/('03_Warehouse_Movements'!$C$2:$C$500=$A56),'03_Warehouse_Movements'!$E$2:$E$500),$C56))</f>
        <v>PAL-0000056</v>
      </c>
      <c r="E56" t="s">
        <v>157</v>
      </c>
      <c r="F56" t="s">
        <v>194</v>
      </c>
      <c r="G56" s="25">
        <v>14</v>
      </c>
      <c r="H56" s="3" t="str">
        <f t="shared" si="0"/>
        <v/>
      </c>
      <c r="I56" s="3" t="s">
        <v>220</v>
      </c>
      <c r="J56" s="4" t="s">
        <v>168</v>
      </c>
      <c r="K56" s="3">
        <v>46052</v>
      </c>
      <c r="L56" s="4" t="s">
        <v>169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309</v>
      </c>
      <c r="B57" s="4"/>
      <c r="C57" t="s">
        <v>310</v>
      </c>
      <c r="D57" t="str">
        <f>IF($C57="","",IFERROR(LOOKUP(2,1/('03_Warehouse_Movements'!$C$2:$C$500=$A57),'03_Warehouse_Movements'!$E$2:$E$500),$C57))</f>
        <v>PAL-0000057</v>
      </c>
      <c r="E57" t="s">
        <v>157</v>
      </c>
      <c r="F57" t="s">
        <v>166</v>
      </c>
      <c r="G57" s="25"/>
      <c r="H57" s="3" t="str">
        <f t="shared" si="0"/>
        <v/>
      </c>
      <c r="I57" s="3" t="s">
        <v>223</v>
      </c>
      <c r="J57" s="4" t="s">
        <v>168</v>
      </c>
      <c r="K57" s="3">
        <v>46052</v>
      </c>
      <c r="L57" s="4" t="s">
        <v>169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311</v>
      </c>
      <c r="B58" s="4" t="s">
        <v>312</v>
      </c>
      <c r="C58" t="s">
        <v>313</v>
      </c>
      <c r="D58" t="str">
        <f>IF($C58="","",IFERROR(LOOKUP(2,1/('03_Warehouse_Movements'!$C$2:$C$500=$A58),'03_Warehouse_Movements'!$E$2:$E$500),$C58))</f>
        <v>PAL-0000058</v>
      </c>
      <c r="E58" t="s">
        <v>157</v>
      </c>
      <c r="F58" t="s">
        <v>166</v>
      </c>
      <c r="G58" s="25"/>
      <c r="H58" s="3" t="str">
        <f t="shared" si="0"/>
        <v/>
      </c>
      <c r="I58" s="3" t="s">
        <v>226</v>
      </c>
      <c r="J58" s="4" t="s">
        <v>168</v>
      </c>
      <c r="K58" s="3">
        <v>46052</v>
      </c>
      <c r="L58" s="4" t="s">
        <v>169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314</v>
      </c>
      <c r="B59" s="4"/>
      <c r="C59" t="s">
        <v>315</v>
      </c>
      <c r="D59" t="str">
        <f>IF($C59="","",IFERROR(LOOKUP(2,1/('03_Warehouse_Movements'!$C$2:$C$500=$A59),'03_Warehouse_Movements'!$E$2:$E$500),$C59))</f>
        <v>PAL-0000059</v>
      </c>
      <c r="E59" t="s">
        <v>157</v>
      </c>
      <c r="F59" t="s">
        <v>166</v>
      </c>
      <c r="G59" s="25"/>
      <c r="H59" s="3" t="str">
        <f t="shared" si="0"/>
        <v/>
      </c>
      <c r="I59" s="3" t="s">
        <v>198</v>
      </c>
      <c r="J59" s="4" t="s">
        <v>168</v>
      </c>
      <c r="K59" s="3">
        <v>46052</v>
      </c>
      <c r="L59" s="4" t="s">
        <v>169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316</v>
      </c>
      <c r="B60" s="4"/>
      <c r="C60" t="s">
        <v>317</v>
      </c>
      <c r="D60" t="str">
        <f>IF($C60="","",IFERROR(LOOKUP(2,1/('03_Warehouse_Movements'!$C$2:$C$500=$A60),'03_Warehouse_Movements'!$E$2:$E$500),$C60))</f>
        <v>PAL-0000060</v>
      </c>
      <c r="E60" t="s">
        <v>157</v>
      </c>
      <c r="F60" t="s">
        <v>166</v>
      </c>
      <c r="G60" s="25"/>
      <c r="H60" s="3" t="str">
        <f t="shared" si="0"/>
        <v/>
      </c>
      <c r="I60" s="3" t="s">
        <v>201</v>
      </c>
      <c r="J60" s="4" t="s">
        <v>168</v>
      </c>
      <c r="K60" s="3">
        <v>46052</v>
      </c>
      <c r="L60" s="4" t="s">
        <v>169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318</v>
      </c>
      <c r="B61" s="4"/>
      <c r="C61" t="s">
        <v>319</v>
      </c>
      <c r="D61" t="str">
        <f>IF($C61="","",IFERROR(LOOKUP(2,1/('03_Warehouse_Movements'!$C$2:$C$500=$A61),'03_Warehouse_Movements'!$E$2:$E$500),$C61))</f>
        <v>PAL-0000061</v>
      </c>
      <c r="E61" t="s">
        <v>157</v>
      </c>
      <c r="F61" t="s">
        <v>166</v>
      </c>
      <c r="G61" s="25"/>
      <c r="H61" s="3" t="str">
        <f t="shared" si="0"/>
        <v/>
      </c>
      <c r="I61" s="3" t="s">
        <v>204</v>
      </c>
      <c r="J61" s="4" t="s">
        <v>168</v>
      </c>
      <c r="K61" s="3">
        <v>46052</v>
      </c>
      <c r="L61" s="4" t="s">
        <v>169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320</v>
      </c>
      <c r="B62" s="4"/>
      <c r="D62" t="str">
        <f>IF($C62="","",IFERROR(LOOKUP(2,1/('03_Warehouse_Movements'!$C$2:$C$500=$A62),'03_Warehouse_Movements'!$E$2:$E$500),$C62))</f>
        <v/>
      </c>
      <c r="E62" t="s">
        <v>157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321</v>
      </c>
      <c r="B63" s="4"/>
      <c r="D63" t="str">
        <f>IF($C63="","",IFERROR(LOOKUP(2,1/('03_Warehouse_Movements'!$C$2:$C$500=$A63),'03_Warehouse_Movements'!$E$2:$E$500),$C63))</f>
        <v/>
      </c>
      <c r="E63" t="s">
        <v>157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322</v>
      </c>
      <c r="B64" s="4"/>
      <c r="D64" t="str">
        <f>IF($C64="","",IFERROR(LOOKUP(2,1/('03_Warehouse_Movements'!$C$2:$C$500=$A64),'03_Warehouse_Movements'!$E$2:$E$500),$C64))</f>
        <v/>
      </c>
      <c r="E64" t="s">
        <v>157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323</v>
      </c>
      <c r="B65" s="4"/>
      <c r="D65" t="str">
        <f>IF($C65="","",IFERROR(LOOKUP(2,1/('03_Warehouse_Movements'!$C$2:$C$500=$A65),'03_Warehouse_Movements'!$E$2:$E$500),$C65))</f>
        <v/>
      </c>
      <c r="E65" t="s">
        <v>157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324</v>
      </c>
      <c r="B66" s="4"/>
      <c r="D66" t="str">
        <f>IF($C66="","",IFERROR(LOOKUP(2,1/('03_Warehouse_Movements'!$C$2:$C$500=$A66),'03_Warehouse_Movements'!$E$2:$E$500),$C66))</f>
        <v/>
      </c>
      <c r="E66" t="s">
        <v>157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325</v>
      </c>
      <c r="B67" s="4"/>
      <c r="D67" t="str">
        <f>IF($C67="","",IFERROR(LOOKUP(2,1/('03_Warehouse_Movements'!$C$2:$C$500=$A67),'03_Warehouse_Movements'!$E$2:$E$500),$C67))</f>
        <v/>
      </c>
      <c r="E67" t="s">
        <v>157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326</v>
      </c>
      <c r="B68" s="4"/>
      <c r="D68" t="str">
        <f>IF($C68="","",IFERROR(LOOKUP(2,1/('03_Warehouse_Movements'!$C$2:$C$500=$A68),'03_Warehouse_Movements'!$E$2:$E$500),$C68))</f>
        <v/>
      </c>
      <c r="E68" t="s">
        <v>157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327</v>
      </c>
      <c r="B69" s="4"/>
      <c r="D69" t="str">
        <f>IF($C69="","",IFERROR(LOOKUP(2,1/('03_Warehouse_Movements'!$C$2:$C$500=$A69),'03_Warehouse_Movements'!$E$2:$E$500),$C69))</f>
        <v/>
      </c>
      <c r="E69" t="s">
        <v>157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328</v>
      </c>
      <c r="B70" s="4"/>
      <c r="D70" t="str">
        <f>IF($C70="","",IFERROR(LOOKUP(2,1/('03_Warehouse_Movements'!$C$2:$C$500=$A70),'03_Warehouse_Movements'!$E$2:$E$500),$C70))</f>
        <v/>
      </c>
      <c r="E70" t="s">
        <v>157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329</v>
      </c>
      <c r="B71" s="4"/>
      <c r="D71" t="str">
        <f>IF($C71="","",IFERROR(LOOKUP(2,1/('03_Warehouse_Movements'!$C$2:$C$500=$A71),'03_Warehouse_Movements'!$E$2:$E$500),$C71))</f>
        <v/>
      </c>
      <c r="E71" t="s">
        <v>157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330</v>
      </c>
      <c r="B72" s="4"/>
      <c r="D72" t="str">
        <f>IF($C72="","",IFERROR(LOOKUP(2,1/('03_Warehouse_Movements'!$C$2:$C$500=$A72),'03_Warehouse_Movements'!$E$2:$E$500),$C72))</f>
        <v/>
      </c>
      <c r="E72" t="s">
        <v>157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331</v>
      </c>
      <c r="B73" s="4"/>
      <c r="D73" t="str">
        <f>IF($C73="","",IFERROR(LOOKUP(2,1/('03_Warehouse_Movements'!$C$2:$C$500=$A73),'03_Warehouse_Movements'!$E$2:$E$500),$C73))</f>
        <v/>
      </c>
      <c r="E73" t="s">
        <v>157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332</v>
      </c>
      <c r="B74" s="4"/>
      <c r="D74" t="str">
        <f>IF($C74="","",IFERROR(LOOKUP(2,1/('03_Warehouse_Movements'!$C$2:$C$500=$A74),'03_Warehouse_Movements'!$E$2:$E$500),$C74))</f>
        <v/>
      </c>
      <c r="E74" t="s">
        <v>157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333</v>
      </c>
      <c r="B75" s="4"/>
      <c r="D75" t="str">
        <f>IF($C75="","",IFERROR(LOOKUP(2,1/('03_Warehouse_Movements'!$C$2:$C$500=$A75),'03_Warehouse_Movements'!$E$2:$E$500),$C75))</f>
        <v/>
      </c>
      <c r="E75" t="s">
        <v>157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334</v>
      </c>
      <c r="B76" s="4"/>
      <c r="D76" t="str">
        <f>IF($C76="","",IFERROR(LOOKUP(2,1/('03_Warehouse_Movements'!$C$2:$C$500=$A76),'03_Warehouse_Movements'!$E$2:$E$500),$C76))</f>
        <v/>
      </c>
      <c r="E76" t="s">
        <v>157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335</v>
      </c>
      <c r="B77" s="4"/>
      <c r="D77" t="str">
        <f>IF($C77="","",IFERROR(LOOKUP(2,1/('03_Warehouse_Movements'!$C$2:$C$500=$A77),'03_Warehouse_Movements'!$E$2:$E$500),$C77))</f>
        <v/>
      </c>
      <c r="E77" t="s">
        <v>157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336</v>
      </c>
      <c r="B78" s="4"/>
      <c r="D78" t="str">
        <f>IF($C78="","",IFERROR(LOOKUP(2,1/('03_Warehouse_Movements'!$C$2:$C$500=$A78),'03_Warehouse_Movements'!$E$2:$E$500),$C78))</f>
        <v/>
      </c>
      <c r="E78" t="s">
        <v>157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337</v>
      </c>
      <c r="B79" s="4"/>
      <c r="D79" t="str">
        <f>IF($C79="","",IFERROR(LOOKUP(2,1/('03_Warehouse_Movements'!$C$2:$C$500=$A79),'03_Warehouse_Movements'!$E$2:$E$500),$C79))</f>
        <v/>
      </c>
      <c r="E79" t="s">
        <v>157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338</v>
      </c>
      <c r="B80" s="4"/>
      <c r="D80" t="str">
        <f>IF($C80="","",IFERROR(LOOKUP(2,1/('03_Warehouse_Movements'!$C$2:$C$500=$A80),'03_Warehouse_Movements'!$E$2:$E$500),$C80))</f>
        <v/>
      </c>
      <c r="E80" t="s">
        <v>157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339</v>
      </c>
      <c r="B81" s="4"/>
      <c r="D81" t="str">
        <f>IF($C81="","",IFERROR(LOOKUP(2,1/('03_Warehouse_Movements'!$C$2:$C$500=$A81),'03_Warehouse_Movements'!$E$2:$E$500),$C81))</f>
        <v/>
      </c>
      <c r="E81" t="s">
        <v>157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340</v>
      </c>
      <c r="B82" s="4"/>
      <c r="D82" t="str">
        <f>IF($C82="","",IFERROR(LOOKUP(2,1/('03_Warehouse_Movements'!$C$2:$C$500=$A82),'03_Warehouse_Movements'!$E$2:$E$500),$C82))</f>
        <v/>
      </c>
      <c r="E82" t="s">
        <v>157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341</v>
      </c>
      <c r="B83" s="4"/>
      <c r="D83" t="str">
        <f>IF($C83="","",IFERROR(LOOKUP(2,1/('03_Warehouse_Movements'!$C$2:$C$500=$A83),'03_Warehouse_Movements'!$E$2:$E$500),$C83))</f>
        <v/>
      </c>
      <c r="E83" t="s">
        <v>157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342</v>
      </c>
      <c r="B84" s="4"/>
      <c r="D84" t="str">
        <f>IF($C84="","",IFERROR(LOOKUP(2,1/('03_Warehouse_Movements'!$C$2:$C$500=$A84),'03_Warehouse_Movements'!$E$2:$E$500),$C84))</f>
        <v/>
      </c>
      <c r="E84" t="s">
        <v>157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343</v>
      </c>
      <c r="B85" s="4"/>
      <c r="D85" t="str">
        <f>IF($C85="","",IFERROR(LOOKUP(2,1/('03_Warehouse_Movements'!$C$2:$C$500=$A85),'03_Warehouse_Movements'!$E$2:$E$500),$C85))</f>
        <v/>
      </c>
      <c r="E85" t="s">
        <v>157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344</v>
      </c>
      <c r="B86" s="4"/>
      <c r="D86" t="str">
        <f>IF($C86="","",IFERROR(LOOKUP(2,1/('03_Warehouse_Movements'!$C$2:$C$500=$A86),'03_Warehouse_Movements'!$E$2:$E$500),$C86))</f>
        <v/>
      </c>
      <c r="E86" t="s">
        <v>157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345</v>
      </c>
      <c r="B87" s="4"/>
      <c r="D87" t="str">
        <f>IF($C87="","",IFERROR(LOOKUP(2,1/('03_Warehouse_Movements'!$C$2:$C$500=$A87),'03_Warehouse_Movements'!$E$2:$E$500),$C87))</f>
        <v/>
      </c>
      <c r="E87" t="s">
        <v>157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346</v>
      </c>
      <c r="B88" s="4"/>
      <c r="D88" t="str">
        <f>IF($C88="","",IFERROR(LOOKUP(2,1/('03_Warehouse_Movements'!$C$2:$C$500=$A88),'03_Warehouse_Movements'!$E$2:$E$500),$C88))</f>
        <v/>
      </c>
      <c r="E88" t="s">
        <v>157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347</v>
      </c>
      <c r="B89" s="4"/>
      <c r="D89" t="str">
        <f>IF($C89="","",IFERROR(LOOKUP(2,1/('03_Warehouse_Movements'!$C$2:$C$500=$A89),'03_Warehouse_Movements'!$E$2:$E$500),$C89))</f>
        <v/>
      </c>
      <c r="E89" t="s">
        <v>157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348</v>
      </c>
      <c r="B90" s="4"/>
      <c r="D90" t="str">
        <f>IF($C90="","",IFERROR(LOOKUP(2,1/('03_Warehouse_Movements'!$C$2:$C$500=$A90),'03_Warehouse_Movements'!$E$2:$E$500),$C90))</f>
        <v/>
      </c>
      <c r="E90" t="s">
        <v>157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349</v>
      </c>
      <c r="B91" s="4"/>
      <c r="D91" t="str">
        <f>IF($C91="","",IFERROR(LOOKUP(2,1/('03_Warehouse_Movements'!$C$2:$C$500=$A91),'03_Warehouse_Movements'!$E$2:$E$500),$C91))</f>
        <v/>
      </c>
      <c r="E91" t="s">
        <v>157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350</v>
      </c>
      <c r="B92" s="4"/>
      <c r="D92" t="str">
        <f>IF($C92="","",IFERROR(LOOKUP(2,1/('03_Warehouse_Movements'!$C$2:$C$500=$A92),'03_Warehouse_Movements'!$E$2:$E$500),$C92))</f>
        <v/>
      </c>
      <c r="E92" t="s">
        <v>157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351</v>
      </c>
      <c r="B93" s="4"/>
      <c r="D93" t="str">
        <f>IF($C93="","",IFERROR(LOOKUP(2,1/('03_Warehouse_Movements'!$C$2:$C$500=$A93),'03_Warehouse_Movements'!$E$2:$E$500),$C93))</f>
        <v/>
      </c>
      <c r="E93" t="s">
        <v>157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352</v>
      </c>
      <c r="B94" s="4"/>
      <c r="D94" t="str">
        <f>IF($C94="","",IFERROR(LOOKUP(2,1/('03_Warehouse_Movements'!$C$2:$C$500=$A94),'03_Warehouse_Movements'!$E$2:$E$500),$C94))</f>
        <v/>
      </c>
      <c r="E94" t="s">
        <v>157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353</v>
      </c>
      <c r="B95" s="4"/>
      <c r="D95" t="str">
        <f>IF($C95="","",IFERROR(LOOKUP(2,1/('03_Warehouse_Movements'!$C$2:$C$500=$A95),'03_Warehouse_Movements'!$E$2:$E$500),$C95))</f>
        <v/>
      </c>
      <c r="E95" t="s">
        <v>157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354</v>
      </c>
      <c r="B96" s="4"/>
      <c r="D96" t="str">
        <f>IF($C96="","",IFERROR(LOOKUP(2,1/('03_Warehouse_Movements'!$C$2:$C$500=$A96),'03_Warehouse_Movements'!$E$2:$E$500),$C96))</f>
        <v/>
      </c>
      <c r="E96" t="s">
        <v>157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355</v>
      </c>
      <c r="B97" s="4"/>
      <c r="D97" t="str">
        <f>IF($C97="","",IFERROR(LOOKUP(2,1/('03_Warehouse_Movements'!$C$2:$C$500=$A97),'03_Warehouse_Movements'!$E$2:$E$500),$C97))</f>
        <v/>
      </c>
      <c r="E97" t="s">
        <v>157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356</v>
      </c>
      <c r="B98" s="4"/>
      <c r="D98" t="str">
        <f>IF($C98="","",IFERROR(LOOKUP(2,1/('03_Warehouse_Movements'!$C$2:$C$500=$A98),'03_Warehouse_Movements'!$E$2:$E$500),$C98))</f>
        <v/>
      </c>
      <c r="E98" t="s">
        <v>157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357</v>
      </c>
      <c r="B99" s="4"/>
      <c r="D99" t="str">
        <f>IF($C99="","",IFERROR(LOOKUP(2,1/('03_Warehouse_Movements'!$C$2:$C$500=$A99),'03_Warehouse_Movements'!$E$2:$E$500),$C99))</f>
        <v/>
      </c>
      <c r="E99" t="s">
        <v>157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358</v>
      </c>
      <c r="B100" s="4"/>
      <c r="D100" t="str">
        <f>IF($C100="","",IFERROR(LOOKUP(2,1/('03_Warehouse_Movements'!$C$2:$C$500=$A100),'03_Warehouse_Movements'!$E$2:$E$500),$C100))</f>
        <v/>
      </c>
      <c r="E100" t="s">
        <v>157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359</v>
      </c>
      <c r="B101" s="4"/>
      <c r="D101" t="str">
        <f>IF($C101="","",IFERROR(LOOKUP(2,1/('03_Warehouse_Movements'!$C$2:$C$500=$A101),'03_Warehouse_Movements'!$E$2:$E$500),$C101))</f>
        <v/>
      </c>
      <c r="E101" t="s">
        <v>157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360</v>
      </c>
      <c r="B102" s="4"/>
      <c r="D102" t="str">
        <f>IF($C102="","",IFERROR(LOOKUP(2,1/('03_Warehouse_Movements'!$C$2:$C$500=$A102),'03_Warehouse_Movements'!$E$2:$E$500),$C102))</f>
        <v/>
      </c>
      <c r="E102" t="s">
        <v>157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361</v>
      </c>
      <c r="B103" s="4"/>
      <c r="D103" t="str">
        <f>IF($C103="","",IFERROR(LOOKUP(2,1/('03_Warehouse_Movements'!$C$2:$C$500=$A103),'03_Warehouse_Movements'!$E$2:$E$500),$C103))</f>
        <v/>
      </c>
      <c r="E103" t="s">
        <v>157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362</v>
      </c>
      <c r="B104" s="4"/>
      <c r="D104" t="str">
        <f>IF($C104="","",IFERROR(LOOKUP(2,1/('03_Warehouse_Movements'!$C$2:$C$500=$A104),'03_Warehouse_Movements'!$E$2:$E$500),$C104))</f>
        <v/>
      </c>
      <c r="E104" t="s">
        <v>157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363</v>
      </c>
      <c r="B105" s="4"/>
      <c r="D105" t="str">
        <f>IF($C105="","",IFERROR(LOOKUP(2,1/('03_Warehouse_Movements'!$C$2:$C$500=$A105),'03_Warehouse_Movements'!$E$2:$E$500),$C105))</f>
        <v/>
      </c>
      <c r="E105" t="s">
        <v>157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364</v>
      </c>
      <c r="B106" s="4"/>
      <c r="D106" t="str">
        <f>IF($C106="","",IFERROR(LOOKUP(2,1/('03_Warehouse_Movements'!$C$2:$C$500=$A106),'03_Warehouse_Movements'!$E$2:$E$500),$C106))</f>
        <v/>
      </c>
      <c r="E106" t="s">
        <v>157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365</v>
      </c>
      <c r="B107" s="4"/>
      <c r="D107" t="str">
        <f>IF($C107="","",IFERROR(LOOKUP(2,1/('03_Warehouse_Movements'!$C$2:$C$500=$A107),'03_Warehouse_Movements'!$E$2:$E$500),$C107))</f>
        <v/>
      </c>
      <c r="E107" t="s">
        <v>157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366</v>
      </c>
      <c r="B108" s="4"/>
      <c r="D108" t="str">
        <f>IF($C108="","",IFERROR(LOOKUP(2,1/('03_Warehouse_Movements'!$C$2:$C$500=$A108),'03_Warehouse_Movements'!$E$2:$E$500),$C108))</f>
        <v/>
      </c>
      <c r="E108" t="s">
        <v>157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367</v>
      </c>
      <c r="B109" s="4"/>
      <c r="D109" t="str">
        <f>IF($C109="","",IFERROR(LOOKUP(2,1/('03_Warehouse_Movements'!$C$2:$C$500=$A109),'03_Warehouse_Movements'!$E$2:$E$500),$C109))</f>
        <v/>
      </c>
      <c r="E109" t="s">
        <v>157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368</v>
      </c>
      <c r="B110" s="4"/>
      <c r="D110" t="str">
        <f>IF($C110="","",IFERROR(LOOKUP(2,1/('03_Warehouse_Movements'!$C$2:$C$500=$A110),'03_Warehouse_Movements'!$E$2:$E$500),$C110))</f>
        <v/>
      </c>
      <c r="E110" t="s">
        <v>157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369</v>
      </c>
      <c r="B111" s="4"/>
      <c r="D111" t="str">
        <f>IF($C111="","",IFERROR(LOOKUP(2,1/('03_Warehouse_Movements'!$C$2:$C$500=$A111),'03_Warehouse_Movements'!$E$2:$E$500),$C111))</f>
        <v/>
      </c>
      <c r="E111" t="s">
        <v>157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370</v>
      </c>
      <c r="B112" s="4"/>
      <c r="D112" t="str">
        <f>IF($C112="","",IFERROR(LOOKUP(2,1/('03_Warehouse_Movements'!$C$2:$C$500=$A112),'03_Warehouse_Movements'!$E$2:$E$500),$C112))</f>
        <v/>
      </c>
      <c r="E112" t="s">
        <v>157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371</v>
      </c>
      <c r="B113" s="4"/>
      <c r="D113" t="str">
        <f>IF($C113="","",IFERROR(LOOKUP(2,1/('03_Warehouse_Movements'!$C$2:$C$500=$A113),'03_Warehouse_Movements'!$E$2:$E$500),$C113))</f>
        <v/>
      </c>
      <c r="E113" t="s">
        <v>157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372</v>
      </c>
      <c r="B114" s="4"/>
      <c r="D114" t="str">
        <f>IF($C114="","",IFERROR(LOOKUP(2,1/('03_Warehouse_Movements'!$C$2:$C$500=$A114),'03_Warehouse_Movements'!$E$2:$E$500),$C114))</f>
        <v/>
      </c>
      <c r="E114" t="s">
        <v>157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373</v>
      </c>
      <c r="B115" s="4"/>
      <c r="D115" t="str">
        <f>IF($C115="","",IFERROR(LOOKUP(2,1/('03_Warehouse_Movements'!$C$2:$C$500=$A115),'03_Warehouse_Movements'!$E$2:$E$500),$C115))</f>
        <v/>
      </c>
      <c r="E115" t="s">
        <v>157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374</v>
      </c>
      <c r="B116" s="4"/>
      <c r="D116" t="str">
        <f>IF($C116="","",IFERROR(LOOKUP(2,1/('03_Warehouse_Movements'!$C$2:$C$500=$A116),'03_Warehouse_Movements'!$E$2:$E$500),$C116))</f>
        <v/>
      </c>
      <c r="E116" t="s">
        <v>157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375</v>
      </c>
      <c r="B117" s="4"/>
      <c r="D117" t="str">
        <f>IF($C117="","",IFERROR(LOOKUP(2,1/('03_Warehouse_Movements'!$C$2:$C$500=$A117),'03_Warehouse_Movements'!$E$2:$E$500),$C117))</f>
        <v/>
      </c>
      <c r="E117" t="s">
        <v>157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376</v>
      </c>
      <c r="B118" s="4"/>
      <c r="D118" t="str">
        <f>IF($C118="","",IFERROR(LOOKUP(2,1/('03_Warehouse_Movements'!$C$2:$C$500=$A118),'03_Warehouse_Movements'!$E$2:$E$500),$C118))</f>
        <v/>
      </c>
      <c r="E118" t="s">
        <v>157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377</v>
      </c>
      <c r="B119" s="4"/>
      <c r="D119" t="str">
        <f>IF($C119="","",IFERROR(LOOKUP(2,1/('03_Warehouse_Movements'!$C$2:$C$500=$A119),'03_Warehouse_Movements'!$E$2:$E$500),$C119))</f>
        <v/>
      </c>
      <c r="E119" t="s">
        <v>157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378</v>
      </c>
      <c r="B120" s="4"/>
      <c r="D120" t="str">
        <f>IF($C120="","",IFERROR(LOOKUP(2,1/('03_Warehouse_Movements'!$C$2:$C$500=$A120),'03_Warehouse_Movements'!$E$2:$E$500),$C120))</f>
        <v/>
      </c>
      <c r="E120" t="s">
        <v>157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379</v>
      </c>
      <c r="B121" s="4"/>
      <c r="D121" t="str">
        <f>IF($C121="","",IFERROR(LOOKUP(2,1/('03_Warehouse_Movements'!$C$2:$C$500=$A121),'03_Warehouse_Movements'!$E$2:$E$500),$C121))</f>
        <v/>
      </c>
      <c r="E121" t="s">
        <v>157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380</v>
      </c>
      <c r="B122" s="4"/>
      <c r="D122" t="str">
        <f>IF($C122="","",IFERROR(LOOKUP(2,1/('03_Warehouse_Movements'!$C$2:$C$500=$A122),'03_Warehouse_Movements'!$E$2:$E$500),$C122))</f>
        <v/>
      </c>
      <c r="E122" t="s">
        <v>157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381</v>
      </c>
      <c r="B123" s="4"/>
      <c r="D123" t="str">
        <f>IF($C123="","",IFERROR(LOOKUP(2,1/('03_Warehouse_Movements'!$C$2:$C$500=$A123),'03_Warehouse_Movements'!$E$2:$E$500),$C123))</f>
        <v/>
      </c>
      <c r="E123" t="s">
        <v>157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382</v>
      </c>
      <c r="B124" s="4"/>
      <c r="D124" t="str">
        <f>IF($C124="","",IFERROR(LOOKUP(2,1/('03_Warehouse_Movements'!$C$2:$C$500=$A124),'03_Warehouse_Movements'!$E$2:$E$500),$C124))</f>
        <v/>
      </c>
      <c r="E124" t="s">
        <v>157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383</v>
      </c>
      <c r="B125" s="4"/>
      <c r="D125" t="str">
        <f>IF($C125="","",IFERROR(LOOKUP(2,1/('03_Warehouse_Movements'!$C$2:$C$500=$A125),'03_Warehouse_Movements'!$E$2:$E$500),$C125))</f>
        <v/>
      </c>
      <c r="E125" t="s">
        <v>157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384</v>
      </c>
      <c r="B126" s="4"/>
      <c r="D126" t="str">
        <f>IF($C126="","",IFERROR(LOOKUP(2,1/('03_Warehouse_Movements'!$C$2:$C$500=$A126),'03_Warehouse_Movements'!$E$2:$E$500),$C126))</f>
        <v/>
      </c>
      <c r="E126" t="s">
        <v>157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385</v>
      </c>
      <c r="B127" s="4"/>
      <c r="D127" t="str">
        <f>IF($C127="","",IFERROR(LOOKUP(2,1/('03_Warehouse_Movements'!$C$2:$C$500=$A127),'03_Warehouse_Movements'!$E$2:$E$500),$C127))</f>
        <v/>
      </c>
      <c r="E127" t="s">
        <v>157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386</v>
      </c>
      <c r="B128" s="4"/>
      <c r="D128" t="str">
        <f>IF($C128="","",IFERROR(LOOKUP(2,1/('03_Warehouse_Movements'!$C$2:$C$500=$A128),'03_Warehouse_Movements'!$E$2:$E$500),$C128))</f>
        <v/>
      </c>
      <c r="E128" t="s">
        <v>157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387</v>
      </c>
      <c r="B129" s="4"/>
      <c r="D129" t="str">
        <f>IF($C129="","",IFERROR(LOOKUP(2,1/('03_Warehouse_Movements'!$C$2:$C$500=$A129),'03_Warehouse_Movements'!$E$2:$E$500),$C129))</f>
        <v/>
      </c>
      <c r="E129" t="s">
        <v>157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388</v>
      </c>
      <c r="B130" s="4"/>
      <c r="D130" t="str">
        <f>IF($C130="","",IFERROR(LOOKUP(2,1/('03_Warehouse_Movements'!$C$2:$C$500=$A130),'03_Warehouse_Movements'!$E$2:$E$500),$C130))</f>
        <v/>
      </c>
      <c r="E130" t="s">
        <v>157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389</v>
      </c>
      <c r="B131" s="4"/>
      <c r="D131" t="str">
        <f>IF($C131="","",IFERROR(LOOKUP(2,1/('03_Warehouse_Movements'!$C$2:$C$500=$A131),'03_Warehouse_Movements'!$E$2:$E$500),$C131))</f>
        <v/>
      </c>
      <c r="E131" t="s">
        <v>157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390</v>
      </c>
      <c r="B132" s="4"/>
      <c r="D132" t="str">
        <f>IF($C132="","",IFERROR(LOOKUP(2,1/('03_Warehouse_Movements'!$C$2:$C$500=$A132),'03_Warehouse_Movements'!$E$2:$E$500),$C132))</f>
        <v/>
      </c>
      <c r="E132" t="s">
        <v>157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391</v>
      </c>
      <c r="B133" s="4"/>
      <c r="D133" t="str">
        <f>IF($C133="","",IFERROR(LOOKUP(2,1/('03_Warehouse_Movements'!$C$2:$C$500=$A133),'03_Warehouse_Movements'!$E$2:$E$500),$C133))</f>
        <v/>
      </c>
      <c r="E133" t="s">
        <v>157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392</v>
      </c>
      <c r="B134" s="4"/>
      <c r="D134" t="str">
        <f>IF($C134="","",IFERROR(LOOKUP(2,1/('03_Warehouse_Movements'!$C$2:$C$500=$A134),'03_Warehouse_Movements'!$E$2:$E$500),$C134))</f>
        <v/>
      </c>
      <c r="E134" t="s">
        <v>157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393</v>
      </c>
      <c r="B135" s="4"/>
      <c r="D135" t="str">
        <f>IF($C135="","",IFERROR(LOOKUP(2,1/('03_Warehouse_Movements'!$C$2:$C$500=$A135),'03_Warehouse_Movements'!$E$2:$E$500),$C135))</f>
        <v/>
      </c>
      <c r="E135" t="s">
        <v>157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394</v>
      </c>
      <c r="B136" s="4"/>
      <c r="D136" t="str">
        <f>IF($C136="","",IFERROR(LOOKUP(2,1/('03_Warehouse_Movements'!$C$2:$C$500=$A136),'03_Warehouse_Movements'!$E$2:$E$500),$C136))</f>
        <v/>
      </c>
      <c r="E136" t="s">
        <v>157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395</v>
      </c>
      <c r="B137" s="4"/>
      <c r="D137" t="str">
        <f>IF($C137="","",IFERROR(LOOKUP(2,1/('03_Warehouse_Movements'!$C$2:$C$500=$A137),'03_Warehouse_Movements'!$E$2:$E$500),$C137))</f>
        <v/>
      </c>
      <c r="E137" t="s">
        <v>157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396</v>
      </c>
      <c r="B138" s="4"/>
      <c r="D138" t="str">
        <f>IF($C138="","",IFERROR(LOOKUP(2,1/('03_Warehouse_Movements'!$C$2:$C$500=$A138),'03_Warehouse_Movements'!$E$2:$E$500),$C138))</f>
        <v/>
      </c>
      <c r="E138" t="s">
        <v>157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397</v>
      </c>
      <c r="B139" s="4"/>
      <c r="D139" t="str">
        <f>IF($C139="","",IFERROR(LOOKUP(2,1/('03_Warehouse_Movements'!$C$2:$C$500=$A139),'03_Warehouse_Movements'!$E$2:$E$500),$C139))</f>
        <v/>
      </c>
      <c r="E139" t="s">
        <v>157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398</v>
      </c>
      <c r="B140" s="4"/>
      <c r="D140" t="str">
        <f>IF($C140="","",IFERROR(LOOKUP(2,1/('03_Warehouse_Movements'!$C$2:$C$500=$A140),'03_Warehouse_Movements'!$E$2:$E$500),$C140))</f>
        <v/>
      </c>
      <c r="E140" t="s">
        <v>157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399</v>
      </c>
      <c r="B141" s="4"/>
      <c r="D141" t="str">
        <f>IF($C141="","",IFERROR(LOOKUP(2,1/('03_Warehouse_Movements'!$C$2:$C$500=$A141),'03_Warehouse_Movements'!$E$2:$E$500),$C141))</f>
        <v/>
      </c>
      <c r="E141" t="s">
        <v>157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400</v>
      </c>
      <c r="B142" s="4"/>
      <c r="D142" t="str">
        <f>IF($C142="","",IFERROR(LOOKUP(2,1/('03_Warehouse_Movements'!$C$2:$C$500=$A142),'03_Warehouse_Movements'!$E$2:$E$500),$C142))</f>
        <v/>
      </c>
      <c r="E142" t="s">
        <v>157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401</v>
      </c>
      <c r="B143" s="4"/>
      <c r="D143" t="str">
        <f>IF($C143="","",IFERROR(LOOKUP(2,1/('03_Warehouse_Movements'!$C$2:$C$500=$A143),'03_Warehouse_Movements'!$E$2:$E$500),$C143))</f>
        <v/>
      </c>
      <c r="E143" t="s">
        <v>157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402</v>
      </c>
      <c r="B144" s="4"/>
      <c r="D144" t="str">
        <f>IF($C144="","",IFERROR(LOOKUP(2,1/('03_Warehouse_Movements'!$C$2:$C$500=$A144),'03_Warehouse_Movements'!$E$2:$E$500),$C144))</f>
        <v/>
      </c>
      <c r="E144" t="s">
        <v>157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403</v>
      </c>
      <c r="B145" s="4"/>
      <c r="D145" t="str">
        <f>IF($C145="","",IFERROR(LOOKUP(2,1/('03_Warehouse_Movements'!$C$2:$C$500=$A145),'03_Warehouse_Movements'!$E$2:$E$500),$C145))</f>
        <v/>
      </c>
      <c r="E145" t="s">
        <v>157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404</v>
      </c>
      <c r="B146" s="4"/>
      <c r="D146" t="str">
        <f>IF($C146="","",IFERROR(LOOKUP(2,1/('03_Warehouse_Movements'!$C$2:$C$500=$A146),'03_Warehouse_Movements'!$E$2:$E$500),$C146))</f>
        <v/>
      </c>
      <c r="E146" t="s">
        <v>157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405</v>
      </c>
      <c r="B147" s="4"/>
      <c r="D147" t="str">
        <f>IF($C147="","",IFERROR(LOOKUP(2,1/('03_Warehouse_Movements'!$C$2:$C$500=$A147),'03_Warehouse_Movements'!$E$2:$E$500),$C147))</f>
        <v/>
      </c>
      <c r="E147" t="s">
        <v>157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406</v>
      </c>
      <c r="B148" s="4"/>
      <c r="D148" t="str">
        <f>IF($C148="","",IFERROR(LOOKUP(2,1/('03_Warehouse_Movements'!$C$2:$C$500=$A148),'03_Warehouse_Movements'!$E$2:$E$500),$C148))</f>
        <v/>
      </c>
      <c r="E148" t="s">
        <v>157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407</v>
      </c>
      <c r="B149" s="4"/>
      <c r="D149" t="str">
        <f>IF($C149="","",IFERROR(LOOKUP(2,1/('03_Warehouse_Movements'!$C$2:$C$500=$A149),'03_Warehouse_Movements'!$E$2:$E$500),$C149))</f>
        <v/>
      </c>
      <c r="E149" t="s">
        <v>157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408</v>
      </c>
      <c r="B150" s="4"/>
      <c r="D150" t="str">
        <f>IF($C150="","",IFERROR(LOOKUP(2,1/('03_Warehouse_Movements'!$C$2:$C$500=$A150),'03_Warehouse_Movements'!$E$2:$E$500),$C150))</f>
        <v/>
      </c>
      <c r="E150" t="s">
        <v>157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409</v>
      </c>
      <c r="B151" s="4"/>
      <c r="D151" t="str">
        <f>IF($C151="","",IFERROR(LOOKUP(2,1/('03_Warehouse_Movements'!$C$2:$C$500=$A151),'03_Warehouse_Movements'!$E$2:$E$500),$C151))</f>
        <v/>
      </c>
      <c r="E151" t="s">
        <v>157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410</v>
      </c>
      <c r="B152" s="4"/>
      <c r="D152" t="str">
        <f>IF($C152="","",IFERROR(LOOKUP(2,1/('03_Warehouse_Movements'!$C$2:$C$500=$A152),'03_Warehouse_Movements'!$E$2:$E$500),$C152))</f>
        <v/>
      </c>
      <c r="E152" t="s">
        <v>157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411</v>
      </c>
      <c r="B153" s="4"/>
      <c r="D153" t="str">
        <f>IF($C153="","",IFERROR(LOOKUP(2,1/('03_Warehouse_Movements'!$C$2:$C$500=$A153),'03_Warehouse_Movements'!$E$2:$E$500),$C153))</f>
        <v/>
      </c>
      <c r="E153" t="s">
        <v>157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412</v>
      </c>
      <c r="B154" s="4"/>
      <c r="D154" t="str">
        <f>IF($C154="","",IFERROR(LOOKUP(2,1/('03_Warehouse_Movements'!$C$2:$C$500=$A154),'03_Warehouse_Movements'!$E$2:$E$500),$C154))</f>
        <v/>
      </c>
      <c r="E154" t="s">
        <v>157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413</v>
      </c>
      <c r="B155" s="4"/>
      <c r="D155" t="str">
        <f>IF($C155="","",IFERROR(LOOKUP(2,1/('03_Warehouse_Movements'!$C$2:$C$500=$A155),'03_Warehouse_Movements'!$E$2:$E$500),$C155))</f>
        <v/>
      </c>
      <c r="E155" t="s">
        <v>157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414</v>
      </c>
      <c r="B156" s="4"/>
      <c r="D156" t="str">
        <f>IF($C156="","",IFERROR(LOOKUP(2,1/('03_Warehouse_Movements'!$C$2:$C$500=$A156),'03_Warehouse_Movements'!$E$2:$E$500),$C156))</f>
        <v/>
      </c>
      <c r="E156" t="s">
        <v>157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415</v>
      </c>
      <c r="B157" s="4"/>
      <c r="D157" t="str">
        <f>IF($C157="","",IFERROR(LOOKUP(2,1/('03_Warehouse_Movements'!$C$2:$C$500=$A157),'03_Warehouse_Movements'!$E$2:$E$500),$C157))</f>
        <v/>
      </c>
      <c r="E157" t="s">
        <v>157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416</v>
      </c>
      <c r="B158" s="4"/>
      <c r="D158" t="str">
        <f>IF($C158="","",IFERROR(LOOKUP(2,1/('03_Warehouse_Movements'!$C$2:$C$500=$A158),'03_Warehouse_Movements'!$E$2:$E$500),$C158))</f>
        <v/>
      </c>
      <c r="E158" t="s">
        <v>157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417</v>
      </c>
      <c r="B159" s="4"/>
      <c r="D159" t="str">
        <f>IF($C159="","",IFERROR(LOOKUP(2,1/('03_Warehouse_Movements'!$C$2:$C$500=$A159),'03_Warehouse_Movements'!$E$2:$E$500),$C159))</f>
        <v/>
      </c>
      <c r="E159" t="s">
        <v>157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418</v>
      </c>
      <c r="B160" s="4"/>
      <c r="D160" t="str">
        <f>IF($C160="","",IFERROR(LOOKUP(2,1/('03_Warehouse_Movements'!$C$2:$C$500=$A160),'03_Warehouse_Movements'!$E$2:$E$500),$C160))</f>
        <v/>
      </c>
      <c r="E160" t="s">
        <v>157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419</v>
      </c>
      <c r="B161" s="4"/>
      <c r="D161" t="str">
        <f>IF($C161="","",IFERROR(LOOKUP(2,1/('03_Warehouse_Movements'!$C$2:$C$500=$A161),'03_Warehouse_Movements'!$E$2:$E$500),$C161))</f>
        <v/>
      </c>
      <c r="E161" t="s">
        <v>157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420</v>
      </c>
      <c r="B162" s="4"/>
      <c r="D162" t="str">
        <f>IF($C162="","",IFERROR(LOOKUP(2,1/('03_Warehouse_Movements'!$C$2:$C$500=$A162),'03_Warehouse_Movements'!$E$2:$E$500),$C162))</f>
        <v/>
      </c>
      <c r="E162" t="s">
        <v>157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421</v>
      </c>
      <c r="B163" s="4"/>
      <c r="D163" t="str">
        <f>IF($C163="","",IFERROR(LOOKUP(2,1/('03_Warehouse_Movements'!$C$2:$C$500=$A163),'03_Warehouse_Movements'!$E$2:$E$500),$C163))</f>
        <v/>
      </c>
      <c r="E163" t="s">
        <v>157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422</v>
      </c>
      <c r="B164" s="4"/>
      <c r="D164" t="str">
        <f>IF($C164="","",IFERROR(LOOKUP(2,1/('03_Warehouse_Movements'!$C$2:$C$500=$A164),'03_Warehouse_Movements'!$E$2:$E$500),$C164))</f>
        <v/>
      </c>
      <c r="E164" t="s">
        <v>157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423</v>
      </c>
      <c r="B165" s="4"/>
      <c r="D165" t="str">
        <f>IF($C165="","",IFERROR(LOOKUP(2,1/('03_Warehouse_Movements'!$C$2:$C$500=$A165),'03_Warehouse_Movements'!$E$2:$E$500),$C165))</f>
        <v/>
      </c>
      <c r="E165" t="s">
        <v>157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424</v>
      </c>
      <c r="B166" s="4"/>
      <c r="D166" t="str">
        <f>IF($C166="","",IFERROR(LOOKUP(2,1/('03_Warehouse_Movements'!$C$2:$C$500=$A166),'03_Warehouse_Movements'!$E$2:$E$500),$C166))</f>
        <v/>
      </c>
      <c r="E166" t="s">
        <v>157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425</v>
      </c>
      <c r="B167" s="4"/>
      <c r="D167" t="str">
        <f>IF($C167="","",IFERROR(LOOKUP(2,1/('03_Warehouse_Movements'!$C$2:$C$500=$A167),'03_Warehouse_Movements'!$E$2:$E$500),$C167))</f>
        <v/>
      </c>
      <c r="E167" t="s">
        <v>157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426</v>
      </c>
      <c r="B168" s="4"/>
      <c r="D168" t="str">
        <f>IF($C168="","",IFERROR(LOOKUP(2,1/('03_Warehouse_Movements'!$C$2:$C$500=$A168),'03_Warehouse_Movements'!$E$2:$E$500),$C168))</f>
        <v/>
      </c>
      <c r="E168" t="s">
        <v>157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427</v>
      </c>
      <c r="B169" s="4"/>
      <c r="D169" t="str">
        <f>IF($C169="","",IFERROR(LOOKUP(2,1/('03_Warehouse_Movements'!$C$2:$C$500=$A169),'03_Warehouse_Movements'!$E$2:$E$500),$C169))</f>
        <v/>
      </c>
      <c r="E169" t="s">
        <v>157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428</v>
      </c>
      <c r="B170" s="4"/>
      <c r="D170" t="str">
        <f>IF($C170="","",IFERROR(LOOKUP(2,1/('03_Warehouse_Movements'!$C$2:$C$500=$A170),'03_Warehouse_Movements'!$E$2:$E$500),$C170))</f>
        <v/>
      </c>
      <c r="E170" t="s">
        <v>157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429</v>
      </c>
      <c r="B171" s="4"/>
      <c r="D171" t="str">
        <f>IF($C171="","",IFERROR(LOOKUP(2,1/('03_Warehouse_Movements'!$C$2:$C$500=$A171),'03_Warehouse_Movements'!$E$2:$E$500),$C171))</f>
        <v/>
      </c>
      <c r="E171" t="s">
        <v>157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430</v>
      </c>
      <c r="B172" s="4"/>
      <c r="D172" t="str">
        <f>IF($C172="","",IFERROR(LOOKUP(2,1/('03_Warehouse_Movements'!$C$2:$C$500=$A172),'03_Warehouse_Movements'!$E$2:$E$500),$C172))</f>
        <v/>
      </c>
      <c r="E172" t="s">
        <v>157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431</v>
      </c>
      <c r="B173" s="4"/>
      <c r="D173" t="str">
        <f>IF($C173="","",IFERROR(LOOKUP(2,1/('03_Warehouse_Movements'!$C$2:$C$500=$A173),'03_Warehouse_Movements'!$E$2:$E$500),$C173))</f>
        <v/>
      </c>
      <c r="E173" t="s">
        <v>157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432</v>
      </c>
      <c r="B174" s="4"/>
      <c r="D174" t="str">
        <f>IF($C174="","",IFERROR(LOOKUP(2,1/('03_Warehouse_Movements'!$C$2:$C$500=$A174),'03_Warehouse_Movements'!$E$2:$E$500),$C174))</f>
        <v/>
      </c>
      <c r="E174" t="s">
        <v>157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433</v>
      </c>
      <c r="B175" s="4"/>
      <c r="D175" t="str">
        <f>IF($C175="","",IFERROR(LOOKUP(2,1/('03_Warehouse_Movements'!$C$2:$C$500=$A175),'03_Warehouse_Movements'!$E$2:$E$500),$C175))</f>
        <v/>
      </c>
      <c r="E175" t="s">
        <v>157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434</v>
      </c>
      <c r="B176" s="4"/>
      <c r="D176" t="str">
        <f>IF($C176="","",IFERROR(LOOKUP(2,1/('03_Warehouse_Movements'!$C$2:$C$500=$A176),'03_Warehouse_Movements'!$E$2:$E$500),$C176))</f>
        <v/>
      </c>
      <c r="E176" t="s">
        <v>157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435</v>
      </c>
      <c r="B177" s="4"/>
      <c r="D177" t="str">
        <f>IF($C177="","",IFERROR(LOOKUP(2,1/('03_Warehouse_Movements'!$C$2:$C$500=$A177),'03_Warehouse_Movements'!$E$2:$E$500),$C177))</f>
        <v/>
      </c>
      <c r="E177" t="s">
        <v>157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436</v>
      </c>
      <c r="B178" s="4"/>
      <c r="D178" t="str">
        <f>IF($C178="","",IFERROR(LOOKUP(2,1/('03_Warehouse_Movements'!$C$2:$C$500=$A178),'03_Warehouse_Movements'!$E$2:$E$500),$C178))</f>
        <v/>
      </c>
      <c r="E178" t="s">
        <v>157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437</v>
      </c>
      <c r="B179" s="4"/>
      <c r="D179" t="str">
        <f>IF($C179="","",IFERROR(LOOKUP(2,1/('03_Warehouse_Movements'!$C$2:$C$500=$A179),'03_Warehouse_Movements'!$E$2:$E$500),$C179))</f>
        <v/>
      </c>
      <c r="E179" t="s">
        <v>157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438</v>
      </c>
      <c r="B180" s="4"/>
      <c r="D180" t="str">
        <f>IF($C180="","",IFERROR(LOOKUP(2,1/('03_Warehouse_Movements'!$C$2:$C$500=$A180),'03_Warehouse_Movements'!$E$2:$E$500),$C180))</f>
        <v/>
      </c>
      <c r="E180" t="s">
        <v>157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439</v>
      </c>
      <c r="B181" s="4"/>
      <c r="D181" t="str">
        <f>IF($C181="","",IFERROR(LOOKUP(2,1/('03_Warehouse_Movements'!$C$2:$C$500=$A181),'03_Warehouse_Movements'!$E$2:$E$500),$C181))</f>
        <v/>
      </c>
      <c r="E181" t="s">
        <v>157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440</v>
      </c>
      <c r="B182" s="4"/>
      <c r="D182" t="str">
        <f>IF($C182="","",IFERROR(LOOKUP(2,1/('03_Warehouse_Movements'!$C$2:$C$500=$A182),'03_Warehouse_Movements'!$E$2:$E$500),$C182))</f>
        <v/>
      </c>
      <c r="E182" t="s">
        <v>157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441</v>
      </c>
      <c r="B183" s="4"/>
      <c r="D183" t="str">
        <f>IF($C183="","",IFERROR(LOOKUP(2,1/('03_Warehouse_Movements'!$C$2:$C$500=$A183),'03_Warehouse_Movements'!$E$2:$E$500),$C183))</f>
        <v/>
      </c>
      <c r="E183" t="s">
        <v>157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442</v>
      </c>
      <c r="B184" s="4"/>
      <c r="D184" t="str">
        <f>IF($C184="","",IFERROR(LOOKUP(2,1/('03_Warehouse_Movements'!$C$2:$C$500=$A184),'03_Warehouse_Movements'!$E$2:$E$500),$C184))</f>
        <v/>
      </c>
      <c r="E184" t="s">
        <v>157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443</v>
      </c>
      <c r="B185" s="4"/>
      <c r="D185" t="str">
        <f>IF($C185="","",IFERROR(LOOKUP(2,1/('03_Warehouse_Movements'!$C$2:$C$500=$A185),'03_Warehouse_Movements'!$E$2:$E$500),$C185))</f>
        <v/>
      </c>
      <c r="E185" t="s">
        <v>157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444</v>
      </c>
      <c r="B186" s="4"/>
      <c r="D186" t="str">
        <f>IF($C186="","",IFERROR(LOOKUP(2,1/('03_Warehouse_Movements'!$C$2:$C$500=$A186),'03_Warehouse_Movements'!$E$2:$E$500),$C186))</f>
        <v/>
      </c>
      <c r="E186" t="s">
        <v>157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445</v>
      </c>
      <c r="B187" s="4"/>
      <c r="D187" t="str">
        <f>IF($C187="","",IFERROR(LOOKUP(2,1/('03_Warehouse_Movements'!$C$2:$C$500=$A187),'03_Warehouse_Movements'!$E$2:$E$500),$C187))</f>
        <v/>
      </c>
      <c r="E187" t="s">
        <v>157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446</v>
      </c>
      <c r="B188" s="4"/>
      <c r="D188" t="str">
        <f>IF($C188="","",IFERROR(LOOKUP(2,1/('03_Warehouse_Movements'!$C$2:$C$500=$A188),'03_Warehouse_Movements'!$E$2:$E$500),$C188))</f>
        <v/>
      </c>
      <c r="E188" t="s">
        <v>157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447</v>
      </c>
      <c r="B189" s="4"/>
      <c r="D189" t="str">
        <f>IF($C189="","",IFERROR(LOOKUP(2,1/('03_Warehouse_Movements'!$C$2:$C$500=$A189),'03_Warehouse_Movements'!$E$2:$E$500),$C189))</f>
        <v/>
      </c>
      <c r="E189" t="s">
        <v>157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448</v>
      </c>
      <c r="B190" s="4"/>
      <c r="D190" t="str">
        <f>IF($C190="","",IFERROR(LOOKUP(2,1/('03_Warehouse_Movements'!$C$2:$C$500=$A190),'03_Warehouse_Movements'!$E$2:$E$500),$C190))</f>
        <v/>
      </c>
      <c r="E190" t="s">
        <v>157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449</v>
      </c>
      <c r="B191" s="4"/>
      <c r="D191" t="str">
        <f>IF($C191="","",IFERROR(LOOKUP(2,1/('03_Warehouse_Movements'!$C$2:$C$500=$A191),'03_Warehouse_Movements'!$E$2:$E$500),$C191))</f>
        <v/>
      </c>
      <c r="E191" t="s">
        <v>157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450</v>
      </c>
      <c r="B192" s="4"/>
      <c r="D192" t="str">
        <f>IF($C192="","",IFERROR(LOOKUP(2,1/('03_Warehouse_Movements'!$C$2:$C$500=$A192),'03_Warehouse_Movements'!$E$2:$E$500),$C192))</f>
        <v/>
      </c>
      <c r="E192" t="s">
        <v>157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451</v>
      </c>
      <c r="B193" s="4"/>
      <c r="D193" t="str">
        <f>IF($C193="","",IFERROR(LOOKUP(2,1/('03_Warehouse_Movements'!$C$2:$C$500=$A193),'03_Warehouse_Movements'!$E$2:$E$500),$C193))</f>
        <v/>
      </c>
      <c r="E193" t="s">
        <v>157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452</v>
      </c>
      <c r="B194" s="4"/>
      <c r="D194" t="str">
        <f>IF($C194="","",IFERROR(LOOKUP(2,1/('03_Warehouse_Movements'!$C$2:$C$500=$A194),'03_Warehouse_Movements'!$E$2:$E$500),$C194))</f>
        <v/>
      </c>
      <c r="E194" t="s">
        <v>157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453</v>
      </c>
      <c r="B195" s="4"/>
      <c r="D195" t="str">
        <f>IF($C195="","",IFERROR(LOOKUP(2,1/('03_Warehouse_Movements'!$C$2:$C$500=$A195),'03_Warehouse_Movements'!$E$2:$E$500),$C195))</f>
        <v/>
      </c>
      <c r="E195" t="s">
        <v>157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454</v>
      </c>
      <c r="B196" s="4"/>
      <c r="D196" t="str">
        <f>IF($C196="","",IFERROR(LOOKUP(2,1/('03_Warehouse_Movements'!$C$2:$C$500=$A196),'03_Warehouse_Movements'!$E$2:$E$500),$C196))</f>
        <v/>
      </c>
      <c r="E196" t="s">
        <v>157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455</v>
      </c>
      <c r="B197" s="4"/>
      <c r="D197" t="str">
        <f>IF($C197="","",IFERROR(LOOKUP(2,1/('03_Warehouse_Movements'!$C$2:$C$500=$A197),'03_Warehouse_Movements'!$E$2:$E$500),$C197))</f>
        <v/>
      </c>
      <c r="E197" t="s">
        <v>157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456</v>
      </c>
      <c r="B198" s="4"/>
      <c r="D198" t="str">
        <f>IF($C198="","",IFERROR(LOOKUP(2,1/('03_Warehouse_Movements'!$C$2:$C$500=$A198),'03_Warehouse_Movements'!$E$2:$E$500),$C198))</f>
        <v/>
      </c>
      <c r="E198" t="s">
        <v>157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457</v>
      </c>
      <c r="B199" s="4"/>
      <c r="D199" t="str">
        <f>IF($C199="","",IFERROR(LOOKUP(2,1/('03_Warehouse_Movements'!$C$2:$C$500=$A199),'03_Warehouse_Movements'!$E$2:$E$500),$C199))</f>
        <v/>
      </c>
      <c r="E199" t="s">
        <v>157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458</v>
      </c>
      <c r="B200" s="24"/>
      <c r="D200" t="str">
        <f>IF($C200="","",IFERROR(LOOKUP(2,1/('03_Warehouse_Movements'!$C$2:$C$500=$A200),'03_Warehouse_Movements'!$E$2:$E$500),$C200))</f>
        <v/>
      </c>
      <c r="E200" t="s">
        <v>157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459</v>
      </c>
      <c r="B201" s="24"/>
      <c r="D201" t="str">
        <f>IF($C201="","",IFERROR(LOOKUP(2,1/('03_Warehouse_Movements'!$C$2:$C$500=$A201),'03_Warehouse_Movements'!$E$2:$E$500),$C201))</f>
        <v/>
      </c>
      <c r="E201" t="s">
        <v>157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460</v>
      </c>
      <c r="B202" s="24"/>
      <c r="D202" t="str">
        <f>IF($C202="","",IFERROR(LOOKUP(2,1/('03_Warehouse_Movements'!$C$2:$C$500=$A202),'03_Warehouse_Movements'!$E$2:$E$500),$C202))</f>
        <v/>
      </c>
      <c r="E202" t="s">
        <v>157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461</v>
      </c>
      <c r="B203" s="24"/>
      <c r="D203" t="str">
        <f>IF($C203="","",IFERROR(LOOKUP(2,1/('03_Warehouse_Movements'!$C$2:$C$500=$A203),'03_Warehouse_Movements'!$E$2:$E$500),$C203))</f>
        <v/>
      </c>
      <c r="E203" t="s">
        <v>157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462</v>
      </c>
      <c r="B204" s="24"/>
      <c r="D204" t="str">
        <f>IF($C204="","",IFERROR(LOOKUP(2,1/('03_Warehouse_Movements'!$C$2:$C$500=$A204),'03_Warehouse_Movements'!$E$2:$E$500),$C204))</f>
        <v/>
      </c>
      <c r="E204" t="s">
        <v>157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463</v>
      </c>
      <c r="B205" s="24"/>
      <c r="D205" t="str">
        <f>IF($C205="","",IFERROR(LOOKUP(2,1/('03_Warehouse_Movements'!$C$2:$C$500=$A205),'03_Warehouse_Movements'!$E$2:$E$500),$C205))</f>
        <v/>
      </c>
      <c r="E205" t="s">
        <v>157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464</v>
      </c>
      <c r="B206" s="24"/>
      <c r="D206" t="str">
        <f>IF($C206="","",IFERROR(LOOKUP(2,1/('03_Warehouse_Movements'!$C$2:$C$500=$A206),'03_Warehouse_Movements'!$E$2:$E$500),$C206))</f>
        <v/>
      </c>
      <c r="E206" t="s">
        <v>157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465</v>
      </c>
      <c r="B207" s="24"/>
      <c r="D207" t="str">
        <f>IF($C207="","",IFERROR(LOOKUP(2,1/('03_Warehouse_Movements'!$C$2:$C$500=$A207),'03_Warehouse_Movements'!$E$2:$E$500),$C207))</f>
        <v/>
      </c>
      <c r="E207" t="s">
        <v>157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466</v>
      </c>
      <c r="B208" s="24"/>
      <c r="D208" t="str">
        <f>IF($C208="","",IFERROR(LOOKUP(2,1/('03_Warehouse_Movements'!$C$2:$C$500=$A208),'03_Warehouse_Movements'!$E$2:$E$500),$C208))</f>
        <v/>
      </c>
      <c r="E208" t="s">
        <v>157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467</v>
      </c>
      <c r="B209" s="24"/>
      <c r="D209" t="str">
        <f>IF($C209="","",IFERROR(LOOKUP(2,1/('03_Warehouse_Movements'!$C$2:$C$500=$A209),'03_Warehouse_Movements'!$E$2:$E$500),$C209))</f>
        <v/>
      </c>
      <c r="E209" t="s">
        <v>157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468</v>
      </c>
      <c r="B210" s="24"/>
      <c r="D210" t="str">
        <f>IF($C210="","",IFERROR(LOOKUP(2,1/('03_Warehouse_Movements'!$C$2:$C$500=$A210),'03_Warehouse_Movements'!$E$2:$E$500),$C210))</f>
        <v/>
      </c>
      <c r="E210" t="s">
        <v>157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469</v>
      </c>
      <c r="B211" s="24"/>
      <c r="D211" t="str">
        <f>IF($C211="","",IFERROR(LOOKUP(2,1/('03_Warehouse_Movements'!$C$2:$C$500=$A211),'03_Warehouse_Movements'!$E$2:$E$500),$C211))</f>
        <v/>
      </c>
      <c r="E211" t="s">
        <v>157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470</v>
      </c>
      <c r="B212" s="24"/>
      <c r="D212" t="str">
        <f>IF($C212="","",IFERROR(LOOKUP(2,1/('03_Warehouse_Movements'!$C$2:$C$500=$A212),'03_Warehouse_Movements'!$E$2:$E$500),$C212))</f>
        <v/>
      </c>
      <c r="E212" t="s">
        <v>157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471</v>
      </c>
      <c r="B213" s="24"/>
      <c r="D213" t="str">
        <f>IF($C213="","",IFERROR(LOOKUP(2,1/('03_Warehouse_Movements'!$C$2:$C$500=$A213),'03_Warehouse_Movements'!$E$2:$E$500),$C213))</f>
        <v/>
      </c>
      <c r="E213" t="s">
        <v>157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472</v>
      </c>
      <c r="B214" s="24"/>
      <c r="D214" t="str">
        <f>IF($C214="","",IFERROR(LOOKUP(2,1/('03_Warehouse_Movements'!$C$2:$C$500=$A214),'03_Warehouse_Movements'!$E$2:$E$500),$C214))</f>
        <v/>
      </c>
      <c r="E214" t="s">
        <v>157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473</v>
      </c>
      <c r="B215" s="24"/>
      <c r="D215" t="str">
        <f>IF($C215="","",IFERROR(LOOKUP(2,1/('03_Warehouse_Movements'!$C$2:$C$500=$A215),'03_Warehouse_Movements'!$E$2:$E$500),$C215))</f>
        <v/>
      </c>
      <c r="E215" t="s">
        <v>157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474</v>
      </c>
      <c r="B216" s="24"/>
      <c r="D216" t="str">
        <f>IF($C216="","",IFERROR(LOOKUP(2,1/('03_Warehouse_Movements'!$C$2:$C$500=$A216),'03_Warehouse_Movements'!$E$2:$E$500),$C216))</f>
        <v/>
      </c>
      <c r="E216" t="s">
        <v>157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475</v>
      </c>
      <c r="B217" s="24"/>
      <c r="D217" t="str">
        <f>IF($C217="","",IFERROR(LOOKUP(2,1/('03_Warehouse_Movements'!$C$2:$C$500=$A217),'03_Warehouse_Movements'!$E$2:$E$500),$C217))</f>
        <v/>
      </c>
      <c r="E217" t="s">
        <v>157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476</v>
      </c>
      <c r="B218" s="24"/>
      <c r="D218" t="str">
        <f>IF($C218="","",IFERROR(LOOKUP(2,1/('03_Warehouse_Movements'!$C$2:$C$500=$A218),'03_Warehouse_Movements'!$E$2:$E$500),$C218))</f>
        <v/>
      </c>
      <c r="E218" t="s">
        <v>157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477</v>
      </c>
      <c r="B219" s="24"/>
      <c r="D219" t="str">
        <f>IF($C219="","",IFERROR(LOOKUP(2,1/('03_Warehouse_Movements'!$C$2:$C$500=$A219),'03_Warehouse_Movements'!$E$2:$E$500),$C219))</f>
        <v/>
      </c>
      <c r="E219" t="s">
        <v>157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478</v>
      </c>
      <c r="B220" s="24"/>
      <c r="D220" t="str">
        <f>IF($C220="","",IFERROR(LOOKUP(2,1/('03_Warehouse_Movements'!$C$2:$C$500=$A220),'03_Warehouse_Movements'!$E$2:$E$500),$C220))</f>
        <v/>
      </c>
      <c r="E220" t="s">
        <v>157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479</v>
      </c>
      <c r="B221" s="24"/>
      <c r="D221" t="str">
        <f>IF($C221="","",IFERROR(LOOKUP(2,1/('03_Warehouse_Movements'!$C$2:$C$500=$A221),'03_Warehouse_Movements'!$E$2:$E$500),$C221))</f>
        <v/>
      </c>
      <c r="E221" t="s">
        <v>157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480</v>
      </c>
      <c r="B222" s="24"/>
      <c r="D222" t="str">
        <f>IF($C222="","",IFERROR(LOOKUP(2,1/('03_Warehouse_Movements'!$C$2:$C$500=$A222),'03_Warehouse_Movements'!$E$2:$E$500),$C222))</f>
        <v/>
      </c>
      <c r="E222" t="s">
        <v>157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481</v>
      </c>
      <c r="B223" s="24"/>
      <c r="D223" t="str">
        <f>IF($C223="","",IFERROR(LOOKUP(2,1/('03_Warehouse_Movements'!$C$2:$C$500=$A223),'03_Warehouse_Movements'!$E$2:$E$500),$C223))</f>
        <v/>
      </c>
      <c r="E223" t="s">
        <v>157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482</v>
      </c>
      <c r="B224" s="24"/>
      <c r="D224" t="str">
        <f>IF($C224="","",IFERROR(LOOKUP(2,1/('03_Warehouse_Movements'!$C$2:$C$500=$A224),'03_Warehouse_Movements'!$E$2:$E$500),$C224))</f>
        <v/>
      </c>
      <c r="E224" t="s">
        <v>157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483</v>
      </c>
      <c r="B225" s="24"/>
      <c r="D225" t="str">
        <f>IF($C225="","",IFERROR(LOOKUP(2,1/('03_Warehouse_Movements'!$C$2:$C$500=$A225),'03_Warehouse_Movements'!$E$2:$E$500),$C225))</f>
        <v/>
      </c>
      <c r="E225" t="s">
        <v>157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484</v>
      </c>
      <c r="B226" s="24"/>
      <c r="D226" t="str">
        <f>IF($C226="","",IFERROR(LOOKUP(2,1/('03_Warehouse_Movements'!$C$2:$C$500=$A226),'03_Warehouse_Movements'!$E$2:$E$500),$C226))</f>
        <v/>
      </c>
      <c r="E226" t="s">
        <v>157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485</v>
      </c>
      <c r="B227" s="24"/>
      <c r="D227" t="str">
        <f>IF($C227="","",IFERROR(LOOKUP(2,1/('03_Warehouse_Movements'!$C$2:$C$500=$A227),'03_Warehouse_Movements'!$E$2:$E$500),$C227))</f>
        <v/>
      </c>
      <c r="E227" t="s">
        <v>157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486</v>
      </c>
      <c r="B228" s="24"/>
      <c r="D228" t="str">
        <f>IF($C228="","",IFERROR(LOOKUP(2,1/('03_Warehouse_Movements'!$C$2:$C$500=$A228),'03_Warehouse_Movements'!$E$2:$E$500),$C228))</f>
        <v/>
      </c>
      <c r="E228" t="s">
        <v>157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487</v>
      </c>
      <c r="B229" s="24"/>
      <c r="D229" t="str">
        <f>IF($C229="","",IFERROR(LOOKUP(2,1/('03_Warehouse_Movements'!$C$2:$C$500=$A229),'03_Warehouse_Movements'!$E$2:$E$500),$C229))</f>
        <v/>
      </c>
      <c r="E229" t="s">
        <v>157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488</v>
      </c>
      <c r="B230" s="24"/>
      <c r="D230" t="str">
        <f>IF($C230="","",IFERROR(LOOKUP(2,1/('03_Warehouse_Movements'!$C$2:$C$500=$A230),'03_Warehouse_Movements'!$E$2:$E$500),$C230))</f>
        <v/>
      </c>
      <c r="E230" t="s">
        <v>157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489</v>
      </c>
      <c r="B231" s="24"/>
      <c r="D231" t="str">
        <f>IF($C231="","",IFERROR(LOOKUP(2,1/('03_Warehouse_Movements'!$C$2:$C$500=$A231),'03_Warehouse_Movements'!$E$2:$E$500),$C231))</f>
        <v/>
      </c>
      <c r="E231" t="s">
        <v>157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490</v>
      </c>
      <c r="B232" s="24"/>
      <c r="D232" t="str">
        <f>IF($C232="","",IFERROR(LOOKUP(2,1/('03_Warehouse_Movements'!$C$2:$C$500=$A232),'03_Warehouse_Movements'!$E$2:$E$500),$C232))</f>
        <v/>
      </c>
      <c r="E232" t="s">
        <v>157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491</v>
      </c>
      <c r="B233" s="24"/>
      <c r="D233" t="str">
        <f>IF($C233="","",IFERROR(LOOKUP(2,1/('03_Warehouse_Movements'!$C$2:$C$500=$A233),'03_Warehouse_Movements'!$E$2:$E$500),$C233))</f>
        <v/>
      </c>
      <c r="E233" t="s">
        <v>157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492</v>
      </c>
      <c r="B234" s="24"/>
      <c r="D234" t="str">
        <f>IF($C234="","",IFERROR(LOOKUP(2,1/('03_Warehouse_Movements'!$C$2:$C$500=$A234),'03_Warehouse_Movements'!$E$2:$E$500),$C234))</f>
        <v/>
      </c>
      <c r="E234" t="s">
        <v>157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493</v>
      </c>
      <c r="B235" s="24"/>
      <c r="D235" t="str">
        <f>IF($C235="","",IFERROR(LOOKUP(2,1/('03_Warehouse_Movements'!$C$2:$C$500=$A235),'03_Warehouse_Movements'!$E$2:$E$500),$C235))</f>
        <v/>
      </c>
      <c r="E235" t="s">
        <v>157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494</v>
      </c>
      <c r="B236" s="24"/>
      <c r="D236" t="str">
        <f>IF($C236="","",IFERROR(LOOKUP(2,1/('03_Warehouse_Movements'!$C$2:$C$500=$A236),'03_Warehouse_Movements'!$E$2:$E$500),$C236))</f>
        <v/>
      </c>
      <c r="E236" t="s">
        <v>157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495</v>
      </c>
      <c r="B237" s="24"/>
      <c r="D237" t="str">
        <f>IF($C237="","",IFERROR(LOOKUP(2,1/('03_Warehouse_Movements'!$C$2:$C$500=$A237),'03_Warehouse_Movements'!$E$2:$E$500),$C237))</f>
        <v/>
      </c>
      <c r="E237" t="s">
        <v>157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496</v>
      </c>
      <c r="B238" s="24"/>
      <c r="D238" t="str">
        <f>IF($C238="","",IFERROR(LOOKUP(2,1/('03_Warehouse_Movements'!$C$2:$C$500=$A238),'03_Warehouse_Movements'!$E$2:$E$500),$C238))</f>
        <v/>
      </c>
      <c r="E238" t="s">
        <v>157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497</v>
      </c>
      <c r="B239" s="24"/>
      <c r="D239" t="str">
        <f>IF($C239="","",IFERROR(LOOKUP(2,1/('03_Warehouse_Movements'!$C$2:$C$500=$A239),'03_Warehouse_Movements'!$E$2:$E$500),$C239))</f>
        <v/>
      </c>
      <c r="E239" t="s">
        <v>157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498</v>
      </c>
      <c r="B240" s="24"/>
      <c r="D240" t="str">
        <f>IF($C240="","",IFERROR(LOOKUP(2,1/('03_Warehouse_Movements'!$C$2:$C$500=$A240),'03_Warehouse_Movements'!$E$2:$E$500),$C240))</f>
        <v/>
      </c>
      <c r="E240" t="s">
        <v>157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499</v>
      </c>
      <c r="B241" s="24"/>
      <c r="D241" t="str">
        <f>IF($C241="","",IFERROR(LOOKUP(2,1/('03_Warehouse_Movements'!$C$2:$C$500=$A241),'03_Warehouse_Movements'!$E$2:$E$500),$C241))</f>
        <v/>
      </c>
      <c r="E241" t="s">
        <v>157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500</v>
      </c>
      <c r="B242" s="24"/>
      <c r="D242" t="str">
        <f>IF($C242="","",IFERROR(LOOKUP(2,1/('03_Warehouse_Movements'!$C$2:$C$500=$A242),'03_Warehouse_Movements'!$E$2:$E$500),$C242))</f>
        <v/>
      </c>
      <c r="E242" t="s">
        <v>157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501</v>
      </c>
      <c r="B243" s="24"/>
      <c r="D243" t="str">
        <f>IF($C243="","",IFERROR(LOOKUP(2,1/('03_Warehouse_Movements'!$C$2:$C$500=$A243),'03_Warehouse_Movements'!$E$2:$E$500),$C243))</f>
        <v/>
      </c>
      <c r="E243" t="s">
        <v>157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502</v>
      </c>
      <c r="B244" s="24"/>
      <c r="D244" t="str">
        <f>IF($C244="","",IFERROR(LOOKUP(2,1/('03_Warehouse_Movements'!$C$2:$C$500=$A244),'03_Warehouse_Movements'!$E$2:$E$500),$C244))</f>
        <v/>
      </c>
      <c r="E244" t="s">
        <v>157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503</v>
      </c>
      <c r="B245" s="24"/>
      <c r="D245" t="str">
        <f>IF($C245="","",IFERROR(LOOKUP(2,1/('03_Warehouse_Movements'!$C$2:$C$500=$A245),'03_Warehouse_Movements'!$E$2:$E$500),$C245))</f>
        <v/>
      </c>
      <c r="E245" t="s">
        <v>157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504</v>
      </c>
      <c r="B246" s="24"/>
      <c r="D246" t="str">
        <f>IF($C246="","",IFERROR(LOOKUP(2,1/('03_Warehouse_Movements'!$C$2:$C$500=$A246),'03_Warehouse_Movements'!$E$2:$E$500),$C246))</f>
        <v/>
      </c>
      <c r="E246" t="s">
        <v>157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505</v>
      </c>
      <c r="B247" s="24"/>
      <c r="D247" t="str">
        <f>IF($C247="","",IFERROR(LOOKUP(2,1/('03_Warehouse_Movements'!$C$2:$C$500=$A247),'03_Warehouse_Movements'!$E$2:$E$500),$C247))</f>
        <v/>
      </c>
      <c r="E247" t="s">
        <v>157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506</v>
      </c>
      <c r="B248" s="24"/>
      <c r="D248" t="str">
        <f>IF($C248="","",IFERROR(LOOKUP(2,1/('03_Warehouse_Movements'!$C$2:$C$500=$A248),'03_Warehouse_Movements'!$E$2:$E$500),$C248))</f>
        <v/>
      </c>
      <c r="E248" t="s">
        <v>157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507</v>
      </c>
      <c r="B249" s="24"/>
      <c r="D249" t="str">
        <f>IF($C249="","",IFERROR(LOOKUP(2,1/('03_Warehouse_Movements'!$C$2:$C$500=$A249),'03_Warehouse_Movements'!$E$2:$E$500),$C249))</f>
        <v/>
      </c>
      <c r="E249" t="s">
        <v>157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508</v>
      </c>
      <c r="B250" s="24"/>
      <c r="D250" t="str">
        <f>IF($C250="","",IFERROR(LOOKUP(2,1/('03_Warehouse_Movements'!$C$2:$C$500=$A250),'03_Warehouse_Movements'!$E$2:$E$500),$C250))</f>
        <v/>
      </c>
      <c r="E250" t="s">
        <v>157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509</v>
      </c>
      <c r="B251" s="24"/>
      <c r="D251" t="str">
        <f>IF($C251="","",IFERROR(LOOKUP(2,1/('03_Warehouse_Movements'!$C$2:$C$500=$A251),'03_Warehouse_Movements'!$E$2:$E$500),$C251))</f>
        <v/>
      </c>
      <c r="E251" t="s">
        <v>157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510</v>
      </c>
      <c r="B252" s="24"/>
      <c r="D252" t="str">
        <f>IF($C252="","",IFERROR(LOOKUP(2,1/('03_Warehouse_Movements'!$C$2:$C$500=$A252),'03_Warehouse_Movements'!$E$2:$E$500),$C252))</f>
        <v/>
      </c>
      <c r="E252" t="s">
        <v>157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511</v>
      </c>
      <c r="B253" s="24"/>
      <c r="D253" t="str">
        <f>IF($C253="","",IFERROR(LOOKUP(2,1/('03_Warehouse_Movements'!$C$2:$C$500=$A253),'03_Warehouse_Movements'!$E$2:$E$500),$C253))</f>
        <v/>
      </c>
      <c r="E253" t="s">
        <v>157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512</v>
      </c>
      <c r="B254" s="24"/>
      <c r="D254" t="str">
        <f>IF($C254="","",IFERROR(LOOKUP(2,1/('03_Warehouse_Movements'!$C$2:$C$500=$A254),'03_Warehouse_Movements'!$E$2:$E$500),$C254))</f>
        <v/>
      </c>
      <c r="E254" t="s">
        <v>157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513</v>
      </c>
      <c r="B255" s="24"/>
      <c r="D255" t="str">
        <f>IF($C255="","",IFERROR(LOOKUP(2,1/('03_Warehouse_Movements'!$C$2:$C$500=$A255),'03_Warehouse_Movements'!$E$2:$E$500),$C255))</f>
        <v/>
      </c>
      <c r="E255" t="s">
        <v>157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514</v>
      </c>
      <c r="B256" s="24"/>
      <c r="D256" t="str">
        <f>IF($C256="","",IFERROR(LOOKUP(2,1/('03_Warehouse_Movements'!$C$2:$C$500=$A256),'03_Warehouse_Movements'!$E$2:$E$500),$C256))</f>
        <v/>
      </c>
      <c r="E256" t="s">
        <v>157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515</v>
      </c>
      <c r="B257" s="24"/>
      <c r="D257" t="str">
        <f>IF($C257="","",IFERROR(LOOKUP(2,1/('03_Warehouse_Movements'!$C$2:$C$500=$A257),'03_Warehouse_Movements'!$E$2:$E$500),$C257))</f>
        <v/>
      </c>
      <c r="E257" t="s">
        <v>157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516</v>
      </c>
      <c r="B258" s="24"/>
      <c r="D258" t="str">
        <f>IF($C258="","",IFERROR(LOOKUP(2,1/('03_Warehouse_Movements'!$C$2:$C$500=$A258),'03_Warehouse_Movements'!$E$2:$E$500),$C258))</f>
        <v/>
      </c>
      <c r="E258" t="s">
        <v>157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517</v>
      </c>
      <c r="B259" s="24"/>
      <c r="D259" t="str">
        <f>IF($C259="","",IFERROR(LOOKUP(2,1/('03_Warehouse_Movements'!$C$2:$C$500=$A259),'03_Warehouse_Movements'!$E$2:$E$500),$C259))</f>
        <v/>
      </c>
      <c r="E259" t="s">
        <v>157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518</v>
      </c>
      <c r="B260" s="24"/>
      <c r="D260" t="str">
        <f>IF($C260="","",IFERROR(LOOKUP(2,1/('03_Warehouse_Movements'!$C$2:$C$500=$A260),'03_Warehouse_Movements'!$E$2:$E$500),$C260))</f>
        <v/>
      </c>
      <c r="E260" t="s">
        <v>157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519</v>
      </c>
      <c r="B261" s="24"/>
      <c r="D261" t="str">
        <f>IF($C261="","",IFERROR(LOOKUP(2,1/('03_Warehouse_Movements'!$C$2:$C$500=$A261),'03_Warehouse_Movements'!$E$2:$E$500),$C261))</f>
        <v/>
      </c>
      <c r="E261" t="s">
        <v>157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520</v>
      </c>
      <c r="B262" s="24"/>
      <c r="D262" t="str">
        <f>IF($C262="","",IFERROR(LOOKUP(2,1/('03_Warehouse_Movements'!$C$2:$C$500=$A262),'03_Warehouse_Movements'!$E$2:$E$500),$C262))</f>
        <v/>
      </c>
      <c r="E262" t="s">
        <v>157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521</v>
      </c>
      <c r="B263" s="24"/>
      <c r="D263" t="str">
        <f>IF($C263="","",IFERROR(LOOKUP(2,1/('03_Warehouse_Movements'!$C$2:$C$500=$A263),'03_Warehouse_Movements'!$E$2:$E$500),$C263))</f>
        <v/>
      </c>
      <c r="E263" t="s">
        <v>157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522</v>
      </c>
      <c r="B264" s="24"/>
      <c r="D264" t="str">
        <f>IF($C264="","",IFERROR(LOOKUP(2,1/('03_Warehouse_Movements'!$C$2:$C$500=$A264),'03_Warehouse_Movements'!$E$2:$E$500),$C264))</f>
        <v/>
      </c>
      <c r="E264" t="s">
        <v>157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523</v>
      </c>
      <c r="B265" s="24"/>
      <c r="D265" t="str">
        <f>IF($C265="","",IFERROR(LOOKUP(2,1/('03_Warehouse_Movements'!$C$2:$C$500=$A265),'03_Warehouse_Movements'!$E$2:$E$500),$C265))</f>
        <v/>
      </c>
      <c r="E265" t="s">
        <v>157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524</v>
      </c>
      <c r="B266" s="24"/>
      <c r="D266" t="str">
        <f>IF($C266="","",IFERROR(LOOKUP(2,1/('03_Warehouse_Movements'!$C$2:$C$500=$A266),'03_Warehouse_Movements'!$E$2:$E$500),$C266))</f>
        <v/>
      </c>
      <c r="E266" t="s">
        <v>157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525</v>
      </c>
      <c r="B267" s="24"/>
      <c r="D267" t="str">
        <f>IF($C267="","",IFERROR(LOOKUP(2,1/('03_Warehouse_Movements'!$C$2:$C$500=$A267),'03_Warehouse_Movements'!$E$2:$E$500),$C267))</f>
        <v/>
      </c>
      <c r="E267" t="s">
        <v>157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526</v>
      </c>
      <c r="B268" s="24"/>
      <c r="D268" t="str">
        <f>IF($C268="","",IFERROR(LOOKUP(2,1/('03_Warehouse_Movements'!$C$2:$C$500=$A268),'03_Warehouse_Movements'!$E$2:$E$500),$C268))</f>
        <v/>
      </c>
      <c r="E268" t="s">
        <v>157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527</v>
      </c>
      <c r="B269" s="24"/>
      <c r="D269" t="str">
        <f>IF($C269="","",IFERROR(LOOKUP(2,1/('03_Warehouse_Movements'!$C$2:$C$500=$A269),'03_Warehouse_Movements'!$E$2:$E$500),$C269))</f>
        <v/>
      </c>
      <c r="E269" t="s">
        <v>157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528</v>
      </c>
      <c r="B270" s="24"/>
      <c r="D270" t="str">
        <f>IF($C270="","",IFERROR(LOOKUP(2,1/('03_Warehouse_Movements'!$C$2:$C$500=$A270),'03_Warehouse_Movements'!$E$2:$E$500),$C270))</f>
        <v/>
      </c>
      <c r="E270" t="s">
        <v>157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529</v>
      </c>
      <c r="B271" s="24"/>
      <c r="D271" t="str">
        <f>IF($C271="","",IFERROR(LOOKUP(2,1/('03_Warehouse_Movements'!$C$2:$C$500=$A271),'03_Warehouse_Movements'!$E$2:$E$500),$C271))</f>
        <v/>
      </c>
      <c r="E271" t="s">
        <v>157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530</v>
      </c>
      <c r="B272" s="24"/>
      <c r="D272" t="str">
        <f>IF($C272="","",IFERROR(LOOKUP(2,1/('03_Warehouse_Movements'!$C$2:$C$500=$A272),'03_Warehouse_Movements'!$E$2:$E$500),$C272))</f>
        <v/>
      </c>
      <c r="E272" t="s">
        <v>157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531</v>
      </c>
      <c r="B273" s="24"/>
      <c r="D273" t="str">
        <f>IF($C273="","",IFERROR(LOOKUP(2,1/('03_Warehouse_Movements'!$C$2:$C$500=$A273),'03_Warehouse_Movements'!$E$2:$E$500),$C273))</f>
        <v/>
      </c>
      <c r="E273" t="s">
        <v>157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532</v>
      </c>
      <c r="B274" s="24"/>
      <c r="D274" t="str">
        <f>IF($C274="","",IFERROR(LOOKUP(2,1/('03_Warehouse_Movements'!$C$2:$C$500=$A274),'03_Warehouse_Movements'!$E$2:$E$500),$C274))</f>
        <v/>
      </c>
      <c r="E274" t="s">
        <v>157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533</v>
      </c>
      <c r="B275" s="24"/>
      <c r="D275" t="str">
        <f>IF($C275="","",IFERROR(LOOKUP(2,1/('03_Warehouse_Movements'!$C$2:$C$500=$A275),'03_Warehouse_Movements'!$E$2:$E$500),$C275))</f>
        <v/>
      </c>
      <c r="E275" t="s">
        <v>157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534</v>
      </c>
      <c r="B276" s="24"/>
      <c r="D276" t="str">
        <f>IF($C276="","",IFERROR(LOOKUP(2,1/('03_Warehouse_Movements'!$C$2:$C$500=$A276),'03_Warehouse_Movements'!$E$2:$E$500),$C276))</f>
        <v/>
      </c>
      <c r="E276" t="s">
        <v>157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535</v>
      </c>
      <c r="B277" s="24"/>
      <c r="D277" t="str">
        <f>IF($C277="","",IFERROR(LOOKUP(2,1/('03_Warehouse_Movements'!$C$2:$C$500=$A277),'03_Warehouse_Movements'!$E$2:$E$500),$C277))</f>
        <v/>
      </c>
      <c r="E277" t="s">
        <v>157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536</v>
      </c>
      <c r="B278" s="24"/>
      <c r="D278" t="str">
        <f>IF($C278="","",IFERROR(LOOKUP(2,1/('03_Warehouse_Movements'!$C$2:$C$500=$A278),'03_Warehouse_Movements'!$E$2:$E$500),$C278))</f>
        <v/>
      </c>
      <c r="E278" t="s">
        <v>157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537</v>
      </c>
      <c r="B279" s="24"/>
      <c r="D279" t="str">
        <f>IF($C279="","",IFERROR(LOOKUP(2,1/('03_Warehouse_Movements'!$C$2:$C$500=$A279),'03_Warehouse_Movements'!$E$2:$E$500),$C279))</f>
        <v/>
      </c>
      <c r="E279" t="s">
        <v>157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538</v>
      </c>
      <c r="B280" s="24"/>
      <c r="D280" t="str">
        <f>IF($C280="","",IFERROR(LOOKUP(2,1/('03_Warehouse_Movements'!$C$2:$C$500=$A280),'03_Warehouse_Movements'!$E$2:$E$500),$C280))</f>
        <v/>
      </c>
      <c r="E280" t="s">
        <v>157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539</v>
      </c>
      <c r="B281" s="24"/>
      <c r="D281" t="str">
        <f>IF($C281="","",IFERROR(LOOKUP(2,1/('03_Warehouse_Movements'!$C$2:$C$500=$A281),'03_Warehouse_Movements'!$E$2:$E$500),$C281))</f>
        <v/>
      </c>
      <c r="E281" t="s">
        <v>157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540</v>
      </c>
      <c r="B282" s="24"/>
      <c r="D282" t="str">
        <f>IF($C282="","",IFERROR(LOOKUP(2,1/('03_Warehouse_Movements'!$C$2:$C$500=$A282),'03_Warehouse_Movements'!$E$2:$E$500),$C282))</f>
        <v/>
      </c>
      <c r="E282" t="s">
        <v>157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541</v>
      </c>
      <c r="B283" s="24"/>
      <c r="D283" t="str">
        <f>IF($C283="","",IFERROR(LOOKUP(2,1/('03_Warehouse_Movements'!$C$2:$C$500=$A283),'03_Warehouse_Movements'!$E$2:$E$500),$C283))</f>
        <v/>
      </c>
      <c r="E283" t="s">
        <v>157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542</v>
      </c>
      <c r="B284" s="24"/>
      <c r="D284" t="str">
        <f>IF($C284="","",IFERROR(LOOKUP(2,1/('03_Warehouse_Movements'!$C$2:$C$500=$A284),'03_Warehouse_Movements'!$E$2:$E$500),$C284))</f>
        <v/>
      </c>
      <c r="E284" t="s">
        <v>157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543</v>
      </c>
      <c r="B285" s="24"/>
      <c r="D285" t="str">
        <f>IF($C285="","",IFERROR(LOOKUP(2,1/('03_Warehouse_Movements'!$C$2:$C$500=$A285),'03_Warehouse_Movements'!$E$2:$E$500),$C285))</f>
        <v/>
      </c>
      <c r="E285" t="s">
        <v>157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544</v>
      </c>
      <c r="B286" s="24"/>
      <c r="D286" t="str">
        <f>IF($C286="","",IFERROR(LOOKUP(2,1/('03_Warehouse_Movements'!$C$2:$C$500=$A286),'03_Warehouse_Movements'!$E$2:$E$500),$C286))</f>
        <v/>
      </c>
      <c r="E286" t="s">
        <v>157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545</v>
      </c>
      <c r="B287" s="24"/>
      <c r="D287" t="str">
        <f>IF($C287="","",IFERROR(LOOKUP(2,1/('03_Warehouse_Movements'!$C$2:$C$500=$A287),'03_Warehouse_Movements'!$E$2:$E$500),$C287))</f>
        <v/>
      </c>
      <c r="E287" t="s">
        <v>157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546</v>
      </c>
      <c r="B288" s="24"/>
      <c r="D288" t="str">
        <f>IF($C288="","",IFERROR(LOOKUP(2,1/('03_Warehouse_Movements'!$C$2:$C$500=$A288),'03_Warehouse_Movements'!$E$2:$E$500),$C288))</f>
        <v/>
      </c>
      <c r="E288" t="s">
        <v>157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547</v>
      </c>
      <c r="B289" s="24"/>
      <c r="D289" t="str">
        <f>IF($C289="","",IFERROR(LOOKUP(2,1/('03_Warehouse_Movements'!$C$2:$C$500=$A289),'03_Warehouse_Movements'!$E$2:$E$500),$C289))</f>
        <v/>
      </c>
      <c r="E289" t="s">
        <v>157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548</v>
      </c>
      <c r="B290" s="24"/>
      <c r="D290" t="str">
        <f>IF($C290="","",IFERROR(LOOKUP(2,1/('03_Warehouse_Movements'!$C$2:$C$500=$A290),'03_Warehouse_Movements'!$E$2:$E$500),$C290))</f>
        <v/>
      </c>
      <c r="E290" t="s">
        <v>157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549</v>
      </c>
      <c r="B291" s="24"/>
      <c r="D291" t="str">
        <f>IF($C291="","",IFERROR(LOOKUP(2,1/('03_Warehouse_Movements'!$C$2:$C$500=$A291),'03_Warehouse_Movements'!$E$2:$E$500),$C291))</f>
        <v/>
      </c>
      <c r="E291" t="s">
        <v>157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550</v>
      </c>
      <c r="B292" s="24"/>
      <c r="D292" t="str">
        <f>IF($C292="","",IFERROR(LOOKUP(2,1/('03_Warehouse_Movements'!$C$2:$C$500=$A292),'03_Warehouse_Movements'!$E$2:$E$500),$C292))</f>
        <v/>
      </c>
      <c r="E292" t="s">
        <v>157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551</v>
      </c>
      <c r="B293" s="24"/>
      <c r="D293" t="str">
        <f>IF($C293="","",IFERROR(LOOKUP(2,1/('03_Warehouse_Movements'!$C$2:$C$500=$A293),'03_Warehouse_Movements'!$E$2:$E$500),$C293))</f>
        <v/>
      </c>
      <c r="E293" t="s">
        <v>157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552</v>
      </c>
      <c r="B294" s="24"/>
      <c r="D294" t="str">
        <f>IF($C294="","",IFERROR(LOOKUP(2,1/('03_Warehouse_Movements'!$C$2:$C$500=$A294),'03_Warehouse_Movements'!$E$2:$E$500),$C294))</f>
        <v/>
      </c>
      <c r="E294" t="s">
        <v>157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553</v>
      </c>
      <c r="B295" s="24"/>
      <c r="D295" t="str">
        <f>IF($C295="","",IFERROR(LOOKUP(2,1/('03_Warehouse_Movements'!$C$2:$C$500=$A295),'03_Warehouse_Movements'!$E$2:$E$500),$C295))</f>
        <v/>
      </c>
      <c r="E295" t="s">
        <v>157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554</v>
      </c>
      <c r="B296" s="24"/>
      <c r="D296" t="str">
        <f>IF($C296="","",IFERROR(LOOKUP(2,1/('03_Warehouse_Movements'!$C$2:$C$500=$A296),'03_Warehouse_Movements'!$E$2:$E$500),$C296))</f>
        <v/>
      </c>
      <c r="E296" t="s">
        <v>157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555</v>
      </c>
      <c r="B297" s="24"/>
      <c r="D297" t="str">
        <f>IF($C297="","",IFERROR(LOOKUP(2,1/('03_Warehouse_Movements'!$C$2:$C$500=$A297),'03_Warehouse_Movements'!$E$2:$E$500),$C297))</f>
        <v/>
      </c>
      <c r="E297" t="s">
        <v>157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556</v>
      </c>
      <c r="B298" s="24"/>
      <c r="D298" t="str">
        <f>IF($C298="","",IFERROR(LOOKUP(2,1/('03_Warehouse_Movements'!$C$2:$C$500=$A298),'03_Warehouse_Movements'!$E$2:$E$500),$C298))</f>
        <v/>
      </c>
      <c r="E298" t="s">
        <v>157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557</v>
      </c>
      <c r="B299" s="24"/>
      <c r="D299" t="str">
        <f>IF($C299="","",IFERROR(LOOKUP(2,1/('03_Warehouse_Movements'!$C$2:$C$500=$A299),'03_Warehouse_Movements'!$E$2:$E$500),$C299))</f>
        <v/>
      </c>
      <c r="E299" t="s">
        <v>157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558</v>
      </c>
      <c r="B300" s="24"/>
      <c r="D300" t="str">
        <f>IF($C300="","",IFERROR(LOOKUP(2,1/('03_Warehouse_Movements'!$C$2:$C$500=$A300),'03_Warehouse_Movements'!$E$2:$E$500),$C300))</f>
        <v/>
      </c>
      <c r="E300" t="s">
        <v>157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559</v>
      </c>
      <c r="B301" s="24"/>
      <c r="D301" t="str">
        <f>IF($C301="","",IFERROR(LOOKUP(2,1/('03_Warehouse_Movements'!$C$2:$C$500=$A301),'03_Warehouse_Movements'!$E$2:$E$500),$C301))</f>
        <v/>
      </c>
      <c r="E301" t="s">
        <v>157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560</v>
      </c>
      <c r="B302" s="24"/>
      <c r="D302" t="str">
        <f>IF($C302="","",IFERROR(LOOKUP(2,1/('03_Warehouse_Movements'!$C$2:$C$500=$A302),'03_Warehouse_Movements'!$E$2:$E$500),$C302))</f>
        <v/>
      </c>
      <c r="E302" t="s">
        <v>157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561</v>
      </c>
      <c r="B303" s="24"/>
      <c r="D303" t="str">
        <f>IF($C303="","",IFERROR(LOOKUP(2,1/('03_Warehouse_Movements'!$C$2:$C$500=$A303),'03_Warehouse_Movements'!$E$2:$E$500),$C303))</f>
        <v/>
      </c>
      <c r="E303" t="s">
        <v>157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562</v>
      </c>
      <c r="B304" s="24"/>
      <c r="D304" t="str">
        <f>IF($C304="","",IFERROR(LOOKUP(2,1/('03_Warehouse_Movements'!$C$2:$C$500=$A304),'03_Warehouse_Movements'!$E$2:$E$500),$C304))</f>
        <v/>
      </c>
      <c r="E304" t="s">
        <v>157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563</v>
      </c>
      <c r="B305" s="24"/>
      <c r="D305" t="str">
        <f>IF($C305="","",IFERROR(LOOKUP(2,1/('03_Warehouse_Movements'!$C$2:$C$500=$A305),'03_Warehouse_Movements'!$E$2:$E$500),$C305))</f>
        <v/>
      </c>
      <c r="E305" t="s">
        <v>157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564</v>
      </c>
      <c r="B306" s="24"/>
      <c r="D306" t="str">
        <f>IF($C306="","",IFERROR(LOOKUP(2,1/('03_Warehouse_Movements'!$C$2:$C$500=$A306),'03_Warehouse_Movements'!$E$2:$E$500),$C306))</f>
        <v/>
      </c>
      <c r="E306" t="s">
        <v>157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565</v>
      </c>
      <c r="B307" s="24"/>
      <c r="D307" t="str">
        <f>IF($C307="","",IFERROR(LOOKUP(2,1/('03_Warehouse_Movements'!$C$2:$C$500=$A307),'03_Warehouse_Movements'!$E$2:$E$500),$C307))</f>
        <v/>
      </c>
      <c r="E307" t="s">
        <v>157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566</v>
      </c>
      <c r="B308" s="24"/>
      <c r="D308" t="str">
        <f>IF($C308="","",IFERROR(LOOKUP(2,1/('03_Warehouse_Movements'!$C$2:$C$500=$A308),'03_Warehouse_Movements'!$E$2:$E$500),$C308))</f>
        <v/>
      </c>
      <c r="E308" t="s">
        <v>157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567</v>
      </c>
      <c r="B309" s="24"/>
      <c r="D309" t="str">
        <f>IF($C309="","",IFERROR(LOOKUP(2,1/('03_Warehouse_Movements'!$C$2:$C$500=$A309),'03_Warehouse_Movements'!$E$2:$E$500),$C309))</f>
        <v/>
      </c>
      <c r="E309" t="s">
        <v>157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568</v>
      </c>
      <c r="B310" s="24"/>
      <c r="D310" t="str">
        <f>IF($C310="","",IFERROR(LOOKUP(2,1/('03_Warehouse_Movements'!$C$2:$C$500=$A310),'03_Warehouse_Movements'!$E$2:$E$500),$C310))</f>
        <v/>
      </c>
      <c r="E310" t="s">
        <v>157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569</v>
      </c>
      <c r="B311" s="24"/>
      <c r="D311" t="str">
        <f>IF($C311="","",IFERROR(LOOKUP(2,1/('03_Warehouse_Movements'!$C$2:$C$500=$A311),'03_Warehouse_Movements'!$E$2:$E$500),$C311))</f>
        <v/>
      </c>
      <c r="E311" t="s">
        <v>157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570</v>
      </c>
      <c r="B312" s="24"/>
      <c r="D312" t="str">
        <f>IF($C312="","",IFERROR(LOOKUP(2,1/('03_Warehouse_Movements'!$C$2:$C$500=$A312),'03_Warehouse_Movements'!$E$2:$E$500),$C312))</f>
        <v/>
      </c>
      <c r="E312" t="s">
        <v>157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571</v>
      </c>
      <c r="B313" s="24"/>
      <c r="D313" t="str">
        <f>IF($C313="","",IFERROR(LOOKUP(2,1/('03_Warehouse_Movements'!$C$2:$C$500=$A313),'03_Warehouse_Movements'!$E$2:$E$500),$C313))</f>
        <v/>
      </c>
      <c r="E313" t="s">
        <v>157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572</v>
      </c>
      <c r="B314" s="24"/>
      <c r="D314" t="str">
        <f>IF($C314="","",IFERROR(LOOKUP(2,1/('03_Warehouse_Movements'!$C$2:$C$500=$A314),'03_Warehouse_Movements'!$E$2:$E$500),$C314))</f>
        <v/>
      </c>
      <c r="E314" t="s">
        <v>157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573</v>
      </c>
      <c r="B315" s="24"/>
      <c r="D315" t="str">
        <f>IF($C315="","",IFERROR(LOOKUP(2,1/('03_Warehouse_Movements'!$C$2:$C$500=$A315),'03_Warehouse_Movements'!$E$2:$E$500),$C315))</f>
        <v/>
      </c>
      <c r="E315" t="s">
        <v>157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574</v>
      </c>
      <c r="B316" s="24"/>
      <c r="D316" t="str">
        <f>IF($C316="","",IFERROR(LOOKUP(2,1/('03_Warehouse_Movements'!$C$2:$C$500=$A316),'03_Warehouse_Movements'!$E$2:$E$500),$C316))</f>
        <v/>
      </c>
      <c r="E316" t="s">
        <v>157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575</v>
      </c>
      <c r="B317" s="24"/>
      <c r="D317" t="str">
        <f>IF($C317="","",IFERROR(LOOKUP(2,1/('03_Warehouse_Movements'!$C$2:$C$500=$A317),'03_Warehouse_Movements'!$E$2:$E$500),$C317))</f>
        <v/>
      </c>
      <c r="E317" t="s">
        <v>157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576</v>
      </c>
      <c r="B318" s="24"/>
      <c r="D318" t="str">
        <f>IF($C318="","",IFERROR(LOOKUP(2,1/('03_Warehouse_Movements'!$C$2:$C$500=$A318),'03_Warehouse_Movements'!$E$2:$E$500),$C318))</f>
        <v/>
      </c>
      <c r="E318" t="s">
        <v>157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577</v>
      </c>
      <c r="B319" s="24"/>
      <c r="D319" t="str">
        <f>IF($C319="","",IFERROR(LOOKUP(2,1/('03_Warehouse_Movements'!$C$2:$C$500=$A319),'03_Warehouse_Movements'!$E$2:$E$500),$C319))</f>
        <v/>
      </c>
      <c r="E319" t="s">
        <v>157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578</v>
      </c>
      <c r="B320" s="24"/>
      <c r="D320" t="str">
        <f>IF($C320="","",IFERROR(LOOKUP(2,1/('03_Warehouse_Movements'!$C$2:$C$500=$A320),'03_Warehouse_Movements'!$E$2:$E$500),$C320))</f>
        <v/>
      </c>
      <c r="E320" t="s">
        <v>157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579</v>
      </c>
      <c r="B321" s="24"/>
      <c r="D321" t="str">
        <f>IF($C321="","",IFERROR(LOOKUP(2,1/('03_Warehouse_Movements'!$C$2:$C$500=$A321),'03_Warehouse_Movements'!$E$2:$E$500),$C321))</f>
        <v/>
      </c>
      <c r="E321" t="s">
        <v>157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580</v>
      </c>
      <c r="B322" s="24"/>
      <c r="D322" t="str">
        <f>IF($C322="","",IFERROR(LOOKUP(2,1/('03_Warehouse_Movements'!$C$2:$C$500=$A322),'03_Warehouse_Movements'!$E$2:$E$500),$C322))</f>
        <v/>
      </c>
      <c r="E322" t="s">
        <v>157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581</v>
      </c>
      <c r="B323" s="24"/>
      <c r="D323" t="str">
        <f>IF($C323="","",IFERROR(LOOKUP(2,1/('03_Warehouse_Movements'!$C$2:$C$500=$A323),'03_Warehouse_Movements'!$E$2:$E$500),$C323))</f>
        <v/>
      </c>
      <c r="E323" t="s">
        <v>157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582</v>
      </c>
      <c r="B324" s="24"/>
      <c r="D324" t="str">
        <f>IF($C324="","",IFERROR(LOOKUP(2,1/('03_Warehouse_Movements'!$C$2:$C$500=$A324),'03_Warehouse_Movements'!$E$2:$E$500),$C324))</f>
        <v/>
      </c>
      <c r="E324" t="s">
        <v>157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583</v>
      </c>
      <c r="B325" s="24"/>
      <c r="D325" t="str">
        <f>IF($C325="","",IFERROR(LOOKUP(2,1/('03_Warehouse_Movements'!$C$2:$C$500=$A325),'03_Warehouse_Movements'!$E$2:$E$500),$C325))</f>
        <v/>
      </c>
      <c r="E325" t="s">
        <v>157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584</v>
      </c>
      <c r="B326" s="24"/>
      <c r="D326" t="str">
        <f>IF($C326="","",IFERROR(LOOKUP(2,1/('03_Warehouse_Movements'!$C$2:$C$500=$A326),'03_Warehouse_Movements'!$E$2:$E$500),$C326))</f>
        <v/>
      </c>
      <c r="E326" t="s">
        <v>157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585</v>
      </c>
      <c r="B327" s="24"/>
      <c r="D327" t="str">
        <f>IF($C327="","",IFERROR(LOOKUP(2,1/('03_Warehouse_Movements'!$C$2:$C$500=$A327),'03_Warehouse_Movements'!$E$2:$E$500),$C327))</f>
        <v/>
      </c>
      <c r="E327" t="s">
        <v>157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586</v>
      </c>
      <c r="B328" s="24"/>
      <c r="D328" t="str">
        <f>IF($C328="","",IFERROR(LOOKUP(2,1/('03_Warehouse_Movements'!$C$2:$C$500=$A328),'03_Warehouse_Movements'!$E$2:$E$500),$C328))</f>
        <v/>
      </c>
      <c r="E328" t="s">
        <v>157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587</v>
      </c>
      <c r="B329" s="24"/>
      <c r="D329" t="str">
        <f>IF($C329="","",IFERROR(LOOKUP(2,1/('03_Warehouse_Movements'!$C$2:$C$500=$A329),'03_Warehouse_Movements'!$E$2:$E$500),$C329))</f>
        <v/>
      </c>
      <c r="E329" t="s">
        <v>157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588</v>
      </c>
      <c r="B330" s="24"/>
      <c r="D330" t="str">
        <f>IF($C330="","",IFERROR(LOOKUP(2,1/('03_Warehouse_Movements'!$C$2:$C$500=$A330),'03_Warehouse_Movements'!$E$2:$E$500),$C330))</f>
        <v/>
      </c>
      <c r="E330" t="s">
        <v>157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589</v>
      </c>
      <c r="B331" s="24"/>
      <c r="D331" t="str">
        <f>IF($C331="","",IFERROR(LOOKUP(2,1/('03_Warehouse_Movements'!$C$2:$C$500=$A331),'03_Warehouse_Movements'!$E$2:$E$500),$C331))</f>
        <v/>
      </c>
      <c r="E331" t="s">
        <v>157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590</v>
      </c>
      <c r="B332" s="24"/>
      <c r="D332" t="str">
        <f>IF($C332="","",IFERROR(LOOKUP(2,1/('03_Warehouse_Movements'!$C$2:$C$500=$A332),'03_Warehouse_Movements'!$E$2:$E$500),$C332))</f>
        <v/>
      </c>
      <c r="E332" t="s">
        <v>157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591</v>
      </c>
      <c r="B333" s="24"/>
      <c r="D333" t="str">
        <f>IF($C333="","",IFERROR(LOOKUP(2,1/('03_Warehouse_Movements'!$C$2:$C$500=$A333),'03_Warehouse_Movements'!$E$2:$E$500),$C333))</f>
        <v/>
      </c>
      <c r="E333" t="s">
        <v>157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592</v>
      </c>
      <c r="B334" s="24"/>
      <c r="D334" t="str">
        <f>IF($C334="","",IFERROR(LOOKUP(2,1/('03_Warehouse_Movements'!$C$2:$C$500=$A334),'03_Warehouse_Movements'!$E$2:$E$500),$C334))</f>
        <v/>
      </c>
      <c r="E334" t="s">
        <v>157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593</v>
      </c>
      <c r="B335" s="24"/>
      <c r="D335" t="str">
        <f>IF($C335="","",IFERROR(LOOKUP(2,1/('03_Warehouse_Movements'!$C$2:$C$500=$A335),'03_Warehouse_Movements'!$E$2:$E$500),$C335))</f>
        <v/>
      </c>
      <c r="E335" t="s">
        <v>157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594</v>
      </c>
      <c r="B336" s="24"/>
      <c r="D336" t="str">
        <f>IF($C336="","",IFERROR(LOOKUP(2,1/('03_Warehouse_Movements'!$C$2:$C$500=$A336),'03_Warehouse_Movements'!$E$2:$E$500),$C336))</f>
        <v/>
      </c>
      <c r="E336" t="s">
        <v>157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595</v>
      </c>
      <c r="B337" s="24"/>
      <c r="D337" t="str">
        <f>IF($C337="","",IFERROR(LOOKUP(2,1/('03_Warehouse_Movements'!$C$2:$C$500=$A337),'03_Warehouse_Movements'!$E$2:$E$500),$C337))</f>
        <v/>
      </c>
      <c r="E337" t="s">
        <v>157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596</v>
      </c>
      <c r="B338" s="24"/>
      <c r="D338" t="str">
        <f>IF($C338="","",IFERROR(LOOKUP(2,1/('03_Warehouse_Movements'!$C$2:$C$500=$A338),'03_Warehouse_Movements'!$E$2:$E$500),$C338))</f>
        <v/>
      </c>
      <c r="E338" t="s">
        <v>157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597</v>
      </c>
      <c r="B339" s="24"/>
      <c r="D339" t="str">
        <f>IF($C339="","",IFERROR(LOOKUP(2,1/('03_Warehouse_Movements'!$C$2:$C$500=$A339),'03_Warehouse_Movements'!$E$2:$E$500),$C339))</f>
        <v/>
      </c>
      <c r="E339" t="s">
        <v>157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598</v>
      </c>
      <c r="B340" s="24"/>
      <c r="D340" t="str">
        <f>IF($C340="","",IFERROR(LOOKUP(2,1/('03_Warehouse_Movements'!$C$2:$C$500=$A340),'03_Warehouse_Movements'!$E$2:$E$500),$C340))</f>
        <v/>
      </c>
      <c r="E340" t="s">
        <v>157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599</v>
      </c>
      <c r="B341" s="24"/>
      <c r="D341" t="str">
        <f>IF($C341="","",IFERROR(LOOKUP(2,1/('03_Warehouse_Movements'!$C$2:$C$500=$A341),'03_Warehouse_Movements'!$E$2:$E$500),$C341))</f>
        <v/>
      </c>
      <c r="E341" t="s">
        <v>157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600</v>
      </c>
      <c r="B342" s="24"/>
      <c r="D342" t="str">
        <f>IF($C342="","",IFERROR(LOOKUP(2,1/('03_Warehouse_Movements'!$C$2:$C$500=$A342),'03_Warehouse_Movements'!$E$2:$E$500),$C342))</f>
        <v/>
      </c>
      <c r="E342" t="s">
        <v>157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601</v>
      </c>
      <c r="B343" s="24"/>
      <c r="D343" t="str">
        <f>IF($C343="","",IFERROR(LOOKUP(2,1/('03_Warehouse_Movements'!$C$2:$C$500=$A343),'03_Warehouse_Movements'!$E$2:$E$500),$C343))</f>
        <v/>
      </c>
      <c r="E343" t="s">
        <v>157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602</v>
      </c>
      <c r="B344" s="24"/>
      <c r="D344" t="str">
        <f>IF($C344="","",IFERROR(LOOKUP(2,1/('03_Warehouse_Movements'!$C$2:$C$500=$A344),'03_Warehouse_Movements'!$E$2:$E$500),$C344))</f>
        <v/>
      </c>
      <c r="E344" t="s">
        <v>157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603</v>
      </c>
      <c r="B345" s="24"/>
      <c r="D345" t="str">
        <f>IF($C345="","",IFERROR(LOOKUP(2,1/('03_Warehouse_Movements'!$C$2:$C$500=$A345),'03_Warehouse_Movements'!$E$2:$E$500),$C345))</f>
        <v/>
      </c>
      <c r="E345" t="s">
        <v>157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604</v>
      </c>
      <c r="B346" s="24"/>
      <c r="D346" t="str">
        <f>IF($C346="","",IFERROR(LOOKUP(2,1/('03_Warehouse_Movements'!$C$2:$C$500=$A346),'03_Warehouse_Movements'!$E$2:$E$500),$C346))</f>
        <v/>
      </c>
      <c r="E346" t="s">
        <v>157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605</v>
      </c>
      <c r="B347" s="24"/>
      <c r="D347" t="str">
        <f>IF($C347="","",IFERROR(LOOKUP(2,1/('03_Warehouse_Movements'!$C$2:$C$500=$A347),'03_Warehouse_Movements'!$E$2:$E$500),$C347))</f>
        <v/>
      </c>
      <c r="E347" t="s">
        <v>157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606</v>
      </c>
      <c r="B348" s="24"/>
      <c r="D348" t="str">
        <f>IF($C348="","",IFERROR(LOOKUP(2,1/('03_Warehouse_Movements'!$C$2:$C$500=$A348),'03_Warehouse_Movements'!$E$2:$E$500),$C348))</f>
        <v/>
      </c>
      <c r="E348" t="s">
        <v>157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607</v>
      </c>
      <c r="B349" s="24"/>
      <c r="D349" t="str">
        <f>IF($C349="","",IFERROR(LOOKUP(2,1/('03_Warehouse_Movements'!$C$2:$C$500=$A349),'03_Warehouse_Movements'!$E$2:$E$500),$C349))</f>
        <v/>
      </c>
      <c r="E349" t="s">
        <v>157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608</v>
      </c>
      <c r="B350" s="24"/>
      <c r="D350" t="str">
        <f>IF($C350="","",IFERROR(LOOKUP(2,1/('03_Warehouse_Movements'!$C$2:$C$500=$A350),'03_Warehouse_Movements'!$E$2:$E$500),$C350))</f>
        <v/>
      </c>
      <c r="E350" t="s">
        <v>157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609</v>
      </c>
      <c r="B351" s="24"/>
      <c r="D351" t="str">
        <f>IF($C351="","",IFERROR(LOOKUP(2,1/('03_Warehouse_Movements'!$C$2:$C$500=$A351),'03_Warehouse_Movements'!$E$2:$E$500),$C351))</f>
        <v/>
      </c>
      <c r="E351" t="s">
        <v>157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610</v>
      </c>
      <c r="B352" s="24"/>
      <c r="D352" t="str">
        <f>IF($C352="","",IFERROR(LOOKUP(2,1/('03_Warehouse_Movements'!$C$2:$C$500=$A352),'03_Warehouse_Movements'!$E$2:$E$500),$C352))</f>
        <v/>
      </c>
      <c r="E352" t="s">
        <v>157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611</v>
      </c>
      <c r="B353" s="24"/>
      <c r="D353" t="str">
        <f>IF($C353="","",IFERROR(LOOKUP(2,1/('03_Warehouse_Movements'!$C$2:$C$500=$A353),'03_Warehouse_Movements'!$E$2:$E$500),$C353))</f>
        <v/>
      </c>
      <c r="E353" t="s">
        <v>157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612</v>
      </c>
      <c r="B354" s="24"/>
      <c r="D354" t="str">
        <f>IF($C354="","",IFERROR(LOOKUP(2,1/('03_Warehouse_Movements'!$C$2:$C$500=$A354),'03_Warehouse_Movements'!$E$2:$E$500),$C354))</f>
        <v/>
      </c>
      <c r="E354" t="s">
        <v>157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613</v>
      </c>
      <c r="B355" s="24"/>
      <c r="D355" t="str">
        <f>IF($C355="","",IFERROR(LOOKUP(2,1/('03_Warehouse_Movements'!$C$2:$C$500=$A355),'03_Warehouse_Movements'!$E$2:$E$500),$C355))</f>
        <v/>
      </c>
      <c r="E355" t="s">
        <v>157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614</v>
      </c>
      <c r="B356" s="24"/>
      <c r="D356" t="str">
        <f>IF($C356="","",IFERROR(LOOKUP(2,1/('03_Warehouse_Movements'!$C$2:$C$500=$A356),'03_Warehouse_Movements'!$E$2:$E$500),$C356))</f>
        <v/>
      </c>
      <c r="E356" t="s">
        <v>157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615</v>
      </c>
      <c r="B357" s="24"/>
      <c r="D357" t="str">
        <f>IF($C357="","",IFERROR(LOOKUP(2,1/('03_Warehouse_Movements'!$C$2:$C$500=$A357),'03_Warehouse_Movements'!$E$2:$E$500),$C357))</f>
        <v/>
      </c>
      <c r="E357" t="s">
        <v>157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616</v>
      </c>
      <c r="B358" s="24"/>
      <c r="D358" t="str">
        <f>IF($C358="","",IFERROR(LOOKUP(2,1/('03_Warehouse_Movements'!$C$2:$C$500=$A358),'03_Warehouse_Movements'!$E$2:$E$500),$C358))</f>
        <v/>
      </c>
      <c r="E358" t="s">
        <v>157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617</v>
      </c>
      <c r="B359" s="24"/>
      <c r="D359" t="str">
        <f>IF($C359="","",IFERROR(LOOKUP(2,1/('03_Warehouse_Movements'!$C$2:$C$500=$A359),'03_Warehouse_Movements'!$E$2:$E$500),$C359))</f>
        <v/>
      </c>
      <c r="E359" t="s">
        <v>157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618</v>
      </c>
      <c r="B360" s="24"/>
      <c r="D360" t="str">
        <f>IF($C360="","",IFERROR(LOOKUP(2,1/('03_Warehouse_Movements'!$C$2:$C$500=$A360),'03_Warehouse_Movements'!$E$2:$E$500),$C360))</f>
        <v/>
      </c>
      <c r="E360" t="s">
        <v>157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619</v>
      </c>
      <c r="B361" s="24"/>
      <c r="D361" t="str">
        <f>IF($C361="","",IFERROR(LOOKUP(2,1/('03_Warehouse_Movements'!$C$2:$C$500=$A361),'03_Warehouse_Movements'!$E$2:$E$500),$C361))</f>
        <v/>
      </c>
      <c r="E361" t="s">
        <v>157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620</v>
      </c>
      <c r="B362" s="24"/>
      <c r="D362" t="str">
        <f>IF($C362="","",IFERROR(LOOKUP(2,1/('03_Warehouse_Movements'!$C$2:$C$500=$A362),'03_Warehouse_Movements'!$E$2:$E$500),$C362))</f>
        <v/>
      </c>
      <c r="E362" t="s">
        <v>157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621</v>
      </c>
      <c r="B363" s="24"/>
      <c r="D363" t="str">
        <f>IF($C363="","",IFERROR(LOOKUP(2,1/('03_Warehouse_Movements'!$C$2:$C$500=$A363),'03_Warehouse_Movements'!$E$2:$E$500),$C363))</f>
        <v/>
      </c>
      <c r="E363" t="s">
        <v>157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622</v>
      </c>
      <c r="B364" s="24"/>
      <c r="D364" t="str">
        <f>IF($C364="","",IFERROR(LOOKUP(2,1/('03_Warehouse_Movements'!$C$2:$C$500=$A364),'03_Warehouse_Movements'!$E$2:$E$500),$C364))</f>
        <v/>
      </c>
      <c r="E364" t="s">
        <v>157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623</v>
      </c>
      <c r="B365" s="24"/>
      <c r="D365" t="str">
        <f>IF($C365="","",IFERROR(LOOKUP(2,1/('03_Warehouse_Movements'!$C$2:$C$500=$A365),'03_Warehouse_Movements'!$E$2:$E$500),$C365))</f>
        <v/>
      </c>
      <c r="E365" t="s">
        <v>157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624</v>
      </c>
      <c r="B366" s="24"/>
      <c r="D366" t="str">
        <f>IF($C366="","",IFERROR(LOOKUP(2,1/('03_Warehouse_Movements'!$C$2:$C$500=$A366),'03_Warehouse_Movements'!$E$2:$E$500),$C366))</f>
        <v/>
      </c>
      <c r="E366" t="s">
        <v>157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625</v>
      </c>
      <c r="B367" s="24"/>
      <c r="D367" t="str">
        <f>IF($C367="","",IFERROR(LOOKUP(2,1/('03_Warehouse_Movements'!$C$2:$C$500=$A367),'03_Warehouse_Movements'!$E$2:$E$500),$C367))</f>
        <v/>
      </c>
      <c r="E367" t="s">
        <v>157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626</v>
      </c>
      <c r="B368" s="24"/>
      <c r="D368" t="str">
        <f>IF($C368="","",IFERROR(LOOKUP(2,1/('03_Warehouse_Movements'!$C$2:$C$500=$A368),'03_Warehouse_Movements'!$E$2:$E$500),$C368))</f>
        <v/>
      </c>
      <c r="E368" t="s">
        <v>157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627</v>
      </c>
      <c r="B369" s="24"/>
      <c r="D369" t="str">
        <f>IF($C369="","",IFERROR(LOOKUP(2,1/('03_Warehouse_Movements'!$C$2:$C$500=$A369),'03_Warehouse_Movements'!$E$2:$E$500),$C369))</f>
        <v/>
      </c>
      <c r="E369" t="s">
        <v>157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628</v>
      </c>
      <c r="B370" s="24"/>
      <c r="D370" t="str">
        <f>IF($C370="","",IFERROR(LOOKUP(2,1/('03_Warehouse_Movements'!$C$2:$C$500=$A370),'03_Warehouse_Movements'!$E$2:$E$500),$C370))</f>
        <v/>
      </c>
      <c r="E370" t="s">
        <v>157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629</v>
      </c>
      <c r="B371" s="24"/>
      <c r="D371" t="str">
        <f>IF($C371="","",IFERROR(LOOKUP(2,1/('03_Warehouse_Movements'!$C$2:$C$500=$A371),'03_Warehouse_Movements'!$E$2:$E$500),$C371))</f>
        <v/>
      </c>
      <c r="E371" t="s">
        <v>157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630</v>
      </c>
      <c r="B372" s="24"/>
      <c r="D372" t="str">
        <f>IF($C372="","",IFERROR(LOOKUP(2,1/('03_Warehouse_Movements'!$C$2:$C$500=$A372),'03_Warehouse_Movements'!$E$2:$E$500),$C372))</f>
        <v/>
      </c>
      <c r="E372" t="s">
        <v>157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631</v>
      </c>
      <c r="B373" s="24"/>
      <c r="D373" t="str">
        <f>IF($C373="","",IFERROR(LOOKUP(2,1/('03_Warehouse_Movements'!$C$2:$C$500=$A373),'03_Warehouse_Movements'!$E$2:$E$500),$C373))</f>
        <v/>
      </c>
      <c r="E373" t="s">
        <v>157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632</v>
      </c>
      <c r="B374" s="24"/>
      <c r="D374" t="str">
        <f>IF($C374="","",IFERROR(LOOKUP(2,1/('03_Warehouse_Movements'!$C$2:$C$500=$A374),'03_Warehouse_Movements'!$E$2:$E$500),$C374))</f>
        <v/>
      </c>
      <c r="E374" t="s">
        <v>157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633</v>
      </c>
      <c r="B375" s="24"/>
      <c r="D375" t="str">
        <f>IF($C375="","",IFERROR(LOOKUP(2,1/('03_Warehouse_Movements'!$C$2:$C$500=$A375),'03_Warehouse_Movements'!$E$2:$E$500),$C375))</f>
        <v/>
      </c>
      <c r="E375" t="s">
        <v>157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634</v>
      </c>
      <c r="B376" s="24"/>
      <c r="D376" t="str">
        <f>IF($C376="","",IFERROR(LOOKUP(2,1/('03_Warehouse_Movements'!$C$2:$C$500=$A376),'03_Warehouse_Movements'!$E$2:$E$500),$C376))</f>
        <v/>
      </c>
      <c r="E376" t="s">
        <v>157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635</v>
      </c>
      <c r="B377" s="24"/>
      <c r="D377" t="str">
        <f>IF($C377="","",IFERROR(LOOKUP(2,1/('03_Warehouse_Movements'!$C$2:$C$500=$A377),'03_Warehouse_Movements'!$E$2:$E$500),$C377))</f>
        <v/>
      </c>
      <c r="E377" t="s">
        <v>157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636</v>
      </c>
      <c r="B378" s="24"/>
      <c r="D378" t="str">
        <f>IF($C378="","",IFERROR(LOOKUP(2,1/('03_Warehouse_Movements'!$C$2:$C$500=$A378),'03_Warehouse_Movements'!$E$2:$E$500),$C378))</f>
        <v/>
      </c>
      <c r="E378" t="s">
        <v>157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637</v>
      </c>
      <c r="B379" s="24"/>
      <c r="D379" t="str">
        <f>IF($C379="","",IFERROR(LOOKUP(2,1/('03_Warehouse_Movements'!$C$2:$C$500=$A379),'03_Warehouse_Movements'!$E$2:$E$500),$C379))</f>
        <v/>
      </c>
      <c r="E379" t="s">
        <v>157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638</v>
      </c>
      <c r="B380" s="24"/>
      <c r="D380" t="str">
        <f>IF($C380="","",IFERROR(LOOKUP(2,1/('03_Warehouse_Movements'!$C$2:$C$500=$A380),'03_Warehouse_Movements'!$E$2:$E$500),$C380))</f>
        <v/>
      </c>
      <c r="E380" t="s">
        <v>157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639</v>
      </c>
      <c r="B381" s="24"/>
      <c r="D381" t="str">
        <f>IF($C381="","",IFERROR(LOOKUP(2,1/('03_Warehouse_Movements'!$C$2:$C$500=$A381),'03_Warehouse_Movements'!$E$2:$E$500),$C381))</f>
        <v/>
      </c>
      <c r="E381" t="s">
        <v>157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640</v>
      </c>
      <c r="B382" s="24"/>
      <c r="D382" t="str">
        <f>IF($C382="","",IFERROR(LOOKUP(2,1/('03_Warehouse_Movements'!$C$2:$C$500=$A382),'03_Warehouse_Movements'!$E$2:$E$500),$C382))</f>
        <v/>
      </c>
      <c r="E382" t="s">
        <v>157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641</v>
      </c>
      <c r="B383" s="24"/>
      <c r="D383" t="str">
        <f>IF($C383="","",IFERROR(LOOKUP(2,1/('03_Warehouse_Movements'!$C$2:$C$500=$A383),'03_Warehouse_Movements'!$E$2:$E$500),$C383))</f>
        <v/>
      </c>
      <c r="E383" t="s">
        <v>157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642</v>
      </c>
      <c r="B384" s="24"/>
      <c r="D384" t="str">
        <f>IF($C384="","",IFERROR(LOOKUP(2,1/('03_Warehouse_Movements'!$C$2:$C$500=$A384),'03_Warehouse_Movements'!$E$2:$E$500),$C384))</f>
        <v/>
      </c>
      <c r="E384" t="s">
        <v>157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643</v>
      </c>
      <c r="B385" s="24"/>
      <c r="D385" t="str">
        <f>IF($C385="","",IFERROR(LOOKUP(2,1/('03_Warehouse_Movements'!$C$2:$C$500=$A385),'03_Warehouse_Movements'!$E$2:$E$500),$C385))</f>
        <v/>
      </c>
      <c r="E385" t="s">
        <v>157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644</v>
      </c>
      <c r="B386" s="24"/>
      <c r="D386" t="str">
        <f>IF($C386="","",IFERROR(LOOKUP(2,1/('03_Warehouse_Movements'!$C$2:$C$500=$A386),'03_Warehouse_Movements'!$E$2:$E$500),$C386))</f>
        <v/>
      </c>
      <c r="E386" t="s">
        <v>157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645</v>
      </c>
      <c r="B387" s="24"/>
      <c r="D387" t="str">
        <f>IF($C387="","",IFERROR(LOOKUP(2,1/('03_Warehouse_Movements'!$C$2:$C$500=$A387),'03_Warehouse_Movements'!$E$2:$E$500),$C387))</f>
        <v/>
      </c>
      <c r="E387" t="s">
        <v>157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646</v>
      </c>
      <c r="B388" s="24"/>
      <c r="D388" t="str">
        <f>IF($C388="","",IFERROR(LOOKUP(2,1/('03_Warehouse_Movements'!$C$2:$C$500=$A388),'03_Warehouse_Movements'!$E$2:$E$500),$C388))</f>
        <v/>
      </c>
      <c r="E388" t="s">
        <v>157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647</v>
      </c>
      <c r="B389" s="24"/>
      <c r="D389" t="str">
        <f>IF($C389="","",IFERROR(LOOKUP(2,1/('03_Warehouse_Movements'!$C$2:$C$500=$A389),'03_Warehouse_Movements'!$E$2:$E$500),$C389))</f>
        <v/>
      </c>
      <c r="E389" t="s">
        <v>157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648</v>
      </c>
      <c r="B390" s="24"/>
      <c r="D390" t="str">
        <f>IF($C390="","",IFERROR(LOOKUP(2,1/('03_Warehouse_Movements'!$C$2:$C$500=$A390),'03_Warehouse_Movements'!$E$2:$E$500),$C390))</f>
        <v/>
      </c>
      <c r="E390" t="s">
        <v>157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649</v>
      </c>
      <c r="B391" s="24"/>
      <c r="D391" t="str">
        <f>IF($C391="","",IFERROR(LOOKUP(2,1/('03_Warehouse_Movements'!$C$2:$C$500=$A391),'03_Warehouse_Movements'!$E$2:$E$500),$C391))</f>
        <v/>
      </c>
      <c r="E391" t="s">
        <v>157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650</v>
      </c>
      <c r="B392" s="24"/>
      <c r="D392" t="str">
        <f>IF($C392="","",IFERROR(LOOKUP(2,1/('03_Warehouse_Movements'!$C$2:$C$500=$A392),'03_Warehouse_Movements'!$E$2:$E$500),$C392))</f>
        <v/>
      </c>
      <c r="E392" t="s">
        <v>157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651</v>
      </c>
      <c r="B393" s="24"/>
      <c r="D393" t="str">
        <f>IF($C393="","",IFERROR(LOOKUP(2,1/('03_Warehouse_Movements'!$C$2:$C$500=$A393),'03_Warehouse_Movements'!$E$2:$E$500),$C393))</f>
        <v/>
      </c>
      <c r="E393" t="s">
        <v>157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652</v>
      </c>
      <c r="B394" s="24"/>
      <c r="D394" t="str">
        <f>IF($C394="","",IFERROR(LOOKUP(2,1/('03_Warehouse_Movements'!$C$2:$C$500=$A394),'03_Warehouse_Movements'!$E$2:$E$500),$C394))</f>
        <v/>
      </c>
      <c r="E394" t="s">
        <v>157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653</v>
      </c>
      <c r="B395" s="24"/>
      <c r="D395" t="str">
        <f>IF($C395="","",IFERROR(LOOKUP(2,1/('03_Warehouse_Movements'!$C$2:$C$500=$A395),'03_Warehouse_Movements'!$E$2:$E$500),$C395))</f>
        <v/>
      </c>
      <c r="E395" t="s">
        <v>157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654</v>
      </c>
      <c r="B396" s="24"/>
      <c r="D396" t="str">
        <f>IF($C396="","",IFERROR(LOOKUP(2,1/('03_Warehouse_Movements'!$C$2:$C$500=$A396),'03_Warehouse_Movements'!$E$2:$E$500),$C396))</f>
        <v/>
      </c>
      <c r="E396" t="s">
        <v>157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655</v>
      </c>
      <c r="B397" s="24"/>
      <c r="D397" t="str">
        <f>IF($C397="","",IFERROR(LOOKUP(2,1/('03_Warehouse_Movements'!$C$2:$C$500=$A397),'03_Warehouse_Movements'!$E$2:$E$500),$C397))</f>
        <v/>
      </c>
      <c r="E397" t="s">
        <v>157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656</v>
      </c>
      <c r="B398" s="24"/>
      <c r="D398" t="str">
        <f>IF($C398="","",IFERROR(LOOKUP(2,1/('03_Warehouse_Movements'!$C$2:$C$500=$A398),'03_Warehouse_Movements'!$E$2:$E$500),$C398))</f>
        <v/>
      </c>
      <c r="E398" t="s">
        <v>157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657</v>
      </c>
      <c r="B399" s="24"/>
      <c r="D399" t="str">
        <f>IF($C399="","",IFERROR(LOOKUP(2,1/('03_Warehouse_Movements'!$C$2:$C$500=$A399),'03_Warehouse_Movements'!$E$2:$E$500),$C399))</f>
        <v/>
      </c>
      <c r="E399" t="s">
        <v>157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658</v>
      </c>
      <c r="B400" s="24"/>
      <c r="D400" t="str">
        <f>IF($C400="","",IFERROR(LOOKUP(2,1/('03_Warehouse_Movements'!$C$2:$C$500=$A400),'03_Warehouse_Movements'!$E$2:$E$500),$C400))</f>
        <v/>
      </c>
      <c r="E400" t="s">
        <v>157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659</v>
      </c>
      <c r="B401" s="24"/>
      <c r="D401" t="str">
        <f>IF($C401="","",IFERROR(LOOKUP(2,1/('03_Warehouse_Movements'!$C$2:$C$500=$A401),'03_Warehouse_Movements'!$E$2:$E$500),$C401))</f>
        <v/>
      </c>
      <c r="E401" t="s">
        <v>157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660</v>
      </c>
      <c r="B402" s="24"/>
      <c r="D402" t="str">
        <f>IF($C402="","",IFERROR(LOOKUP(2,1/('03_Warehouse_Movements'!$C$2:$C$500=$A402),'03_Warehouse_Movements'!$E$2:$E$500),$C402))</f>
        <v/>
      </c>
      <c r="E402" t="s">
        <v>157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661</v>
      </c>
      <c r="B403" s="24"/>
      <c r="D403" t="str">
        <f>IF($C403="","",IFERROR(LOOKUP(2,1/('03_Warehouse_Movements'!$C$2:$C$500=$A403),'03_Warehouse_Movements'!$E$2:$E$500),$C403))</f>
        <v/>
      </c>
      <c r="E403" t="s">
        <v>157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662</v>
      </c>
      <c r="B404" s="24"/>
      <c r="D404" t="str">
        <f>IF($C404="","",IFERROR(LOOKUP(2,1/('03_Warehouse_Movements'!$C$2:$C$500=$A404),'03_Warehouse_Movements'!$E$2:$E$500),$C404))</f>
        <v/>
      </c>
      <c r="E404" t="s">
        <v>157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663</v>
      </c>
      <c r="B405" s="24"/>
      <c r="D405" t="str">
        <f>IF($C405="","",IFERROR(LOOKUP(2,1/('03_Warehouse_Movements'!$C$2:$C$500=$A405),'03_Warehouse_Movements'!$E$2:$E$500),$C405))</f>
        <v/>
      </c>
      <c r="E405" t="s">
        <v>157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664</v>
      </c>
      <c r="B406" s="24"/>
      <c r="D406" t="str">
        <f>IF($C406="","",IFERROR(LOOKUP(2,1/('03_Warehouse_Movements'!$C$2:$C$500=$A406),'03_Warehouse_Movements'!$E$2:$E$500),$C406))</f>
        <v/>
      </c>
      <c r="E406" t="s">
        <v>157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665</v>
      </c>
      <c r="B407" s="24"/>
      <c r="D407" t="str">
        <f>IF($C407="","",IFERROR(LOOKUP(2,1/('03_Warehouse_Movements'!$C$2:$C$500=$A407),'03_Warehouse_Movements'!$E$2:$E$500),$C407))</f>
        <v/>
      </c>
      <c r="E407" t="s">
        <v>157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666</v>
      </c>
      <c r="B408" s="24"/>
      <c r="D408" t="str">
        <f>IF($C408="","",IFERROR(LOOKUP(2,1/('03_Warehouse_Movements'!$C$2:$C$500=$A408),'03_Warehouse_Movements'!$E$2:$E$500),$C408))</f>
        <v/>
      </c>
      <c r="E408" t="s">
        <v>157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667</v>
      </c>
      <c r="B409" s="24"/>
      <c r="D409" t="str">
        <f>IF($C409="","",IFERROR(LOOKUP(2,1/('03_Warehouse_Movements'!$C$2:$C$500=$A409),'03_Warehouse_Movements'!$E$2:$E$500),$C409))</f>
        <v/>
      </c>
      <c r="E409" t="s">
        <v>157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668</v>
      </c>
      <c r="B410" s="24"/>
      <c r="D410" t="str">
        <f>IF($C410="","",IFERROR(LOOKUP(2,1/('03_Warehouse_Movements'!$C$2:$C$500=$A410),'03_Warehouse_Movements'!$E$2:$E$500),$C410))</f>
        <v/>
      </c>
      <c r="E410" t="s">
        <v>157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669</v>
      </c>
      <c r="B411" s="24"/>
      <c r="D411" t="str">
        <f>IF($C411="","",IFERROR(LOOKUP(2,1/('03_Warehouse_Movements'!$C$2:$C$500=$A411),'03_Warehouse_Movements'!$E$2:$E$500),$C411))</f>
        <v/>
      </c>
      <c r="E411" t="s">
        <v>157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670</v>
      </c>
      <c r="B412" s="24"/>
      <c r="D412" t="str">
        <f>IF($C412="","",IFERROR(LOOKUP(2,1/('03_Warehouse_Movements'!$C$2:$C$500=$A412),'03_Warehouse_Movements'!$E$2:$E$500),$C412))</f>
        <v/>
      </c>
      <c r="E412" t="s">
        <v>157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671</v>
      </c>
      <c r="B413" s="24"/>
      <c r="D413" t="str">
        <f>IF($C413="","",IFERROR(LOOKUP(2,1/('03_Warehouse_Movements'!$C$2:$C$500=$A413),'03_Warehouse_Movements'!$E$2:$E$500),$C413))</f>
        <v/>
      </c>
      <c r="E413" t="s">
        <v>157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672</v>
      </c>
      <c r="B414" s="24"/>
      <c r="D414" t="str">
        <f>IF($C414="","",IFERROR(LOOKUP(2,1/('03_Warehouse_Movements'!$C$2:$C$500=$A414),'03_Warehouse_Movements'!$E$2:$E$500),$C414))</f>
        <v/>
      </c>
      <c r="E414" t="s">
        <v>157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673</v>
      </c>
      <c r="B415" s="24"/>
      <c r="D415" t="str">
        <f>IF($C415="","",IFERROR(LOOKUP(2,1/('03_Warehouse_Movements'!$C$2:$C$500=$A415),'03_Warehouse_Movements'!$E$2:$E$500),$C415))</f>
        <v/>
      </c>
      <c r="E415" t="s">
        <v>157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674</v>
      </c>
      <c r="B416" s="24"/>
      <c r="D416" t="str">
        <f>IF($C416="","",IFERROR(LOOKUP(2,1/('03_Warehouse_Movements'!$C$2:$C$500=$A416),'03_Warehouse_Movements'!$E$2:$E$500),$C416))</f>
        <v/>
      </c>
      <c r="E416" t="s">
        <v>157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675</v>
      </c>
      <c r="B417" s="24"/>
      <c r="D417" t="str">
        <f>IF($C417="","",IFERROR(LOOKUP(2,1/('03_Warehouse_Movements'!$C$2:$C$500=$A417),'03_Warehouse_Movements'!$E$2:$E$500),$C417))</f>
        <v/>
      </c>
      <c r="E417" t="s">
        <v>157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676</v>
      </c>
      <c r="B418" s="24"/>
      <c r="D418" t="str">
        <f>IF($C418="","",IFERROR(LOOKUP(2,1/('03_Warehouse_Movements'!$C$2:$C$500=$A418),'03_Warehouse_Movements'!$E$2:$E$500),$C418))</f>
        <v/>
      </c>
      <c r="E418" t="s">
        <v>157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677</v>
      </c>
      <c r="B419" s="24"/>
      <c r="D419" t="str">
        <f>IF($C419="","",IFERROR(LOOKUP(2,1/('03_Warehouse_Movements'!$C$2:$C$500=$A419),'03_Warehouse_Movements'!$E$2:$E$500),$C419))</f>
        <v/>
      </c>
      <c r="E419" t="s">
        <v>157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678</v>
      </c>
      <c r="B420" s="24"/>
      <c r="D420" t="str">
        <f>IF($C420="","",IFERROR(LOOKUP(2,1/('03_Warehouse_Movements'!$C$2:$C$500=$A420),'03_Warehouse_Movements'!$E$2:$E$500),$C420))</f>
        <v/>
      </c>
      <c r="E420" t="s">
        <v>157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679</v>
      </c>
      <c r="B421" s="24"/>
      <c r="D421" t="str">
        <f>IF($C421="","",IFERROR(LOOKUP(2,1/('03_Warehouse_Movements'!$C$2:$C$500=$A421),'03_Warehouse_Movements'!$E$2:$E$500),$C421))</f>
        <v/>
      </c>
      <c r="E421" t="s">
        <v>157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680</v>
      </c>
      <c r="B422" s="24"/>
      <c r="D422" t="str">
        <f>IF($C422="","",IFERROR(LOOKUP(2,1/('03_Warehouse_Movements'!$C$2:$C$500=$A422),'03_Warehouse_Movements'!$E$2:$E$500),$C422))</f>
        <v/>
      </c>
      <c r="E422" t="s">
        <v>157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681</v>
      </c>
      <c r="B423" s="24"/>
      <c r="D423" t="str">
        <f>IF($C423="","",IFERROR(LOOKUP(2,1/('03_Warehouse_Movements'!$C$2:$C$500=$A423),'03_Warehouse_Movements'!$E$2:$E$500),$C423))</f>
        <v/>
      </c>
      <c r="E423" t="s">
        <v>157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682</v>
      </c>
      <c r="B424" s="24"/>
      <c r="D424" t="str">
        <f>IF($C424="","",IFERROR(LOOKUP(2,1/('03_Warehouse_Movements'!$C$2:$C$500=$A424),'03_Warehouse_Movements'!$E$2:$E$500),$C424))</f>
        <v/>
      </c>
      <c r="E424" t="s">
        <v>157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683</v>
      </c>
      <c r="B425" s="24"/>
      <c r="D425" t="str">
        <f>IF($C425="","",IFERROR(LOOKUP(2,1/('03_Warehouse_Movements'!$C$2:$C$500=$A425),'03_Warehouse_Movements'!$E$2:$E$500),$C425))</f>
        <v/>
      </c>
      <c r="E425" t="s">
        <v>157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684</v>
      </c>
      <c r="B426" s="24"/>
      <c r="D426" t="str">
        <f>IF($C426="","",IFERROR(LOOKUP(2,1/('03_Warehouse_Movements'!$C$2:$C$500=$A426),'03_Warehouse_Movements'!$E$2:$E$500),$C426))</f>
        <v/>
      </c>
      <c r="E426" t="s">
        <v>157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685</v>
      </c>
      <c r="B427" s="24"/>
      <c r="D427" t="str">
        <f>IF($C427="","",IFERROR(LOOKUP(2,1/('03_Warehouse_Movements'!$C$2:$C$500=$A427),'03_Warehouse_Movements'!$E$2:$E$500),$C427))</f>
        <v/>
      </c>
      <c r="E427" t="s">
        <v>157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686</v>
      </c>
      <c r="B428" s="24"/>
      <c r="D428" t="str">
        <f>IF($C428="","",IFERROR(LOOKUP(2,1/('03_Warehouse_Movements'!$C$2:$C$500=$A428),'03_Warehouse_Movements'!$E$2:$E$500),$C428))</f>
        <v/>
      </c>
      <c r="E428" t="s">
        <v>157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687</v>
      </c>
      <c r="B429" s="24"/>
      <c r="D429" t="str">
        <f>IF($C429="","",IFERROR(LOOKUP(2,1/('03_Warehouse_Movements'!$C$2:$C$500=$A429),'03_Warehouse_Movements'!$E$2:$E$500),$C429))</f>
        <v/>
      </c>
      <c r="E429" t="s">
        <v>157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688</v>
      </c>
      <c r="B430" s="24"/>
      <c r="D430" t="str">
        <f>IF($C430="","",IFERROR(LOOKUP(2,1/('03_Warehouse_Movements'!$C$2:$C$500=$A430),'03_Warehouse_Movements'!$E$2:$E$500),$C430))</f>
        <v/>
      </c>
      <c r="E430" t="s">
        <v>157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689</v>
      </c>
      <c r="B431" s="24"/>
      <c r="D431" t="str">
        <f>IF($C431="","",IFERROR(LOOKUP(2,1/('03_Warehouse_Movements'!$C$2:$C$500=$A431),'03_Warehouse_Movements'!$E$2:$E$500),$C431))</f>
        <v/>
      </c>
      <c r="E431" t="s">
        <v>157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690</v>
      </c>
      <c r="B432" s="24"/>
      <c r="D432" t="str">
        <f>IF($C432="","",IFERROR(LOOKUP(2,1/('03_Warehouse_Movements'!$C$2:$C$500=$A432),'03_Warehouse_Movements'!$E$2:$E$500),$C432))</f>
        <v/>
      </c>
      <c r="E432" t="s">
        <v>157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691</v>
      </c>
      <c r="B433" s="24"/>
      <c r="D433" t="str">
        <f>IF($C433="","",IFERROR(LOOKUP(2,1/('03_Warehouse_Movements'!$C$2:$C$500=$A433),'03_Warehouse_Movements'!$E$2:$E$500),$C433))</f>
        <v/>
      </c>
      <c r="E433" t="s">
        <v>157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692</v>
      </c>
      <c r="B434" s="24"/>
      <c r="D434" t="str">
        <f>IF($C434="","",IFERROR(LOOKUP(2,1/('03_Warehouse_Movements'!$C$2:$C$500=$A434),'03_Warehouse_Movements'!$E$2:$E$500),$C434))</f>
        <v/>
      </c>
      <c r="E434" t="s">
        <v>157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693</v>
      </c>
      <c r="B435" s="24"/>
      <c r="D435" t="str">
        <f>IF($C435="","",IFERROR(LOOKUP(2,1/('03_Warehouse_Movements'!$C$2:$C$500=$A435),'03_Warehouse_Movements'!$E$2:$E$500),$C435))</f>
        <v/>
      </c>
      <c r="E435" t="s">
        <v>157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694</v>
      </c>
      <c r="B436" s="24"/>
      <c r="D436" t="str">
        <f>IF($C436="","",IFERROR(LOOKUP(2,1/('03_Warehouse_Movements'!$C$2:$C$500=$A436),'03_Warehouse_Movements'!$E$2:$E$500),$C436))</f>
        <v/>
      </c>
      <c r="E436" t="s">
        <v>157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695</v>
      </c>
      <c r="B437" s="24"/>
      <c r="D437" t="str">
        <f>IF($C437="","",IFERROR(LOOKUP(2,1/('03_Warehouse_Movements'!$C$2:$C$500=$A437),'03_Warehouse_Movements'!$E$2:$E$500),$C437))</f>
        <v/>
      </c>
      <c r="E437" t="s">
        <v>157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696</v>
      </c>
      <c r="B438" s="24"/>
      <c r="D438" t="str">
        <f>IF($C438="","",IFERROR(LOOKUP(2,1/('03_Warehouse_Movements'!$C$2:$C$500=$A438),'03_Warehouse_Movements'!$E$2:$E$500),$C438))</f>
        <v/>
      </c>
      <c r="E438" t="s">
        <v>157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697</v>
      </c>
      <c r="B439" s="24"/>
      <c r="D439" t="str">
        <f>IF($C439="","",IFERROR(LOOKUP(2,1/('03_Warehouse_Movements'!$C$2:$C$500=$A439),'03_Warehouse_Movements'!$E$2:$E$500),$C439))</f>
        <v/>
      </c>
      <c r="E439" t="s">
        <v>157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698</v>
      </c>
      <c r="B440" s="24"/>
      <c r="D440" t="str">
        <f>IF($C440="","",IFERROR(LOOKUP(2,1/('03_Warehouse_Movements'!$C$2:$C$500=$A440),'03_Warehouse_Movements'!$E$2:$E$500),$C440))</f>
        <v/>
      </c>
      <c r="E440" t="s">
        <v>157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699</v>
      </c>
      <c r="B441" s="24"/>
      <c r="D441" t="str">
        <f>IF($C441="","",IFERROR(LOOKUP(2,1/('03_Warehouse_Movements'!$C$2:$C$500=$A441),'03_Warehouse_Movements'!$E$2:$E$500),$C441))</f>
        <v/>
      </c>
      <c r="E441" t="s">
        <v>157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700</v>
      </c>
      <c r="B442" s="24"/>
      <c r="D442" t="str">
        <f>IF($C442="","",IFERROR(LOOKUP(2,1/('03_Warehouse_Movements'!$C$2:$C$500=$A442),'03_Warehouse_Movements'!$E$2:$E$500),$C442))</f>
        <v/>
      </c>
      <c r="E442" t="s">
        <v>157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701</v>
      </c>
      <c r="B443" s="24"/>
      <c r="D443" t="str">
        <f>IF($C443="","",IFERROR(LOOKUP(2,1/('03_Warehouse_Movements'!$C$2:$C$500=$A443),'03_Warehouse_Movements'!$E$2:$E$500),$C443))</f>
        <v/>
      </c>
      <c r="E443" t="s">
        <v>157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702</v>
      </c>
      <c r="B444" s="24"/>
      <c r="D444" t="str">
        <f>IF($C444="","",IFERROR(LOOKUP(2,1/('03_Warehouse_Movements'!$C$2:$C$500=$A444),'03_Warehouse_Movements'!$E$2:$E$500),$C444))</f>
        <v/>
      </c>
      <c r="E444" t="s">
        <v>157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703</v>
      </c>
      <c r="B445" s="24"/>
      <c r="D445" t="str">
        <f>IF($C445="","",IFERROR(LOOKUP(2,1/('03_Warehouse_Movements'!$C$2:$C$500=$A445),'03_Warehouse_Movements'!$E$2:$E$500),$C445))</f>
        <v/>
      </c>
      <c r="E445" t="s">
        <v>157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704</v>
      </c>
      <c r="B446" s="24"/>
      <c r="D446" t="str">
        <f>IF($C446="","",IFERROR(LOOKUP(2,1/('03_Warehouse_Movements'!$C$2:$C$500=$A446),'03_Warehouse_Movements'!$E$2:$E$500),$C446))</f>
        <v/>
      </c>
      <c r="E446" t="s">
        <v>157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705</v>
      </c>
      <c r="B447" s="24"/>
      <c r="D447" t="str">
        <f>IF($C447="","",IFERROR(LOOKUP(2,1/('03_Warehouse_Movements'!$C$2:$C$500=$A447),'03_Warehouse_Movements'!$E$2:$E$500),$C447))</f>
        <v/>
      </c>
      <c r="E447" t="s">
        <v>157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706</v>
      </c>
      <c r="B448" s="24"/>
      <c r="D448" t="str">
        <f>IF($C448="","",IFERROR(LOOKUP(2,1/('03_Warehouse_Movements'!$C$2:$C$500=$A448),'03_Warehouse_Movements'!$E$2:$E$500),$C448))</f>
        <v/>
      </c>
      <c r="E448" t="s">
        <v>157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707</v>
      </c>
      <c r="B449" s="24"/>
      <c r="D449" t="str">
        <f>IF($C449="","",IFERROR(LOOKUP(2,1/('03_Warehouse_Movements'!$C$2:$C$500=$A449),'03_Warehouse_Movements'!$E$2:$E$500),$C449))</f>
        <v/>
      </c>
      <c r="E449" t="s">
        <v>157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708</v>
      </c>
      <c r="B450" s="24"/>
      <c r="D450" t="str">
        <f>IF($C450="","",IFERROR(LOOKUP(2,1/('03_Warehouse_Movements'!$C$2:$C$500=$A450),'03_Warehouse_Movements'!$E$2:$E$500),$C450))</f>
        <v/>
      </c>
      <c r="E450" t="s">
        <v>157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709</v>
      </c>
      <c r="B451" s="24"/>
      <c r="D451" t="str">
        <f>IF($C451="","",IFERROR(LOOKUP(2,1/('03_Warehouse_Movements'!$C$2:$C$500=$A451),'03_Warehouse_Movements'!$E$2:$E$500),$C451))</f>
        <v/>
      </c>
      <c r="E451" t="s">
        <v>157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710</v>
      </c>
      <c r="B452" s="24"/>
      <c r="D452" t="str">
        <f>IF($C452="","",IFERROR(LOOKUP(2,1/('03_Warehouse_Movements'!$C$2:$C$500=$A452),'03_Warehouse_Movements'!$E$2:$E$500),$C452))</f>
        <v/>
      </c>
      <c r="E452" t="s">
        <v>157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711</v>
      </c>
      <c r="B453" s="24"/>
      <c r="D453" t="str">
        <f>IF($C453="","",IFERROR(LOOKUP(2,1/('03_Warehouse_Movements'!$C$2:$C$500=$A453),'03_Warehouse_Movements'!$E$2:$E$500),$C453))</f>
        <v/>
      </c>
      <c r="E453" t="s">
        <v>157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712</v>
      </c>
      <c r="B454" s="24"/>
      <c r="D454" t="str">
        <f>IF($C454="","",IFERROR(LOOKUP(2,1/('03_Warehouse_Movements'!$C$2:$C$500=$A454),'03_Warehouse_Movements'!$E$2:$E$500),$C454))</f>
        <v/>
      </c>
      <c r="E454" t="s">
        <v>157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713</v>
      </c>
      <c r="B455" s="24"/>
      <c r="D455" t="str">
        <f>IF($C455="","",IFERROR(LOOKUP(2,1/('03_Warehouse_Movements'!$C$2:$C$500=$A455),'03_Warehouse_Movements'!$E$2:$E$500),$C455))</f>
        <v/>
      </c>
      <c r="E455" t="s">
        <v>157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714</v>
      </c>
      <c r="B456" s="24"/>
      <c r="D456" t="str">
        <f>IF($C456="","",IFERROR(LOOKUP(2,1/('03_Warehouse_Movements'!$C$2:$C$500=$A456),'03_Warehouse_Movements'!$E$2:$E$500),$C456))</f>
        <v/>
      </c>
      <c r="E456" t="s">
        <v>157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715</v>
      </c>
      <c r="B457" s="24"/>
      <c r="D457" t="str">
        <f>IF($C457="","",IFERROR(LOOKUP(2,1/('03_Warehouse_Movements'!$C$2:$C$500=$A457),'03_Warehouse_Movements'!$E$2:$E$500),$C457))</f>
        <v/>
      </c>
      <c r="E457" t="s">
        <v>157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716</v>
      </c>
      <c r="B458" s="24"/>
      <c r="D458" t="str">
        <f>IF($C458="","",IFERROR(LOOKUP(2,1/('03_Warehouse_Movements'!$C$2:$C$500=$A458),'03_Warehouse_Movements'!$E$2:$E$500),$C458))</f>
        <v/>
      </c>
      <c r="E458" t="s">
        <v>157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717</v>
      </c>
      <c r="B459" s="24"/>
      <c r="D459" t="str">
        <f>IF($C459="","",IFERROR(LOOKUP(2,1/('03_Warehouse_Movements'!$C$2:$C$500=$A459),'03_Warehouse_Movements'!$E$2:$E$500),$C459))</f>
        <v/>
      </c>
      <c r="E459" t="s">
        <v>157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718</v>
      </c>
      <c r="B460" s="24"/>
      <c r="D460" t="str">
        <f>IF($C460="","",IFERROR(LOOKUP(2,1/('03_Warehouse_Movements'!$C$2:$C$500=$A460),'03_Warehouse_Movements'!$E$2:$E$500),$C460))</f>
        <v/>
      </c>
      <c r="E460" t="s">
        <v>157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719</v>
      </c>
      <c r="B461" s="24"/>
      <c r="D461" t="str">
        <f>IF($C461="","",IFERROR(LOOKUP(2,1/('03_Warehouse_Movements'!$C$2:$C$500=$A461),'03_Warehouse_Movements'!$E$2:$E$500),$C461))</f>
        <v/>
      </c>
      <c r="E461" t="s">
        <v>157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720</v>
      </c>
      <c r="B462" s="24"/>
      <c r="D462" t="str">
        <f>IF($C462="","",IFERROR(LOOKUP(2,1/('03_Warehouse_Movements'!$C$2:$C$500=$A462),'03_Warehouse_Movements'!$E$2:$E$500),$C462))</f>
        <v/>
      </c>
      <c r="E462" t="s">
        <v>157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721</v>
      </c>
      <c r="B463" s="24"/>
      <c r="D463" t="str">
        <f>IF($C463="","",IFERROR(LOOKUP(2,1/('03_Warehouse_Movements'!$C$2:$C$500=$A463),'03_Warehouse_Movements'!$E$2:$E$500),$C463))</f>
        <v/>
      </c>
      <c r="E463" t="s">
        <v>157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722</v>
      </c>
      <c r="B464" s="24"/>
      <c r="D464" t="str">
        <f>IF($C464="","",IFERROR(LOOKUP(2,1/('03_Warehouse_Movements'!$C$2:$C$500=$A464),'03_Warehouse_Movements'!$E$2:$E$500),$C464))</f>
        <v/>
      </c>
      <c r="E464" t="s">
        <v>157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723</v>
      </c>
      <c r="B465" s="24"/>
      <c r="D465" t="str">
        <f>IF($C465="","",IFERROR(LOOKUP(2,1/('03_Warehouse_Movements'!$C$2:$C$500=$A465),'03_Warehouse_Movements'!$E$2:$E$500),$C465))</f>
        <v/>
      </c>
      <c r="E465" t="s">
        <v>157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724</v>
      </c>
      <c r="B466" s="24"/>
      <c r="D466" t="str">
        <f>IF($C466="","",IFERROR(LOOKUP(2,1/('03_Warehouse_Movements'!$C$2:$C$500=$A466),'03_Warehouse_Movements'!$E$2:$E$500),$C466))</f>
        <v/>
      </c>
      <c r="E466" t="s">
        <v>157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725</v>
      </c>
      <c r="B467" s="24"/>
      <c r="D467" t="str">
        <f>IF($C467="","",IFERROR(LOOKUP(2,1/('03_Warehouse_Movements'!$C$2:$C$500=$A467),'03_Warehouse_Movements'!$E$2:$E$500),$C467))</f>
        <v/>
      </c>
      <c r="E467" t="s">
        <v>157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726</v>
      </c>
      <c r="B468" s="24"/>
      <c r="D468" t="str">
        <f>IF($C468="","",IFERROR(LOOKUP(2,1/('03_Warehouse_Movements'!$C$2:$C$500=$A468),'03_Warehouse_Movements'!$E$2:$E$500),$C468))</f>
        <v/>
      </c>
      <c r="E468" t="s">
        <v>157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727</v>
      </c>
      <c r="B469" s="24"/>
      <c r="D469" t="str">
        <f>IF($C469="","",IFERROR(LOOKUP(2,1/('03_Warehouse_Movements'!$C$2:$C$500=$A469),'03_Warehouse_Movements'!$E$2:$E$500),$C469))</f>
        <v/>
      </c>
      <c r="E469" t="s">
        <v>157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728</v>
      </c>
      <c r="B470" s="24"/>
      <c r="D470" t="str">
        <f>IF($C470="","",IFERROR(LOOKUP(2,1/('03_Warehouse_Movements'!$C$2:$C$500=$A470),'03_Warehouse_Movements'!$E$2:$E$500),$C470))</f>
        <v/>
      </c>
      <c r="E470" t="s">
        <v>157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729</v>
      </c>
      <c r="B471" s="24"/>
      <c r="D471" t="str">
        <f>IF($C471="","",IFERROR(LOOKUP(2,1/('03_Warehouse_Movements'!$C$2:$C$500=$A471),'03_Warehouse_Movements'!$E$2:$E$500),$C471))</f>
        <v/>
      </c>
      <c r="E471" t="s">
        <v>157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730</v>
      </c>
      <c r="B472" s="24"/>
      <c r="D472" t="str">
        <f>IF($C472="","",IFERROR(LOOKUP(2,1/('03_Warehouse_Movements'!$C$2:$C$500=$A472),'03_Warehouse_Movements'!$E$2:$E$500),$C472))</f>
        <v/>
      </c>
      <c r="E472" t="s">
        <v>157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731</v>
      </c>
      <c r="B473" s="24"/>
      <c r="D473" t="str">
        <f>IF($C473="","",IFERROR(LOOKUP(2,1/('03_Warehouse_Movements'!$C$2:$C$500=$A473),'03_Warehouse_Movements'!$E$2:$E$500),$C473))</f>
        <v/>
      </c>
      <c r="E473" t="s">
        <v>157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732</v>
      </c>
      <c r="B474" s="24"/>
      <c r="D474" t="str">
        <f>IF($C474="","",IFERROR(LOOKUP(2,1/('03_Warehouse_Movements'!$C$2:$C$500=$A474),'03_Warehouse_Movements'!$E$2:$E$500),$C474))</f>
        <v/>
      </c>
      <c r="E474" t="s">
        <v>157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733</v>
      </c>
      <c r="B475" s="24"/>
      <c r="D475" t="str">
        <f>IF($C475="","",IFERROR(LOOKUP(2,1/('03_Warehouse_Movements'!$C$2:$C$500=$A475),'03_Warehouse_Movements'!$E$2:$E$500),$C475))</f>
        <v/>
      </c>
      <c r="E475" t="s">
        <v>157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734</v>
      </c>
      <c r="B476" s="24"/>
      <c r="D476" t="str">
        <f>IF($C476="","",IFERROR(LOOKUP(2,1/('03_Warehouse_Movements'!$C$2:$C$500=$A476),'03_Warehouse_Movements'!$E$2:$E$500),$C476))</f>
        <v/>
      </c>
      <c r="E476" t="s">
        <v>157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735</v>
      </c>
      <c r="B477" s="24"/>
      <c r="D477" t="str">
        <f>IF($C477="","",IFERROR(LOOKUP(2,1/('03_Warehouse_Movements'!$C$2:$C$500=$A477),'03_Warehouse_Movements'!$E$2:$E$500),$C477))</f>
        <v/>
      </c>
      <c r="E477" t="s">
        <v>157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736</v>
      </c>
      <c r="B478" s="24"/>
      <c r="D478" t="str">
        <f>IF($C478="","",IFERROR(LOOKUP(2,1/('03_Warehouse_Movements'!$C$2:$C$500=$A478),'03_Warehouse_Movements'!$E$2:$E$500),$C478))</f>
        <v/>
      </c>
      <c r="E478" t="s">
        <v>157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737</v>
      </c>
      <c r="B479" s="24"/>
      <c r="D479" t="str">
        <f>IF($C479="","",IFERROR(LOOKUP(2,1/('03_Warehouse_Movements'!$C$2:$C$500=$A479),'03_Warehouse_Movements'!$E$2:$E$500),$C479))</f>
        <v/>
      </c>
      <c r="E479" t="s">
        <v>157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738</v>
      </c>
      <c r="B480" s="24"/>
      <c r="D480" t="str">
        <f>IF($C480="","",IFERROR(LOOKUP(2,1/('03_Warehouse_Movements'!$C$2:$C$500=$A480),'03_Warehouse_Movements'!$E$2:$E$500),$C480))</f>
        <v/>
      </c>
      <c r="E480" t="s">
        <v>157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739</v>
      </c>
      <c r="B481" s="24"/>
      <c r="D481" t="str">
        <f>IF($C481="","",IFERROR(LOOKUP(2,1/('03_Warehouse_Movements'!$C$2:$C$500=$A481),'03_Warehouse_Movements'!$E$2:$E$500),$C481))</f>
        <v/>
      </c>
      <c r="E481" t="s">
        <v>157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740</v>
      </c>
      <c r="B482" s="24"/>
      <c r="D482" t="str">
        <f>IF($C482="","",IFERROR(LOOKUP(2,1/('03_Warehouse_Movements'!$C$2:$C$500=$A482),'03_Warehouse_Movements'!$E$2:$E$500),$C482))</f>
        <v/>
      </c>
      <c r="E482" t="s">
        <v>157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741</v>
      </c>
      <c r="B483" s="24"/>
      <c r="D483" t="str">
        <f>IF($C483="","",IFERROR(LOOKUP(2,1/('03_Warehouse_Movements'!$C$2:$C$500=$A483),'03_Warehouse_Movements'!$E$2:$E$500),$C483))</f>
        <v/>
      </c>
      <c r="E483" t="s">
        <v>157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742</v>
      </c>
      <c r="B484" s="24"/>
      <c r="D484" t="str">
        <f>IF($C484="","",IFERROR(LOOKUP(2,1/('03_Warehouse_Movements'!$C$2:$C$500=$A484),'03_Warehouse_Movements'!$E$2:$E$500),$C484))</f>
        <v/>
      </c>
      <c r="E484" t="s">
        <v>157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743</v>
      </c>
      <c r="B485" s="24"/>
      <c r="D485" t="str">
        <f>IF($C485="","",IFERROR(LOOKUP(2,1/('03_Warehouse_Movements'!$C$2:$C$500=$A485),'03_Warehouse_Movements'!$E$2:$E$500),$C485))</f>
        <v/>
      </c>
      <c r="E485" t="s">
        <v>157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744</v>
      </c>
      <c r="B486" s="24"/>
      <c r="D486" t="str">
        <f>IF($C486="","",IFERROR(LOOKUP(2,1/('03_Warehouse_Movements'!$C$2:$C$500=$A486),'03_Warehouse_Movements'!$E$2:$E$500),$C486))</f>
        <v/>
      </c>
      <c r="E486" t="s">
        <v>157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745</v>
      </c>
      <c r="B487" s="24"/>
      <c r="D487" t="str">
        <f>IF($C487="","",IFERROR(LOOKUP(2,1/('03_Warehouse_Movements'!$C$2:$C$500=$A487),'03_Warehouse_Movements'!$E$2:$E$500),$C487))</f>
        <v/>
      </c>
      <c r="E487" t="s">
        <v>157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746</v>
      </c>
      <c r="B488" s="24"/>
      <c r="D488" t="str">
        <f>IF($C488="","",IFERROR(LOOKUP(2,1/('03_Warehouse_Movements'!$C$2:$C$500=$A488),'03_Warehouse_Movements'!$E$2:$E$500),$C488))</f>
        <v/>
      </c>
      <c r="E488" t="s">
        <v>157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747</v>
      </c>
      <c r="B489" s="24"/>
      <c r="D489" t="str">
        <f>IF($C489="","",IFERROR(LOOKUP(2,1/('03_Warehouse_Movements'!$C$2:$C$500=$A489),'03_Warehouse_Movements'!$E$2:$E$500),$C489))</f>
        <v/>
      </c>
      <c r="E489" t="s">
        <v>157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748</v>
      </c>
      <c r="B490" s="24"/>
      <c r="D490" t="str">
        <f>IF($C490="","",IFERROR(LOOKUP(2,1/('03_Warehouse_Movements'!$C$2:$C$500=$A490),'03_Warehouse_Movements'!$E$2:$E$500),$C490))</f>
        <v/>
      </c>
      <c r="E490" t="s">
        <v>157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749</v>
      </c>
      <c r="B491" s="24"/>
      <c r="D491" t="str">
        <f>IF($C491="","",IFERROR(LOOKUP(2,1/('03_Warehouse_Movements'!$C$2:$C$500=$A491),'03_Warehouse_Movements'!$E$2:$E$500),$C491))</f>
        <v/>
      </c>
      <c r="E491" t="s">
        <v>157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750</v>
      </c>
      <c r="B492" s="24"/>
      <c r="D492" t="str">
        <f>IF($C492="","",IFERROR(LOOKUP(2,1/('03_Warehouse_Movements'!$C$2:$C$500=$A492),'03_Warehouse_Movements'!$E$2:$E$500),$C492))</f>
        <v/>
      </c>
      <c r="E492" t="s">
        <v>157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751</v>
      </c>
      <c r="B493" s="24"/>
      <c r="D493" t="str">
        <f>IF($C493="","",IFERROR(LOOKUP(2,1/('03_Warehouse_Movements'!$C$2:$C$500=$A493),'03_Warehouse_Movements'!$E$2:$E$500),$C493))</f>
        <v/>
      </c>
      <c r="E493" t="s">
        <v>157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752</v>
      </c>
      <c r="B494" s="24"/>
      <c r="D494" t="str">
        <f>IF($C494="","",IFERROR(LOOKUP(2,1/('03_Warehouse_Movements'!$C$2:$C$500=$A494),'03_Warehouse_Movements'!$E$2:$E$500),$C494))</f>
        <v/>
      </c>
      <c r="E494" t="s">
        <v>157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753</v>
      </c>
      <c r="B495" s="24"/>
      <c r="D495" t="str">
        <f>IF($C495="","",IFERROR(LOOKUP(2,1/('03_Warehouse_Movements'!$C$2:$C$500=$A495),'03_Warehouse_Movements'!$E$2:$E$500),$C495))</f>
        <v/>
      </c>
      <c r="E495" t="s">
        <v>157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754</v>
      </c>
      <c r="B496" s="24"/>
      <c r="D496" t="str">
        <f>IF($C496="","",IFERROR(LOOKUP(2,1/('03_Warehouse_Movements'!$C$2:$C$500=$A496),'03_Warehouse_Movements'!$E$2:$E$500),$C496))</f>
        <v/>
      </c>
      <c r="E496" t="s">
        <v>157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755</v>
      </c>
      <c r="B497" s="24"/>
      <c r="D497" t="str">
        <f>IF($C497="","",IFERROR(LOOKUP(2,1/('03_Warehouse_Movements'!$C$2:$C$500=$A497),'03_Warehouse_Movements'!$E$2:$E$500),$C497))</f>
        <v/>
      </c>
      <c r="E497" t="s">
        <v>157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756</v>
      </c>
      <c r="B498" s="24"/>
      <c r="D498" t="str">
        <f>IF($C498="","",IFERROR(LOOKUP(2,1/('03_Warehouse_Movements'!$C$2:$C$500=$A498),'03_Warehouse_Movements'!$E$2:$E$500),$C498))</f>
        <v/>
      </c>
      <c r="E498" t="s">
        <v>157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757</v>
      </c>
      <c r="B499" s="24"/>
      <c r="D499" t="str">
        <f>IF($C499="","",IFERROR(LOOKUP(2,1/('03_Warehouse_Movements'!$C$2:$C$500=$A499),'03_Warehouse_Movements'!$E$2:$E$500),$C499))</f>
        <v/>
      </c>
      <c r="E499" t="s">
        <v>157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758</v>
      </c>
      <c r="B500" s="24"/>
      <c r="D500" t="str">
        <f>IF($C500="","",IFERROR(LOOKUP(2,1/('03_Warehouse_Movements'!$C$2:$C$500=$A500),'03_Warehouse_Movements'!$E$2:$E$500),$C500))</f>
        <v/>
      </c>
      <c r="E500" t="s">
        <v>157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759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760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761</v>
      </c>
      <c r="B2002" s="24"/>
      <c r="D2002" t="str">
        <f>IF($C2002="","",IFERROR(LOOKUP(2,1/('03_Warehouse_Movements'!$C$2:$C$500=$A2002),'03_Warehouse_Movements'!$E$2:$E$500),$C2002))</f>
        <v/>
      </c>
      <c r="E2002" t="s">
        <v>157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36" priority="3" stopIfTrue="1">
      <formula>AND(TRIM($A2)="",OR($B2&lt;&gt;"",$C2&lt;&gt;"",$D2&lt;&gt;"",$E2&lt;&gt;"",$I2&lt;&gt;"",$J2&lt;&gt;""))</formula>
    </cfRule>
    <cfRule type="expression" dxfId="35" priority="4">
      <formula>AND(TRIM($A2)&lt;&gt;"",NOT(AND(LEFT($A2,4)="PAL-",LEN($A2)=11,ISNUMBER(--MID($A2,5,7)))))</formula>
    </cfRule>
    <cfRule type="expression" dxfId="34" priority="5">
      <formula>AND(TRIM($A2)&lt;&gt;"",COUNTIF($A$2:$A$2002,$A2)&gt;1)</formula>
    </cfRule>
    <cfRule type="expression" dxfId="33" priority="6">
      <formula>AND(TRIM($A2)&lt;&gt;"",$C2&lt;&gt;"",$D2&lt;&gt;"",$D2&lt;&gt;"0",$C2&lt;&gt;$D2)</formula>
    </cfRule>
  </conditionalFormatting>
  <conditionalFormatting sqref="C8">
    <cfRule type="expression" dxfId="32" priority="1" stopIfTrue="1">
      <formula>AND(TRIM($A8)="",OR($B8&lt;&gt;"",$C8&lt;&gt;"",$D8&lt;&gt;"",$E8&lt;&gt;"",$F8&lt;&gt;"",$I8&lt;&gt;""))</formula>
    </cfRule>
    <cfRule type="expression" dxfId="31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762</v>
      </c>
      <c r="B1" s="50" t="s">
        <v>763</v>
      </c>
      <c r="C1" s="50" t="s">
        <v>764</v>
      </c>
      <c r="D1" s="50" t="s">
        <v>765</v>
      </c>
      <c r="E1" s="50" t="s">
        <v>766</v>
      </c>
      <c r="F1" s="50" t="s">
        <v>767</v>
      </c>
      <c r="G1" s="50" t="s">
        <v>134</v>
      </c>
      <c r="H1" s="50" t="s">
        <v>768</v>
      </c>
      <c r="I1" s="50" t="s">
        <v>137</v>
      </c>
      <c r="J1" s="40" t="s">
        <v>769</v>
      </c>
      <c r="K1" s="40" t="s">
        <v>770</v>
      </c>
      <c r="L1" s="40" t="s">
        <v>771</v>
      </c>
      <c r="M1" s="40" t="s">
        <v>772</v>
      </c>
      <c r="N1" s="40" t="s">
        <v>773</v>
      </c>
      <c r="O1" t="s">
        <v>774</v>
      </c>
      <c r="P1" t="s">
        <v>775</v>
      </c>
      <c r="Q1" t="s">
        <v>776</v>
      </c>
    </row>
    <row r="2" spans="1:17">
      <c r="A2" t="s">
        <v>164</v>
      </c>
      <c r="B2" t="s">
        <v>777</v>
      </c>
      <c r="E2" t="s">
        <v>778</v>
      </c>
      <c r="F2">
        <v>1</v>
      </c>
      <c r="G2">
        <v>0</v>
      </c>
      <c r="H2" t="str">
        <f t="shared" ref="H2:H33" si="0">A2</f>
        <v>STAGED</v>
      </c>
      <c r="I2" t="s">
        <v>779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780</v>
      </c>
      <c r="B3" t="s">
        <v>777</v>
      </c>
      <c r="E3" t="s">
        <v>781</v>
      </c>
      <c r="F3">
        <v>1</v>
      </c>
      <c r="G3">
        <v>0</v>
      </c>
      <c r="H3" t="str">
        <f t="shared" si="0"/>
        <v>STAGE_OUT</v>
      </c>
      <c r="I3" t="s">
        <v>782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783</v>
      </c>
      <c r="B4" t="s">
        <v>777</v>
      </c>
      <c r="E4" t="s">
        <v>784</v>
      </c>
      <c r="F4">
        <v>2</v>
      </c>
      <c r="G4">
        <v>0</v>
      </c>
      <c r="H4" t="str">
        <f t="shared" si="0"/>
        <v>QUARANTINE</v>
      </c>
      <c r="I4" t="s">
        <v>785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786</v>
      </c>
      <c r="B5" t="s">
        <v>787</v>
      </c>
      <c r="C5" t="s">
        <v>788</v>
      </c>
      <c r="D5" t="s">
        <v>789</v>
      </c>
      <c r="E5" t="s">
        <v>790</v>
      </c>
      <c r="F5">
        <v>1</v>
      </c>
      <c r="G5">
        <v>2</v>
      </c>
      <c r="H5" t="str">
        <f t="shared" si="0"/>
        <v>Z1</v>
      </c>
      <c r="I5" t="s">
        <v>791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792</v>
      </c>
      <c r="B6" t="s">
        <v>787</v>
      </c>
      <c r="C6" t="s">
        <v>793</v>
      </c>
      <c r="D6">
        <v>1</v>
      </c>
      <c r="E6" t="s">
        <v>794</v>
      </c>
      <c r="F6">
        <v>4</v>
      </c>
      <c r="G6">
        <v>2</v>
      </c>
      <c r="H6" t="str">
        <f t="shared" si="0"/>
        <v>A</v>
      </c>
      <c r="I6" t="s">
        <v>795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796</v>
      </c>
      <c r="B7" t="s">
        <v>787</v>
      </c>
      <c r="C7" t="s">
        <v>793</v>
      </c>
      <c r="D7">
        <v>1</v>
      </c>
      <c r="E7" t="s">
        <v>794</v>
      </c>
      <c r="F7">
        <v>4</v>
      </c>
      <c r="G7">
        <v>2</v>
      </c>
      <c r="H7" t="str">
        <f t="shared" si="0"/>
        <v>Between rows segment 02</v>
      </c>
      <c r="I7" t="s">
        <v>797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798</v>
      </c>
      <c r="B8" t="s">
        <v>787</v>
      </c>
      <c r="C8" t="s">
        <v>788</v>
      </c>
      <c r="D8" t="s">
        <v>799</v>
      </c>
      <c r="E8" t="s">
        <v>800</v>
      </c>
      <c r="F8">
        <v>3</v>
      </c>
      <c r="G8">
        <v>7</v>
      </c>
      <c r="H8" t="str">
        <f t="shared" si="0"/>
        <v>01</v>
      </c>
      <c r="I8" t="s">
        <v>801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173</v>
      </c>
      <c r="B9" t="s">
        <v>802</v>
      </c>
      <c r="E9" t="s">
        <v>800</v>
      </c>
      <c r="F9">
        <v>3</v>
      </c>
      <c r="G9">
        <v>0</v>
      </c>
      <c r="H9" t="str">
        <f t="shared" si="0"/>
        <v>UNSAFE</v>
      </c>
      <c r="I9" t="s">
        <v>803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804</v>
      </c>
      <c r="B10" t="s">
        <v>787</v>
      </c>
      <c r="C10" t="s">
        <v>793</v>
      </c>
      <c r="D10">
        <v>1</v>
      </c>
      <c r="E10" t="s">
        <v>794</v>
      </c>
      <c r="F10">
        <v>4</v>
      </c>
      <c r="G10">
        <v>2</v>
      </c>
      <c r="H10" t="str">
        <f t="shared" si="0"/>
        <v>SAMPLE: Grid A03</v>
      </c>
      <c r="I10" t="s">
        <v>805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806</v>
      </c>
      <c r="B11" t="s">
        <v>787</v>
      </c>
      <c r="C11" t="s">
        <v>793</v>
      </c>
      <c r="D11">
        <v>1</v>
      </c>
      <c r="E11" t="s">
        <v>794</v>
      </c>
      <c r="F11">
        <v>4</v>
      </c>
      <c r="G11">
        <v>2</v>
      </c>
      <c r="H11" t="str">
        <f t="shared" si="0"/>
        <v>SAMPLE: Grid A04</v>
      </c>
      <c r="I11" t="s">
        <v>807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197</v>
      </c>
      <c r="B12" t="s">
        <v>787</v>
      </c>
      <c r="C12" t="s">
        <v>793</v>
      </c>
      <c r="D12">
        <v>1</v>
      </c>
      <c r="E12" t="s">
        <v>794</v>
      </c>
      <c r="F12">
        <v>4</v>
      </c>
      <c r="G12">
        <v>2</v>
      </c>
      <c r="H12" t="str">
        <f t="shared" si="0"/>
        <v>SAMPLE: Power Supplies</v>
      </c>
      <c r="I12" t="s">
        <v>808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200</v>
      </c>
      <c r="B13" t="s">
        <v>787</v>
      </c>
      <c r="C13" t="s">
        <v>793</v>
      </c>
      <c r="D13">
        <v>1</v>
      </c>
      <c r="E13" t="s">
        <v>794</v>
      </c>
      <c r="F13">
        <v>4</v>
      </c>
      <c r="G13">
        <v>2</v>
      </c>
      <c r="H13" t="str">
        <f t="shared" si="0"/>
        <v>SAMPLE: Imaging Equipment</v>
      </c>
      <c r="I13" t="s">
        <v>809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203</v>
      </c>
      <c r="B14" t="s">
        <v>787</v>
      </c>
      <c r="C14" t="s">
        <v>793</v>
      </c>
      <c r="D14">
        <v>1</v>
      </c>
      <c r="E14" t="s">
        <v>794</v>
      </c>
      <c r="F14">
        <v>4</v>
      </c>
      <c r="G14">
        <v>2</v>
      </c>
      <c r="H14" t="str">
        <f t="shared" si="0"/>
        <v>SAMPLE: Misc Hardware</v>
      </c>
      <c r="I14" t="s">
        <v>810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207</v>
      </c>
      <c r="B15" t="s">
        <v>787</v>
      </c>
      <c r="C15" t="s">
        <v>793</v>
      </c>
      <c r="D15">
        <v>1</v>
      </c>
      <c r="E15" t="s">
        <v>794</v>
      </c>
      <c r="F15">
        <v>4</v>
      </c>
      <c r="G15">
        <v>2</v>
      </c>
      <c r="H15" t="str">
        <f t="shared" si="0"/>
        <v>SAMPLE: Dell Devices</v>
      </c>
      <c r="I15" t="s">
        <v>811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210</v>
      </c>
      <c r="B16" t="s">
        <v>787</v>
      </c>
      <c r="C16" t="s">
        <v>793</v>
      </c>
      <c r="D16">
        <v>1</v>
      </c>
      <c r="E16" t="s">
        <v>794</v>
      </c>
      <c r="F16">
        <v>4</v>
      </c>
      <c r="G16">
        <v>2</v>
      </c>
      <c r="H16" t="str">
        <f t="shared" si="0"/>
        <v>PAL-0000013</v>
      </c>
      <c r="I16" t="s">
        <v>812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212</v>
      </c>
      <c r="B17" t="s">
        <v>787</v>
      </c>
      <c r="C17" t="s">
        <v>793</v>
      </c>
      <c r="D17">
        <v>1</v>
      </c>
      <c r="E17" t="s">
        <v>794</v>
      </c>
      <c r="F17">
        <v>4</v>
      </c>
      <c r="G17">
        <v>2</v>
      </c>
      <c r="H17" t="str">
        <f t="shared" si="0"/>
        <v>SAMPLE: Cables &amp; Adapters</v>
      </c>
      <c r="I17" t="s">
        <v>813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215</v>
      </c>
      <c r="B18" t="s">
        <v>787</v>
      </c>
      <c r="C18" t="s">
        <v>793</v>
      </c>
      <c r="D18">
        <v>1</v>
      </c>
      <c r="E18" t="s">
        <v>794</v>
      </c>
      <c r="F18">
        <v>4</v>
      </c>
      <c r="G18">
        <v>2</v>
      </c>
      <c r="H18" t="str">
        <f t="shared" si="0"/>
        <v>SAMPLE: Racks &amp; Rails</v>
      </c>
      <c r="I18" t="s">
        <v>814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219</v>
      </c>
      <c r="B19" t="s">
        <v>787</v>
      </c>
      <c r="C19" t="s">
        <v>793</v>
      </c>
      <c r="D19">
        <v>1</v>
      </c>
      <c r="E19" t="s">
        <v>794</v>
      </c>
      <c r="F19">
        <v>4</v>
      </c>
      <c r="G19">
        <v>2</v>
      </c>
      <c r="H19" t="str">
        <f t="shared" si="0"/>
        <v>SAMPLE: Networking Gear</v>
      </c>
      <c r="I19" t="s">
        <v>815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222</v>
      </c>
      <c r="B20" t="s">
        <v>787</v>
      </c>
      <c r="C20" t="s">
        <v>793</v>
      </c>
      <c r="D20">
        <v>1</v>
      </c>
      <c r="E20" t="s">
        <v>794</v>
      </c>
      <c r="F20">
        <v>4</v>
      </c>
      <c r="G20">
        <v>2</v>
      </c>
      <c r="H20" t="str">
        <f t="shared" si="0"/>
        <v>SAMPLE: Keyboards &amp; Mice</v>
      </c>
      <c r="I20" t="s">
        <v>816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225</v>
      </c>
      <c r="B21" t="s">
        <v>787</v>
      </c>
      <c r="C21" t="s">
        <v>793</v>
      </c>
      <c r="D21">
        <v>1</v>
      </c>
      <c r="E21" t="s">
        <v>794</v>
      </c>
      <c r="F21">
        <v>4</v>
      </c>
      <c r="G21">
        <v>2</v>
      </c>
      <c r="H21" t="str">
        <f t="shared" si="0"/>
        <v>SAMPLE: Spare Parts</v>
      </c>
      <c r="I21" t="s">
        <v>817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228</v>
      </c>
      <c r="B22" t="s">
        <v>787</v>
      </c>
      <c r="C22" t="s">
        <v>793</v>
      </c>
      <c r="D22">
        <v>1</v>
      </c>
      <c r="E22" t="s">
        <v>794</v>
      </c>
      <c r="F22">
        <v>4</v>
      </c>
      <c r="G22">
        <v>2</v>
      </c>
      <c r="H22" t="str">
        <f t="shared" si="0"/>
        <v>PAL-0000019</v>
      </c>
      <c r="I22" t="s">
        <v>818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230</v>
      </c>
      <c r="B23" t="s">
        <v>787</v>
      </c>
      <c r="C23" t="s">
        <v>793</v>
      </c>
      <c r="D23">
        <v>1</v>
      </c>
      <c r="E23" t="s">
        <v>794</v>
      </c>
      <c r="F23">
        <v>4</v>
      </c>
      <c r="G23">
        <v>2</v>
      </c>
      <c r="H23" t="str">
        <f t="shared" si="0"/>
        <v>PAL-0000020</v>
      </c>
      <c r="I23" t="s">
        <v>819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232</v>
      </c>
      <c r="B24" t="s">
        <v>787</v>
      </c>
      <c r="C24" t="s">
        <v>793</v>
      </c>
      <c r="D24">
        <v>1</v>
      </c>
      <c r="E24" t="s">
        <v>794</v>
      </c>
      <c r="F24">
        <v>4</v>
      </c>
      <c r="G24">
        <v>2</v>
      </c>
      <c r="H24" t="str">
        <f t="shared" si="0"/>
        <v>PAL-0000021</v>
      </c>
      <c r="I24" t="s">
        <v>820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234</v>
      </c>
      <c r="B25" t="s">
        <v>787</v>
      </c>
      <c r="C25" t="s">
        <v>793</v>
      </c>
      <c r="D25">
        <v>1</v>
      </c>
      <c r="E25" t="s">
        <v>794</v>
      </c>
      <c r="F25">
        <v>4</v>
      </c>
      <c r="G25">
        <v>2</v>
      </c>
      <c r="H25" t="str">
        <f t="shared" si="0"/>
        <v>PAL-0000022</v>
      </c>
      <c r="I25" t="s">
        <v>821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237</v>
      </c>
      <c r="B26" t="s">
        <v>787</v>
      </c>
      <c r="C26" t="s">
        <v>793</v>
      </c>
      <c r="D26">
        <v>1</v>
      </c>
      <c r="E26" t="s">
        <v>794</v>
      </c>
      <c r="F26">
        <v>4</v>
      </c>
      <c r="G26">
        <v>2</v>
      </c>
      <c r="H26" t="str">
        <f t="shared" si="0"/>
        <v>PAL-0000023</v>
      </c>
      <c r="I26" t="s">
        <v>822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239</v>
      </c>
      <c r="B27" t="s">
        <v>787</v>
      </c>
      <c r="C27" t="s">
        <v>793</v>
      </c>
      <c r="D27">
        <v>1</v>
      </c>
      <c r="E27" t="s">
        <v>794</v>
      </c>
      <c r="F27">
        <v>4</v>
      </c>
      <c r="G27">
        <v>2</v>
      </c>
      <c r="H27" t="str">
        <f t="shared" si="0"/>
        <v>PAL-0000024</v>
      </c>
      <c r="I27" t="s">
        <v>823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241</v>
      </c>
      <c r="B28" t="s">
        <v>787</v>
      </c>
      <c r="C28" t="s">
        <v>205</v>
      </c>
      <c r="D28">
        <v>1</v>
      </c>
      <c r="E28" t="s">
        <v>794</v>
      </c>
      <c r="F28">
        <v>4</v>
      </c>
      <c r="G28">
        <v>2</v>
      </c>
      <c r="H28" t="str">
        <f t="shared" si="0"/>
        <v>PAL-0000025</v>
      </c>
      <c r="I28" t="s">
        <v>824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243</v>
      </c>
      <c r="B29" t="s">
        <v>787</v>
      </c>
      <c r="C29" t="s">
        <v>205</v>
      </c>
      <c r="D29">
        <v>1</v>
      </c>
      <c r="E29" t="s">
        <v>794</v>
      </c>
      <c r="F29">
        <v>4</v>
      </c>
      <c r="G29">
        <v>2</v>
      </c>
      <c r="H29" t="str">
        <f t="shared" si="0"/>
        <v>PAL-0000026</v>
      </c>
      <c r="I29" t="s">
        <v>825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245</v>
      </c>
      <c r="B30" t="s">
        <v>787</v>
      </c>
      <c r="C30" t="s">
        <v>205</v>
      </c>
      <c r="D30">
        <v>1</v>
      </c>
      <c r="E30" t="s">
        <v>794</v>
      </c>
      <c r="F30">
        <v>4</v>
      </c>
      <c r="G30">
        <v>2</v>
      </c>
      <c r="H30" t="str">
        <f t="shared" si="0"/>
        <v>PAL-0000027</v>
      </c>
      <c r="I30" t="s">
        <v>826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247</v>
      </c>
      <c r="B31" t="s">
        <v>787</v>
      </c>
      <c r="C31" t="s">
        <v>205</v>
      </c>
      <c r="D31">
        <v>1</v>
      </c>
      <c r="E31" t="s">
        <v>794</v>
      </c>
      <c r="F31">
        <v>4</v>
      </c>
      <c r="G31">
        <v>2</v>
      </c>
      <c r="H31" t="str">
        <f t="shared" si="0"/>
        <v>PAL-0000028</v>
      </c>
      <c r="I31" t="s">
        <v>827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249</v>
      </c>
      <c r="B32" t="s">
        <v>787</v>
      </c>
      <c r="C32" t="s">
        <v>205</v>
      </c>
      <c r="D32">
        <v>1</v>
      </c>
      <c r="E32" t="s">
        <v>794</v>
      </c>
      <c r="F32">
        <v>4</v>
      </c>
      <c r="G32">
        <v>2</v>
      </c>
      <c r="H32" t="str">
        <f t="shared" si="0"/>
        <v>PAL-0000029</v>
      </c>
      <c r="I32" t="s">
        <v>828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252</v>
      </c>
      <c r="B33" t="s">
        <v>787</v>
      </c>
      <c r="C33" t="s">
        <v>205</v>
      </c>
      <c r="D33">
        <v>1</v>
      </c>
      <c r="E33" t="s">
        <v>794</v>
      </c>
      <c r="F33">
        <v>4</v>
      </c>
      <c r="G33">
        <v>2</v>
      </c>
      <c r="H33" t="str">
        <f t="shared" si="0"/>
        <v>PAL-0000030</v>
      </c>
      <c r="I33" t="s">
        <v>829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254</v>
      </c>
      <c r="B34" t="s">
        <v>787</v>
      </c>
      <c r="C34" t="s">
        <v>205</v>
      </c>
      <c r="D34">
        <v>1</v>
      </c>
      <c r="E34" t="s">
        <v>794</v>
      </c>
      <c r="F34">
        <v>4</v>
      </c>
      <c r="G34">
        <v>2</v>
      </c>
      <c r="H34" t="str">
        <f t="shared" ref="H34:H65" si="9">A34</f>
        <v>PAL-0000031</v>
      </c>
      <c r="I34" t="s">
        <v>830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256</v>
      </c>
      <c r="B35" t="s">
        <v>787</v>
      </c>
      <c r="C35" t="s">
        <v>205</v>
      </c>
      <c r="D35">
        <v>1</v>
      </c>
      <c r="E35" t="s">
        <v>794</v>
      </c>
      <c r="F35">
        <v>4</v>
      </c>
      <c r="G35">
        <v>2</v>
      </c>
      <c r="H35" t="str">
        <f t="shared" si="9"/>
        <v>PAL-0000032</v>
      </c>
      <c r="I35" t="s">
        <v>831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258</v>
      </c>
      <c r="B36" t="s">
        <v>787</v>
      </c>
      <c r="C36" t="s">
        <v>205</v>
      </c>
      <c r="D36">
        <v>1</v>
      </c>
      <c r="E36" t="s">
        <v>794</v>
      </c>
      <c r="F36">
        <v>4</v>
      </c>
      <c r="G36">
        <v>2</v>
      </c>
      <c r="H36" t="str">
        <f t="shared" si="9"/>
        <v>PAL-0000033</v>
      </c>
      <c r="I36" t="s">
        <v>832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260</v>
      </c>
      <c r="B37" t="s">
        <v>787</v>
      </c>
      <c r="C37" t="s">
        <v>205</v>
      </c>
      <c r="D37">
        <v>1</v>
      </c>
      <c r="E37" t="s">
        <v>794</v>
      </c>
      <c r="F37">
        <v>4</v>
      </c>
      <c r="G37">
        <v>2</v>
      </c>
      <c r="H37" t="str">
        <f t="shared" si="9"/>
        <v>PAL-0000034</v>
      </c>
      <c r="I37" t="s">
        <v>833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262</v>
      </c>
      <c r="B38" t="s">
        <v>787</v>
      </c>
      <c r="C38" t="s">
        <v>205</v>
      </c>
      <c r="D38">
        <v>1</v>
      </c>
      <c r="E38" t="s">
        <v>794</v>
      </c>
      <c r="F38">
        <v>4</v>
      </c>
      <c r="G38">
        <v>2</v>
      </c>
      <c r="H38" t="str">
        <f t="shared" si="9"/>
        <v>PAL-0000035</v>
      </c>
      <c r="I38" t="s">
        <v>834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264</v>
      </c>
      <c r="B39" t="s">
        <v>787</v>
      </c>
      <c r="C39" t="s">
        <v>205</v>
      </c>
      <c r="D39">
        <v>1</v>
      </c>
      <c r="E39" t="s">
        <v>794</v>
      </c>
      <c r="F39">
        <v>4</v>
      </c>
      <c r="G39">
        <v>2</v>
      </c>
      <c r="H39" t="str">
        <f t="shared" si="9"/>
        <v>PAL-0000036</v>
      </c>
      <c r="I39" t="s">
        <v>835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267</v>
      </c>
      <c r="B40" t="s">
        <v>787</v>
      </c>
      <c r="C40" t="s">
        <v>205</v>
      </c>
      <c r="D40">
        <v>1</v>
      </c>
      <c r="E40" t="s">
        <v>794</v>
      </c>
      <c r="F40">
        <v>4</v>
      </c>
      <c r="G40">
        <v>2</v>
      </c>
      <c r="H40" t="str">
        <f t="shared" si="9"/>
        <v>PAL-0000037</v>
      </c>
      <c r="I40" t="s">
        <v>836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269</v>
      </c>
      <c r="B41" t="s">
        <v>787</v>
      </c>
      <c r="C41" t="s">
        <v>205</v>
      </c>
      <c r="D41">
        <v>1</v>
      </c>
      <c r="E41" t="s">
        <v>794</v>
      </c>
      <c r="F41">
        <v>4</v>
      </c>
      <c r="G41">
        <v>2</v>
      </c>
      <c r="H41" t="str">
        <f t="shared" si="9"/>
        <v>PAL-0000038</v>
      </c>
      <c r="I41" t="s">
        <v>837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271</v>
      </c>
      <c r="B42" t="s">
        <v>787</v>
      </c>
      <c r="C42" t="s">
        <v>205</v>
      </c>
      <c r="D42">
        <v>1</v>
      </c>
      <c r="E42" t="s">
        <v>794</v>
      </c>
      <c r="F42">
        <v>4</v>
      </c>
      <c r="G42">
        <v>2</v>
      </c>
      <c r="H42" t="str">
        <f t="shared" si="9"/>
        <v>PAL-0000039</v>
      </c>
      <c r="I42" t="s">
        <v>838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273</v>
      </c>
      <c r="B43" t="s">
        <v>787</v>
      </c>
      <c r="C43" t="s">
        <v>205</v>
      </c>
      <c r="D43">
        <v>1</v>
      </c>
      <c r="E43" t="s">
        <v>794</v>
      </c>
      <c r="F43">
        <v>4</v>
      </c>
      <c r="G43">
        <v>2</v>
      </c>
      <c r="H43" t="str">
        <f t="shared" si="9"/>
        <v>PAL-0000040</v>
      </c>
      <c r="I43" t="s">
        <v>839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275</v>
      </c>
      <c r="B44" t="s">
        <v>787</v>
      </c>
      <c r="C44" t="s">
        <v>205</v>
      </c>
      <c r="D44">
        <v>1</v>
      </c>
      <c r="E44" t="s">
        <v>794</v>
      </c>
      <c r="F44">
        <v>4</v>
      </c>
      <c r="G44">
        <v>2</v>
      </c>
      <c r="H44" t="str">
        <f t="shared" si="9"/>
        <v>PAL-0000041</v>
      </c>
      <c r="I44" t="s">
        <v>840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277</v>
      </c>
      <c r="B45" t="s">
        <v>787</v>
      </c>
      <c r="C45" t="s">
        <v>205</v>
      </c>
      <c r="D45">
        <v>1</v>
      </c>
      <c r="E45" t="s">
        <v>794</v>
      </c>
      <c r="F45">
        <v>4</v>
      </c>
      <c r="G45">
        <v>2</v>
      </c>
      <c r="H45" t="str">
        <f t="shared" si="9"/>
        <v>PAL-0000042</v>
      </c>
      <c r="I45" t="s">
        <v>841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279</v>
      </c>
      <c r="B46" t="s">
        <v>787</v>
      </c>
      <c r="C46" t="s">
        <v>205</v>
      </c>
      <c r="D46">
        <v>1</v>
      </c>
      <c r="E46" t="s">
        <v>794</v>
      </c>
      <c r="F46">
        <v>4</v>
      </c>
      <c r="G46">
        <v>2</v>
      </c>
      <c r="H46" t="str">
        <f t="shared" si="9"/>
        <v>PAL-0000043</v>
      </c>
      <c r="I46" t="s">
        <v>842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282</v>
      </c>
      <c r="B47" t="s">
        <v>787</v>
      </c>
      <c r="C47" t="s">
        <v>205</v>
      </c>
      <c r="D47">
        <v>1</v>
      </c>
      <c r="E47" t="s">
        <v>794</v>
      </c>
      <c r="F47">
        <v>4</v>
      </c>
      <c r="G47">
        <v>2</v>
      </c>
      <c r="H47" t="str">
        <f t="shared" si="9"/>
        <v>PAL-0000044</v>
      </c>
      <c r="I47" t="s">
        <v>843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284</v>
      </c>
      <c r="B48" t="s">
        <v>787</v>
      </c>
      <c r="C48" t="s">
        <v>844</v>
      </c>
      <c r="D48">
        <v>1</v>
      </c>
      <c r="E48" t="s">
        <v>794</v>
      </c>
      <c r="F48">
        <v>4</v>
      </c>
      <c r="G48">
        <v>2</v>
      </c>
      <c r="H48" t="str">
        <f t="shared" si="9"/>
        <v>PAL-0000045</v>
      </c>
      <c r="I48" t="s">
        <v>845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286</v>
      </c>
      <c r="B49" t="s">
        <v>787</v>
      </c>
      <c r="C49" t="s">
        <v>844</v>
      </c>
      <c r="D49">
        <v>1</v>
      </c>
      <c r="E49" t="s">
        <v>794</v>
      </c>
      <c r="F49">
        <v>4</v>
      </c>
      <c r="G49">
        <v>2</v>
      </c>
      <c r="H49" t="str">
        <f t="shared" si="9"/>
        <v>PAL-0000046</v>
      </c>
      <c r="I49" t="s">
        <v>846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288</v>
      </c>
      <c r="B50" t="s">
        <v>787</v>
      </c>
      <c r="C50" t="s">
        <v>844</v>
      </c>
      <c r="D50">
        <v>1</v>
      </c>
      <c r="E50" t="s">
        <v>794</v>
      </c>
      <c r="F50">
        <v>4</v>
      </c>
      <c r="G50">
        <v>2</v>
      </c>
      <c r="H50" t="str">
        <f t="shared" si="9"/>
        <v>PAL-0000047</v>
      </c>
      <c r="I50" t="s">
        <v>847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290</v>
      </c>
      <c r="B51" t="s">
        <v>787</v>
      </c>
      <c r="C51" t="s">
        <v>844</v>
      </c>
      <c r="D51">
        <v>1</v>
      </c>
      <c r="E51" t="s">
        <v>794</v>
      </c>
      <c r="F51">
        <v>4</v>
      </c>
      <c r="G51">
        <v>2</v>
      </c>
      <c r="H51" t="str">
        <f t="shared" si="9"/>
        <v>PAL-0000048</v>
      </c>
      <c r="I51" t="s">
        <v>848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292</v>
      </c>
      <c r="B52" t="s">
        <v>787</v>
      </c>
      <c r="C52" t="s">
        <v>844</v>
      </c>
      <c r="D52">
        <v>1</v>
      </c>
      <c r="E52" t="s">
        <v>794</v>
      </c>
      <c r="F52">
        <v>4</v>
      </c>
      <c r="G52">
        <v>2</v>
      </c>
      <c r="H52" t="str">
        <f t="shared" si="9"/>
        <v>PAL-0000049</v>
      </c>
      <c r="I52" t="s">
        <v>849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294</v>
      </c>
      <c r="B53" t="s">
        <v>787</v>
      </c>
      <c r="C53" t="s">
        <v>844</v>
      </c>
      <c r="D53">
        <v>1</v>
      </c>
      <c r="E53" t="s">
        <v>794</v>
      </c>
      <c r="F53">
        <v>4</v>
      </c>
      <c r="G53">
        <v>2</v>
      </c>
      <c r="H53" t="str">
        <f t="shared" si="9"/>
        <v>PAL-0000050</v>
      </c>
      <c r="I53" t="s">
        <v>850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297</v>
      </c>
      <c r="B54" t="s">
        <v>787</v>
      </c>
      <c r="C54" t="s">
        <v>844</v>
      </c>
      <c r="D54">
        <v>1</v>
      </c>
      <c r="E54" t="s">
        <v>794</v>
      </c>
      <c r="F54">
        <v>4</v>
      </c>
      <c r="G54">
        <v>2</v>
      </c>
      <c r="H54" t="str">
        <f t="shared" si="9"/>
        <v>RETIRED</v>
      </c>
      <c r="I54" t="s">
        <v>851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300</v>
      </c>
      <c r="B55" t="s">
        <v>787</v>
      </c>
      <c r="C55" t="s">
        <v>844</v>
      </c>
      <c r="D55">
        <v>1</v>
      </c>
      <c r="E55" t="s">
        <v>794</v>
      </c>
      <c r="F55">
        <v>4</v>
      </c>
      <c r="G55">
        <v>2</v>
      </c>
      <c r="H55" t="str">
        <f t="shared" si="9"/>
        <v>PAL-0000052</v>
      </c>
      <c r="I55" t="s">
        <v>852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302</v>
      </c>
      <c r="B56" t="s">
        <v>787</v>
      </c>
      <c r="C56" t="s">
        <v>844</v>
      </c>
      <c r="D56">
        <v>1</v>
      </c>
      <c r="E56" t="s">
        <v>794</v>
      </c>
      <c r="F56">
        <v>4</v>
      </c>
      <c r="G56">
        <v>2</v>
      </c>
      <c r="H56" t="str">
        <f t="shared" si="9"/>
        <v>PAL-0000053</v>
      </c>
      <c r="I56" t="s">
        <v>853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304</v>
      </c>
      <c r="B57" t="s">
        <v>787</v>
      </c>
      <c r="C57" t="s">
        <v>844</v>
      </c>
      <c r="D57">
        <v>1</v>
      </c>
      <c r="E57" t="s">
        <v>794</v>
      </c>
      <c r="F57">
        <v>4</v>
      </c>
      <c r="G57">
        <v>2</v>
      </c>
      <c r="H57" t="str">
        <f t="shared" si="9"/>
        <v>PAL-0000054</v>
      </c>
      <c r="I57" t="s">
        <v>854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306</v>
      </c>
      <c r="B58" t="s">
        <v>787</v>
      </c>
      <c r="C58" t="s">
        <v>844</v>
      </c>
      <c r="D58">
        <v>1</v>
      </c>
      <c r="E58" t="s">
        <v>794</v>
      </c>
      <c r="F58">
        <v>4</v>
      </c>
      <c r="G58">
        <v>2</v>
      </c>
      <c r="H58" t="str">
        <f t="shared" si="9"/>
        <v>PAL-0000055</v>
      </c>
      <c r="I58" t="s">
        <v>855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308</v>
      </c>
      <c r="B59" t="s">
        <v>787</v>
      </c>
      <c r="C59" t="s">
        <v>844</v>
      </c>
      <c r="D59">
        <v>1</v>
      </c>
      <c r="E59" t="s">
        <v>794</v>
      </c>
      <c r="F59">
        <v>4</v>
      </c>
      <c r="G59">
        <v>2</v>
      </c>
      <c r="H59" t="str">
        <f t="shared" si="9"/>
        <v>PAL-0000056</v>
      </c>
      <c r="I59" t="s">
        <v>856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310</v>
      </c>
      <c r="B60" t="s">
        <v>787</v>
      </c>
      <c r="C60" t="s">
        <v>844</v>
      </c>
      <c r="D60">
        <v>1</v>
      </c>
      <c r="E60" t="s">
        <v>794</v>
      </c>
      <c r="F60">
        <v>4</v>
      </c>
      <c r="G60">
        <v>2</v>
      </c>
      <c r="H60" t="str">
        <f t="shared" si="9"/>
        <v>PAL-0000057</v>
      </c>
      <c r="I60" t="s">
        <v>857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313</v>
      </c>
      <c r="B61" t="s">
        <v>787</v>
      </c>
      <c r="C61" t="s">
        <v>844</v>
      </c>
      <c r="D61">
        <v>1</v>
      </c>
      <c r="E61" t="s">
        <v>794</v>
      </c>
      <c r="F61">
        <v>4</v>
      </c>
      <c r="G61">
        <v>2</v>
      </c>
      <c r="H61" t="str">
        <f t="shared" si="9"/>
        <v>PAL-0000058</v>
      </c>
      <c r="I61" t="s">
        <v>858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315</v>
      </c>
      <c r="B62" t="s">
        <v>787</v>
      </c>
      <c r="C62" t="s">
        <v>844</v>
      </c>
      <c r="D62">
        <v>1</v>
      </c>
      <c r="E62" t="s">
        <v>794</v>
      </c>
      <c r="F62">
        <v>4</v>
      </c>
      <c r="G62">
        <v>2</v>
      </c>
      <c r="H62" t="str">
        <f t="shared" si="9"/>
        <v>PAL-0000059</v>
      </c>
      <c r="I62" t="s">
        <v>859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317</v>
      </c>
      <c r="B63" t="s">
        <v>787</v>
      </c>
      <c r="C63" t="s">
        <v>844</v>
      </c>
      <c r="D63">
        <v>1</v>
      </c>
      <c r="E63" t="s">
        <v>794</v>
      </c>
      <c r="F63">
        <v>4</v>
      </c>
      <c r="G63">
        <v>2</v>
      </c>
      <c r="H63" t="str">
        <f t="shared" si="9"/>
        <v>PAL-0000060</v>
      </c>
      <c r="I63" t="s">
        <v>860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319</v>
      </c>
      <c r="B64" t="s">
        <v>787</v>
      </c>
      <c r="C64" t="s">
        <v>844</v>
      </c>
      <c r="D64">
        <v>1</v>
      </c>
      <c r="E64" t="s">
        <v>794</v>
      </c>
      <c r="F64">
        <v>4</v>
      </c>
      <c r="G64">
        <v>2</v>
      </c>
      <c r="H64" t="str">
        <f t="shared" si="9"/>
        <v>PAL-0000061</v>
      </c>
      <c r="I64" t="s">
        <v>861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862</v>
      </c>
      <c r="B65" t="s">
        <v>787</v>
      </c>
      <c r="C65" t="s">
        <v>844</v>
      </c>
      <c r="D65">
        <v>1</v>
      </c>
      <c r="E65" t="s">
        <v>794</v>
      </c>
      <c r="F65">
        <v>4</v>
      </c>
      <c r="G65">
        <v>2</v>
      </c>
      <c r="H65" t="str">
        <f t="shared" si="9"/>
        <v>SAMPLE: Grid C18</v>
      </c>
      <c r="I65" t="s">
        <v>863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864</v>
      </c>
      <c r="B66" t="s">
        <v>787</v>
      </c>
      <c r="C66" t="s">
        <v>844</v>
      </c>
      <c r="D66">
        <v>1</v>
      </c>
      <c r="E66" t="s">
        <v>794</v>
      </c>
      <c r="F66">
        <v>4</v>
      </c>
      <c r="G66">
        <v>2</v>
      </c>
      <c r="H66" t="str">
        <f t="shared" ref="H66:H97" si="13">A66</f>
        <v>SAMPLE: Grid C19</v>
      </c>
      <c r="I66" t="s">
        <v>865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866</v>
      </c>
      <c r="B67" t="s">
        <v>787</v>
      </c>
      <c r="C67" t="s">
        <v>844</v>
      </c>
      <c r="D67">
        <v>1</v>
      </c>
      <c r="E67" t="s">
        <v>794</v>
      </c>
      <c r="F67">
        <v>4</v>
      </c>
      <c r="G67">
        <v>2</v>
      </c>
      <c r="H67" t="str">
        <f t="shared" si="13"/>
        <v>SAMPLE: Grid C20</v>
      </c>
      <c r="I67" t="s">
        <v>867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868</v>
      </c>
      <c r="B68" t="s">
        <v>787</v>
      </c>
      <c r="C68" t="s">
        <v>869</v>
      </c>
      <c r="D68">
        <v>1</v>
      </c>
      <c r="E68" t="s">
        <v>794</v>
      </c>
      <c r="F68">
        <v>4</v>
      </c>
      <c r="G68">
        <v>2</v>
      </c>
      <c r="H68" t="str">
        <f t="shared" si="13"/>
        <v>D</v>
      </c>
      <c r="I68" t="s">
        <v>870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871</v>
      </c>
      <c r="B69" t="s">
        <v>787</v>
      </c>
      <c r="C69" t="s">
        <v>869</v>
      </c>
      <c r="D69">
        <v>1</v>
      </c>
      <c r="E69" t="s">
        <v>794</v>
      </c>
      <c r="F69">
        <v>4</v>
      </c>
      <c r="G69">
        <v>2</v>
      </c>
      <c r="H69" t="str">
        <f t="shared" si="13"/>
        <v>SAMPLE: Grid D02</v>
      </c>
      <c r="I69" t="s">
        <v>872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873</v>
      </c>
      <c r="B70" t="s">
        <v>787</v>
      </c>
      <c r="C70" t="s">
        <v>869</v>
      </c>
      <c r="D70">
        <v>1</v>
      </c>
      <c r="E70" t="s">
        <v>794</v>
      </c>
      <c r="F70">
        <v>4</v>
      </c>
      <c r="G70">
        <v>2</v>
      </c>
      <c r="H70" t="str">
        <f t="shared" si="13"/>
        <v>SAMPLE: Grid D03</v>
      </c>
      <c r="I70" t="s">
        <v>874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875</v>
      </c>
      <c r="B71" t="s">
        <v>787</v>
      </c>
      <c r="C71" t="s">
        <v>869</v>
      </c>
      <c r="D71">
        <v>1</v>
      </c>
      <c r="E71" t="s">
        <v>794</v>
      </c>
      <c r="F71">
        <v>4</v>
      </c>
      <c r="G71">
        <v>2</v>
      </c>
      <c r="H71" t="str">
        <f t="shared" si="13"/>
        <v>SAMPLE: Grid D04</v>
      </c>
      <c r="I71" t="s">
        <v>876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877</v>
      </c>
      <c r="B72" t="s">
        <v>787</v>
      </c>
      <c r="C72" t="s">
        <v>869</v>
      </c>
      <c r="D72">
        <v>1</v>
      </c>
      <c r="E72" t="s">
        <v>794</v>
      </c>
      <c r="F72">
        <v>4</v>
      </c>
      <c r="G72">
        <v>2</v>
      </c>
      <c r="H72" t="str">
        <f t="shared" si="13"/>
        <v>SAMPLE: Grid D05</v>
      </c>
      <c r="I72" t="s">
        <v>878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879</v>
      </c>
      <c r="B73" t="s">
        <v>787</v>
      </c>
      <c r="C73" t="s">
        <v>869</v>
      </c>
      <c r="D73">
        <v>1</v>
      </c>
      <c r="E73" t="s">
        <v>794</v>
      </c>
      <c r="F73">
        <v>4</v>
      </c>
      <c r="G73">
        <v>2</v>
      </c>
      <c r="H73" t="str">
        <f t="shared" si="13"/>
        <v>SAMPLE: Grid D06</v>
      </c>
      <c r="I73" t="s">
        <v>880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881</v>
      </c>
      <c r="B74" t="s">
        <v>787</v>
      </c>
      <c r="C74" t="s">
        <v>869</v>
      </c>
      <c r="D74">
        <v>1</v>
      </c>
      <c r="E74" t="s">
        <v>794</v>
      </c>
      <c r="F74">
        <v>4</v>
      </c>
      <c r="G74">
        <v>2</v>
      </c>
      <c r="H74" t="str">
        <f t="shared" si="13"/>
        <v>SAMPLE: Grid D07</v>
      </c>
      <c r="I74" t="s">
        <v>882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883</v>
      </c>
      <c r="B75" t="s">
        <v>787</v>
      </c>
      <c r="C75" t="s">
        <v>869</v>
      </c>
      <c r="D75">
        <v>1</v>
      </c>
      <c r="E75" t="s">
        <v>794</v>
      </c>
      <c r="F75">
        <v>4</v>
      </c>
      <c r="G75">
        <v>2</v>
      </c>
      <c r="H75" t="str">
        <f t="shared" si="13"/>
        <v>SAMPLE: Grid D08</v>
      </c>
      <c r="I75" t="s">
        <v>884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885</v>
      </c>
      <c r="B76" t="s">
        <v>787</v>
      </c>
      <c r="C76" t="s">
        <v>869</v>
      </c>
      <c r="D76">
        <v>1</v>
      </c>
      <c r="E76" t="s">
        <v>794</v>
      </c>
      <c r="F76">
        <v>4</v>
      </c>
      <c r="G76">
        <v>2</v>
      </c>
      <c r="H76" t="str">
        <f t="shared" si="13"/>
        <v>SAMPLE: Grid D09</v>
      </c>
      <c r="I76" t="s">
        <v>886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887</v>
      </c>
      <c r="B77" t="s">
        <v>787</v>
      </c>
      <c r="C77" t="s">
        <v>869</v>
      </c>
      <c r="D77">
        <v>1</v>
      </c>
      <c r="E77" t="s">
        <v>794</v>
      </c>
      <c r="F77">
        <v>4</v>
      </c>
      <c r="G77">
        <v>2</v>
      </c>
      <c r="H77" t="str">
        <f t="shared" si="13"/>
        <v>SAMPLE: Grid D10</v>
      </c>
      <c r="I77" t="s">
        <v>888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889</v>
      </c>
      <c r="B78" t="s">
        <v>787</v>
      </c>
      <c r="C78" t="s">
        <v>869</v>
      </c>
      <c r="D78">
        <v>1</v>
      </c>
      <c r="E78" t="s">
        <v>794</v>
      </c>
      <c r="F78">
        <v>4</v>
      </c>
      <c r="G78">
        <v>2</v>
      </c>
      <c r="H78" t="str">
        <f t="shared" si="13"/>
        <v>SAMPLE: Grid D11</v>
      </c>
      <c r="I78" t="s">
        <v>890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891</v>
      </c>
      <c r="B79" t="s">
        <v>787</v>
      </c>
      <c r="C79" t="s">
        <v>869</v>
      </c>
      <c r="D79">
        <v>1</v>
      </c>
      <c r="E79" t="s">
        <v>794</v>
      </c>
      <c r="F79">
        <v>4</v>
      </c>
      <c r="G79">
        <v>2</v>
      </c>
      <c r="H79" t="str">
        <f t="shared" si="13"/>
        <v>SAMPLE: Grid D12</v>
      </c>
      <c r="I79" t="s">
        <v>892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893</v>
      </c>
      <c r="B80" t="s">
        <v>787</v>
      </c>
      <c r="C80" t="s">
        <v>869</v>
      </c>
      <c r="D80">
        <v>1</v>
      </c>
      <c r="E80" t="s">
        <v>794</v>
      </c>
      <c r="F80">
        <v>4</v>
      </c>
      <c r="G80">
        <v>2</v>
      </c>
      <c r="H80" t="str">
        <f t="shared" si="13"/>
        <v>SAMPLE: Grid D13</v>
      </c>
      <c r="I80" t="s">
        <v>894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895</v>
      </c>
      <c r="B81" t="s">
        <v>787</v>
      </c>
      <c r="C81" t="s">
        <v>869</v>
      </c>
      <c r="D81">
        <v>1</v>
      </c>
      <c r="E81" t="s">
        <v>794</v>
      </c>
      <c r="F81">
        <v>4</v>
      </c>
      <c r="G81">
        <v>2</v>
      </c>
      <c r="H81" t="str">
        <f t="shared" si="13"/>
        <v>SAMPLE: Grid D14</v>
      </c>
      <c r="I81" t="s">
        <v>896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897</v>
      </c>
      <c r="B82" t="s">
        <v>787</v>
      </c>
      <c r="C82" t="s">
        <v>869</v>
      </c>
      <c r="D82">
        <v>1</v>
      </c>
      <c r="E82" t="s">
        <v>794</v>
      </c>
      <c r="F82">
        <v>4</v>
      </c>
      <c r="G82">
        <v>2</v>
      </c>
      <c r="H82" t="str">
        <f t="shared" si="13"/>
        <v>SAMPLE: Grid D15</v>
      </c>
      <c r="I82" t="s">
        <v>898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899</v>
      </c>
      <c r="B83" t="s">
        <v>787</v>
      </c>
      <c r="C83" t="s">
        <v>869</v>
      </c>
      <c r="D83">
        <v>1</v>
      </c>
      <c r="E83" t="s">
        <v>794</v>
      </c>
      <c r="F83">
        <v>4</v>
      </c>
      <c r="G83">
        <v>2</v>
      </c>
      <c r="H83" t="str">
        <f t="shared" si="13"/>
        <v>SAMPLE: Grid D16</v>
      </c>
      <c r="I83" t="s">
        <v>900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901</v>
      </c>
      <c r="B84" t="s">
        <v>787</v>
      </c>
      <c r="C84" t="s">
        <v>869</v>
      </c>
      <c r="D84">
        <v>1</v>
      </c>
      <c r="E84" t="s">
        <v>794</v>
      </c>
      <c r="F84">
        <v>4</v>
      </c>
      <c r="G84">
        <v>2</v>
      </c>
      <c r="H84" t="str">
        <f t="shared" si="13"/>
        <v>SAMPLE: Grid D17</v>
      </c>
      <c r="I84" t="s">
        <v>902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903</v>
      </c>
      <c r="B85" t="s">
        <v>787</v>
      </c>
      <c r="C85" t="s">
        <v>869</v>
      </c>
      <c r="D85">
        <v>1</v>
      </c>
      <c r="E85" t="s">
        <v>794</v>
      </c>
      <c r="F85">
        <v>4</v>
      </c>
      <c r="G85">
        <v>2</v>
      </c>
      <c r="H85" t="str">
        <f t="shared" si="13"/>
        <v>SAMPLE: Grid D18</v>
      </c>
      <c r="I85" t="s">
        <v>904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905</v>
      </c>
      <c r="B86" t="s">
        <v>787</v>
      </c>
      <c r="C86" t="s">
        <v>869</v>
      </c>
      <c r="D86">
        <v>1</v>
      </c>
      <c r="E86" t="s">
        <v>794</v>
      </c>
      <c r="F86">
        <v>4</v>
      </c>
      <c r="G86">
        <v>2</v>
      </c>
      <c r="H86" t="str">
        <f t="shared" si="13"/>
        <v>SAMPLE: Grid D19</v>
      </c>
      <c r="I86" t="s">
        <v>906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907</v>
      </c>
      <c r="B87" t="s">
        <v>787</v>
      </c>
      <c r="C87" t="s">
        <v>869</v>
      </c>
      <c r="D87">
        <v>1</v>
      </c>
      <c r="E87" t="s">
        <v>794</v>
      </c>
      <c r="F87">
        <v>4</v>
      </c>
      <c r="G87">
        <v>2</v>
      </c>
      <c r="H87" t="str">
        <f t="shared" si="13"/>
        <v>SAMPLE: Grid D20</v>
      </c>
      <c r="I87" t="s">
        <v>908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909</v>
      </c>
      <c r="B88" t="s">
        <v>787</v>
      </c>
      <c r="C88" t="s">
        <v>910</v>
      </c>
      <c r="D88">
        <v>1</v>
      </c>
      <c r="E88" t="s">
        <v>794</v>
      </c>
      <c r="F88">
        <v>4</v>
      </c>
      <c r="G88">
        <v>2</v>
      </c>
      <c r="H88" t="str">
        <f t="shared" si="13"/>
        <v>E</v>
      </c>
      <c r="I88" t="s">
        <v>911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912</v>
      </c>
      <c r="B89" t="s">
        <v>787</v>
      </c>
      <c r="C89" t="s">
        <v>910</v>
      </c>
      <c r="D89">
        <v>1</v>
      </c>
      <c r="E89" t="s">
        <v>794</v>
      </c>
      <c r="F89">
        <v>4</v>
      </c>
      <c r="G89">
        <v>2</v>
      </c>
      <c r="H89" t="str">
        <f t="shared" si="13"/>
        <v>SAMPLE: Grid E02</v>
      </c>
      <c r="I89" t="s">
        <v>913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914</v>
      </c>
      <c r="B90" t="s">
        <v>787</v>
      </c>
      <c r="C90" t="s">
        <v>910</v>
      </c>
      <c r="D90">
        <v>1</v>
      </c>
      <c r="E90" t="s">
        <v>794</v>
      </c>
      <c r="F90">
        <v>4</v>
      </c>
      <c r="G90">
        <v>2</v>
      </c>
      <c r="H90" t="str">
        <f t="shared" si="13"/>
        <v>SAMPLE: Grid E03</v>
      </c>
      <c r="I90" t="s">
        <v>915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916</v>
      </c>
      <c r="B91" t="s">
        <v>787</v>
      </c>
      <c r="C91" t="s">
        <v>910</v>
      </c>
      <c r="D91">
        <v>1</v>
      </c>
      <c r="E91" t="s">
        <v>794</v>
      </c>
      <c r="F91">
        <v>4</v>
      </c>
      <c r="G91">
        <v>2</v>
      </c>
      <c r="H91" t="str">
        <f t="shared" si="13"/>
        <v>SAMPLE: Grid E04</v>
      </c>
      <c r="I91" t="s">
        <v>917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918</v>
      </c>
      <c r="B92" t="s">
        <v>787</v>
      </c>
      <c r="C92" t="s">
        <v>910</v>
      </c>
      <c r="D92">
        <v>1</v>
      </c>
      <c r="E92" t="s">
        <v>794</v>
      </c>
      <c r="F92">
        <v>4</v>
      </c>
      <c r="G92">
        <v>2</v>
      </c>
      <c r="H92" t="str">
        <f t="shared" si="13"/>
        <v>SAMPLE: Grid E05</v>
      </c>
      <c r="I92" t="s">
        <v>919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920</v>
      </c>
      <c r="B93" t="s">
        <v>787</v>
      </c>
      <c r="C93" t="s">
        <v>910</v>
      </c>
      <c r="D93">
        <v>1</v>
      </c>
      <c r="E93" t="s">
        <v>794</v>
      </c>
      <c r="F93">
        <v>4</v>
      </c>
      <c r="G93">
        <v>2</v>
      </c>
      <c r="H93" t="str">
        <f t="shared" si="13"/>
        <v>SAMPLE: Grid E06</v>
      </c>
      <c r="I93" t="s">
        <v>921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922</v>
      </c>
      <c r="B94" t="s">
        <v>787</v>
      </c>
      <c r="C94" t="s">
        <v>910</v>
      </c>
      <c r="D94">
        <v>1</v>
      </c>
      <c r="E94" t="s">
        <v>794</v>
      </c>
      <c r="F94">
        <v>4</v>
      </c>
      <c r="G94">
        <v>2</v>
      </c>
      <c r="H94" t="str">
        <f t="shared" si="13"/>
        <v>SAMPLE: Grid E07</v>
      </c>
      <c r="I94" t="s">
        <v>923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924</v>
      </c>
      <c r="B95" t="s">
        <v>787</v>
      </c>
      <c r="C95" t="s">
        <v>910</v>
      </c>
      <c r="D95">
        <v>1</v>
      </c>
      <c r="E95" t="s">
        <v>794</v>
      </c>
      <c r="F95">
        <v>4</v>
      </c>
      <c r="G95">
        <v>2</v>
      </c>
      <c r="H95" t="str">
        <f t="shared" si="13"/>
        <v>SAMPLE: Grid E08</v>
      </c>
      <c r="I95" t="s">
        <v>925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926</v>
      </c>
      <c r="B96" t="s">
        <v>787</v>
      </c>
      <c r="C96" t="s">
        <v>910</v>
      </c>
      <c r="D96">
        <v>1</v>
      </c>
      <c r="E96" t="s">
        <v>794</v>
      </c>
      <c r="F96">
        <v>4</v>
      </c>
      <c r="G96">
        <v>2</v>
      </c>
      <c r="H96" t="str">
        <f t="shared" si="13"/>
        <v>SAMPLE: Grid E09</v>
      </c>
      <c r="I96" t="s">
        <v>927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928</v>
      </c>
      <c r="B97" t="s">
        <v>787</v>
      </c>
      <c r="C97" t="s">
        <v>910</v>
      </c>
      <c r="D97">
        <v>1</v>
      </c>
      <c r="E97" t="s">
        <v>794</v>
      </c>
      <c r="F97">
        <v>4</v>
      </c>
      <c r="G97">
        <v>2</v>
      </c>
      <c r="H97" t="str">
        <f t="shared" si="13"/>
        <v>SAMPLE: Grid E10</v>
      </c>
      <c r="I97" t="s">
        <v>929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930</v>
      </c>
      <c r="B98" t="s">
        <v>787</v>
      </c>
      <c r="C98" t="s">
        <v>910</v>
      </c>
      <c r="D98">
        <v>1</v>
      </c>
      <c r="E98" t="s">
        <v>794</v>
      </c>
      <c r="F98">
        <v>4</v>
      </c>
      <c r="G98">
        <v>2</v>
      </c>
      <c r="H98" t="str">
        <f t="shared" ref="H98:H133" si="22">A98</f>
        <v>SAMPLE: Grid E11</v>
      </c>
      <c r="I98" t="s">
        <v>931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932</v>
      </c>
      <c r="B99" t="s">
        <v>787</v>
      </c>
      <c r="C99" t="s">
        <v>910</v>
      </c>
      <c r="D99">
        <v>1</v>
      </c>
      <c r="E99" t="s">
        <v>794</v>
      </c>
      <c r="F99">
        <v>4</v>
      </c>
      <c r="G99">
        <v>2</v>
      </c>
      <c r="H99" t="str">
        <f t="shared" si="22"/>
        <v>SAMPLE: Grid E12</v>
      </c>
      <c r="I99" t="s">
        <v>933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934</v>
      </c>
      <c r="B100" t="s">
        <v>787</v>
      </c>
      <c r="C100" t="s">
        <v>910</v>
      </c>
      <c r="D100">
        <v>1</v>
      </c>
      <c r="E100" t="s">
        <v>794</v>
      </c>
      <c r="F100">
        <v>4</v>
      </c>
      <c r="G100">
        <v>2</v>
      </c>
      <c r="H100" t="str">
        <f t="shared" si="22"/>
        <v>SAMPLE: Grid E13</v>
      </c>
      <c r="I100" t="s">
        <v>935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936</v>
      </c>
      <c r="B101" t="s">
        <v>787</v>
      </c>
      <c r="C101" t="s">
        <v>910</v>
      </c>
      <c r="D101">
        <v>1</v>
      </c>
      <c r="E101" t="s">
        <v>794</v>
      </c>
      <c r="F101">
        <v>4</v>
      </c>
      <c r="G101">
        <v>2</v>
      </c>
      <c r="H101" t="str">
        <f t="shared" si="22"/>
        <v>SAMPLE: Grid E14</v>
      </c>
      <c r="I101" t="s">
        <v>937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938</v>
      </c>
      <c r="B102" t="s">
        <v>787</v>
      </c>
      <c r="C102" t="s">
        <v>910</v>
      </c>
      <c r="D102">
        <v>1</v>
      </c>
      <c r="E102" t="s">
        <v>794</v>
      </c>
      <c r="F102">
        <v>4</v>
      </c>
      <c r="G102">
        <v>2</v>
      </c>
      <c r="H102" t="str">
        <f t="shared" si="22"/>
        <v>SAMPLE: Grid E15</v>
      </c>
      <c r="I102" t="s">
        <v>939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940</v>
      </c>
      <c r="B103" t="s">
        <v>787</v>
      </c>
      <c r="C103" t="s">
        <v>910</v>
      </c>
      <c r="D103">
        <v>1</v>
      </c>
      <c r="E103" t="s">
        <v>794</v>
      </c>
      <c r="F103">
        <v>4</v>
      </c>
      <c r="G103">
        <v>2</v>
      </c>
      <c r="H103" t="str">
        <f t="shared" si="22"/>
        <v>SAMPLE: Grid E16</v>
      </c>
      <c r="I103" t="s">
        <v>941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942</v>
      </c>
      <c r="B104" t="s">
        <v>787</v>
      </c>
      <c r="C104" t="s">
        <v>910</v>
      </c>
      <c r="D104">
        <v>1</v>
      </c>
      <c r="E104" t="s">
        <v>794</v>
      </c>
      <c r="F104">
        <v>4</v>
      </c>
      <c r="G104">
        <v>2</v>
      </c>
      <c r="H104" t="str">
        <f t="shared" si="22"/>
        <v>SAMPLE: Grid E17</v>
      </c>
      <c r="I104" t="s">
        <v>943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944</v>
      </c>
      <c r="B105" t="s">
        <v>787</v>
      </c>
      <c r="C105" t="s">
        <v>910</v>
      </c>
      <c r="D105">
        <v>1</v>
      </c>
      <c r="E105" t="s">
        <v>794</v>
      </c>
      <c r="F105">
        <v>4</v>
      </c>
      <c r="G105">
        <v>2</v>
      </c>
      <c r="H105" t="str">
        <f t="shared" si="22"/>
        <v>SAMPLE: Grid E18</v>
      </c>
      <c r="I105" t="s">
        <v>945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946</v>
      </c>
      <c r="B106" t="s">
        <v>787</v>
      </c>
      <c r="C106" t="s">
        <v>910</v>
      </c>
      <c r="D106">
        <v>1</v>
      </c>
      <c r="E106" t="s">
        <v>794</v>
      </c>
      <c r="F106">
        <v>4</v>
      </c>
      <c r="G106">
        <v>2</v>
      </c>
      <c r="H106" t="str">
        <f t="shared" si="22"/>
        <v>SAMPLE: Grid E19</v>
      </c>
      <c r="I106" t="s">
        <v>947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948</v>
      </c>
      <c r="B107" t="s">
        <v>787</v>
      </c>
      <c r="C107" t="s">
        <v>910</v>
      </c>
      <c r="D107">
        <v>1</v>
      </c>
      <c r="E107" t="s">
        <v>794</v>
      </c>
      <c r="F107">
        <v>4</v>
      </c>
      <c r="G107">
        <v>2</v>
      </c>
      <c r="H107" t="str">
        <f t="shared" si="22"/>
        <v>SAMPLE: Grid E20</v>
      </c>
      <c r="I107" t="s">
        <v>949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950</v>
      </c>
      <c r="B108" t="s">
        <v>787</v>
      </c>
      <c r="C108" t="s">
        <v>951</v>
      </c>
      <c r="D108">
        <v>1</v>
      </c>
      <c r="E108" t="s">
        <v>794</v>
      </c>
      <c r="F108">
        <v>4</v>
      </c>
      <c r="G108">
        <v>2</v>
      </c>
      <c r="H108" t="str">
        <f t="shared" si="22"/>
        <v>F</v>
      </c>
      <c r="I108" t="s">
        <v>952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953</v>
      </c>
      <c r="B109" t="s">
        <v>787</v>
      </c>
      <c r="C109" t="s">
        <v>951</v>
      </c>
      <c r="D109">
        <v>1</v>
      </c>
      <c r="E109" t="s">
        <v>794</v>
      </c>
      <c r="F109">
        <v>4</v>
      </c>
      <c r="G109">
        <v>2</v>
      </c>
      <c r="H109" t="str">
        <f t="shared" si="22"/>
        <v>SAMPLE: Grid F02</v>
      </c>
      <c r="I109" t="s">
        <v>954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955</v>
      </c>
      <c r="B110" t="s">
        <v>787</v>
      </c>
      <c r="C110" t="s">
        <v>951</v>
      </c>
      <c r="D110">
        <v>1</v>
      </c>
      <c r="E110" t="s">
        <v>794</v>
      </c>
      <c r="F110">
        <v>4</v>
      </c>
      <c r="G110">
        <v>2</v>
      </c>
      <c r="H110" t="str">
        <f t="shared" si="22"/>
        <v>SAMPLE: Grid F03</v>
      </c>
      <c r="I110" t="s">
        <v>956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957</v>
      </c>
      <c r="B111" t="s">
        <v>787</v>
      </c>
      <c r="C111" t="s">
        <v>951</v>
      </c>
      <c r="D111">
        <v>1</v>
      </c>
      <c r="E111" t="s">
        <v>794</v>
      </c>
      <c r="F111">
        <v>4</v>
      </c>
      <c r="G111">
        <v>2</v>
      </c>
      <c r="H111" t="str">
        <f t="shared" si="22"/>
        <v>SAMPLE: Grid F04</v>
      </c>
      <c r="I111" t="s">
        <v>958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959</v>
      </c>
      <c r="B112" t="s">
        <v>787</v>
      </c>
      <c r="C112" t="s">
        <v>951</v>
      </c>
      <c r="D112">
        <v>1</v>
      </c>
      <c r="E112" t="s">
        <v>794</v>
      </c>
      <c r="F112">
        <v>4</v>
      </c>
      <c r="G112">
        <v>2</v>
      </c>
      <c r="H112" t="str">
        <f t="shared" si="22"/>
        <v>SAMPLE: Grid F05</v>
      </c>
      <c r="I112" t="s">
        <v>960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961</v>
      </c>
      <c r="B113" t="s">
        <v>787</v>
      </c>
      <c r="C113" t="s">
        <v>951</v>
      </c>
      <c r="D113">
        <v>1</v>
      </c>
      <c r="E113" t="s">
        <v>794</v>
      </c>
      <c r="F113">
        <v>4</v>
      </c>
      <c r="G113">
        <v>2</v>
      </c>
      <c r="H113" t="str">
        <f t="shared" si="22"/>
        <v>SAMPLE: Grid F06</v>
      </c>
      <c r="I113" t="s">
        <v>962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963</v>
      </c>
      <c r="B114" t="s">
        <v>787</v>
      </c>
      <c r="C114" t="s">
        <v>951</v>
      </c>
      <c r="D114">
        <v>1</v>
      </c>
      <c r="E114" t="s">
        <v>794</v>
      </c>
      <c r="F114">
        <v>4</v>
      </c>
      <c r="G114">
        <v>2</v>
      </c>
      <c r="H114" t="str">
        <f t="shared" si="22"/>
        <v>SAMPLE: Grid F07</v>
      </c>
      <c r="I114" t="s">
        <v>964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965</v>
      </c>
      <c r="B115" t="s">
        <v>787</v>
      </c>
      <c r="C115" t="s">
        <v>951</v>
      </c>
      <c r="D115">
        <v>1</v>
      </c>
      <c r="E115" t="s">
        <v>794</v>
      </c>
      <c r="F115">
        <v>4</v>
      </c>
      <c r="G115">
        <v>2</v>
      </c>
      <c r="H115" t="str">
        <f t="shared" si="22"/>
        <v>SAMPLE: Grid F08</v>
      </c>
      <c r="I115" t="s">
        <v>966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967</v>
      </c>
      <c r="B116" t="s">
        <v>787</v>
      </c>
      <c r="C116" t="s">
        <v>951</v>
      </c>
      <c r="D116">
        <v>1</v>
      </c>
      <c r="E116" t="s">
        <v>794</v>
      </c>
      <c r="F116">
        <v>4</v>
      </c>
      <c r="G116">
        <v>2</v>
      </c>
      <c r="H116" t="str">
        <f t="shared" si="22"/>
        <v>SAMPLE: Grid F09</v>
      </c>
      <c r="I116" t="s">
        <v>968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969</v>
      </c>
      <c r="B117" t="s">
        <v>787</v>
      </c>
      <c r="C117" t="s">
        <v>951</v>
      </c>
      <c r="D117">
        <v>1</v>
      </c>
      <c r="E117" t="s">
        <v>794</v>
      </c>
      <c r="F117">
        <v>4</v>
      </c>
      <c r="G117">
        <v>2</v>
      </c>
      <c r="H117" t="str">
        <f t="shared" si="22"/>
        <v>SAMPLE: Grid F10</v>
      </c>
      <c r="I117" t="s">
        <v>970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971</v>
      </c>
      <c r="B118" t="s">
        <v>787</v>
      </c>
      <c r="C118" t="s">
        <v>951</v>
      </c>
      <c r="D118">
        <v>1</v>
      </c>
      <c r="E118" t="s">
        <v>794</v>
      </c>
      <c r="F118">
        <v>4</v>
      </c>
      <c r="G118">
        <v>2</v>
      </c>
      <c r="H118" t="str">
        <f t="shared" si="22"/>
        <v>SAMPLE: Grid F11</v>
      </c>
      <c r="I118" t="s">
        <v>972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973</v>
      </c>
      <c r="B119" t="s">
        <v>787</v>
      </c>
      <c r="C119" t="s">
        <v>951</v>
      </c>
      <c r="D119">
        <v>1</v>
      </c>
      <c r="E119" t="s">
        <v>794</v>
      </c>
      <c r="F119">
        <v>4</v>
      </c>
      <c r="G119">
        <v>2</v>
      </c>
      <c r="H119" t="str">
        <f t="shared" si="22"/>
        <v>SAMPLE: Grid F12</v>
      </c>
      <c r="I119" t="s">
        <v>974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975</v>
      </c>
      <c r="B120" t="s">
        <v>787</v>
      </c>
      <c r="C120" t="s">
        <v>951</v>
      </c>
      <c r="D120">
        <v>1</v>
      </c>
      <c r="E120" t="s">
        <v>794</v>
      </c>
      <c r="F120">
        <v>4</v>
      </c>
      <c r="G120">
        <v>2</v>
      </c>
      <c r="H120" t="str">
        <f t="shared" si="22"/>
        <v>SAMPLE: Grid F13</v>
      </c>
      <c r="I120" t="s">
        <v>976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977</v>
      </c>
      <c r="B121" t="s">
        <v>787</v>
      </c>
      <c r="C121" t="s">
        <v>951</v>
      </c>
      <c r="D121">
        <v>1</v>
      </c>
      <c r="E121" t="s">
        <v>794</v>
      </c>
      <c r="F121">
        <v>4</v>
      </c>
      <c r="G121">
        <v>2</v>
      </c>
      <c r="H121" t="str">
        <f t="shared" si="22"/>
        <v>SAMPLE: Grid F14</v>
      </c>
      <c r="I121" t="s">
        <v>978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979</v>
      </c>
      <c r="B122" t="s">
        <v>787</v>
      </c>
      <c r="C122" t="s">
        <v>951</v>
      </c>
      <c r="D122">
        <v>1</v>
      </c>
      <c r="E122" t="s">
        <v>794</v>
      </c>
      <c r="F122">
        <v>4</v>
      </c>
      <c r="G122">
        <v>2</v>
      </c>
      <c r="H122" t="str">
        <f t="shared" si="22"/>
        <v>SAMPLE: Grid F15</v>
      </c>
      <c r="I122" t="s">
        <v>980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981</v>
      </c>
      <c r="B123" t="s">
        <v>787</v>
      </c>
      <c r="C123" t="s">
        <v>951</v>
      </c>
      <c r="D123">
        <v>1</v>
      </c>
      <c r="E123" t="s">
        <v>794</v>
      </c>
      <c r="F123">
        <v>4</v>
      </c>
      <c r="G123">
        <v>2</v>
      </c>
      <c r="H123" t="str">
        <f t="shared" si="22"/>
        <v>SAMPLE: Grid F16</v>
      </c>
      <c r="I123" t="s">
        <v>982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983</v>
      </c>
      <c r="B124" t="s">
        <v>787</v>
      </c>
      <c r="C124" t="s">
        <v>951</v>
      </c>
      <c r="D124">
        <v>1</v>
      </c>
      <c r="E124" t="s">
        <v>794</v>
      </c>
      <c r="F124">
        <v>4</v>
      </c>
      <c r="G124">
        <v>2</v>
      </c>
      <c r="H124" t="str">
        <f t="shared" si="22"/>
        <v>SAMPLE: Grid F17</v>
      </c>
      <c r="I124" t="s">
        <v>984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985</v>
      </c>
      <c r="B125" t="s">
        <v>787</v>
      </c>
      <c r="C125" t="s">
        <v>951</v>
      </c>
      <c r="D125">
        <v>1</v>
      </c>
      <c r="E125" t="s">
        <v>794</v>
      </c>
      <c r="F125">
        <v>4</v>
      </c>
      <c r="G125">
        <v>2</v>
      </c>
      <c r="H125" t="str">
        <f t="shared" si="22"/>
        <v>SAMPLE: Grid F18</v>
      </c>
      <c r="I125" t="s">
        <v>986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987</v>
      </c>
      <c r="B126" t="s">
        <v>787</v>
      </c>
      <c r="C126" t="s">
        <v>951</v>
      </c>
      <c r="D126">
        <v>1</v>
      </c>
      <c r="E126" t="s">
        <v>794</v>
      </c>
      <c r="F126">
        <v>4</v>
      </c>
      <c r="G126">
        <v>2</v>
      </c>
      <c r="H126" t="str">
        <f t="shared" si="22"/>
        <v>SAMPLE: Grid F19</v>
      </c>
      <c r="I126" t="s">
        <v>988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989</v>
      </c>
      <c r="B127" t="s">
        <v>787</v>
      </c>
      <c r="C127" t="s">
        <v>951</v>
      </c>
      <c r="D127">
        <v>1</v>
      </c>
      <c r="E127" t="s">
        <v>794</v>
      </c>
      <c r="F127">
        <v>4</v>
      </c>
      <c r="G127">
        <v>2</v>
      </c>
      <c r="H127" t="str">
        <f t="shared" si="22"/>
        <v>SAMPLE: Grid F20</v>
      </c>
      <c r="I127" t="s">
        <v>990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991</v>
      </c>
      <c r="B128" t="s">
        <v>777</v>
      </c>
      <c r="E128" t="s">
        <v>992</v>
      </c>
      <c r="F128">
        <v>3</v>
      </c>
      <c r="H128" t="str">
        <f t="shared" si="22"/>
        <v>DISPOSAL</v>
      </c>
      <c r="I128" t="s">
        <v>993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994</v>
      </c>
      <c r="B129" t="s">
        <v>777</v>
      </c>
      <c r="E129" t="s">
        <v>995</v>
      </c>
      <c r="F129">
        <v>3</v>
      </c>
      <c r="H129" t="str">
        <f t="shared" si="22"/>
        <v>OUTBOUND</v>
      </c>
      <c r="I129" t="s">
        <v>996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156</v>
      </c>
      <c r="B130" t="s">
        <v>802</v>
      </c>
      <c r="E130" t="s">
        <v>800</v>
      </c>
      <c r="F130">
        <v>3</v>
      </c>
      <c r="G130">
        <v>7</v>
      </c>
      <c r="H130" t="str">
        <f t="shared" si="22"/>
        <v>ACTIVE</v>
      </c>
      <c r="I130" t="s">
        <v>803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997</v>
      </c>
      <c r="B131" t="s">
        <v>787</v>
      </c>
      <c r="C131" t="s">
        <v>998</v>
      </c>
      <c r="D131">
        <v>3</v>
      </c>
      <c r="E131" t="s">
        <v>794</v>
      </c>
      <c r="F131">
        <v>4</v>
      </c>
      <c r="G131">
        <v>2</v>
      </c>
      <c r="H131" t="str">
        <f t="shared" si="22"/>
        <v>O</v>
      </c>
      <c r="I131" t="s">
        <v>999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179</v>
      </c>
      <c r="B132" t="s">
        <v>787</v>
      </c>
      <c r="E132" t="s">
        <v>800</v>
      </c>
      <c r="F132">
        <v>3</v>
      </c>
      <c r="G132">
        <v>7</v>
      </c>
      <c r="H132" t="str">
        <f t="shared" si="22"/>
        <v>48x T24i-30</v>
      </c>
      <c r="I132" t="s">
        <v>1000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193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30" priority="1" stopIfTrue="1">
      <formula>AND(TRIM($A133)="",OR($B133&lt;&gt;"",$C133&lt;&gt;"",$D133&lt;&gt;"",$E133&lt;&gt;"",$F133&lt;&gt;"",$I133&lt;&gt;""))</formula>
    </cfRule>
    <cfRule type="expression" dxfId="29" priority="2">
      <formula>AND(TRIM($A133)&lt;&gt;"",COUNTIF($A$2:$A$2002,$A133)&gt;1)</formula>
    </cfRule>
  </conditionalFormatting>
  <conditionalFormatting sqref="A2:I132 A134:I2002">
    <cfRule type="expression" dxfId="28" priority="3" stopIfTrue="1">
      <formula>AND(TRIM($A2)="",OR($B2&lt;&gt;"",$C2&lt;&gt;"",$D2&lt;&gt;"",$E2&lt;&gt;"",$F2&lt;&gt;"",$I2&lt;&gt;""))</formula>
    </cfRule>
    <cfRule type="expression" dxfId="27" priority="4">
      <formula>AND(TRIM($A2)&lt;&gt;"",COUNTIF($A$2:$A$2002,$A2)&gt;1)</formula>
    </cfRule>
  </conditionalFormatting>
  <conditionalFormatting sqref="B133:I133">
    <cfRule type="expression" dxfId="26" priority="116" stopIfTrue="1">
      <formula>AND(TRIM($A133)="",OR($B133&lt;&gt;"",$C133&lt;&gt;"",$D133&lt;&gt;"",$E133&lt;&gt;"",$F133&lt;&gt;"",$I133&lt;&gt;""))</formula>
    </cfRule>
    <cfRule type="expression" dxfId="25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1001</v>
      </c>
      <c r="B1" s="50" t="s">
        <v>1002</v>
      </c>
      <c r="C1" s="50" t="s">
        <v>128</v>
      </c>
      <c r="D1" s="50" t="s">
        <v>1003</v>
      </c>
      <c r="E1" s="50" t="s">
        <v>1004</v>
      </c>
      <c r="F1" s="50" t="s">
        <v>1005</v>
      </c>
      <c r="G1" s="50" t="s">
        <v>1006</v>
      </c>
      <c r="H1" s="50" t="s">
        <v>1007</v>
      </c>
      <c r="I1" s="50" t="s">
        <v>1008</v>
      </c>
      <c r="J1" s="50" t="s">
        <v>137</v>
      </c>
    </row>
    <row r="2" spans="1:10">
      <c r="A2" s="52">
        <v>46052.375</v>
      </c>
      <c r="B2" t="s">
        <v>1009</v>
      </c>
      <c r="C2" t="s">
        <v>1010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1011</v>
      </c>
      <c r="G2" s="27"/>
      <c r="H2" t="s">
        <v>169</v>
      </c>
      <c r="I2" t="s">
        <v>1012</v>
      </c>
      <c r="J2" t="s">
        <v>1013</v>
      </c>
    </row>
    <row r="3" spans="1:10">
      <c r="A3" s="52">
        <v>46052.379861111112</v>
      </c>
      <c r="B3" t="s">
        <v>1009</v>
      </c>
      <c r="C3" t="s">
        <v>1014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164</v>
      </c>
      <c r="G3" s="27"/>
      <c r="H3" t="s">
        <v>169</v>
      </c>
      <c r="I3" t="s">
        <v>1015</v>
      </c>
      <c r="J3" t="s">
        <v>1013</v>
      </c>
    </row>
    <row r="4" spans="1:10">
      <c r="A4" s="52">
        <v>46052.384722222218</v>
      </c>
      <c r="B4" t="s">
        <v>1009</v>
      </c>
      <c r="C4" t="s">
        <v>1016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173</v>
      </c>
      <c r="G4" s="27"/>
      <c r="H4" t="s">
        <v>169</v>
      </c>
      <c r="I4" t="s">
        <v>1017</v>
      </c>
      <c r="J4" t="s">
        <v>1013</v>
      </c>
    </row>
    <row r="5" spans="1:10">
      <c r="A5" s="52">
        <v>46052.38958333333</v>
      </c>
      <c r="B5" t="s">
        <v>1009</v>
      </c>
      <c r="C5" t="s">
        <v>1018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173</v>
      </c>
      <c r="G5" s="27"/>
      <c r="H5" t="s">
        <v>169</v>
      </c>
      <c r="I5" t="s">
        <v>1019</v>
      </c>
      <c r="J5" t="s">
        <v>1013</v>
      </c>
    </row>
    <row r="6" spans="1:10">
      <c r="A6" s="52">
        <v>46052.394444444442</v>
      </c>
      <c r="B6" t="s">
        <v>1009</v>
      </c>
      <c r="C6" t="s">
        <v>1020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1021</v>
      </c>
      <c r="G6" s="27"/>
      <c r="H6" t="s">
        <v>169</v>
      </c>
      <c r="I6" t="s">
        <v>1022</v>
      </c>
      <c r="J6" t="s">
        <v>1013</v>
      </c>
    </row>
    <row r="7" spans="1:10">
      <c r="A7" s="52">
        <v>46052.399305555547</v>
      </c>
      <c r="B7" t="s">
        <v>1009</v>
      </c>
      <c r="C7" t="s">
        <v>1023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1024</v>
      </c>
      <c r="G7" s="27"/>
      <c r="H7" t="s">
        <v>169</v>
      </c>
      <c r="I7" t="s">
        <v>1025</v>
      </c>
      <c r="J7" t="s">
        <v>1013</v>
      </c>
    </row>
    <row r="8" spans="1:10">
      <c r="A8" s="52">
        <v>46052.404166666667</v>
      </c>
      <c r="B8" t="s">
        <v>1009</v>
      </c>
      <c r="C8" t="s">
        <v>1026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1027</v>
      </c>
      <c r="G8" s="27"/>
      <c r="H8" t="s">
        <v>169</v>
      </c>
      <c r="I8" t="s">
        <v>1028</v>
      </c>
      <c r="J8" t="s">
        <v>1013</v>
      </c>
    </row>
    <row r="9" spans="1:10">
      <c r="A9" s="52">
        <v>46052.40902777778</v>
      </c>
      <c r="B9" t="s">
        <v>1009</v>
      </c>
      <c r="C9" t="s">
        <v>1029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1030</v>
      </c>
      <c r="G9" s="27"/>
      <c r="H9" t="s">
        <v>169</v>
      </c>
      <c r="I9" t="s">
        <v>1031</v>
      </c>
      <c r="J9" t="s">
        <v>1013</v>
      </c>
    </row>
    <row r="10" spans="1:10">
      <c r="A10" s="52">
        <v>46052.413888888892</v>
      </c>
      <c r="B10" t="s">
        <v>1009</v>
      </c>
      <c r="C10" t="s">
        <v>1032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1033</v>
      </c>
      <c r="G10" s="27"/>
      <c r="H10" t="s">
        <v>169</v>
      </c>
      <c r="I10" t="s">
        <v>1034</v>
      </c>
      <c r="J10" t="s">
        <v>1013</v>
      </c>
    </row>
    <row r="11" spans="1:10">
      <c r="A11" s="52">
        <v>46052.418749999997</v>
      </c>
      <c r="B11" t="s">
        <v>1009</v>
      </c>
      <c r="C11" t="s">
        <v>1035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1036</v>
      </c>
      <c r="G11" s="27"/>
      <c r="H11" t="s">
        <v>169</v>
      </c>
      <c r="I11" t="s">
        <v>1037</v>
      </c>
      <c r="J11" t="s">
        <v>1013</v>
      </c>
    </row>
    <row r="12" spans="1:10">
      <c r="A12" s="52">
        <v>46052.423611111109</v>
      </c>
      <c r="B12" t="s">
        <v>1009</v>
      </c>
      <c r="C12" t="s">
        <v>1038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1039</v>
      </c>
      <c r="G12" s="27"/>
      <c r="H12" t="s">
        <v>169</v>
      </c>
      <c r="I12" t="s">
        <v>1040</v>
      </c>
      <c r="J12" t="s">
        <v>1013</v>
      </c>
    </row>
    <row r="13" spans="1:10">
      <c r="A13" s="52">
        <v>46052.428472222222</v>
      </c>
      <c r="B13" t="s">
        <v>1009</v>
      </c>
      <c r="C13" t="s">
        <v>1041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1042</v>
      </c>
      <c r="G13" s="27"/>
      <c r="H13" t="s">
        <v>169</v>
      </c>
      <c r="I13" t="s">
        <v>1043</v>
      </c>
      <c r="J13" t="s">
        <v>1013</v>
      </c>
    </row>
    <row r="14" spans="1:10">
      <c r="A14" s="52">
        <v>46052.433333333327</v>
      </c>
      <c r="B14" t="s">
        <v>1009</v>
      </c>
      <c r="C14" t="s">
        <v>1044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1045</v>
      </c>
      <c r="G14" s="27"/>
      <c r="H14" t="s">
        <v>169</v>
      </c>
      <c r="I14" t="s">
        <v>1046</v>
      </c>
      <c r="J14" t="s">
        <v>1013</v>
      </c>
    </row>
    <row r="15" spans="1:10">
      <c r="A15" s="52">
        <v>46052.438194444447</v>
      </c>
      <c r="B15" t="s">
        <v>1009</v>
      </c>
      <c r="C15" t="s">
        <v>1047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1048</v>
      </c>
      <c r="G15" s="27"/>
      <c r="H15" t="s">
        <v>169</v>
      </c>
      <c r="I15" t="s">
        <v>1049</v>
      </c>
      <c r="J15" t="s">
        <v>1013</v>
      </c>
    </row>
    <row r="16" spans="1:10">
      <c r="A16" s="52">
        <v>46052.443055555559</v>
      </c>
      <c r="B16" t="s">
        <v>1009</v>
      </c>
      <c r="C16" t="s">
        <v>1050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1051</v>
      </c>
      <c r="G16" s="27"/>
      <c r="H16" t="s">
        <v>169</v>
      </c>
      <c r="I16" t="s">
        <v>1052</v>
      </c>
      <c r="J16" t="s">
        <v>1013</v>
      </c>
    </row>
    <row r="17" spans="1:10">
      <c r="A17" s="52">
        <v>46052.447916666657</v>
      </c>
      <c r="B17" t="s">
        <v>1009</v>
      </c>
      <c r="C17" t="s">
        <v>1053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1054</v>
      </c>
      <c r="G17" s="27"/>
      <c r="H17" t="s">
        <v>169</v>
      </c>
      <c r="I17" t="s">
        <v>1055</v>
      </c>
      <c r="J17" t="s">
        <v>1013</v>
      </c>
    </row>
    <row r="18" spans="1:10">
      <c r="A18" s="52">
        <v>46052.452777777777</v>
      </c>
      <c r="B18" t="s">
        <v>1009</v>
      </c>
      <c r="C18" t="s">
        <v>1056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1057</v>
      </c>
      <c r="G18" s="27"/>
      <c r="H18" t="s">
        <v>169</v>
      </c>
      <c r="I18" t="s">
        <v>1058</v>
      </c>
      <c r="J18" t="s">
        <v>1013</v>
      </c>
    </row>
    <row r="19" spans="1:10">
      <c r="A19" s="52">
        <v>46052.457638888889</v>
      </c>
      <c r="B19" t="s">
        <v>1009</v>
      </c>
      <c r="C19" t="s">
        <v>1059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1060</v>
      </c>
      <c r="G19" s="27"/>
      <c r="H19" t="s">
        <v>169</v>
      </c>
      <c r="I19" t="s">
        <v>1061</v>
      </c>
      <c r="J19" t="s">
        <v>1013</v>
      </c>
    </row>
    <row r="20" spans="1:10">
      <c r="A20" s="52">
        <v>46052.462500000001</v>
      </c>
      <c r="B20" t="s">
        <v>1009</v>
      </c>
      <c r="C20" t="s">
        <v>1062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1063</v>
      </c>
      <c r="G20" s="27"/>
      <c r="H20" t="s">
        <v>169</v>
      </c>
      <c r="I20" t="s">
        <v>1064</v>
      </c>
      <c r="J20" t="s">
        <v>1013</v>
      </c>
    </row>
    <row r="21" spans="1:10">
      <c r="A21" s="52">
        <v>46052.467361111107</v>
      </c>
      <c r="B21" t="s">
        <v>1009</v>
      </c>
      <c r="C21" t="s">
        <v>1065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1066</v>
      </c>
      <c r="G21" s="27"/>
      <c r="H21" t="s">
        <v>169</v>
      </c>
      <c r="I21" t="s">
        <v>1067</v>
      </c>
      <c r="J21" t="s">
        <v>1013</v>
      </c>
    </row>
    <row r="22" spans="1:10">
      <c r="A22" s="52">
        <v>46052.472222222219</v>
      </c>
      <c r="B22" t="s">
        <v>1009</v>
      </c>
      <c r="C22" t="s">
        <v>1068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1069</v>
      </c>
      <c r="G22" s="27"/>
      <c r="H22" t="s">
        <v>169</v>
      </c>
      <c r="I22" t="s">
        <v>1070</v>
      </c>
      <c r="J22" t="s">
        <v>1013</v>
      </c>
    </row>
    <row r="23" spans="1:10">
      <c r="A23" s="52">
        <v>46052.477083333331</v>
      </c>
      <c r="B23" t="s">
        <v>1009</v>
      </c>
      <c r="C23" t="s">
        <v>1071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1072</v>
      </c>
      <c r="G23" s="27"/>
      <c r="H23" t="s">
        <v>169</v>
      </c>
      <c r="I23" t="s">
        <v>1073</v>
      </c>
      <c r="J23" t="s">
        <v>1013</v>
      </c>
    </row>
    <row r="24" spans="1:10">
      <c r="A24" s="52">
        <v>46052.481944444437</v>
      </c>
      <c r="B24" t="s">
        <v>1009</v>
      </c>
      <c r="C24" t="s">
        <v>1074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1075</v>
      </c>
      <c r="G24" s="27"/>
      <c r="H24" t="s">
        <v>169</v>
      </c>
      <c r="I24" t="s">
        <v>1076</v>
      </c>
      <c r="J24" t="s">
        <v>1013</v>
      </c>
    </row>
    <row r="25" spans="1:10">
      <c r="A25" s="52">
        <v>46052.486805555563</v>
      </c>
      <c r="B25" t="s">
        <v>1009</v>
      </c>
      <c r="C25" t="s">
        <v>1077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1078</v>
      </c>
      <c r="G25" s="27"/>
      <c r="H25" t="s">
        <v>169</v>
      </c>
      <c r="I25" t="s">
        <v>1079</v>
      </c>
      <c r="J25" t="s">
        <v>1013</v>
      </c>
    </row>
    <row r="26" spans="1:10">
      <c r="A26" s="52">
        <v>46052.491666666669</v>
      </c>
      <c r="B26" t="s">
        <v>1009</v>
      </c>
      <c r="C26" t="s">
        <v>1080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1081</v>
      </c>
      <c r="G26" s="27"/>
      <c r="H26" t="s">
        <v>169</v>
      </c>
      <c r="I26" t="s">
        <v>1082</v>
      </c>
      <c r="J26" t="s">
        <v>1013</v>
      </c>
    </row>
    <row r="27" spans="1:10">
      <c r="A27" s="52">
        <v>46052.496527777781</v>
      </c>
      <c r="B27" t="s">
        <v>1009</v>
      </c>
      <c r="C27" t="s">
        <v>1083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1084</v>
      </c>
      <c r="G27" s="27"/>
      <c r="H27" t="s">
        <v>169</v>
      </c>
      <c r="I27" t="s">
        <v>1085</v>
      </c>
      <c r="J27" t="s">
        <v>1013</v>
      </c>
    </row>
    <row r="28" spans="1:10">
      <c r="A28" s="52">
        <v>46052.501388888893</v>
      </c>
      <c r="B28" t="s">
        <v>1009</v>
      </c>
      <c r="C28" t="s">
        <v>1086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1087</v>
      </c>
      <c r="G28" s="27"/>
      <c r="H28" t="s">
        <v>169</v>
      </c>
      <c r="I28" t="s">
        <v>1088</v>
      </c>
      <c r="J28" t="s">
        <v>1013</v>
      </c>
    </row>
    <row r="29" spans="1:10">
      <c r="A29" s="52">
        <v>46052.506249999999</v>
      </c>
      <c r="B29" t="s">
        <v>1009</v>
      </c>
      <c r="C29" t="s">
        <v>1089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1090</v>
      </c>
      <c r="G29" s="27"/>
      <c r="H29" t="s">
        <v>169</v>
      </c>
      <c r="I29" t="s">
        <v>1091</v>
      </c>
      <c r="J29" t="s">
        <v>1013</v>
      </c>
    </row>
    <row r="30" spans="1:10">
      <c r="A30" s="52">
        <v>46052.511111111111</v>
      </c>
      <c r="B30" t="s">
        <v>1009</v>
      </c>
      <c r="C30" t="s">
        <v>1092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1093</v>
      </c>
      <c r="G30" s="27"/>
      <c r="H30" t="s">
        <v>169</v>
      </c>
      <c r="I30" t="s">
        <v>1094</v>
      </c>
      <c r="J30" t="s">
        <v>1013</v>
      </c>
    </row>
    <row r="31" spans="1:10">
      <c r="A31" s="52">
        <v>46052.515972222223</v>
      </c>
      <c r="B31" t="s">
        <v>1009</v>
      </c>
      <c r="C31" t="s">
        <v>1095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1096</v>
      </c>
      <c r="G31" s="27"/>
      <c r="H31" t="s">
        <v>169</v>
      </c>
      <c r="I31" t="s">
        <v>1097</v>
      </c>
      <c r="J31" t="s">
        <v>1013</v>
      </c>
    </row>
    <row r="32" spans="1:10">
      <c r="A32" s="52">
        <v>46052.520833333343</v>
      </c>
      <c r="B32" t="s">
        <v>1009</v>
      </c>
      <c r="C32" t="s">
        <v>1098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1099</v>
      </c>
      <c r="G32" s="27"/>
      <c r="H32" t="s">
        <v>169</v>
      </c>
      <c r="I32" t="s">
        <v>1100</v>
      </c>
      <c r="J32" t="s">
        <v>1013</v>
      </c>
    </row>
    <row r="33" spans="1:10">
      <c r="A33" s="52">
        <v>46052.525694444441</v>
      </c>
      <c r="B33" t="s">
        <v>1009</v>
      </c>
      <c r="C33" t="s">
        <v>1101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1102</v>
      </c>
      <c r="G33" s="27"/>
      <c r="H33" t="s">
        <v>169</v>
      </c>
      <c r="I33" t="s">
        <v>1103</v>
      </c>
      <c r="J33" t="s">
        <v>1013</v>
      </c>
    </row>
    <row r="34" spans="1:10">
      <c r="A34" s="52">
        <v>46052.530555555553</v>
      </c>
      <c r="B34" t="s">
        <v>1009</v>
      </c>
      <c r="C34" t="s">
        <v>1104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1105</v>
      </c>
      <c r="G34" s="27"/>
      <c r="H34" t="s">
        <v>169</v>
      </c>
      <c r="I34" t="s">
        <v>1106</v>
      </c>
      <c r="J34" t="s">
        <v>1013</v>
      </c>
    </row>
    <row r="35" spans="1:10">
      <c r="A35" s="52">
        <v>46052.535416666673</v>
      </c>
      <c r="B35" t="s">
        <v>1009</v>
      </c>
      <c r="C35" t="s">
        <v>1107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1108</v>
      </c>
      <c r="G35" s="27"/>
      <c r="H35" t="s">
        <v>169</v>
      </c>
      <c r="I35" t="s">
        <v>1109</v>
      </c>
      <c r="J35" t="s">
        <v>1013</v>
      </c>
    </row>
    <row r="36" spans="1:10">
      <c r="A36" s="52">
        <v>46052.540277777778</v>
      </c>
      <c r="B36" t="s">
        <v>1009</v>
      </c>
      <c r="C36" t="s">
        <v>1110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1111</v>
      </c>
      <c r="G36" s="27"/>
      <c r="H36" t="s">
        <v>169</v>
      </c>
      <c r="I36" t="s">
        <v>1112</v>
      </c>
      <c r="J36" t="s">
        <v>1013</v>
      </c>
    </row>
    <row r="37" spans="1:10">
      <c r="A37" s="52">
        <v>46052.541666666657</v>
      </c>
      <c r="B37" t="s">
        <v>1113</v>
      </c>
      <c r="C37" t="s">
        <v>1029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1021</v>
      </c>
      <c r="G37" s="27"/>
      <c r="H37" t="s">
        <v>169</v>
      </c>
      <c r="I37" t="s">
        <v>1114</v>
      </c>
      <c r="J37" t="s">
        <v>1115</v>
      </c>
    </row>
    <row r="38" spans="1:10">
      <c r="A38" s="52">
        <v>46052.545138888891</v>
      </c>
      <c r="B38" t="s">
        <v>1009</v>
      </c>
      <c r="C38" t="s">
        <v>1116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1117</v>
      </c>
      <c r="G38" s="27"/>
      <c r="H38" t="s">
        <v>169</v>
      </c>
      <c r="I38" t="s">
        <v>1118</v>
      </c>
      <c r="J38" t="s">
        <v>1013</v>
      </c>
    </row>
    <row r="39" spans="1:10">
      <c r="A39" s="52">
        <v>46052.54791666667</v>
      </c>
      <c r="B39" t="s">
        <v>1113</v>
      </c>
      <c r="C39" t="s">
        <v>1032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1024</v>
      </c>
      <c r="G39" s="27"/>
      <c r="H39" t="s">
        <v>169</v>
      </c>
      <c r="I39" t="s">
        <v>1119</v>
      </c>
      <c r="J39" t="s">
        <v>1115</v>
      </c>
    </row>
    <row r="40" spans="1:10">
      <c r="A40" s="52">
        <v>46052.55</v>
      </c>
      <c r="B40" t="s">
        <v>1009</v>
      </c>
      <c r="C40" t="s">
        <v>1120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1121</v>
      </c>
      <c r="G40" s="27"/>
      <c r="H40" t="s">
        <v>169</v>
      </c>
      <c r="I40" t="s">
        <v>1122</v>
      </c>
      <c r="J40" t="s">
        <v>1013</v>
      </c>
    </row>
    <row r="41" spans="1:10">
      <c r="A41" s="52">
        <v>46052.554166666669</v>
      </c>
      <c r="B41" t="s">
        <v>1113</v>
      </c>
      <c r="C41" t="s">
        <v>1035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1027</v>
      </c>
      <c r="G41" s="27"/>
      <c r="H41" t="s">
        <v>169</v>
      </c>
      <c r="I41" t="s">
        <v>1123</v>
      </c>
      <c r="J41" t="s">
        <v>1115</v>
      </c>
    </row>
    <row r="42" spans="1:10">
      <c r="A42" s="52">
        <v>46052.554861111108</v>
      </c>
      <c r="B42" t="s">
        <v>1009</v>
      </c>
      <c r="C42" t="s">
        <v>1124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1125</v>
      </c>
      <c r="G42" s="27"/>
      <c r="H42" t="s">
        <v>169</v>
      </c>
      <c r="I42" t="s">
        <v>1126</v>
      </c>
      <c r="J42" t="s">
        <v>1013</v>
      </c>
    </row>
    <row r="43" spans="1:10">
      <c r="A43" s="52">
        <v>46052.55972222222</v>
      </c>
      <c r="B43" t="s">
        <v>1009</v>
      </c>
      <c r="C43" t="s">
        <v>1127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1128</v>
      </c>
      <c r="G43" s="27"/>
      <c r="H43" t="s">
        <v>169</v>
      </c>
      <c r="I43" t="s">
        <v>1129</v>
      </c>
      <c r="J43" t="s">
        <v>1013</v>
      </c>
    </row>
    <row r="44" spans="1:10">
      <c r="A44" s="52">
        <v>46052.560416666667</v>
      </c>
      <c r="B44" t="s">
        <v>1113</v>
      </c>
      <c r="C44" t="s">
        <v>1038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1030</v>
      </c>
      <c r="G44" s="27"/>
      <c r="H44" t="s">
        <v>169</v>
      </c>
      <c r="I44" t="s">
        <v>1130</v>
      </c>
      <c r="J44" t="s">
        <v>1115</v>
      </c>
    </row>
    <row r="45" spans="1:10">
      <c r="A45" s="52">
        <v>46052.564583333333</v>
      </c>
      <c r="B45" t="s">
        <v>1009</v>
      </c>
      <c r="C45" t="s">
        <v>1131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1132</v>
      </c>
      <c r="G45" s="27"/>
      <c r="H45" t="s">
        <v>169</v>
      </c>
      <c r="I45" t="s">
        <v>1133</v>
      </c>
      <c r="J45" t="s">
        <v>1013</v>
      </c>
    </row>
    <row r="46" spans="1:10">
      <c r="A46" s="52">
        <v>46052.566666666673</v>
      </c>
      <c r="B46" t="s">
        <v>1113</v>
      </c>
      <c r="C46" t="s">
        <v>1041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1033</v>
      </c>
      <c r="G46" s="27"/>
      <c r="H46" t="s">
        <v>169</v>
      </c>
      <c r="I46" t="s">
        <v>1134</v>
      </c>
      <c r="J46" t="s">
        <v>1115</v>
      </c>
    </row>
    <row r="47" spans="1:10">
      <c r="A47" s="52">
        <v>46052.569444444453</v>
      </c>
      <c r="B47" t="s">
        <v>1009</v>
      </c>
      <c r="C47" t="s">
        <v>1135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1136</v>
      </c>
      <c r="G47" s="27"/>
      <c r="H47" t="s">
        <v>169</v>
      </c>
      <c r="I47" t="s">
        <v>1137</v>
      </c>
      <c r="J47" t="s">
        <v>1013</v>
      </c>
    </row>
    <row r="48" spans="1:10">
      <c r="A48" s="52">
        <v>46052.572916666657</v>
      </c>
      <c r="B48" t="s">
        <v>1113</v>
      </c>
      <c r="C48" t="s">
        <v>1044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1036</v>
      </c>
      <c r="G48" s="27"/>
      <c r="H48" t="s">
        <v>169</v>
      </c>
      <c r="I48" t="s">
        <v>1138</v>
      </c>
      <c r="J48" t="s">
        <v>1115</v>
      </c>
    </row>
    <row r="49" spans="1:10">
      <c r="A49" s="52">
        <v>46052.574305555558</v>
      </c>
      <c r="B49" t="s">
        <v>1009</v>
      </c>
      <c r="C49" t="s">
        <v>1139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1140</v>
      </c>
      <c r="G49" s="27"/>
      <c r="H49" t="s">
        <v>169</v>
      </c>
      <c r="I49" t="s">
        <v>1141</v>
      </c>
      <c r="J49" t="s">
        <v>1013</v>
      </c>
    </row>
    <row r="50" spans="1:10">
      <c r="A50" s="52">
        <v>46052.57916666667</v>
      </c>
      <c r="B50" t="s">
        <v>1009</v>
      </c>
      <c r="C50" t="s">
        <v>1142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1143</v>
      </c>
      <c r="G50" s="27"/>
      <c r="H50" t="s">
        <v>169</v>
      </c>
      <c r="I50" t="s">
        <v>1144</v>
      </c>
      <c r="J50" t="s">
        <v>1013</v>
      </c>
    </row>
    <row r="51" spans="1:10">
      <c r="A51" s="52">
        <v>46052.57916666667</v>
      </c>
      <c r="B51" t="s">
        <v>1113</v>
      </c>
      <c r="C51" t="s">
        <v>1047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1039</v>
      </c>
      <c r="G51" s="27"/>
      <c r="H51" t="s">
        <v>169</v>
      </c>
      <c r="I51" t="s">
        <v>1145</v>
      </c>
      <c r="J51" t="s">
        <v>1115</v>
      </c>
    </row>
    <row r="52" spans="1:10">
      <c r="A52" s="52">
        <v>46052.584027777782</v>
      </c>
      <c r="B52" t="s">
        <v>1009</v>
      </c>
      <c r="C52" t="s">
        <v>1146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1147</v>
      </c>
      <c r="G52" s="27"/>
      <c r="H52" t="s">
        <v>169</v>
      </c>
      <c r="I52" t="s">
        <v>1148</v>
      </c>
      <c r="J52" t="s">
        <v>1013</v>
      </c>
    </row>
    <row r="53" spans="1:10">
      <c r="A53" s="52">
        <v>46052.585416666669</v>
      </c>
      <c r="B53" t="s">
        <v>1113</v>
      </c>
      <c r="C53" t="s">
        <v>1050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1042</v>
      </c>
      <c r="G53" s="27"/>
      <c r="H53" t="s">
        <v>169</v>
      </c>
      <c r="I53" t="s">
        <v>1149</v>
      </c>
      <c r="J53" t="s">
        <v>1115</v>
      </c>
    </row>
    <row r="54" spans="1:10">
      <c r="A54" s="52">
        <v>46052.588888888888</v>
      </c>
      <c r="B54" t="s">
        <v>1009</v>
      </c>
      <c r="C54" t="s">
        <v>1150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1151</v>
      </c>
      <c r="G54" s="27"/>
      <c r="H54" t="s">
        <v>169</v>
      </c>
      <c r="I54" t="s">
        <v>1152</v>
      </c>
      <c r="J54" t="s">
        <v>1013</v>
      </c>
    </row>
    <row r="55" spans="1:10">
      <c r="A55" s="52">
        <v>46052.59375</v>
      </c>
      <c r="B55" t="s">
        <v>1009</v>
      </c>
      <c r="C55" t="s">
        <v>1153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1154</v>
      </c>
      <c r="G55" s="27"/>
      <c r="H55" t="s">
        <v>169</v>
      </c>
      <c r="I55" t="s">
        <v>1155</v>
      </c>
      <c r="J55" t="s">
        <v>1013</v>
      </c>
    </row>
    <row r="56" spans="1:10">
      <c r="A56" s="52">
        <v>46052.598611111112</v>
      </c>
      <c r="B56" t="s">
        <v>1009</v>
      </c>
      <c r="C56" t="s">
        <v>1156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1157</v>
      </c>
      <c r="G56" s="27"/>
      <c r="H56" t="s">
        <v>169</v>
      </c>
      <c r="I56" t="s">
        <v>1158</v>
      </c>
      <c r="J56" t="s">
        <v>1013</v>
      </c>
    </row>
    <row r="57" spans="1:10">
      <c r="A57" s="52">
        <v>46052.603472222218</v>
      </c>
      <c r="B57" t="s">
        <v>1009</v>
      </c>
      <c r="C57" t="s">
        <v>1159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1160</v>
      </c>
      <c r="G57" s="27"/>
      <c r="H57" t="s">
        <v>169</v>
      </c>
      <c r="I57" t="s">
        <v>1161</v>
      </c>
      <c r="J57" t="s">
        <v>1013</v>
      </c>
    </row>
    <row r="58" spans="1:10">
      <c r="A58" s="52">
        <v>46052.60833333333</v>
      </c>
      <c r="B58" t="s">
        <v>1009</v>
      </c>
      <c r="C58" t="s">
        <v>1162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1163</v>
      </c>
      <c r="G58" s="27"/>
      <c r="H58" t="s">
        <v>169</v>
      </c>
      <c r="I58" t="s">
        <v>1164</v>
      </c>
      <c r="J58" t="s">
        <v>1013</v>
      </c>
    </row>
    <row r="59" spans="1:10">
      <c r="A59" s="52">
        <v>46052.613194444442</v>
      </c>
      <c r="B59" t="s">
        <v>1165</v>
      </c>
      <c r="C59" t="s">
        <v>1166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991</v>
      </c>
      <c r="G59" s="27"/>
      <c r="H59" t="s">
        <v>169</v>
      </c>
      <c r="I59" t="s">
        <v>1167</v>
      </c>
      <c r="J59" t="s">
        <v>1168</v>
      </c>
    </row>
    <row r="60" spans="1:10">
      <c r="A60" s="52">
        <v>46052.618055555547</v>
      </c>
      <c r="B60" t="s">
        <v>1165</v>
      </c>
      <c r="C60" t="s">
        <v>1169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991</v>
      </c>
      <c r="G60" s="27"/>
      <c r="H60" t="s">
        <v>169</v>
      </c>
      <c r="I60" t="s">
        <v>1170</v>
      </c>
      <c r="J60" t="s">
        <v>1168</v>
      </c>
    </row>
    <row r="61" spans="1:10">
      <c r="A61" s="52">
        <v>46052.622916666667</v>
      </c>
      <c r="B61" t="s">
        <v>1009</v>
      </c>
      <c r="C61" t="s">
        <v>1171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1172</v>
      </c>
      <c r="G61" s="27"/>
      <c r="H61" t="s">
        <v>169</v>
      </c>
      <c r="I61" t="s">
        <v>1173</v>
      </c>
      <c r="J61" t="s">
        <v>1013</v>
      </c>
    </row>
    <row r="62" spans="1:10">
      <c r="A62" s="52">
        <v>46052.62777777778</v>
      </c>
      <c r="B62" t="s">
        <v>1009</v>
      </c>
      <c r="C62" t="s">
        <v>1174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1175</v>
      </c>
      <c r="G62" s="27"/>
      <c r="H62" t="s">
        <v>169</v>
      </c>
      <c r="I62" t="s">
        <v>1176</v>
      </c>
      <c r="J62" t="s">
        <v>1013</v>
      </c>
    </row>
    <row r="63" spans="1:10">
      <c r="A63" s="52">
        <v>46052.632638888892</v>
      </c>
      <c r="B63" t="s">
        <v>1009</v>
      </c>
      <c r="C63" t="s">
        <v>1177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1178</v>
      </c>
      <c r="G63" s="27"/>
      <c r="H63" t="s">
        <v>169</v>
      </c>
      <c r="I63" t="s">
        <v>1179</v>
      </c>
      <c r="J63" t="s">
        <v>1013</v>
      </c>
    </row>
    <row r="64" spans="1:10">
      <c r="A64" s="52">
        <v>46052.637499999997</v>
      </c>
      <c r="B64" t="s">
        <v>1009</v>
      </c>
      <c r="C64" t="s">
        <v>1180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1181</v>
      </c>
      <c r="G64" s="27"/>
      <c r="H64" t="s">
        <v>169</v>
      </c>
      <c r="I64" t="s">
        <v>1182</v>
      </c>
      <c r="J64" t="s">
        <v>1013</v>
      </c>
    </row>
    <row r="65" spans="1:10">
      <c r="A65" s="52">
        <v>46052.642361111109</v>
      </c>
      <c r="B65" t="s">
        <v>1009</v>
      </c>
      <c r="C65" t="s">
        <v>1183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1184</v>
      </c>
      <c r="G65" s="27"/>
      <c r="H65" t="s">
        <v>169</v>
      </c>
      <c r="I65" t="s">
        <v>1185</v>
      </c>
      <c r="J65" t="s">
        <v>1013</v>
      </c>
    </row>
    <row r="66" spans="1:10">
      <c r="A66" s="52">
        <v>46052.647222222222</v>
      </c>
      <c r="B66" t="s">
        <v>1009</v>
      </c>
      <c r="C66" t="s">
        <v>1186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1187</v>
      </c>
      <c r="G66" s="27"/>
      <c r="H66" t="s">
        <v>169</v>
      </c>
      <c r="I66" t="s">
        <v>1188</v>
      </c>
      <c r="J66" t="s">
        <v>1013</v>
      </c>
    </row>
    <row r="67" spans="1:10">
      <c r="A67" s="52">
        <v>46052.652083333327</v>
      </c>
      <c r="B67" t="s">
        <v>1009</v>
      </c>
      <c r="C67" t="s">
        <v>1189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1190</v>
      </c>
      <c r="G67" s="27"/>
      <c r="H67" t="s">
        <v>169</v>
      </c>
      <c r="I67" t="s">
        <v>1191</v>
      </c>
      <c r="J67" t="s">
        <v>1013</v>
      </c>
    </row>
    <row r="68" spans="1:10">
      <c r="A68" s="52">
        <v>46052.656944444447</v>
      </c>
      <c r="B68" t="s">
        <v>1009</v>
      </c>
      <c r="C68" t="s">
        <v>1192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1193</v>
      </c>
      <c r="G68" s="27"/>
      <c r="H68" t="s">
        <v>169</v>
      </c>
      <c r="I68" t="s">
        <v>1194</v>
      </c>
      <c r="J68" t="s">
        <v>1013</v>
      </c>
    </row>
    <row r="69" spans="1:10">
      <c r="A69" s="52">
        <v>46052.661805555559</v>
      </c>
      <c r="B69" t="s">
        <v>1009</v>
      </c>
      <c r="C69" t="s">
        <v>1195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1196</v>
      </c>
      <c r="G69" s="27"/>
      <c r="H69" t="s">
        <v>169</v>
      </c>
      <c r="I69" t="s">
        <v>1197</v>
      </c>
      <c r="J69" t="s">
        <v>1013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24" priority="1" stopIfTrue="1">
      <formula>AND($B2&lt;&gt;"",OR($A2="",TRIM($C2)="",TRIM($E2)=""))</formula>
    </cfRule>
    <cfRule type="expression" dxfId="23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1198</v>
      </c>
      <c r="B1" s="50" t="s">
        <v>1199</v>
      </c>
      <c r="C1" s="50" t="s">
        <v>1200</v>
      </c>
      <c r="D1" s="50" t="s">
        <v>137</v>
      </c>
    </row>
    <row r="2" spans="1:4">
      <c r="A2" s="29" t="s">
        <v>1201</v>
      </c>
    </row>
    <row r="3" spans="1:4">
      <c r="A3" t="s">
        <v>1202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1203</v>
      </c>
    </row>
    <row r="4" spans="1:4">
      <c r="A4" t="s">
        <v>1202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1203</v>
      </c>
    </row>
    <row r="5" spans="1:4">
      <c r="A5" t="s">
        <v>1202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1203</v>
      </c>
    </row>
    <row r="6" spans="1:4">
      <c r="A6" t="s">
        <v>1202</v>
      </c>
      <c r="B6" t="str">
        <f>IF('02_Warehouse_Locations'!A5="","",'02_Warehouse_Locations'!A5)</f>
        <v>Z1</v>
      </c>
      <c r="C6" t="str">
        <f t="shared" si="0"/>
        <v>Z1</v>
      </c>
      <c r="D6" t="s">
        <v>1203</v>
      </c>
    </row>
    <row r="7" spans="1:4">
      <c r="A7" t="s">
        <v>1202</v>
      </c>
      <c r="B7" t="str">
        <f>IF('02_Warehouse_Locations'!A6="","",'02_Warehouse_Locations'!A6)</f>
        <v>A</v>
      </c>
      <c r="C7" t="str">
        <f t="shared" si="0"/>
        <v>A</v>
      </c>
      <c r="D7" t="s">
        <v>1203</v>
      </c>
    </row>
    <row r="8" spans="1:4">
      <c r="A8" t="s">
        <v>1202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1203</v>
      </c>
    </row>
    <row r="9" spans="1:4">
      <c r="A9" t="s">
        <v>1202</v>
      </c>
      <c r="B9" t="str">
        <f>IF('02_Warehouse_Locations'!A8="","",'02_Warehouse_Locations'!A8)</f>
        <v>01</v>
      </c>
      <c r="C9" t="str">
        <f t="shared" si="0"/>
        <v>01</v>
      </c>
      <c r="D9" t="s">
        <v>1203</v>
      </c>
    </row>
    <row r="10" spans="1:4">
      <c r="A10" t="s">
        <v>1202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1203</v>
      </c>
    </row>
    <row r="11" spans="1:4">
      <c r="A11" t="s">
        <v>1202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1203</v>
      </c>
    </row>
    <row r="12" spans="1:4">
      <c r="A12" t="s">
        <v>1202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1203</v>
      </c>
    </row>
    <row r="13" spans="1:4">
      <c r="A13" t="s">
        <v>1202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1203</v>
      </c>
    </row>
    <row r="14" spans="1:4">
      <c r="A14" t="s">
        <v>1202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1203</v>
      </c>
    </row>
    <row r="15" spans="1:4">
      <c r="A15" t="s">
        <v>1202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1203</v>
      </c>
    </row>
    <row r="16" spans="1:4">
      <c r="A16" t="s">
        <v>1202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1203</v>
      </c>
    </row>
    <row r="17" spans="1:4">
      <c r="A17" t="s">
        <v>1202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1203</v>
      </c>
    </row>
    <row r="18" spans="1:4">
      <c r="A18" t="s">
        <v>1202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1203</v>
      </c>
    </row>
    <row r="19" spans="1:4">
      <c r="A19" t="s">
        <v>1202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1203</v>
      </c>
    </row>
    <row r="20" spans="1:4">
      <c r="A20" t="s">
        <v>1202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1203</v>
      </c>
    </row>
    <row r="21" spans="1:4">
      <c r="A21" t="s">
        <v>1202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1203</v>
      </c>
    </row>
    <row r="22" spans="1:4">
      <c r="A22" t="s">
        <v>1202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1203</v>
      </c>
    </row>
    <row r="23" spans="1:4">
      <c r="A23" t="s">
        <v>1202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1203</v>
      </c>
    </row>
    <row r="24" spans="1:4">
      <c r="A24" t="s">
        <v>1202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1203</v>
      </c>
    </row>
    <row r="25" spans="1:4">
      <c r="A25" t="s">
        <v>1202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1203</v>
      </c>
    </row>
    <row r="26" spans="1:4">
      <c r="A26" t="s">
        <v>1202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1203</v>
      </c>
    </row>
    <row r="27" spans="1:4">
      <c r="A27" t="s">
        <v>1202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1203</v>
      </c>
    </row>
    <row r="28" spans="1:4">
      <c r="A28" t="s">
        <v>1202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1203</v>
      </c>
    </row>
    <row r="29" spans="1:4">
      <c r="A29" t="s">
        <v>1202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1203</v>
      </c>
    </row>
    <row r="30" spans="1:4">
      <c r="A30" t="s">
        <v>1202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1203</v>
      </c>
    </row>
    <row r="31" spans="1:4">
      <c r="A31" t="s">
        <v>1202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1203</v>
      </c>
    </row>
    <row r="32" spans="1:4">
      <c r="A32" t="s">
        <v>1202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1203</v>
      </c>
    </row>
    <row r="33" spans="1:4">
      <c r="A33" t="s">
        <v>1202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1203</v>
      </c>
    </row>
    <row r="34" spans="1:4">
      <c r="A34" t="s">
        <v>1202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1203</v>
      </c>
    </row>
    <row r="35" spans="1:4">
      <c r="A35" t="s">
        <v>1202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1203</v>
      </c>
    </row>
    <row r="36" spans="1:4">
      <c r="A36" t="s">
        <v>1202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1203</v>
      </c>
    </row>
    <row r="37" spans="1:4">
      <c r="A37" t="s">
        <v>1202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1203</v>
      </c>
    </row>
    <row r="38" spans="1:4">
      <c r="A38" t="s">
        <v>1202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1203</v>
      </c>
    </row>
    <row r="39" spans="1:4">
      <c r="A39" t="s">
        <v>1202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1203</v>
      </c>
    </row>
    <row r="40" spans="1:4">
      <c r="A40" t="s">
        <v>1202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1203</v>
      </c>
    </row>
    <row r="41" spans="1:4">
      <c r="A41" t="s">
        <v>1202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1203</v>
      </c>
    </row>
    <row r="42" spans="1:4">
      <c r="A42" t="s">
        <v>1202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1203</v>
      </c>
    </row>
    <row r="43" spans="1:4">
      <c r="A43" t="s">
        <v>1202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1203</v>
      </c>
    </row>
    <row r="44" spans="1:4">
      <c r="A44" t="s">
        <v>1202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1203</v>
      </c>
    </row>
    <row r="45" spans="1:4">
      <c r="A45" t="s">
        <v>1202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1203</v>
      </c>
    </row>
    <row r="46" spans="1:4">
      <c r="A46" t="s">
        <v>1202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1203</v>
      </c>
    </row>
    <row r="47" spans="1:4">
      <c r="A47" t="s">
        <v>1202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1203</v>
      </c>
    </row>
    <row r="48" spans="1:4">
      <c r="A48" t="s">
        <v>1202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1203</v>
      </c>
    </row>
    <row r="49" spans="1:4">
      <c r="A49" t="s">
        <v>1202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1203</v>
      </c>
    </row>
    <row r="50" spans="1:4">
      <c r="A50" t="s">
        <v>1202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1203</v>
      </c>
    </row>
    <row r="51" spans="1:4">
      <c r="A51" t="s">
        <v>1202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1203</v>
      </c>
    </row>
    <row r="52" spans="1:4">
      <c r="A52" t="s">
        <v>1202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1203</v>
      </c>
    </row>
    <row r="53" spans="1:4">
      <c r="A53" t="s">
        <v>1202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1203</v>
      </c>
    </row>
    <row r="54" spans="1:4">
      <c r="A54" t="s">
        <v>1202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1203</v>
      </c>
    </row>
    <row r="55" spans="1:4">
      <c r="A55" t="s">
        <v>1202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1203</v>
      </c>
    </row>
    <row r="56" spans="1:4">
      <c r="A56" t="s">
        <v>1202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1203</v>
      </c>
    </row>
    <row r="57" spans="1:4">
      <c r="A57" t="s">
        <v>1202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1203</v>
      </c>
    </row>
    <row r="58" spans="1:4">
      <c r="A58" t="s">
        <v>1202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1203</v>
      </c>
    </row>
    <row r="59" spans="1:4">
      <c r="A59" t="s">
        <v>1202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1203</v>
      </c>
    </row>
    <row r="60" spans="1:4">
      <c r="A60" t="s">
        <v>1202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1203</v>
      </c>
    </row>
    <row r="61" spans="1:4">
      <c r="A61" t="s">
        <v>1202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1203</v>
      </c>
    </row>
    <row r="62" spans="1:4">
      <c r="A62" t="s">
        <v>1202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1203</v>
      </c>
    </row>
    <row r="63" spans="1:4">
      <c r="A63" t="s">
        <v>1202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1203</v>
      </c>
    </row>
    <row r="64" spans="1:4">
      <c r="A64" t="s">
        <v>1202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1203</v>
      </c>
    </row>
    <row r="65" spans="1:4">
      <c r="A65" t="s">
        <v>1202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1203</v>
      </c>
    </row>
    <row r="66" spans="1:4">
      <c r="A66" t="s">
        <v>1202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1203</v>
      </c>
    </row>
    <row r="67" spans="1:4">
      <c r="A67" t="s">
        <v>1202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1203</v>
      </c>
    </row>
    <row r="68" spans="1:4">
      <c r="A68" t="s">
        <v>1202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1203</v>
      </c>
    </row>
    <row r="69" spans="1:4">
      <c r="A69" t="s">
        <v>1202</v>
      </c>
      <c r="B69" t="str">
        <f>IF('02_Warehouse_Locations'!A68="","",'02_Warehouse_Locations'!A68)</f>
        <v>D</v>
      </c>
      <c r="C69" t="str">
        <f t="shared" si="1"/>
        <v>D</v>
      </c>
      <c r="D69" t="s">
        <v>1203</v>
      </c>
    </row>
    <row r="70" spans="1:4">
      <c r="A70" t="s">
        <v>1202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1203</v>
      </c>
    </row>
    <row r="71" spans="1:4">
      <c r="A71" t="s">
        <v>1202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1203</v>
      </c>
    </row>
    <row r="72" spans="1:4">
      <c r="A72" t="s">
        <v>1202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1203</v>
      </c>
    </row>
    <row r="73" spans="1:4">
      <c r="A73" t="s">
        <v>1202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1203</v>
      </c>
    </row>
    <row r="74" spans="1:4">
      <c r="A74" t="s">
        <v>1202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1203</v>
      </c>
    </row>
    <row r="75" spans="1:4">
      <c r="A75" t="s">
        <v>1202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1203</v>
      </c>
    </row>
    <row r="76" spans="1:4">
      <c r="A76" t="s">
        <v>1202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1203</v>
      </c>
    </row>
    <row r="77" spans="1:4">
      <c r="A77" t="s">
        <v>1202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1203</v>
      </c>
    </row>
    <row r="78" spans="1:4">
      <c r="A78" t="s">
        <v>1202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1203</v>
      </c>
    </row>
    <row r="79" spans="1:4">
      <c r="A79" t="s">
        <v>1202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1203</v>
      </c>
    </row>
    <row r="80" spans="1:4">
      <c r="A80" t="s">
        <v>1202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1203</v>
      </c>
    </row>
    <row r="81" spans="1:4">
      <c r="A81" t="s">
        <v>1202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1203</v>
      </c>
    </row>
    <row r="82" spans="1:4">
      <c r="A82" t="s">
        <v>1202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1203</v>
      </c>
    </row>
    <row r="83" spans="1:4">
      <c r="A83" t="s">
        <v>1202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1203</v>
      </c>
    </row>
    <row r="84" spans="1:4">
      <c r="A84" t="s">
        <v>1202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1203</v>
      </c>
    </row>
    <row r="85" spans="1:4">
      <c r="A85" t="s">
        <v>1202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1203</v>
      </c>
    </row>
    <row r="86" spans="1:4">
      <c r="A86" t="s">
        <v>1202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1203</v>
      </c>
    </row>
    <row r="87" spans="1:4">
      <c r="A87" t="s">
        <v>1202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1203</v>
      </c>
    </row>
    <row r="88" spans="1:4">
      <c r="A88" t="s">
        <v>1202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1203</v>
      </c>
    </row>
    <row r="89" spans="1:4">
      <c r="A89" t="s">
        <v>1202</v>
      </c>
      <c r="B89" t="str">
        <f>IF('02_Warehouse_Locations'!A88="","",'02_Warehouse_Locations'!A88)</f>
        <v>E</v>
      </c>
      <c r="C89" t="str">
        <f t="shared" si="1"/>
        <v>E</v>
      </c>
      <c r="D89" t="s">
        <v>1203</v>
      </c>
    </row>
    <row r="90" spans="1:4">
      <c r="A90" t="s">
        <v>1202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1203</v>
      </c>
    </row>
    <row r="91" spans="1:4">
      <c r="A91" t="s">
        <v>1202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1203</v>
      </c>
    </row>
    <row r="92" spans="1:4">
      <c r="A92" t="s">
        <v>1202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1203</v>
      </c>
    </row>
    <row r="93" spans="1:4">
      <c r="A93" t="s">
        <v>1202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1203</v>
      </c>
    </row>
    <row r="94" spans="1:4">
      <c r="A94" t="s">
        <v>1202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1203</v>
      </c>
    </row>
    <row r="95" spans="1:4">
      <c r="A95" t="s">
        <v>1202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1203</v>
      </c>
    </row>
    <row r="96" spans="1:4">
      <c r="A96" t="s">
        <v>1202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1203</v>
      </c>
    </row>
    <row r="97" spans="1:4">
      <c r="A97" t="s">
        <v>1202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1203</v>
      </c>
    </row>
    <row r="98" spans="1:4">
      <c r="A98" t="s">
        <v>1202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1203</v>
      </c>
    </row>
    <row r="99" spans="1:4">
      <c r="A99" t="s">
        <v>1202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1203</v>
      </c>
    </row>
    <row r="100" spans="1:4">
      <c r="A100" t="s">
        <v>1202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1203</v>
      </c>
    </row>
    <row r="101" spans="1:4">
      <c r="A101" t="s">
        <v>1202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1203</v>
      </c>
    </row>
    <row r="102" spans="1:4">
      <c r="A102" t="s">
        <v>1202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1203</v>
      </c>
    </row>
    <row r="103" spans="1:4">
      <c r="A103" t="s">
        <v>1202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1203</v>
      </c>
    </row>
    <row r="104" spans="1:4">
      <c r="A104" t="s">
        <v>1202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1203</v>
      </c>
    </row>
    <row r="105" spans="1:4">
      <c r="A105" t="s">
        <v>1202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1203</v>
      </c>
    </row>
    <row r="106" spans="1:4">
      <c r="A106" t="s">
        <v>1202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1203</v>
      </c>
    </row>
    <row r="107" spans="1:4">
      <c r="A107" t="s">
        <v>1202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1203</v>
      </c>
    </row>
    <row r="108" spans="1:4">
      <c r="A108" t="s">
        <v>1202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1203</v>
      </c>
    </row>
    <row r="109" spans="1:4">
      <c r="A109" t="s">
        <v>1202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1203</v>
      </c>
    </row>
    <row r="110" spans="1:4">
      <c r="A110" t="s">
        <v>1202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1203</v>
      </c>
    </row>
    <row r="111" spans="1:4">
      <c r="A111" t="s">
        <v>1202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1203</v>
      </c>
    </row>
    <row r="112" spans="1:4">
      <c r="A112" t="s">
        <v>1202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1203</v>
      </c>
    </row>
    <row r="113" spans="1:4">
      <c r="A113" t="s">
        <v>1202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1203</v>
      </c>
    </row>
    <row r="114" spans="1:4">
      <c r="A114" t="s">
        <v>1202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1203</v>
      </c>
    </row>
    <row r="115" spans="1:4">
      <c r="A115" t="s">
        <v>1202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1203</v>
      </c>
    </row>
    <row r="116" spans="1:4">
      <c r="A116" t="s">
        <v>1202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1203</v>
      </c>
    </row>
    <row r="117" spans="1:4">
      <c r="A117" t="s">
        <v>1202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1203</v>
      </c>
    </row>
    <row r="118" spans="1:4">
      <c r="A118" t="s">
        <v>1202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1203</v>
      </c>
    </row>
    <row r="119" spans="1:4">
      <c r="A119" t="s">
        <v>1202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1203</v>
      </c>
    </row>
    <row r="120" spans="1:4">
      <c r="A120" t="s">
        <v>1202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1203</v>
      </c>
    </row>
    <row r="121" spans="1:4">
      <c r="A121" t="s">
        <v>1202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1203</v>
      </c>
    </row>
    <row r="122" spans="1:4">
      <c r="A122" t="s">
        <v>1202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1203</v>
      </c>
    </row>
    <row r="123" spans="1:4">
      <c r="A123" t="s">
        <v>1202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1203</v>
      </c>
    </row>
    <row r="124" spans="1:4">
      <c r="A124" t="s">
        <v>1202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1203</v>
      </c>
    </row>
    <row r="125" spans="1:4">
      <c r="A125" t="s">
        <v>1202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1203</v>
      </c>
    </row>
    <row r="126" spans="1:4">
      <c r="A126" t="s">
        <v>1202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1203</v>
      </c>
    </row>
    <row r="127" spans="1:4">
      <c r="A127" t="s">
        <v>1202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1203</v>
      </c>
    </row>
    <row r="128" spans="1:4">
      <c r="A128" t="s">
        <v>1202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1203</v>
      </c>
    </row>
    <row r="129" spans="1:4">
      <c r="A129" t="s">
        <v>1202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1203</v>
      </c>
    </row>
    <row r="130" spans="1:4">
      <c r="A130" t="s">
        <v>1202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1203</v>
      </c>
    </row>
    <row r="131" spans="1:4">
      <c r="A131" t="s">
        <v>1202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1203</v>
      </c>
    </row>
    <row r="132" spans="1:4">
      <c r="A132" t="s">
        <v>1202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1203</v>
      </c>
    </row>
    <row r="133" spans="1:4">
      <c r="A133" t="s">
        <v>1202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1203</v>
      </c>
    </row>
    <row r="134" spans="1:4">
      <c r="A134" t="s">
        <v>1202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1203</v>
      </c>
    </row>
    <row r="135" spans="1:4">
      <c r="A135" t="s">
        <v>1202</v>
      </c>
      <c r="B135" t="str">
        <f>IF('02_Warehouse_Locations'!A134="","",'02_Warehouse_Locations'!A134)</f>
        <v/>
      </c>
      <c r="C135" t="str">
        <f t="shared" si="2"/>
        <v/>
      </c>
      <c r="D135" t="s">
        <v>1203</v>
      </c>
    </row>
    <row r="136" spans="1:4">
      <c r="A136" t="s">
        <v>1202</v>
      </c>
      <c r="B136" t="str">
        <f>IF('02_Warehouse_Locations'!A135="","",'02_Warehouse_Locations'!A135)</f>
        <v/>
      </c>
      <c r="C136" t="str">
        <f t="shared" si="2"/>
        <v/>
      </c>
      <c r="D136" t="s">
        <v>1203</v>
      </c>
    </row>
    <row r="137" spans="1:4">
      <c r="A137" t="s">
        <v>1202</v>
      </c>
      <c r="B137" t="str">
        <f>IF('02_Warehouse_Locations'!A136="","",'02_Warehouse_Locations'!A136)</f>
        <v/>
      </c>
      <c r="C137" t="str">
        <f t="shared" si="2"/>
        <v/>
      </c>
      <c r="D137" t="s">
        <v>1203</v>
      </c>
    </row>
    <row r="138" spans="1:4">
      <c r="A138" t="s">
        <v>1202</v>
      </c>
      <c r="B138" t="str">
        <f>IF('02_Warehouse_Locations'!A137="","",'02_Warehouse_Locations'!A137)</f>
        <v/>
      </c>
      <c r="C138" t="str">
        <f t="shared" si="2"/>
        <v/>
      </c>
      <c r="D138" t="s">
        <v>1203</v>
      </c>
    </row>
    <row r="139" spans="1:4">
      <c r="A139" t="s">
        <v>1202</v>
      </c>
      <c r="B139" t="str">
        <f>IF('02_Warehouse_Locations'!A138="","",'02_Warehouse_Locations'!A138)</f>
        <v/>
      </c>
      <c r="C139" t="str">
        <f t="shared" si="2"/>
        <v/>
      </c>
      <c r="D139" t="s">
        <v>1203</v>
      </c>
    </row>
    <row r="140" spans="1:4">
      <c r="A140" t="s">
        <v>1202</v>
      </c>
      <c r="B140" t="str">
        <f>IF('02_Warehouse_Locations'!A139="","",'02_Warehouse_Locations'!A139)</f>
        <v/>
      </c>
      <c r="C140" t="str">
        <f t="shared" si="2"/>
        <v/>
      </c>
      <c r="D140" t="s">
        <v>1203</v>
      </c>
    </row>
    <row r="141" spans="1:4">
      <c r="A141" t="s">
        <v>1202</v>
      </c>
      <c r="B141" t="str">
        <f>IF('02_Warehouse_Locations'!A140="","",'02_Warehouse_Locations'!A140)</f>
        <v/>
      </c>
      <c r="C141" t="str">
        <f t="shared" si="2"/>
        <v/>
      </c>
      <c r="D141" t="s">
        <v>1203</v>
      </c>
    </row>
    <row r="142" spans="1:4">
      <c r="A142" t="s">
        <v>1202</v>
      </c>
      <c r="B142" t="str">
        <f>IF('02_Warehouse_Locations'!A141="","",'02_Warehouse_Locations'!A141)</f>
        <v/>
      </c>
      <c r="C142" t="str">
        <f t="shared" si="2"/>
        <v/>
      </c>
      <c r="D142" t="s">
        <v>1203</v>
      </c>
    </row>
    <row r="143" spans="1:4">
      <c r="A143" t="s">
        <v>1202</v>
      </c>
      <c r="B143" t="str">
        <f>IF('02_Warehouse_Locations'!A142="","",'02_Warehouse_Locations'!A142)</f>
        <v/>
      </c>
      <c r="C143" t="str">
        <f t="shared" si="2"/>
        <v/>
      </c>
      <c r="D143" t="s">
        <v>1203</v>
      </c>
    </row>
    <row r="144" spans="1:4">
      <c r="A144" t="s">
        <v>1202</v>
      </c>
      <c r="B144" t="str">
        <f>IF('02_Warehouse_Locations'!A143="","",'02_Warehouse_Locations'!A143)</f>
        <v/>
      </c>
      <c r="C144" t="str">
        <f t="shared" si="2"/>
        <v/>
      </c>
      <c r="D144" t="s">
        <v>1203</v>
      </c>
    </row>
    <row r="145" spans="1:4">
      <c r="A145" t="s">
        <v>1202</v>
      </c>
      <c r="B145" t="str">
        <f>IF('02_Warehouse_Locations'!A144="","",'02_Warehouse_Locations'!A144)</f>
        <v/>
      </c>
      <c r="C145" t="str">
        <f t="shared" si="2"/>
        <v/>
      </c>
      <c r="D145" t="s">
        <v>1203</v>
      </c>
    </row>
    <row r="146" spans="1:4">
      <c r="A146" t="s">
        <v>1202</v>
      </c>
      <c r="B146" t="str">
        <f>IF('02_Warehouse_Locations'!A145="","",'02_Warehouse_Locations'!A145)</f>
        <v/>
      </c>
      <c r="C146" t="str">
        <f t="shared" si="2"/>
        <v/>
      </c>
      <c r="D146" t="s">
        <v>1203</v>
      </c>
    </row>
    <row r="147" spans="1:4">
      <c r="A147" t="s">
        <v>1202</v>
      </c>
      <c r="B147" t="str">
        <f>IF('02_Warehouse_Locations'!A146="","",'02_Warehouse_Locations'!A146)</f>
        <v/>
      </c>
      <c r="C147" t="str">
        <f t="shared" si="2"/>
        <v/>
      </c>
      <c r="D147" t="s">
        <v>1203</v>
      </c>
    </row>
    <row r="148" spans="1:4">
      <c r="A148" t="s">
        <v>1202</v>
      </c>
      <c r="B148" t="str">
        <f>IF('02_Warehouse_Locations'!A147="","",'02_Warehouse_Locations'!A147)</f>
        <v/>
      </c>
      <c r="C148" t="str">
        <f t="shared" si="2"/>
        <v/>
      </c>
      <c r="D148" t="s">
        <v>1203</v>
      </c>
    </row>
    <row r="149" spans="1:4">
      <c r="A149" t="s">
        <v>1202</v>
      </c>
      <c r="B149" t="str">
        <f>IF('02_Warehouse_Locations'!A148="","",'02_Warehouse_Locations'!A148)</f>
        <v/>
      </c>
      <c r="C149" t="str">
        <f t="shared" si="2"/>
        <v/>
      </c>
      <c r="D149" t="s">
        <v>1203</v>
      </c>
    </row>
    <row r="150" spans="1:4">
      <c r="A150" t="s">
        <v>1202</v>
      </c>
      <c r="B150" t="str">
        <f>IF('02_Warehouse_Locations'!A149="","",'02_Warehouse_Locations'!A149)</f>
        <v/>
      </c>
      <c r="C150" t="str">
        <f t="shared" si="2"/>
        <v/>
      </c>
      <c r="D150" t="s">
        <v>1203</v>
      </c>
    </row>
    <row r="151" spans="1:4">
      <c r="A151" t="s">
        <v>1202</v>
      </c>
      <c r="B151" t="str">
        <f>IF('02_Warehouse_Locations'!A150="","",'02_Warehouse_Locations'!A150)</f>
        <v/>
      </c>
      <c r="C151" t="str">
        <f t="shared" si="2"/>
        <v/>
      </c>
      <c r="D151" t="s">
        <v>1203</v>
      </c>
    </row>
    <row r="152" spans="1:4">
      <c r="A152" t="s">
        <v>1202</v>
      </c>
      <c r="B152" t="str">
        <f>IF('02_Warehouse_Locations'!A151="","",'02_Warehouse_Locations'!A151)</f>
        <v/>
      </c>
      <c r="C152" t="str">
        <f t="shared" si="2"/>
        <v/>
      </c>
      <c r="D152" t="s">
        <v>1203</v>
      </c>
    </row>
    <row r="153" spans="1:4">
      <c r="A153" t="s">
        <v>1202</v>
      </c>
      <c r="B153" t="str">
        <f>IF('02_Warehouse_Locations'!A152="","",'02_Warehouse_Locations'!A152)</f>
        <v/>
      </c>
      <c r="C153" t="str">
        <f t="shared" si="2"/>
        <v/>
      </c>
      <c r="D153" t="s">
        <v>1203</v>
      </c>
    </row>
    <row r="154" spans="1:4">
      <c r="A154" t="s">
        <v>1202</v>
      </c>
      <c r="B154" t="str">
        <f>IF('02_Warehouse_Locations'!A153="","",'02_Warehouse_Locations'!A153)</f>
        <v/>
      </c>
      <c r="C154" t="str">
        <f t="shared" si="2"/>
        <v/>
      </c>
      <c r="D154" t="s">
        <v>1203</v>
      </c>
    </row>
    <row r="155" spans="1:4">
      <c r="A155" t="s">
        <v>1202</v>
      </c>
      <c r="B155" t="str">
        <f>IF('02_Warehouse_Locations'!A154="","",'02_Warehouse_Locations'!A154)</f>
        <v/>
      </c>
      <c r="C155" t="str">
        <f t="shared" si="2"/>
        <v/>
      </c>
      <c r="D155" t="s">
        <v>1203</v>
      </c>
    </row>
    <row r="156" spans="1:4">
      <c r="A156" t="s">
        <v>1202</v>
      </c>
      <c r="B156" t="str">
        <f>IF('02_Warehouse_Locations'!A155="","",'02_Warehouse_Locations'!A155)</f>
        <v/>
      </c>
      <c r="C156" t="str">
        <f t="shared" si="2"/>
        <v/>
      </c>
      <c r="D156" t="s">
        <v>1203</v>
      </c>
    </row>
    <row r="157" spans="1:4">
      <c r="A157" t="s">
        <v>1202</v>
      </c>
      <c r="B157" t="str">
        <f>IF('02_Warehouse_Locations'!A156="","",'02_Warehouse_Locations'!A156)</f>
        <v/>
      </c>
      <c r="C157" t="str">
        <f t="shared" si="2"/>
        <v/>
      </c>
      <c r="D157" t="s">
        <v>1203</v>
      </c>
    </row>
    <row r="158" spans="1:4">
      <c r="A158" t="s">
        <v>1202</v>
      </c>
      <c r="B158" t="str">
        <f>IF('02_Warehouse_Locations'!A157="","",'02_Warehouse_Locations'!A157)</f>
        <v/>
      </c>
      <c r="C158" t="str">
        <f t="shared" si="2"/>
        <v/>
      </c>
      <c r="D158" t="s">
        <v>1203</v>
      </c>
    </row>
    <row r="159" spans="1:4">
      <c r="A159" t="s">
        <v>1202</v>
      </c>
      <c r="B159" t="str">
        <f>IF('02_Warehouse_Locations'!A158="","",'02_Warehouse_Locations'!A158)</f>
        <v/>
      </c>
      <c r="C159" t="str">
        <f t="shared" si="2"/>
        <v/>
      </c>
      <c r="D159" t="s">
        <v>1203</v>
      </c>
    </row>
    <row r="160" spans="1:4">
      <c r="A160" t="s">
        <v>1202</v>
      </c>
      <c r="B160" t="str">
        <f>IF('02_Warehouse_Locations'!A159="","",'02_Warehouse_Locations'!A159)</f>
        <v/>
      </c>
      <c r="C160" t="str">
        <f t="shared" si="2"/>
        <v/>
      </c>
      <c r="D160" t="s">
        <v>1203</v>
      </c>
    </row>
    <row r="161" spans="1:4">
      <c r="A161" t="s">
        <v>1202</v>
      </c>
      <c r="B161" t="str">
        <f>IF('02_Warehouse_Locations'!A160="","",'02_Warehouse_Locations'!A160)</f>
        <v/>
      </c>
      <c r="C161" t="str">
        <f t="shared" si="2"/>
        <v/>
      </c>
      <c r="D161" t="s">
        <v>1203</v>
      </c>
    </row>
    <row r="162" spans="1:4">
      <c r="A162" t="s">
        <v>1202</v>
      </c>
      <c r="B162" t="str">
        <f>IF('02_Warehouse_Locations'!A161="","",'02_Warehouse_Locations'!A161)</f>
        <v/>
      </c>
      <c r="C162" t="str">
        <f t="shared" si="2"/>
        <v/>
      </c>
      <c r="D162" t="s">
        <v>1203</v>
      </c>
    </row>
    <row r="163" spans="1:4">
      <c r="A163" t="s">
        <v>1202</v>
      </c>
      <c r="B163" t="str">
        <f>IF('02_Warehouse_Locations'!A162="","",'02_Warehouse_Locations'!A162)</f>
        <v/>
      </c>
      <c r="C163" t="str">
        <f t="shared" si="2"/>
        <v/>
      </c>
      <c r="D163" t="s">
        <v>1203</v>
      </c>
    </row>
    <row r="164" spans="1:4">
      <c r="A164" t="s">
        <v>1202</v>
      </c>
      <c r="B164" t="str">
        <f>IF('02_Warehouse_Locations'!A163="","",'02_Warehouse_Locations'!A163)</f>
        <v/>
      </c>
      <c r="C164" t="str">
        <f t="shared" si="2"/>
        <v/>
      </c>
      <c r="D164" t="s">
        <v>1203</v>
      </c>
    </row>
    <row r="165" spans="1:4">
      <c r="A165" t="s">
        <v>1202</v>
      </c>
      <c r="B165" t="str">
        <f>IF('02_Warehouse_Locations'!A164="","",'02_Warehouse_Locations'!A164)</f>
        <v/>
      </c>
      <c r="C165" t="str">
        <f t="shared" si="2"/>
        <v/>
      </c>
      <c r="D165" t="s">
        <v>1203</v>
      </c>
    </row>
    <row r="166" spans="1:4">
      <c r="A166" t="s">
        <v>1202</v>
      </c>
      <c r="B166" t="str">
        <f>IF('02_Warehouse_Locations'!A165="","",'02_Warehouse_Locations'!A165)</f>
        <v/>
      </c>
      <c r="C166" t="str">
        <f t="shared" si="2"/>
        <v/>
      </c>
      <c r="D166" t="s">
        <v>1203</v>
      </c>
    </row>
    <row r="167" spans="1:4">
      <c r="A167" t="s">
        <v>1202</v>
      </c>
      <c r="B167" t="str">
        <f>IF('02_Warehouse_Locations'!A166="","",'02_Warehouse_Locations'!A166)</f>
        <v/>
      </c>
      <c r="C167" t="str">
        <f t="shared" si="2"/>
        <v/>
      </c>
      <c r="D167" t="s">
        <v>1203</v>
      </c>
    </row>
    <row r="168" spans="1:4">
      <c r="A168" t="s">
        <v>1202</v>
      </c>
      <c r="B168" t="str">
        <f>IF('02_Warehouse_Locations'!A167="","",'02_Warehouse_Locations'!A167)</f>
        <v/>
      </c>
      <c r="C168" t="str">
        <f t="shared" si="2"/>
        <v/>
      </c>
      <c r="D168" t="s">
        <v>1203</v>
      </c>
    </row>
    <row r="169" spans="1:4">
      <c r="A169" t="s">
        <v>1202</v>
      </c>
      <c r="B169" t="str">
        <f>IF('02_Warehouse_Locations'!A168="","",'02_Warehouse_Locations'!A168)</f>
        <v/>
      </c>
      <c r="C169" t="str">
        <f t="shared" si="2"/>
        <v/>
      </c>
      <c r="D169" t="s">
        <v>1203</v>
      </c>
    </row>
    <row r="170" spans="1:4">
      <c r="A170" t="s">
        <v>1202</v>
      </c>
      <c r="B170" t="str">
        <f>IF('02_Warehouse_Locations'!A169="","",'02_Warehouse_Locations'!A169)</f>
        <v/>
      </c>
      <c r="C170" t="str">
        <f t="shared" si="2"/>
        <v/>
      </c>
      <c r="D170" t="s">
        <v>1203</v>
      </c>
    </row>
    <row r="171" spans="1:4">
      <c r="A171" t="s">
        <v>1202</v>
      </c>
      <c r="B171" t="str">
        <f>IF('02_Warehouse_Locations'!A170="","",'02_Warehouse_Locations'!A170)</f>
        <v/>
      </c>
      <c r="C171" t="str">
        <f t="shared" si="2"/>
        <v/>
      </c>
      <c r="D171" t="s">
        <v>1203</v>
      </c>
    </row>
    <row r="172" spans="1:4">
      <c r="A172" t="s">
        <v>1202</v>
      </c>
      <c r="B172" t="str">
        <f>IF('02_Warehouse_Locations'!A171="","",'02_Warehouse_Locations'!A171)</f>
        <v/>
      </c>
      <c r="C172" t="str">
        <f t="shared" si="2"/>
        <v/>
      </c>
      <c r="D172" t="s">
        <v>1203</v>
      </c>
    </row>
    <row r="173" spans="1:4">
      <c r="A173" t="s">
        <v>1202</v>
      </c>
      <c r="B173" t="str">
        <f>IF('02_Warehouse_Locations'!A172="","",'02_Warehouse_Locations'!A172)</f>
        <v/>
      </c>
      <c r="C173" t="str">
        <f t="shared" si="2"/>
        <v/>
      </c>
      <c r="D173" t="s">
        <v>1203</v>
      </c>
    </row>
    <row r="174" spans="1:4">
      <c r="A174" t="s">
        <v>1202</v>
      </c>
      <c r="B174" t="str">
        <f>IF('02_Warehouse_Locations'!A173="","",'02_Warehouse_Locations'!A173)</f>
        <v/>
      </c>
      <c r="C174" t="str">
        <f t="shared" si="2"/>
        <v/>
      </c>
      <c r="D174" t="s">
        <v>1203</v>
      </c>
    </row>
    <row r="175" spans="1:4">
      <c r="A175" t="s">
        <v>1202</v>
      </c>
      <c r="B175" t="str">
        <f>IF('02_Warehouse_Locations'!A174="","",'02_Warehouse_Locations'!A174)</f>
        <v/>
      </c>
      <c r="C175" t="str">
        <f t="shared" si="2"/>
        <v/>
      </c>
      <c r="D175" t="s">
        <v>1203</v>
      </c>
    </row>
    <row r="176" spans="1:4">
      <c r="A176" t="s">
        <v>1202</v>
      </c>
      <c r="B176" t="str">
        <f>IF('02_Warehouse_Locations'!A175="","",'02_Warehouse_Locations'!A175)</f>
        <v/>
      </c>
      <c r="C176" t="str">
        <f t="shared" si="2"/>
        <v/>
      </c>
      <c r="D176" t="s">
        <v>1203</v>
      </c>
    </row>
    <row r="177" spans="1:4">
      <c r="A177" t="s">
        <v>1202</v>
      </c>
      <c r="B177" t="str">
        <f>IF('02_Warehouse_Locations'!A176="","",'02_Warehouse_Locations'!A176)</f>
        <v/>
      </c>
      <c r="C177" t="str">
        <f t="shared" si="2"/>
        <v/>
      </c>
      <c r="D177" t="s">
        <v>1203</v>
      </c>
    </row>
    <row r="178" spans="1:4">
      <c r="A178" t="s">
        <v>1202</v>
      </c>
      <c r="B178" t="str">
        <f>IF('02_Warehouse_Locations'!A177="","",'02_Warehouse_Locations'!A177)</f>
        <v/>
      </c>
      <c r="C178" t="str">
        <f t="shared" si="2"/>
        <v/>
      </c>
      <c r="D178" t="s">
        <v>1203</v>
      </c>
    </row>
    <row r="179" spans="1:4">
      <c r="A179" t="s">
        <v>1202</v>
      </c>
      <c r="B179" t="str">
        <f>IF('02_Warehouse_Locations'!A178="","",'02_Warehouse_Locations'!A178)</f>
        <v/>
      </c>
      <c r="C179" t="str">
        <f t="shared" si="2"/>
        <v/>
      </c>
      <c r="D179" t="s">
        <v>1203</v>
      </c>
    </row>
    <row r="180" spans="1:4">
      <c r="A180" t="s">
        <v>1202</v>
      </c>
      <c r="B180" t="str">
        <f>IF('02_Warehouse_Locations'!A179="","",'02_Warehouse_Locations'!A179)</f>
        <v/>
      </c>
      <c r="C180" t="str">
        <f t="shared" si="2"/>
        <v/>
      </c>
      <c r="D180" t="s">
        <v>1203</v>
      </c>
    </row>
    <row r="181" spans="1:4">
      <c r="A181" t="s">
        <v>1202</v>
      </c>
      <c r="B181" t="str">
        <f>IF('02_Warehouse_Locations'!A180="","",'02_Warehouse_Locations'!A180)</f>
        <v/>
      </c>
      <c r="C181" t="str">
        <f t="shared" si="2"/>
        <v/>
      </c>
      <c r="D181" t="s">
        <v>1203</v>
      </c>
    </row>
    <row r="182" spans="1:4">
      <c r="A182" t="s">
        <v>1202</v>
      </c>
      <c r="B182" t="str">
        <f>IF('02_Warehouse_Locations'!A181="","",'02_Warehouse_Locations'!A181)</f>
        <v/>
      </c>
      <c r="C182" t="str">
        <f t="shared" si="2"/>
        <v/>
      </c>
      <c r="D182" t="s">
        <v>1203</v>
      </c>
    </row>
    <row r="183" spans="1:4">
      <c r="A183" t="s">
        <v>1202</v>
      </c>
      <c r="B183" t="str">
        <f>IF('02_Warehouse_Locations'!A182="","",'02_Warehouse_Locations'!A182)</f>
        <v/>
      </c>
      <c r="C183" t="str">
        <f t="shared" si="2"/>
        <v/>
      </c>
      <c r="D183" t="s">
        <v>1203</v>
      </c>
    </row>
    <row r="184" spans="1:4">
      <c r="A184" t="s">
        <v>1202</v>
      </c>
      <c r="B184" t="str">
        <f>IF('02_Warehouse_Locations'!A183="","",'02_Warehouse_Locations'!A183)</f>
        <v/>
      </c>
      <c r="C184" t="str">
        <f t="shared" si="2"/>
        <v/>
      </c>
      <c r="D184" t="s">
        <v>1203</v>
      </c>
    </row>
    <row r="185" spans="1:4">
      <c r="A185" t="s">
        <v>1202</v>
      </c>
      <c r="B185" t="str">
        <f>IF('02_Warehouse_Locations'!A184="","",'02_Warehouse_Locations'!A184)</f>
        <v/>
      </c>
      <c r="C185" t="str">
        <f t="shared" si="2"/>
        <v/>
      </c>
      <c r="D185" t="s">
        <v>1203</v>
      </c>
    </row>
    <row r="186" spans="1:4">
      <c r="A186" t="s">
        <v>1202</v>
      </c>
      <c r="B186" t="str">
        <f>IF('02_Warehouse_Locations'!A185="","",'02_Warehouse_Locations'!A185)</f>
        <v/>
      </c>
      <c r="C186" t="str">
        <f t="shared" si="2"/>
        <v/>
      </c>
      <c r="D186" t="s">
        <v>1203</v>
      </c>
    </row>
    <row r="187" spans="1:4">
      <c r="A187" t="s">
        <v>1202</v>
      </c>
      <c r="B187" t="str">
        <f>IF('02_Warehouse_Locations'!A186="","",'02_Warehouse_Locations'!A186)</f>
        <v/>
      </c>
      <c r="C187" t="str">
        <f t="shared" si="2"/>
        <v/>
      </c>
      <c r="D187" t="s">
        <v>1203</v>
      </c>
    </row>
    <row r="188" spans="1:4">
      <c r="A188" t="s">
        <v>1202</v>
      </c>
      <c r="B188" t="str">
        <f>IF('02_Warehouse_Locations'!A187="","",'02_Warehouse_Locations'!A187)</f>
        <v/>
      </c>
      <c r="C188" t="str">
        <f t="shared" si="2"/>
        <v/>
      </c>
      <c r="D188" t="s">
        <v>1203</v>
      </c>
    </row>
    <row r="189" spans="1:4">
      <c r="A189" t="s">
        <v>1202</v>
      </c>
      <c r="B189" t="str">
        <f>IF('02_Warehouse_Locations'!A188="","",'02_Warehouse_Locations'!A188)</f>
        <v/>
      </c>
      <c r="C189" t="str">
        <f t="shared" si="2"/>
        <v/>
      </c>
      <c r="D189" t="s">
        <v>1203</v>
      </c>
    </row>
    <row r="190" spans="1:4">
      <c r="A190" t="s">
        <v>1202</v>
      </c>
      <c r="B190" t="str">
        <f>IF('02_Warehouse_Locations'!A189="","",'02_Warehouse_Locations'!A189)</f>
        <v/>
      </c>
      <c r="C190" t="str">
        <f t="shared" si="2"/>
        <v/>
      </c>
      <c r="D190" t="s">
        <v>1203</v>
      </c>
    </row>
    <row r="191" spans="1:4">
      <c r="A191" t="s">
        <v>1202</v>
      </c>
      <c r="B191" t="str">
        <f>IF('02_Warehouse_Locations'!A190="","",'02_Warehouse_Locations'!A190)</f>
        <v/>
      </c>
      <c r="C191" t="str">
        <f t="shared" si="2"/>
        <v/>
      </c>
      <c r="D191" t="s">
        <v>1203</v>
      </c>
    </row>
    <row r="192" spans="1:4">
      <c r="A192" t="s">
        <v>1202</v>
      </c>
      <c r="B192" t="str">
        <f>IF('02_Warehouse_Locations'!A191="","",'02_Warehouse_Locations'!A191)</f>
        <v/>
      </c>
      <c r="C192" t="str">
        <f t="shared" si="2"/>
        <v/>
      </c>
      <c r="D192" t="s">
        <v>1203</v>
      </c>
    </row>
    <row r="193" spans="1:4">
      <c r="A193" t="s">
        <v>1202</v>
      </c>
      <c r="B193" t="str">
        <f>IF('02_Warehouse_Locations'!A192="","",'02_Warehouse_Locations'!A192)</f>
        <v/>
      </c>
      <c r="C193" t="str">
        <f t="shared" si="2"/>
        <v/>
      </c>
      <c r="D193" t="s">
        <v>1203</v>
      </c>
    </row>
    <row r="194" spans="1:4">
      <c r="A194" t="s">
        <v>1202</v>
      </c>
      <c r="B194" t="str">
        <f>IF('02_Warehouse_Locations'!A193="","",'02_Warehouse_Locations'!A193)</f>
        <v/>
      </c>
      <c r="C194" t="str">
        <f t="shared" si="2"/>
        <v/>
      </c>
      <c r="D194" t="s">
        <v>1203</v>
      </c>
    </row>
    <row r="195" spans="1:4">
      <c r="A195" t="s">
        <v>1202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1203</v>
      </c>
    </row>
    <row r="196" spans="1:4">
      <c r="A196" t="s">
        <v>1202</v>
      </c>
      <c r="B196" t="str">
        <f>IF('02_Warehouse_Locations'!A195="","",'02_Warehouse_Locations'!A195)</f>
        <v/>
      </c>
      <c r="C196" t="str">
        <f t="shared" si="3"/>
        <v/>
      </c>
      <c r="D196" t="s">
        <v>1203</v>
      </c>
    </row>
    <row r="197" spans="1:4">
      <c r="A197" t="s">
        <v>1202</v>
      </c>
      <c r="B197" t="str">
        <f>IF('02_Warehouse_Locations'!A196="","",'02_Warehouse_Locations'!A196)</f>
        <v/>
      </c>
      <c r="C197" t="str">
        <f t="shared" si="3"/>
        <v/>
      </c>
      <c r="D197" t="s">
        <v>1203</v>
      </c>
    </row>
    <row r="198" spans="1:4">
      <c r="A198" t="s">
        <v>1202</v>
      </c>
      <c r="B198" t="str">
        <f>IF('02_Warehouse_Locations'!A197="","",'02_Warehouse_Locations'!A197)</f>
        <v/>
      </c>
      <c r="C198" t="str">
        <f t="shared" si="3"/>
        <v/>
      </c>
      <c r="D198" t="s">
        <v>1203</v>
      </c>
    </row>
    <row r="199" spans="1:4">
      <c r="A199" t="s">
        <v>1202</v>
      </c>
      <c r="B199" t="str">
        <f>IF('02_Warehouse_Locations'!A198="","",'02_Warehouse_Locations'!A198)</f>
        <v/>
      </c>
      <c r="C199" t="str">
        <f t="shared" si="3"/>
        <v/>
      </c>
      <c r="D199" t="s">
        <v>1203</v>
      </c>
    </row>
    <row r="200" spans="1:4">
      <c r="A200" t="s">
        <v>1202</v>
      </c>
      <c r="B200" t="str">
        <f>IF('02_Warehouse_Locations'!A199="","",'02_Warehouse_Locations'!A199)</f>
        <v/>
      </c>
      <c r="C200" t="str">
        <f t="shared" si="3"/>
        <v/>
      </c>
      <c r="D200" t="s">
        <v>1203</v>
      </c>
    </row>
    <row r="201" spans="1:4">
      <c r="A201" t="s">
        <v>1202</v>
      </c>
      <c r="B201" t="str">
        <f>IF('02_Warehouse_Locations'!A200="","",'02_Warehouse_Locations'!A200)</f>
        <v/>
      </c>
      <c r="C201" t="str">
        <f t="shared" si="3"/>
        <v/>
      </c>
      <c r="D201" t="s">
        <v>1203</v>
      </c>
    </row>
    <row r="202" spans="1:4">
      <c r="A202" t="s">
        <v>1202</v>
      </c>
      <c r="B202" t="str">
        <f>IF('02_Warehouse_Locations'!A201="","",'02_Warehouse_Locations'!A201)</f>
        <v/>
      </c>
      <c r="C202" t="str">
        <f t="shared" si="3"/>
        <v/>
      </c>
      <c r="D202" t="s">
        <v>1203</v>
      </c>
    </row>
    <row r="203" spans="1:4">
      <c r="A203" t="s">
        <v>1202</v>
      </c>
      <c r="B203" t="str">
        <f>IF('02_Warehouse_Locations'!A202="","",'02_Warehouse_Locations'!A202)</f>
        <v/>
      </c>
      <c r="C203" t="str">
        <f t="shared" si="3"/>
        <v/>
      </c>
      <c r="D203" t="s">
        <v>1203</v>
      </c>
    </row>
    <row r="204" spans="1:4">
      <c r="A204" t="s">
        <v>1202</v>
      </c>
      <c r="B204" t="str">
        <f>IF('02_Warehouse_Locations'!A203="","",'02_Warehouse_Locations'!A203)</f>
        <v/>
      </c>
      <c r="C204" t="str">
        <f t="shared" si="3"/>
        <v/>
      </c>
      <c r="D204" t="s">
        <v>1203</v>
      </c>
    </row>
    <row r="205" spans="1:4">
      <c r="A205" t="s">
        <v>1202</v>
      </c>
      <c r="B205" t="str">
        <f>IF('02_Warehouse_Locations'!A204="","",'02_Warehouse_Locations'!A204)</f>
        <v/>
      </c>
      <c r="C205" t="str">
        <f t="shared" si="3"/>
        <v/>
      </c>
      <c r="D205" t="s">
        <v>1203</v>
      </c>
    </row>
    <row r="206" spans="1:4">
      <c r="A206" t="s">
        <v>1202</v>
      </c>
      <c r="B206" t="str">
        <f>IF('02_Warehouse_Locations'!A205="","",'02_Warehouse_Locations'!A205)</f>
        <v/>
      </c>
      <c r="C206" t="str">
        <f t="shared" si="3"/>
        <v/>
      </c>
      <c r="D206" t="s">
        <v>1203</v>
      </c>
    </row>
    <row r="207" spans="1:4">
      <c r="A207" t="s">
        <v>1202</v>
      </c>
      <c r="B207" t="str">
        <f>IF('02_Warehouse_Locations'!A206="","",'02_Warehouse_Locations'!A206)</f>
        <v/>
      </c>
      <c r="C207" t="str">
        <f t="shared" si="3"/>
        <v/>
      </c>
      <c r="D207" t="s">
        <v>1203</v>
      </c>
    </row>
    <row r="208" spans="1:4">
      <c r="A208" t="s">
        <v>1202</v>
      </c>
      <c r="B208" t="str">
        <f>IF('02_Warehouse_Locations'!A207="","",'02_Warehouse_Locations'!A207)</f>
        <v/>
      </c>
      <c r="C208" t="str">
        <f t="shared" si="3"/>
        <v/>
      </c>
      <c r="D208" t="s">
        <v>1203</v>
      </c>
    </row>
    <row r="209" spans="1:4">
      <c r="A209" t="s">
        <v>1202</v>
      </c>
      <c r="B209" t="str">
        <f>IF('02_Warehouse_Locations'!A208="","",'02_Warehouse_Locations'!A208)</f>
        <v/>
      </c>
      <c r="C209" t="str">
        <f t="shared" si="3"/>
        <v/>
      </c>
      <c r="D209" t="s">
        <v>1203</v>
      </c>
    </row>
    <row r="210" spans="1:4">
      <c r="A210" t="s">
        <v>1202</v>
      </c>
      <c r="B210" t="str">
        <f>IF('02_Warehouse_Locations'!A209="","",'02_Warehouse_Locations'!A209)</f>
        <v/>
      </c>
      <c r="C210" t="str">
        <f t="shared" si="3"/>
        <v/>
      </c>
      <c r="D210" t="s">
        <v>1203</v>
      </c>
    </row>
    <row r="211" spans="1:4">
      <c r="A211" t="s">
        <v>1202</v>
      </c>
      <c r="B211" t="str">
        <f>IF('02_Warehouse_Locations'!A210="","",'02_Warehouse_Locations'!A210)</f>
        <v/>
      </c>
      <c r="C211" t="str">
        <f t="shared" si="3"/>
        <v/>
      </c>
      <c r="D211" t="s">
        <v>1203</v>
      </c>
    </row>
    <row r="212" spans="1:4">
      <c r="A212" t="s">
        <v>1202</v>
      </c>
      <c r="B212" t="str">
        <f>IF('02_Warehouse_Locations'!A211="","",'02_Warehouse_Locations'!A211)</f>
        <v/>
      </c>
      <c r="C212" t="str">
        <f t="shared" si="3"/>
        <v/>
      </c>
      <c r="D212" t="s">
        <v>1203</v>
      </c>
    </row>
    <row r="213" spans="1:4">
      <c r="A213" t="s">
        <v>1202</v>
      </c>
      <c r="B213" t="str">
        <f>IF('02_Warehouse_Locations'!A212="","",'02_Warehouse_Locations'!A212)</f>
        <v/>
      </c>
      <c r="C213" t="str">
        <f t="shared" si="3"/>
        <v/>
      </c>
      <c r="D213" t="s">
        <v>1203</v>
      </c>
    </row>
    <row r="214" spans="1:4">
      <c r="A214" t="s">
        <v>1202</v>
      </c>
      <c r="B214" t="str">
        <f>IF('02_Warehouse_Locations'!A213="","",'02_Warehouse_Locations'!A213)</f>
        <v/>
      </c>
      <c r="C214" t="str">
        <f t="shared" si="3"/>
        <v/>
      </c>
      <c r="D214" t="s">
        <v>1203</v>
      </c>
    </row>
    <row r="215" spans="1:4">
      <c r="A215" t="s">
        <v>1202</v>
      </c>
      <c r="B215" t="str">
        <f>IF('02_Warehouse_Locations'!A214="","",'02_Warehouse_Locations'!A214)</f>
        <v/>
      </c>
      <c r="C215" t="str">
        <f t="shared" si="3"/>
        <v/>
      </c>
      <c r="D215" t="s">
        <v>1203</v>
      </c>
    </row>
    <row r="216" spans="1:4">
      <c r="A216" t="s">
        <v>1202</v>
      </c>
      <c r="B216" t="str">
        <f>IF('02_Warehouse_Locations'!A215="","",'02_Warehouse_Locations'!A215)</f>
        <v/>
      </c>
      <c r="C216" t="str">
        <f t="shared" si="3"/>
        <v/>
      </c>
      <c r="D216" t="s">
        <v>1203</v>
      </c>
    </row>
    <row r="217" spans="1:4">
      <c r="A217" t="s">
        <v>1202</v>
      </c>
      <c r="B217" t="str">
        <f>IF('02_Warehouse_Locations'!A216="","",'02_Warehouse_Locations'!A216)</f>
        <v/>
      </c>
      <c r="C217" t="str">
        <f t="shared" si="3"/>
        <v/>
      </c>
      <c r="D217" t="s">
        <v>1203</v>
      </c>
    </row>
    <row r="218" spans="1:4">
      <c r="A218" t="s">
        <v>1202</v>
      </c>
      <c r="B218" t="str">
        <f>IF('02_Warehouse_Locations'!A217="","",'02_Warehouse_Locations'!A217)</f>
        <v/>
      </c>
      <c r="C218" t="str">
        <f t="shared" si="3"/>
        <v/>
      </c>
      <c r="D218" t="s">
        <v>1203</v>
      </c>
    </row>
    <row r="219" spans="1:4">
      <c r="A219" t="s">
        <v>1202</v>
      </c>
      <c r="B219" t="str">
        <f>IF('02_Warehouse_Locations'!A218="","",'02_Warehouse_Locations'!A218)</f>
        <v/>
      </c>
      <c r="C219" t="str">
        <f t="shared" si="3"/>
        <v/>
      </c>
      <c r="D219" t="s">
        <v>1203</v>
      </c>
    </row>
    <row r="220" spans="1:4">
      <c r="A220" t="s">
        <v>1202</v>
      </c>
      <c r="B220" t="str">
        <f>IF('02_Warehouse_Locations'!A219="","",'02_Warehouse_Locations'!A219)</f>
        <v/>
      </c>
      <c r="C220" t="str">
        <f t="shared" si="3"/>
        <v/>
      </c>
      <c r="D220" t="s">
        <v>1203</v>
      </c>
    </row>
    <row r="221" spans="1:4">
      <c r="A221" t="s">
        <v>1202</v>
      </c>
      <c r="B221" t="str">
        <f>IF('02_Warehouse_Locations'!A220="","",'02_Warehouse_Locations'!A220)</f>
        <v/>
      </c>
      <c r="C221" t="str">
        <f t="shared" si="3"/>
        <v/>
      </c>
      <c r="D221" t="s">
        <v>1203</v>
      </c>
    </row>
    <row r="222" spans="1:4">
      <c r="A222" t="s">
        <v>1202</v>
      </c>
      <c r="B222" t="str">
        <f>IF('02_Warehouse_Locations'!A221="","",'02_Warehouse_Locations'!A221)</f>
        <v/>
      </c>
      <c r="C222" t="str">
        <f t="shared" si="3"/>
        <v/>
      </c>
      <c r="D222" t="s">
        <v>1203</v>
      </c>
    </row>
    <row r="223" spans="1:4">
      <c r="A223" t="s">
        <v>1202</v>
      </c>
      <c r="B223" t="str">
        <f>IF('02_Warehouse_Locations'!A222="","",'02_Warehouse_Locations'!A222)</f>
        <v/>
      </c>
      <c r="C223" t="str">
        <f t="shared" si="3"/>
        <v/>
      </c>
      <c r="D223" t="s">
        <v>1203</v>
      </c>
    </row>
    <row r="224" spans="1:4">
      <c r="A224" t="s">
        <v>1202</v>
      </c>
      <c r="B224" t="str">
        <f>IF('02_Warehouse_Locations'!A223="","",'02_Warehouse_Locations'!A223)</f>
        <v/>
      </c>
      <c r="C224" t="str">
        <f t="shared" si="3"/>
        <v/>
      </c>
      <c r="D224" t="s">
        <v>1203</v>
      </c>
    </row>
    <row r="225" spans="1:4">
      <c r="A225" t="s">
        <v>1202</v>
      </c>
      <c r="B225" t="str">
        <f>IF('02_Warehouse_Locations'!A224="","",'02_Warehouse_Locations'!A224)</f>
        <v/>
      </c>
      <c r="C225" t="str">
        <f t="shared" si="3"/>
        <v/>
      </c>
      <c r="D225" t="s">
        <v>1203</v>
      </c>
    </row>
    <row r="226" spans="1:4">
      <c r="A226" t="s">
        <v>1202</v>
      </c>
      <c r="B226" t="str">
        <f>IF('02_Warehouse_Locations'!A225="","",'02_Warehouse_Locations'!A225)</f>
        <v/>
      </c>
      <c r="C226" t="str">
        <f t="shared" si="3"/>
        <v/>
      </c>
      <c r="D226" t="s">
        <v>1203</v>
      </c>
    </row>
    <row r="227" spans="1:4">
      <c r="A227" t="s">
        <v>1202</v>
      </c>
      <c r="B227" t="str">
        <f>IF('02_Warehouse_Locations'!A226="","",'02_Warehouse_Locations'!A226)</f>
        <v/>
      </c>
      <c r="C227" t="str">
        <f t="shared" si="3"/>
        <v/>
      </c>
      <c r="D227" t="s">
        <v>1203</v>
      </c>
    </row>
    <row r="228" spans="1:4">
      <c r="A228" t="s">
        <v>1202</v>
      </c>
      <c r="B228" t="str">
        <f>IF('02_Warehouse_Locations'!A227="","",'02_Warehouse_Locations'!A227)</f>
        <v/>
      </c>
      <c r="C228" t="str">
        <f t="shared" si="3"/>
        <v/>
      </c>
      <c r="D228" t="s">
        <v>1203</v>
      </c>
    </row>
    <row r="229" spans="1:4">
      <c r="A229" t="s">
        <v>1202</v>
      </c>
      <c r="B229" t="str">
        <f>IF('02_Warehouse_Locations'!A228="","",'02_Warehouse_Locations'!A228)</f>
        <v/>
      </c>
      <c r="C229" t="str">
        <f t="shared" si="3"/>
        <v/>
      </c>
      <c r="D229" t="s">
        <v>1203</v>
      </c>
    </row>
    <row r="230" spans="1:4">
      <c r="A230" t="s">
        <v>1202</v>
      </c>
      <c r="B230" t="str">
        <f>IF('02_Warehouse_Locations'!A229="","",'02_Warehouse_Locations'!A229)</f>
        <v/>
      </c>
      <c r="C230" t="str">
        <f t="shared" si="3"/>
        <v/>
      </c>
      <c r="D230" t="s">
        <v>1203</v>
      </c>
    </row>
    <row r="231" spans="1:4">
      <c r="A231" t="s">
        <v>1202</v>
      </c>
      <c r="B231" t="str">
        <f>IF('02_Warehouse_Locations'!A230="","",'02_Warehouse_Locations'!A230)</f>
        <v/>
      </c>
      <c r="C231" t="str">
        <f t="shared" si="3"/>
        <v/>
      </c>
      <c r="D231" t="s">
        <v>1203</v>
      </c>
    </row>
    <row r="232" spans="1:4">
      <c r="A232" t="s">
        <v>1202</v>
      </c>
      <c r="B232" t="str">
        <f>IF('02_Warehouse_Locations'!A231="","",'02_Warehouse_Locations'!A231)</f>
        <v/>
      </c>
      <c r="C232" t="str">
        <f t="shared" si="3"/>
        <v/>
      </c>
      <c r="D232" t="s">
        <v>1203</v>
      </c>
    </row>
    <row r="233" spans="1:4">
      <c r="A233" t="s">
        <v>1202</v>
      </c>
      <c r="B233" t="str">
        <f>IF('02_Warehouse_Locations'!A232="","",'02_Warehouse_Locations'!A232)</f>
        <v/>
      </c>
      <c r="C233" t="str">
        <f t="shared" si="3"/>
        <v/>
      </c>
      <c r="D233" t="s">
        <v>1203</v>
      </c>
    </row>
    <row r="234" spans="1:4">
      <c r="A234" t="s">
        <v>1202</v>
      </c>
      <c r="B234" t="str">
        <f>IF('02_Warehouse_Locations'!A233="","",'02_Warehouse_Locations'!A233)</f>
        <v/>
      </c>
      <c r="C234" t="str">
        <f t="shared" si="3"/>
        <v/>
      </c>
      <c r="D234" t="s">
        <v>1203</v>
      </c>
    </row>
    <row r="235" spans="1:4">
      <c r="A235" t="s">
        <v>1202</v>
      </c>
      <c r="B235" t="str">
        <f>IF('02_Warehouse_Locations'!A234="","",'02_Warehouse_Locations'!A234)</f>
        <v/>
      </c>
      <c r="C235" t="str">
        <f t="shared" si="3"/>
        <v/>
      </c>
      <c r="D235" t="s">
        <v>1203</v>
      </c>
    </row>
    <row r="236" spans="1:4">
      <c r="A236" t="s">
        <v>1202</v>
      </c>
      <c r="B236" t="str">
        <f>IF('02_Warehouse_Locations'!A235="","",'02_Warehouse_Locations'!A235)</f>
        <v/>
      </c>
      <c r="C236" t="str">
        <f t="shared" si="3"/>
        <v/>
      </c>
      <c r="D236" t="s">
        <v>1203</v>
      </c>
    </row>
    <row r="237" spans="1:4">
      <c r="A237" t="s">
        <v>1202</v>
      </c>
      <c r="B237" t="str">
        <f>IF('02_Warehouse_Locations'!A236="","",'02_Warehouse_Locations'!A236)</f>
        <v/>
      </c>
      <c r="C237" t="str">
        <f t="shared" si="3"/>
        <v/>
      </c>
      <c r="D237" t="s">
        <v>1203</v>
      </c>
    </row>
    <row r="238" spans="1:4">
      <c r="A238" t="s">
        <v>1202</v>
      </c>
      <c r="B238" t="str">
        <f>IF('02_Warehouse_Locations'!A237="","",'02_Warehouse_Locations'!A237)</f>
        <v/>
      </c>
      <c r="C238" t="str">
        <f t="shared" si="3"/>
        <v/>
      </c>
      <c r="D238" t="s">
        <v>1203</v>
      </c>
    </row>
    <row r="239" spans="1:4">
      <c r="A239" t="s">
        <v>1202</v>
      </c>
      <c r="B239" t="str">
        <f>IF('02_Warehouse_Locations'!A238="","",'02_Warehouse_Locations'!A238)</f>
        <v/>
      </c>
      <c r="C239" t="str">
        <f t="shared" si="3"/>
        <v/>
      </c>
      <c r="D239" t="s">
        <v>1203</v>
      </c>
    </row>
    <row r="240" spans="1:4">
      <c r="A240" t="s">
        <v>1202</v>
      </c>
      <c r="B240" t="str">
        <f>IF('02_Warehouse_Locations'!A239="","",'02_Warehouse_Locations'!A239)</f>
        <v/>
      </c>
      <c r="C240" t="str">
        <f t="shared" si="3"/>
        <v/>
      </c>
      <c r="D240" t="s">
        <v>1203</v>
      </c>
    </row>
    <row r="241" spans="1:4">
      <c r="A241" t="s">
        <v>1202</v>
      </c>
      <c r="B241" t="str">
        <f>IF('02_Warehouse_Locations'!A240="","",'02_Warehouse_Locations'!A240)</f>
        <v/>
      </c>
      <c r="C241" t="str">
        <f t="shared" si="3"/>
        <v/>
      </c>
      <c r="D241" t="s">
        <v>1203</v>
      </c>
    </row>
    <row r="242" spans="1:4">
      <c r="A242" t="s">
        <v>1202</v>
      </c>
      <c r="B242" t="str">
        <f>IF('02_Warehouse_Locations'!A241="","",'02_Warehouse_Locations'!A241)</f>
        <v/>
      </c>
      <c r="C242" t="str">
        <f t="shared" si="3"/>
        <v/>
      </c>
      <c r="D242" t="s">
        <v>1203</v>
      </c>
    </row>
    <row r="243" spans="1:4">
      <c r="A243" t="s">
        <v>1202</v>
      </c>
      <c r="B243" t="str">
        <f>IF('02_Warehouse_Locations'!A242="","",'02_Warehouse_Locations'!A242)</f>
        <v/>
      </c>
      <c r="C243" t="str">
        <f t="shared" si="3"/>
        <v/>
      </c>
      <c r="D243" t="s">
        <v>1203</v>
      </c>
    </row>
    <row r="244" spans="1:4">
      <c r="A244" t="s">
        <v>1202</v>
      </c>
      <c r="B244" t="str">
        <f>IF('02_Warehouse_Locations'!A243="","",'02_Warehouse_Locations'!A243)</f>
        <v/>
      </c>
      <c r="C244" t="str">
        <f t="shared" si="3"/>
        <v/>
      </c>
      <c r="D244" t="s">
        <v>1203</v>
      </c>
    </row>
    <row r="245" spans="1:4">
      <c r="A245" t="s">
        <v>1202</v>
      </c>
      <c r="B245" t="str">
        <f>IF('02_Warehouse_Locations'!A244="","",'02_Warehouse_Locations'!A244)</f>
        <v/>
      </c>
      <c r="C245" t="str">
        <f t="shared" si="3"/>
        <v/>
      </c>
      <c r="D245" t="s">
        <v>1203</v>
      </c>
    </row>
    <row r="246" spans="1:4">
      <c r="A246" t="s">
        <v>1202</v>
      </c>
      <c r="B246" t="str">
        <f>IF('02_Warehouse_Locations'!A245="","",'02_Warehouse_Locations'!A245)</f>
        <v/>
      </c>
      <c r="C246" t="str">
        <f t="shared" si="3"/>
        <v/>
      </c>
      <c r="D246" t="s">
        <v>1203</v>
      </c>
    </row>
    <row r="247" spans="1:4">
      <c r="A247" t="s">
        <v>1202</v>
      </c>
      <c r="B247" t="str">
        <f>IF('02_Warehouse_Locations'!A246="","",'02_Warehouse_Locations'!A246)</f>
        <v/>
      </c>
      <c r="C247" t="str">
        <f t="shared" si="3"/>
        <v/>
      </c>
      <c r="D247" t="s">
        <v>1203</v>
      </c>
    </row>
    <row r="248" spans="1:4">
      <c r="A248" t="s">
        <v>1202</v>
      </c>
      <c r="B248" t="str">
        <f>IF('02_Warehouse_Locations'!A247="","",'02_Warehouse_Locations'!A247)</f>
        <v/>
      </c>
      <c r="C248" t="str">
        <f t="shared" si="3"/>
        <v/>
      </c>
      <c r="D248" t="s">
        <v>1203</v>
      </c>
    </row>
    <row r="249" spans="1:4">
      <c r="A249" t="s">
        <v>1202</v>
      </c>
      <c r="B249" t="str">
        <f>IF('02_Warehouse_Locations'!A248="","",'02_Warehouse_Locations'!A248)</f>
        <v/>
      </c>
      <c r="C249" t="str">
        <f t="shared" si="3"/>
        <v/>
      </c>
      <c r="D249" t="s">
        <v>1203</v>
      </c>
    </row>
    <row r="250" spans="1:4">
      <c r="A250" t="s">
        <v>1202</v>
      </c>
      <c r="B250" t="str">
        <f>IF('02_Warehouse_Locations'!A249="","",'02_Warehouse_Locations'!A249)</f>
        <v/>
      </c>
      <c r="C250" t="str">
        <f t="shared" si="3"/>
        <v/>
      </c>
      <c r="D250" t="s">
        <v>1203</v>
      </c>
    </row>
    <row r="251" spans="1:4">
      <c r="A251" t="s">
        <v>1202</v>
      </c>
      <c r="B251" t="str">
        <f>IF('02_Warehouse_Locations'!A250="","",'02_Warehouse_Locations'!A250)</f>
        <v/>
      </c>
      <c r="C251" t="str">
        <f t="shared" si="3"/>
        <v/>
      </c>
      <c r="D251" t="s">
        <v>1203</v>
      </c>
    </row>
    <row r="252" spans="1:4">
      <c r="A252" t="s">
        <v>1202</v>
      </c>
      <c r="B252" t="str">
        <f>IF('02_Warehouse_Locations'!A251="","",'02_Warehouse_Locations'!A251)</f>
        <v/>
      </c>
      <c r="C252" t="str">
        <f t="shared" si="3"/>
        <v/>
      </c>
      <c r="D252" t="s">
        <v>1203</v>
      </c>
    </row>
    <row r="253" spans="1:4">
      <c r="A253" t="s">
        <v>1202</v>
      </c>
      <c r="B253" t="str">
        <f>IF('02_Warehouse_Locations'!A252="","",'02_Warehouse_Locations'!A252)</f>
        <v/>
      </c>
      <c r="C253" t="str">
        <f t="shared" si="3"/>
        <v/>
      </c>
      <c r="D253" t="s">
        <v>1203</v>
      </c>
    </row>
    <row r="254" spans="1:4">
      <c r="A254" t="s">
        <v>1202</v>
      </c>
      <c r="B254" t="str">
        <f>IF('02_Warehouse_Locations'!A253="","",'02_Warehouse_Locations'!A253)</f>
        <v/>
      </c>
      <c r="C254" t="str">
        <f t="shared" si="3"/>
        <v/>
      </c>
      <c r="D254" t="s">
        <v>1203</v>
      </c>
    </row>
    <row r="255" spans="1:4">
      <c r="A255" t="s">
        <v>1202</v>
      </c>
      <c r="B255" t="str">
        <f>IF('02_Warehouse_Locations'!A254="","",'02_Warehouse_Locations'!A254)</f>
        <v/>
      </c>
      <c r="C255" t="str">
        <f t="shared" si="3"/>
        <v/>
      </c>
      <c r="D255" t="s">
        <v>1203</v>
      </c>
    </row>
    <row r="256" spans="1:4">
      <c r="A256" t="s">
        <v>1202</v>
      </c>
      <c r="B256" t="str">
        <f>IF('02_Warehouse_Locations'!A255="","",'02_Warehouse_Locations'!A255)</f>
        <v/>
      </c>
      <c r="C256" t="str">
        <f t="shared" si="3"/>
        <v/>
      </c>
      <c r="D256" t="s">
        <v>1203</v>
      </c>
    </row>
    <row r="257" spans="1:4">
      <c r="A257" t="s">
        <v>1202</v>
      </c>
      <c r="B257" t="str">
        <f>IF('02_Warehouse_Locations'!A256="","",'02_Warehouse_Locations'!A256)</f>
        <v/>
      </c>
      <c r="C257" t="str">
        <f t="shared" si="3"/>
        <v/>
      </c>
      <c r="D257" t="s">
        <v>1203</v>
      </c>
    </row>
    <row r="258" spans="1:4">
      <c r="A258" t="s">
        <v>1202</v>
      </c>
      <c r="B258" t="str">
        <f>IF('02_Warehouse_Locations'!A257="","",'02_Warehouse_Locations'!A257)</f>
        <v/>
      </c>
      <c r="C258" t="str">
        <f t="shared" si="3"/>
        <v/>
      </c>
      <c r="D258" t="s">
        <v>1203</v>
      </c>
    </row>
    <row r="259" spans="1:4">
      <c r="A259" t="s">
        <v>1202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1203</v>
      </c>
    </row>
    <row r="260" spans="1:4">
      <c r="A260" t="s">
        <v>1202</v>
      </c>
      <c r="B260" t="str">
        <f>IF('02_Warehouse_Locations'!A259="","",'02_Warehouse_Locations'!A259)</f>
        <v/>
      </c>
      <c r="C260" t="str">
        <f t="shared" si="4"/>
        <v/>
      </c>
      <c r="D260" t="s">
        <v>1203</v>
      </c>
    </row>
    <row r="261" spans="1:4">
      <c r="A261" t="s">
        <v>1202</v>
      </c>
      <c r="B261" t="str">
        <f>IF('02_Warehouse_Locations'!A260="","",'02_Warehouse_Locations'!A260)</f>
        <v/>
      </c>
      <c r="C261" t="str">
        <f t="shared" si="4"/>
        <v/>
      </c>
      <c r="D261" t="s">
        <v>1203</v>
      </c>
    </row>
    <row r="262" spans="1:4">
      <c r="A262" t="s">
        <v>1202</v>
      </c>
      <c r="B262" t="str">
        <f>IF('02_Warehouse_Locations'!A261="","",'02_Warehouse_Locations'!A261)</f>
        <v/>
      </c>
      <c r="C262" t="str">
        <f t="shared" si="4"/>
        <v/>
      </c>
      <c r="D262" t="s">
        <v>1203</v>
      </c>
    </row>
    <row r="263" spans="1:4">
      <c r="A263" t="s">
        <v>1202</v>
      </c>
      <c r="B263" t="str">
        <f>IF('02_Warehouse_Locations'!A262="","",'02_Warehouse_Locations'!A262)</f>
        <v/>
      </c>
      <c r="C263" t="str">
        <f t="shared" si="4"/>
        <v/>
      </c>
      <c r="D263" t="s">
        <v>1203</v>
      </c>
    </row>
    <row r="264" spans="1:4">
      <c r="A264" t="s">
        <v>1202</v>
      </c>
      <c r="B264" t="str">
        <f>IF('02_Warehouse_Locations'!A263="","",'02_Warehouse_Locations'!A263)</f>
        <v/>
      </c>
      <c r="C264" t="str">
        <f t="shared" si="4"/>
        <v/>
      </c>
      <c r="D264" t="s">
        <v>1203</v>
      </c>
    </row>
    <row r="265" spans="1:4">
      <c r="A265" t="s">
        <v>1202</v>
      </c>
      <c r="B265" t="str">
        <f>IF('02_Warehouse_Locations'!A264="","",'02_Warehouse_Locations'!A264)</f>
        <v/>
      </c>
      <c r="C265" t="str">
        <f t="shared" si="4"/>
        <v/>
      </c>
      <c r="D265" t="s">
        <v>1203</v>
      </c>
    </row>
    <row r="266" spans="1:4">
      <c r="A266" t="s">
        <v>1202</v>
      </c>
      <c r="B266" t="str">
        <f>IF('02_Warehouse_Locations'!A265="","",'02_Warehouse_Locations'!A265)</f>
        <v/>
      </c>
      <c r="C266" t="str">
        <f t="shared" si="4"/>
        <v/>
      </c>
      <c r="D266" t="s">
        <v>1203</v>
      </c>
    </row>
    <row r="267" spans="1:4">
      <c r="A267" t="s">
        <v>1202</v>
      </c>
      <c r="B267" t="str">
        <f>IF('02_Warehouse_Locations'!A266="","",'02_Warehouse_Locations'!A266)</f>
        <v/>
      </c>
      <c r="C267" t="str">
        <f t="shared" si="4"/>
        <v/>
      </c>
      <c r="D267" t="s">
        <v>1203</v>
      </c>
    </row>
    <row r="268" spans="1:4">
      <c r="A268" t="s">
        <v>1202</v>
      </c>
      <c r="B268" t="str">
        <f>IF('02_Warehouse_Locations'!A267="","",'02_Warehouse_Locations'!A267)</f>
        <v/>
      </c>
      <c r="C268" t="str">
        <f t="shared" si="4"/>
        <v/>
      </c>
      <c r="D268" t="s">
        <v>1203</v>
      </c>
    </row>
    <row r="269" spans="1:4">
      <c r="A269" t="s">
        <v>1202</v>
      </c>
      <c r="B269" t="str">
        <f>IF('02_Warehouse_Locations'!A268="","",'02_Warehouse_Locations'!A268)</f>
        <v/>
      </c>
      <c r="C269" t="str">
        <f t="shared" si="4"/>
        <v/>
      </c>
      <c r="D269" t="s">
        <v>1203</v>
      </c>
    </row>
    <row r="270" spans="1:4">
      <c r="A270" t="s">
        <v>1202</v>
      </c>
      <c r="B270" t="str">
        <f>IF('02_Warehouse_Locations'!A269="","",'02_Warehouse_Locations'!A269)</f>
        <v/>
      </c>
      <c r="C270" t="str">
        <f t="shared" si="4"/>
        <v/>
      </c>
      <c r="D270" t="s">
        <v>1203</v>
      </c>
    </row>
    <row r="271" spans="1:4">
      <c r="A271" t="s">
        <v>1202</v>
      </c>
      <c r="B271" t="str">
        <f>IF('02_Warehouse_Locations'!A270="","",'02_Warehouse_Locations'!A270)</f>
        <v/>
      </c>
      <c r="C271" t="str">
        <f t="shared" si="4"/>
        <v/>
      </c>
      <c r="D271" t="s">
        <v>1203</v>
      </c>
    </row>
    <row r="272" spans="1:4">
      <c r="A272" t="s">
        <v>1202</v>
      </c>
      <c r="B272" t="str">
        <f>IF('02_Warehouse_Locations'!A271="","",'02_Warehouse_Locations'!A271)</f>
        <v/>
      </c>
      <c r="C272" t="str">
        <f t="shared" si="4"/>
        <v/>
      </c>
      <c r="D272" t="s">
        <v>1203</v>
      </c>
    </row>
    <row r="273" spans="1:4">
      <c r="A273" t="s">
        <v>1202</v>
      </c>
      <c r="B273" t="str">
        <f>IF('02_Warehouse_Locations'!A272="","",'02_Warehouse_Locations'!A272)</f>
        <v/>
      </c>
      <c r="C273" t="str">
        <f t="shared" si="4"/>
        <v/>
      </c>
      <c r="D273" t="s">
        <v>1203</v>
      </c>
    </row>
    <row r="274" spans="1:4">
      <c r="A274" t="s">
        <v>1202</v>
      </c>
      <c r="B274" t="str">
        <f>IF('02_Warehouse_Locations'!A273="","",'02_Warehouse_Locations'!A273)</f>
        <v/>
      </c>
      <c r="C274" t="str">
        <f t="shared" si="4"/>
        <v/>
      </c>
      <c r="D274" t="s">
        <v>1203</v>
      </c>
    </row>
    <row r="275" spans="1:4">
      <c r="A275" t="s">
        <v>1202</v>
      </c>
      <c r="B275" t="str">
        <f>IF('02_Warehouse_Locations'!A274="","",'02_Warehouse_Locations'!A274)</f>
        <v/>
      </c>
      <c r="C275" t="str">
        <f t="shared" si="4"/>
        <v/>
      </c>
      <c r="D275" t="s">
        <v>1203</v>
      </c>
    </row>
    <row r="276" spans="1:4">
      <c r="A276" t="s">
        <v>1202</v>
      </c>
      <c r="B276" t="str">
        <f>IF('02_Warehouse_Locations'!A275="","",'02_Warehouse_Locations'!A275)</f>
        <v/>
      </c>
      <c r="C276" t="str">
        <f t="shared" si="4"/>
        <v/>
      </c>
      <c r="D276" t="s">
        <v>1203</v>
      </c>
    </row>
    <row r="277" spans="1:4">
      <c r="A277" t="s">
        <v>1202</v>
      </c>
      <c r="B277" t="str">
        <f>IF('02_Warehouse_Locations'!A276="","",'02_Warehouse_Locations'!A276)</f>
        <v/>
      </c>
      <c r="C277" t="str">
        <f t="shared" si="4"/>
        <v/>
      </c>
      <c r="D277" t="s">
        <v>1203</v>
      </c>
    </row>
    <row r="278" spans="1:4">
      <c r="A278" t="s">
        <v>1202</v>
      </c>
      <c r="B278" t="str">
        <f>IF('02_Warehouse_Locations'!A277="","",'02_Warehouse_Locations'!A277)</f>
        <v/>
      </c>
      <c r="C278" t="str">
        <f t="shared" si="4"/>
        <v/>
      </c>
      <c r="D278" t="s">
        <v>1203</v>
      </c>
    </row>
    <row r="279" spans="1:4">
      <c r="A279" t="s">
        <v>1202</v>
      </c>
      <c r="B279" t="str">
        <f>IF('02_Warehouse_Locations'!A278="","",'02_Warehouse_Locations'!A278)</f>
        <v/>
      </c>
      <c r="C279" t="str">
        <f t="shared" si="4"/>
        <v/>
      </c>
      <c r="D279" t="s">
        <v>1203</v>
      </c>
    </row>
    <row r="280" spans="1:4">
      <c r="A280" t="s">
        <v>1202</v>
      </c>
      <c r="B280" t="str">
        <f>IF('02_Warehouse_Locations'!A279="","",'02_Warehouse_Locations'!A279)</f>
        <v/>
      </c>
      <c r="C280" t="str">
        <f t="shared" si="4"/>
        <v/>
      </c>
      <c r="D280" t="s">
        <v>1203</v>
      </c>
    </row>
    <row r="281" spans="1:4">
      <c r="A281" t="s">
        <v>1202</v>
      </c>
      <c r="B281" t="str">
        <f>IF('02_Warehouse_Locations'!A280="","",'02_Warehouse_Locations'!A280)</f>
        <v/>
      </c>
      <c r="C281" t="str">
        <f t="shared" si="4"/>
        <v/>
      </c>
      <c r="D281" t="s">
        <v>1203</v>
      </c>
    </row>
    <row r="282" spans="1:4">
      <c r="A282" t="s">
        <v>1202</v>
      </c>
      <c r="B282" t="str">
        <f>IF('02_Warehouse_Locations'!A281="","",'02_Warehouse_Locations'!A281)</f>
        <v/>
      </c>
      <c r="C282" t="str">
        <f t="shared" si="4"/>
        <v/>
      </c>
      <c r="D282" t="s">
        <v>1203</v>
      </c>
    </row>
    <row r="283" spans="1:4">
      <c r="A283" t="s">
        <v>1202</v>
      </c>
      <c r="B283" t="str">
        <f>IF('02_Warehouse_Locations'!A282="","",'02_Warehouse_Locations'!A282)</f>
        <v/>
      </c>
      <c r="C283" t="str">
        <f t="shared" si="4"/>
        <v/>
      </c>
      <c r="D283" t="s">
        <v>1203</v>
      </c>
    </row>
    <row r="284" spans="1:4">
      <c r="A284" t="s">
        <v>1202</v>
      </c>
      <c r="B284" t="str">
        <f>IF('02_Warehouse_Locations'!A283="","",'02_Warehouse_Locations'!A283)</f>
        <v/>
      </c>
      <c r="C284" t="str">
        <f t="shared" si="4"/>
        <v/>
      </c>
      <c r="D284" t="s">
        <v>1203</v>
      </c>
    </row>
    <row r="285" spans="1:4">
      <c r="A285" t="s">
        <v>1202</v>
      </c>
      <c r="B285" t="str">
        <f>IF('02_Warehouse_Locations'!A284="","",'02_Warehouse_Locations'!A284)</f>
        <v/>
      </c>
      <c r="C285" t="str">
        <f t="shared" si="4"/>
        <v/>
      </c>
      <c r="D285" t="s">
        <v>1203</v>
      </c>
    </row>
    <row r="286" spans="1:4">
      <c r="A286" t="s">
        <v>1202</v>
      </c>
      <c r="B286" t="str">
        <f>IF('02_Warehouse_Locations'!A285="","",'02_Warehouse_Locations'!A285)</f>
        <v/>
      </c>
      <c r="C286" t="str">
        <f t="shared" si="4"/>
        <v/>
      </c>
      <c r="D286" t="s">
        <v>1203</v>
      </c>
    </row>
    <row r="287" spans="1:4">
      <c r="A287" t="s">
        <v>1202</v>
      </c>
      <c r="B287" t="str">
        <f>IF('02_Warehouse_Locations'!A286="","",'02_Warehouse_Locations'!A286)</f>
        <v/>
      </c>
      <c r="C287" t="str">
        <f t="shared" si="4"/>
        <v/>
      </c>
      <c r="D287" t="s">
        <v>1203</v>
      </c>
    </row>
    <row r="288" spans="1:4">
      <c r="A288" t="s">
        <v>1202</v>
      </c>
      <c r="B288" t="str">
        <f>IF('02_Warehouse_Locations'!A287="","",'02_Warehouse_Locations'!A287)</f>
        <v/>
      </c>
      <c r="C288" t="str">
        <f t="shared" si="4"/>
        <v/>
      </c>
      <c r="D288" t="s">
        <v>1203</v>
      </c>
    </row>
    <row r="289" spans="1:4">
      <c r="A289" t="s">
        <v>1202</v>
      </c>
      <c r="B289" t="str">
        <f>IF('02_Warehouse_Locations'!A288="","",'02_Warehouse_Locations'!A288)</f>
        <v/>
      </c>
      <c r="C289" t="str">
        <f t="shared" si="4"/>
        <v/>
      </c>
      <c r="D289" t="s">
        <v>1203</v>
      </c>
    </row>
    <row r="290" spans="1:4">
      <c r="A290" t="s">
        <v>1202</v>
      </c>
      <c r="B290" t="str">
        <f>IF('02_Warehouse_Locations'!A289="","",'02_Warehouse_Locations'!A289)</f>
        <v/>
      </c>
      <c r="C290" t="str">
        <f t="shared" si="4"/>
        <v/>
      </c>
      <c r="D290" t="s">
        <v>1203</v>
      </c>
    </row>
    <row r="291" spans="1:4">
      <c r="A291" t="s">
        <v>1202</v>
      </c>
      <c r="B291" t="str">
        <f>IF('02_Warehouse_Locations'!A290="","",'02_Warehouse_Locations'!A290)</f>
        <v/>
      </c>
      <c r="C291" t="str">
        <f t="shared" si="4"/>
        <v/>
      </c>
      <c r="D291" t="s">
        <v>1203</v>
      </c>
    </row>
    <row r="292" spans="1:4">
      <c r="A292" t="s">
        <v>1202</v>
      </c>
      <c r="B292" t="str">
        <f>IF('02_Warehouse_Locations'!A291="","",'02_Warehouse_Locations'!A291)</f>
        <v/>
      </c>
      <c r="C292" t="str">
        <f t="shared" si="4"/>
        <v/>
      </c>
      <c r="D292" t="s">
        <v>1203</v>
      </c>
    </row>
    <row r="293" spans="1:4">
      <c r="A293" t="s">
        <v>1202</v>
      </c>
      <c r="B293" t="str">
        <f>IF('02_Warehouse_Locations'!A292="","",'02_Warehouse_Locations'!A292)</f>
        <v/>
      </c>
      <c r="C293" t="str">
        <f t="shared" si="4"/>
        <v/>
      </c>
      <c r="D293" t="s">
        <v>1203</v>
      </c>
    </row>
    <row r="294" spans="1:4">
      <c r="A294" t="s">
        <v>1202</v>
      </c>
      <c r="B294" t="str">
        <f>IF('02_Warehouse_Locations'!A293="","",'02_Warehouse_Locations'!A293)</f>
        <v/>
      </c>
      <c r="C294" t="str">
        <f t="shared" si="4"/>
        <v/>
      </c>
      <c r="D294" t="s">
        <v>1203</v>
      </c>
    </row>
    <row r="295" spans="1:4">
      <c r="A295" t="s">
        <v>1202</v>
      </c>
      <c r="B295" t="str">
        <f>IF('02_Warehouse_Locations'!A294="","",'02_Warehouse_Locations'!A294)</f>
        <v/>
      </c>
      <c r="C295" t="str">
        <f t="shared" si="4"/>
        <v/>
      </c>
      <c r="D295" t="s">
        <v>1203</v>
      </c>
    </row>
    <row r="296" spans="1:4">
      <c r="A296" t="s">
        <v>1202</v>
      </c>
      <c r="B296" t="str">
        <f>IF('02_Warehouse_Locations'!A295="","",'02_Warehouse_Locations'!A295)</f>
        <v/>
      </c>
      <c r="C296" t="str">
        <f t="shared" si="4"/>
        <v/>
      </c>
      <c r="D296" t="s">
        <v>1203</v>
      </c>
    </row>
    <row r="297" spans="1:4">
      <c r="A297" t="s">
        <v>1202</v>
      </c>
      <c r="B297" t="str">
        <f>IF('02_Warehouse_Locations'!A296="","",'02_Warehouse_Locations'!A296)</f>
        <v/>
      </c>
      <c r="C297" t="str">
        <f t="shared" si="4"/>
        <v/>
      </c>
      <c r="D297" t="s">
        <v>1203</v>
      </c>
    </row>
    <row r="298" spans="1:4">
      <c r="A298" t="s">
        <v>1202</v>
      </c>
      <c r="B298" t="str">
        <f>IF('02_Warehouse_Locations'!A297="","",'02_Warehouse_Locations'!A297)</f>
        <v/>
      </c>
      <c r="C298" t="str">
        <f t="shared" si="4"/>
        <v/>
      </c>
      <c r="D298" t="s">
        <v>1203</v>
      </c>
    </row>
    <row r="299" spans="1:4">
      <c r="A299" t="s">
        <v>1202</v>
      </c>
      <c r="B299" t="str">
        <f>IF('02_Warehouse_Locations'!A298="","",'02_Warehouse_Locations'!A298)</f>
        <v/>
      </c>
      <c r="C299" t="str">
        <f t="shared" si="4"/>
        <v/>
      </c>
      <c r="D299" t="s">
        <v>1203</v>
      </c>
    </row>
    <row r="300" spans="1:4">
      <c r="A300" t="s">
        <v>1202</v>
      </c>
      <c r="B300" t="str">
        <f>IF('02_Warehouse_Locations'!A299="","",'02_Warehouse_Locations'!A299)</f>
        <v/>
      </c>
      <c r="C300" t="str">
        <f t="shared" si="4"/>
        <v/>
      </c>
      <c r="D300" t="s">
        <v>1203</v>
      </c>
    </row>
    <row r="301" spans="1:4">
      <c r="A301" t="s">
        <v>1202</v>
      </c>
      <c r="B301" t="str">
        <f>IF('02_Warehouse_Locations'!A300="","",'02_Warehouse_Locations'!A300)</f>
        <v/>
      </c>
      <c r="C301" t="str">
        <f t="shared" si="4"/>
        <v/>
      </c>
      <c r="D301" t="s">
        <v>1203</v>
      </c>
    </row>
    <row r="302" spans="1:4">
      <c r="A302" t="s">
        <v>1202</v>
      </c>
      <c r="B302" t="str">
        <f>IF('02_Warehouse_Locations'!A301="","",'02_Warehouse_Locations'!A301)</f>
        <v/>
      </c>
      <c r="C302" t="str">
        <f t="shared" si="4"/>
        <v/>
      </c>
      <c r="D302" t="s">
        <v>1203</v>
      </c>
    </row>
    <row r="303" spans="1:4">
      <c r="A303" t="s">
        <v>1202</v>
      </c>
      <c r="B303" t="str">
        <f>IF('02_Warehouse_Locations'!A302="","",'02_Warehouse_Locations'!A302)</f>
        <v/>
      </c>
      <c r="C303" t="str">
        <f t="shared" si="4"/>
        <v/>
      </c>
      <c r="D303" t="s">
        <v>1203</v>
      </c>
    </row>
    <row r="304" spans="1:4">
      <c r="A304" t="s">
        <v>1202</v>
      </c>
      <c r="B304" t="str">
        <f>IF('02_Warehouse_Locations'!A303="","",'02_Warehouse_Locations'!A303)</f>
        <v/>
      </c>
      <c r="C304" t="str">
        <f t="shared" si="4"/>
        <v/>
      </c>
      <c r="D304" t="s">
        <v>1203</v>
      </c>
    </row>
    <row r="305" spans="1:4">
      <c r="A305" t="s">
        <v>1202</v>
      </c>
      <c r="B305" t="str">
        <f>IF('02_Warehouse_Locations'!A304="","",'02_Warehouse_Locations'!A304)</f>
        <v/>
      </c>
      <c r="C305" t="str">
        <f t="shared" si="4"/>
        <v/>
      </c>
      <c r="D305" t="s">
        <v>1203</v>
      </c>
    </row>
    <row r="306" spans="1:4">
      <c r="A306" t="s">
        <v>1202</v>
      </c>
      <c r="B306" t="str">
        <f>IF('02_Warehouse_Locations'!A305="","",'02_Warehouse_Locations'!A305)</f>
        <v/>
      </c>
      <c r="C306" t="str">
        <f t="shared" si="4"/>
        <v/>
      </c>
      <c r="D306" t="s">
        <v>1203</v>
      </c>
    </row>
    <row r="307" spans="1:4">
      <c r="A307" t="s">
        <v>1202</v>
      </c>
      <c r="B307" t="str">
        <f>IF('02_Warehouse_Locations'!A306="","",'02_Warehouse_Locations'!A306)</f>
        <v/>
      </c>
      <c r="C307" t="str">
        <f t="shared" si="4"/>
        <v/>
      </c>
      <c r="D307" t="s">
        <v>1203</v>
      </c>
    </row>
    <row r="308" spans="1:4">
      <c r="A308" t="s">
        <v>1202</v>
      </c>
      <c r="B308" t="str">
        <f>IF('02_Warehouse_Locations'!A307="","",'02_Warehouse_Locations'!A307)</f>
        <v/>
      </c>
      <c r="C308" t="str">
        <f t="shared" si="4"/>
        <v/>
      </c>
      <c r="D308" t="s">
        <v>1203</v>
      </c>
    </row>
    <row r="309" spans="1:4">
      <c r="A309" t="s">
        <v>1202</v>
      </c>
      <c r="B309" t="str">
        <f>IF('02_Warehouse_Locations'!A308="","",'02_Warehouse_Locations'!A308)</f>
        <v/>
      </c>
      <c r="C309" t="str">
        <f t="shared" si="4"/>
        <v/>
      </c>
      <c r="D309" t="s">
        <v>1203</v>
      </c>
    </row>
    <row r="310" spans="1:4">
      <c r="A310" t="s">
        <v>1202</v>
      </c>
      <c r="B310" t="str">
        <f>IF('02_Warehouse_Locations'!A309="","",'02_Warehouse_Locations'!A309)</f>
        <v/>
      </c>
      <c r="C310" t="str">
        <f t="shared" si="4"/>
        <v/>
      </c>
      <c r="D310" t="s">
        <v>1203</v>
      </c>
    </row>
    <row r="311" spans="1:4">
      <c r="A311" t="s">
        <v>1202</v>
      </c>
      <c r="B311" t="str">
        <f>IF('02_Warehouse_Locations'!A310="","",'02_Warehouse_Locations'!A310)</f>
        <v/>
      </c>
      <c r="C311" t="str">
        <f t="shared" si="4"/>
        <v/>
      </c>
      <c r="D311" t="s">
        <v>1203</v>
      </c>
    </row>
    <row r="312" spans="1:4">
      <c r="A312" t="s">
        <v>1202</v>
      </c>
      <c r="B312" t="str">
        <f>IF('02_Warehouse_Locations'!A311="","",'02_Warehouse_Locations'!A311)</f>
        <v/>
      </c>
      <c r="C312" t="str">
        <f t="shared" si="4"/>
        <v/>
      </c>
      <c r="D312" t="s">
        <v>1203</v>
      </c>
    </row>
    <row r="313" spans="1:4">
      <c r="A313" t="s">
        <v>1202</v>
      </c>
      <c r="B313" t="str">
        <f>IF('02_Warehouse_Locations'!A312="","",'02_Warehouse_Locations'!A312)</f>
        <v/>
      </c>
      <c r="C313" t="str">
        <f t="shared" si="4"/>
        <v/>
      </c>
      <c r="D313" t="s">
        <v>1203</v>
      </c>
    </row>
    <row r="314" spans="1:4">
      <c r="A314" t="s">
        <v>1202</v>
      </c>
      <c r="B314" t="str">
        <f>IF('02_Warehouse_Locations'!A313="","",'02_Warehouse_Locations'!A313)</f>
        <v/>
      </c>
      <c r="C314" t="str">
        <f t="shared" si="4"/>
        <v/>
      </c>
      <c r="D314" t="s">
        <v>1203</v>
      </c>
    </row>
    <row r="315" spans="1:4">
      <c r="A315" t="s">
        <v>1202</v>
      </c>
      <c r="B315" t="str">
        <f>IF('02_Warehouse_Locations'!A314="","",'02_Warehouse_Locations'!A314)</f>
        <v/>
      </c>
      <c r="C315" t="str">
        <f t="shared" si="4"/>
        <v/>
      </c>
      <c r="D315" t="s">
        <v>1203</v>
      </c>
    </row>
    <row r="316" spans="1:4">
      <c r="A316" t="s">
        <v>1202</v>
      </c>
      <c r="B316" t="str">
        <f>IF('02_Warehouse_Locations'!A315="","",'02_Warehouse_Locations'!A315)</f>
        <v/>
      </c>
      <c r="C316" t="str">
        <f t="shared" si="4"/>
        <v/>
      </c>
      <c r="D316" t="s">
        <v>1203</v>
      </c>
    </row>
    <row r="317" spans="1:4">
      <c r="A317" t="s">
        <v>1202</v>
      </c>
      <c r="B317" t="str">
        <f>IF('02_Warehouse_Locations'!A316="","",'02_Warehouse_Locations'!A316)</f>
        <v/>
      </c>
      <c r="C317" t="str">
        <f t="shared" si="4"/>
        <v/>
      </c>
      <c r="D317" t="s">
        <v>1203</v>
      </c>
    </row>
    <row r="318" spans="1:4">
      <c r="A318" t="s">
        <v>1202</v>
      </c>
      <c r="B318" t="str">
        <f>IF('02_Warehouse_Locations'!A317="","",'02_Warehouse_Locations'!A317)</f>
        <v/>
      </c>
      <c r="C318" t="str">
        <f t="shared" si="4"/>
        <v/>
      </c>
      <c r="D318" t="s">
        <v>1203</v>
      </c>
    </row>
    <row r="319" spans="1:4">
      <c r="A319" t="s">
        <v>1202</v>
      </c>
      <c r="B319" t="str">
        <f>IF('02_Warehouse_Locations'!A318="","",'02_Warehouse_Locations'!A318)</f>
        <v/>
      </c>
      <c r="C319" t="str">
        <f t="shared" si="4"/>
        <v/>
      </c>
      <c r="D319" t="s">
        <v>1203</v>
      </c>
    </row>
    <row r="320" spans="1:4">
      <c r="A320" t="s">
        <v>1202</v>
      </c>
      <c r="B320" t="str">
        <f>IF('02_Warehouse_Locations'!A319="","",'02_Warehouse_Locations'!A319)</f>
        <v/>
      </c>
      <c r="C320" t="str">
        <f t="shared" si="4"/>
        <v/>
      </c>
      <c r="D320" t="s">
        <v>1203</v>
      </c>
    </row>
    <row r="321" spans="1:4">
      <c r="A321" t="s">
        <v>1202</v>
      </c>
      <c r="B321" t="str">
        <f>IF('02_Warehouse_Locations'!A320="","",'02_Warehouse_Locations'!A320)</f>
        <v/>
      </c>
      <c r="C321" t="str">
        <f t="shared" si="4"/>
        <v/>
      </c>
      <c r="D321" t="s">
        <v>1203</v>
      </c>
    </row>
    <row r="322" spans="1:4">
      <c r="A322" t="s">
        <v>1202</v>
      </c>
      <c r="B322" t="str">
        <f>IF('02_Warehouse_Locations'!A321="","",'02_Warehouse_Locations'!A321)</f>
        <v/>
      </c>
      <c r="C322" t="str">
        <f t="shared" si="4"/>
        <v/>
      </c>
      <c r="D322" t="s">
        <v>1203</v>
      </c>
    </row>
    <row r="323" spans="1:4">
      <c r="A323" t="s">
        <v>1202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1203</v>
      </c>
    </row>
    <row r="324" spans="1:4">
      <c r="A324" t="s">
        <v>1202</v>
      </c>
      <c r="B324" t="str">
        <f>IF('02_Warehouse_Locations'!A323="","",'02_Warehouse_Locations'!A323)</f>
        <v/>
      </c>
      <c r="C324" t="str">
        <f t="shared" si="5"/>
        <v/>
      </c>
      <c r="D324" t="s">
        <v>1203</v>
      </c>
    </row>
    <row r="325" spans="1:4">
      <c r="A325" t="s">
        <v>1202</v>
      </c>
      <c r="B325" t="str">
        <f>IF('02_Warehouse_Locations'!A324="","",'02_Warehouse_Locations'!A324)</f>
        <v/>
      </c>
      <c r="C325" t="str">
        <f t="shared" si="5"/>
        <v/>
      </c>
      <c r="D325" t="s">
        <v>1203</v>
      </c>
    </row>
    <row r="326" spans="1:4">
      <c r="A326" t="s">
        <v>1202</v>
      </c>
      <c r="B326" t="str">
        <f>IF('02_Warehouse_Locations'!A325="","",'02_Warehouse_Locations'!A325)</f>
        <v/>
      </c>
      <c r="C326" t="str">
        <f t="shared" si="5"/>
        <v/>
      </c>
      <c r="D326" t="s">
        <v>1203</v>
      </c>
    </row>
    <row r="327" spans="1:4">
      <c r="A327" t="s">
        <v>1202</v>
      </c>
      <c r="B327" t="str">
        <f>IF('02_Warehouse_Locations'!A326="","",'02_Warehouse_Locations'!A326)</f>
        <v/>
      </c>
      <c r="C327" t="str">
        <f t="shared" si="5"/>
        <v/>
      </c>
      <c r="D327" t="s">
        <v>1203</v>
      </c>
    </row>
    <row r="328" spans="1:4">
      <c r="A328" t="s">
        <v>1202</v>
      </c>
      <c r="B328" t="str">
        <f>IF('02_Warehouse_Locations'!A327="","",'02_Warehouse_Locations'!A327)</f>
        <v/>
      </c>
      <c r="C328" t="str">
        <f t="shared" si="5"/>
        <v/>
      </c>
      <c r="D328" t="s">
        <v>1203</v>
      </c>
    </row>
    <row r="329" spans="1:4">
      <c r="A329" t="s">
        <v>1202</v>
      </c>
      <c r="B329" t="str">
        <f>IF('02_Warehouse_Locations'!A328="","",'02_Warehouse_Locations'!A328)</f>
        <v/>
      </c>
      <c r="C329" t="str">
        <f t="shared" si="5"/>
        <v/>
      </c>
      <c r="D329" t="s">
        <v>1203</v>
      </c>
    </row>
    <row r="330" spans="1:4">
      <c r="A330" t="s">
        <v>1202</v>
      </c>
      <c r="B330" t="str">
        <f>IF('02_Warehouse_Locations'!A329="","",'02_Warehouse_Locations'!A329)</f>
        <v/>
      </c>
      <c r="C330" t="str">
        <f t="shared" si="5"/>
        <v/>
      </c>
      <c r="D330" t="s">
        <v>1203</v>
      </c>
    </row>
    <row r="331" spans="1:4">
      <c r="A331" t="s">
        <v>1202</v>
      </c>
      <c r="B331" t="str">
        <f>IF('02_Warehouse_Locations'!A330="","",'02_Warehouse_Locations'!A330)</f>
        <v/>
      </c>
      <c r="C331" t="str">
        <f t="shared" si="5"/>
        <v/>
      </c>
      <c r="D331" t="s">
        <v>1203</v>
      </c>
    </row>
    <row r="332" spans="1:4">
      <c r="A332" t="s">
        <v>1202</v>
      </c>
      <c r="B332" t="str">
        <f>IF('02_Warehouse_Locations'!A331="","",'02_Warehouse_Locations'!A331)</f>
        <v/>
      </c>
      <c r="C332" t="str">
        <f t="shared" si="5"/>
        <v/>
      </c>
      <c r="D332" t="s">
        <v>1203</v>
      </c>
    </row>
    <row r="333" spans="1:4">
      <c r="A333" t="s">
        <v>1202</v>
      </c>
      <c r="B333" t="str">
        <f>IF('02_Warehouse_Locations'!A332="","",'02_Warehouse_Locations'!A332)</f>
        <v/>
      </c>
      <c r="C333" t="str">
        <f t="shared" si="5"/>
        <v/>
      </c>
      <c r="D333" t="s">
        <v>1203</v>
      </c>
    </row>
    <row r="334" spans="1:4">
      <c r="A334" t="s">
        <v>1202</v>
      </c>
      <c r="B334" t="str">
        <f>IF('02_Warehouse_Locations'!A333="","",'02_Warehouse_Locations'!A333)</f>
        <v/>
      </c>
      <c r="C334" t="str">
        <f t="shared" si="5"/>
        <v/>
      </c>
      <c r="D334" t="s">
        <v>1203</v>
      </c>
    </row>
    <row r="335" spans="1:4">
      <c r="A335" t="s">
        <v>1202</v>
      </c>
      <c r="B335" t="str">
        <f>IF('02_Warehouse_Locations'!A334="","",'02_Warehouse_Locations'!A334)</f>
        <v/>
      </c>
      <c r="C335" t="str">
        <f t="shared" si="5"/>
        <v/>
      </c>
      <c r="D335" t="s">
        <v>1203</v>
      </c>
    </row>
    <row r="336" spans="1:4">
      <c r="A336" t="s">
        <v>1202</v>
      </c>
      <c r="B336" t="str">
        <f>IF('02_Warehouse_Locations'!A335="","",'02_Warehouse_Locations'!A335)</f>
        <v/>
      </c>
      <c r="C336" t="str">
        <f t="shared" si="5"/>
        <v/>
      </c>
      <c r="D336" t="s">
        <v>1203</v>
      </c>
    </row>
    <row r="337" spans="1:4">
      <c r="A337" t="s">
        <v>1202</v>
      </c>
      <c r="B337" t="str">
        <f>IF('02_Warehouse_Locations'!A336="","",'02_Warehouse_Locations'!A336)</f>
        <v/>
      </c>
      <c r="C337" t="str">
        <f t="shared" si="5"/>
        <v/>
      </c>
      <c r="D337" t="s">
        <v>1203</v>
      </c>
    </row>
    <row r="338" spans="1:4">
      <c r="A338" t="s">
        <v>1202</v>
      </c>
      <c r="B338" t="str">
        <f>IF('02_Warehouse_Locations'!A337="","",'02_Warehouse_Locations'!A337)</f>
        <v/>
      </c>
      <c r="C338" t="str">
        <f t="shared" si="5"/>
        <v/>
      </c>
      <c r="D338" t="s">
        <v>1203</v>
      </c>
    </row>
    <row r="339" spans="1:4">
      <c r="A339" t="s">
        <v>1202</v>
      </c>
      <c r="B339" t="str">
        <f>IF('02_Warehouse_Locations'!A338="","",'02_Warehouse_Locations'!A338)</f>
        <v/>
      </c>
      <c r="C339" t="str">
        <f t="shared" si="5"/>
        <v/>
      </c>
      <c r="D339" t="s">
        <v>1203</v>
      </c>
    </row>
    <row r="340" spans="1:4">
      <c r="A340" t="s">
        <v>1202</v>
      </c>
      <c r="B340" t="str">
        <f>IF('02_Warehouse_Locations'!A339="","",'02_Warehouse_Locations'!A339)</f>
        <v/>
      </c>
      <c r="C340" t="str">
        <f t="shared" si="5"/>
        <v/>
      </c>
      <c r="D340" t="s">
        <v>1203</v>
      </c>
    </row>
    <row r="341" spans="1:4">
      <c r="A341" t="s">
        <v>1202</v>
      </c>
      <c r="B341" t="str">
        <f>IF('02_Warehouse_Locations'!A340="","",'02_Warehouse_Locations'!A340)</f>
        <v/>
      </c>
      <c r="C341" t="str">
        <f t="shared" si="5"/>
        <v/>
      </c>
      <c r="D341" t="s">
        <v>1203</v>
      </c>
    </row>
    <row r="342" spans="1:4">
      <c r="A342" t="s">
        <v>1202</v>
      </c>
      <c r="B342" t="str">
        <f>IF('02_Warehouse_Locations'!A341="","",'02_Warehouse_Locations'!A341)</f>
        <v/>
      </c>
      <c r="C342" t="str">
        <f t="shared" si="5"/>
        <v/>
      </c>
      <c r="D342" t="s">
        <v>1203</v>
      </c>
    </row>
    <row r="343" spans="1:4">
      <c r="A343" t="s">
        <v>1202</v>
      </c>
      <c r="B343" t="str">
        <f>IF('02_Warehouse_Locations'!A342="","",'02_Warehouse_Locations'!A342)</f>
        <v/>
      </c>
      <c r="C343" t="str">
        <f t="shared" si="5"/>
        <v/>
      </c>
      <c r="D343" t="s">
        <v>1203</v>
      </c>
    </row>
    <row r="344" spans="1:4">
      <c r="A344" t="s">
        <v>1202</v>
      </c>
      <c r="B344" t="str">
        <f>IF('02_Warehouse_Locations'!A343="","",'02_Warehouse_Locations'!A343)</f>
        <v/>
      </c>
      <c r="C344" t="str">
        <f t="shared" si="5"/>
        <v/>
      </c>
      <c r="D344" t="s">
        <v>1203</v>
      </c>
    </row>
    <row r="345" spans="1:4">
      <c r="A345" t="s">
        <v>1202</v>
      </c>
      <c r="B345" t="str">
        <f>IF('02_Warehouse_Locations'!A344="","",'02_Warehouse_Locations'!A344)</f>
        <v/>
      </c>
      <c r="C345" t="str">
        <f t="shared" si="5"/>
        <v/>
      </c>
      <c r="D345" t="s">
        <v>1203</v>
      </c>
    </row>
    <row r="346" spans="1:4">
      <c r="A346" t="s">
        <v>1202</v>
      </c>
      <c r="B346" t="str">
        <f>IF('02_Warehouse_Locations'!A345="","",'02_Warehouse_Locations'!A345)</f>
        <v/>
      </c>
      <c r="C346" t="str">
        <f t="shared" si="5"/>
        <v/>
      </c>
      <c r="D346" t="s">
        <v>1203</v>
      </c>
    </row>
    <row r="347" spans="1:4">
      <c r="A347" t="s">
        <v>1202</v>
      </c>
      <c r="B347" t="str">
        <f>IF('02_Warehouse_Locations'!A346="","",'02_Warehouse_Locations'!A346)</f>
        <v/>
      </c>
      <c r="C347" t="str">
        <f t="shared" si="5"/>
        <v/>
      </c>
      <c r="D347" t="s">
        <v>1203</v>
      </c>
    </row>
    <row r="348" spans="1:4">
      <c r="A348" t="s">
        <v>1202</v>
      </c>
      <c r="B348" t="str">
        <f>IF('02_Warehouse_Locations'!A347="","",'02_Warehouse_Locations'!A347)</f>
        <v/>
      </c>
      <c r="C348" t="str">
        <f t="shared" si="5"/>
        <v/>
      </c>
      <c r="D348" t="s">
        <v>1203</v>
      </c>
    </row>
    <row r="349" spans="1:4">
      <c r="A349" t="s">
        <v>1202</v>
      </c>
      <c r="B349" t="str">
        <f>IF('02_Warehouse_Locations'!A348="","",'02_Warehouse_Locations'!A348)</f>
        <v/>
      </c>
      <c r="C349" t="str">
        <f t="shared" si="5"/>
        <v/>
      </c>
      <c r="D349" t="s">
        <v>1203</v>
      </c>
    </row>
    <row r="350" spans="1:4">
      <c r="A350" t="s">
        <v>1202</v>
      </c>
      <c r="B350" t="str">
        <f>IF('02_Warehouse_Locations'!A349="","",'02_Warehouse_Locations'!A349)</f>
        <v/>
      </c>
      <c r="C350" t="str">
        <f t="shared" si="5"/>
        <v/>
      </c>
      <c r="D350" t="s">
        <v>1203</v>
      </c>
    </row>
    <row r="351" spans="1:4">
      <c r="A351" t="s">
        <v>1202</v>
      </c>
      <c r="B351" t="str">
        <f>IF('02_Warehouse_Locations'!A350="","",'02_Warehouse_Locations'!A350)</f>
        <v/>
      </c>
      <c r="C351" t="str">
        <f t="shared" si="5"/>
        <v/>
      </c>
      <c r="D351" t="s">
        <v>1203</v>
      </c>
    </row>
    <row r="352" spans="1:4">
      <c r="A352" t="s">
        <v>1202</v>
      </c>
      <c r="B352" t="str">
        <f>IF('02_Warehouse_Locations'!A351="","",'02_Warehouse_Locations'!A351)</f>
        <v/>
      </c>
      <c r="C352" t="str">
        <f t="shared" si="5"/>
        <v/>
      </c>
      <c r="D352" t="s">
        <v>1203</v>
      </c>
    </row>
    <row r="353" spans="1:4">
      <c r="A353" t="s">
        <v>1202</v>
      </c>
      <c r="B353" t="str">
        <f>IF('02_Warehouse_Locations'!A352="","",'02_Warehouse_Locations'!A352)</f>
        <v/>
      </c>
      <c r="C353" t="str">
        <f t="shared" si="5"/>
        <v/>
      </c>
      <c r="D353" t="s">
        <v>1203</v>
      </c>
    </row>
    <row r="354" spans="1:4">
      <c r="A354" t="s">
        <v>1202</v>
      </c>
      <c r="B354" t="str">
        <f>IF('02_Warehouse_Locations'!A353="","",'02_Warehouse_Locations'!A353)</f>
        <v/>
      </c>
      <c r="C354" t="str">
        <f t="shared" si="5"/>
        <v/>
      </c>
      <c r="D354" t="s">
        <v>1203</v>
      </c>
    </row>
    <row r="355" spans="1:4">
      <c r="A355" t="s">
        <v>1202</v>
      </c>
      <c r="B355" t="str">
        <f>IF('02_Warehouse_Locations'!A354="","",'02_Warehouse_Locations'!A354)</f>
        <v/>
      </c>
      <c r="C355" t="str">
        <f t="shared" si="5"/>
        <v/>
      </c>
      <c r="D355" t="s">
        <v>1203</v>
      </c>
    </row>
    <row r="356" spans="1:4">
      <c r="A356" t="s">
        <v>1202</v>
      </c>
      <c r="B356" t="str">
        <f>IF('02_Warehouse_Locations'!A355="","",'02_Warehouse_Locations'!A355)</f>
        <v/>
      </c>
      <c r="C356" t="str">
        <f t="shared" si="5"/>
        <v/>
      </c>
      <c r="D356" t="s">
        <v>1203</v>
      </c>
    </row>
    <row r="357" spans="1:4">
      <c r="A357" t="s">
        <v>1202</v>
      </c>
      <c r="B357" t="str">
        <f>IF('02_Warehouse_Locations'!A356="","",'02_Warehouse_Locations'!A356)</f>
        <v/>
      </c>
      <c r="C357" t="str">
        <f t="shared" si="5"/>
        <v/>
      </c>
      <c r="D357" t="s">
        <v>1203</v>
      </c>
    </row>
    <row r="358" spans="1:4">
      <c r="A358" t="s">
        <v>1202</v>
      </c>
      <c r="B358" t="str">
        <f>IF('02_Warehouse_Locations'!A357="","",'02_Warehouse_Locations'!A357)</f>
        <v/>
      </c>
      <c r="C358" t="str">
        <f t="shared" si="5"/>
        <v/>
      </c>
      <c r="D358" t="s">
        <v>1203</v>
      </c>
    </row>
    <row r="359" spans="1:4">
      <c r="A359" t="s">
        <v>1202</v>
      </c>
      <c r="B359" t="str">
        <f>IF('02_Warehouse_Locations'!A358="","",'02_Warehouse_Locations'!A358)</f>
        <v/>
      </c>
      <c r="C359" t="str">
        <f t="shared" si="5"/>
        <v/>
      </c>
      <c r="D359" t="s">
        <v>1203</v>
      </c>
    </row>
    <row r="360" spans="1:4">
      <c r="A360" t="s">
        <v>1202</v>
      </c>
      <c r="B360" t="str">
        <f>IF('02_Warehouse_Locations'!A359="","",'02_Warehouse_Locations'!A359)</f>
        <v/>
      </c>
      <c r="C360" t="str">
        <f t="shared" si="5"/>
        <v/>
      </c>
      <c r="D360" t="s">
        <v>1203</v>
      </c>
    </row>
    <row r="361" spans="1:4">
      <c r="A361" t="s">
        <v>1202</v>
      </c>
      <c r="B361" t="str">
        <f>IF('02_Warehouse_Locations'!A360="","",'02_Warehouse_Locations'!A360)</f>
        <v/>
      </c>
      <c r="C361" t="str">
        <f t="shared" si="5"/>
        <v/>
      </c>
      <c r="D361" t="s">
        <v>1203</v>
      </c>
    </row>
    <row r="362" spans="1:4">
      <c r="A362" t="s">
        <v>1202</v>
      </c>
      <c r="B362" t="str">
        <f>IF('02_Warehouse_Locations'!A361="","",'02_Warehouse_Locations'!A361)</f>
        <v/>
      </c>
      <c r="C362" t="str">
        <f t="shared" si="5"/>
        <v/>
      </c>
      <c r="D362" t="s">
        <v>1203</v>
      </c>
    </row>
    <row r="363" spans="1:4">
      <c r="A363" t="s">
        <v>1202</v>
      </c>
      <c r="B363" t="str">
        <f>IF('02_Warehouse_Locations'!A362="","",'02_Warehouse_Locations'!A362)</f>
        <v/>
      </c>
      <c r="C363" t="str">
        <f t="shared" si="5"/>
        <v/>
      </c>
      <c r="D363" t="s">
        <v>1203</v>
      </c>
    </row>
    <row r="364" spans="1:4">
      <c r="A364" t="s">
        <v>1202</v>
      </c>
      <c r="B364" t="str">
        <f>IF('02_Warehouse_Locations'!A363="","",'02_Warehouse_Locations'!A363)</f>
        <v/>
      </c>
      <c r="C364" t="str">
        <f t="shared" si="5"/>
        <v/>
      </c>
      <c r="D364" t="s">
        <v>1203</v>
      </c>
    </row>
    <row r="365" spans="1:4">
      <c r="A365" t="s">
        <v>1202</v>
      </c>
      <c r="B365" t="str">
        <f>IF('02_Warehouse_Locations'!A364="","",'02_Warehouse_Locations'!A364)</f>
        <v/>
      </c>
      <c r="C365" t="str">
        <f t="shared" si="5"/>
        <v/>
      </c>
      <c r="D365" t="s">
        <v>1203</v>
      </c>
    </row>
    <row r="366" spans="1:4">
      <c r="A366" t="s">
        <v>1202</v>
      </c>
      <c r="B366" t="str">
        <f>IF('02_Warehouse_Locations'!A365="","",'02_Warehouse_Locations'!A365)</f>
        <v/>
      </c>
      <c r="C366" t="str">
        <f t="shared" si="5"/>
        <v/>
      </c>
      <c r="D366" t="s">
        <v>1203</v>
      </c>
    </row>
    <row r="367" spans="1:4">
      <c r="A367" t="s">
        <v>1202</v>
      </c>
      <c r="B367" t="str">
        <f>IF('02_Warehouse_Locations'!A366="","",'02_Warehouse_Locations'!A366)</f>
        <v/>
      </c>
      <c r="C367" t="str">
        <f t="shared" si="5"/>
        <v/>
      </c>
      <c r="D367" t="s">
        <v>1203</v>
      </c>
    </row>
    <row r="368" spans="1:4">
      <c r="A368" t="s">
        <v>1202</v>
      </c>
      <c r="B368" t="str">
        <f>IF('02_Warehouse_Locations'!A367="","",'02_Warehouse_Locations'!A367)</f>
        <v/>
      </c>
      <c r="C368" t="str">
        <f t="shared" si="5"/>
        <v/>
      </c>
      <c r="D368" t="s">
        <v>1203</v>
      </c>
    </row>
    <row r="369" spans="1:4">
      <c r="A369" t="s">
        <v>1202</v>
      </c>
      <c r="B369" t="str">
        <f>IF('02_Warehouse_Locations'!A368="","",'02_Warehouse_Locations'!A368)</f>
        <v/>
      </c>
      <c r="C369" t="str">
        <f t="shared" si="5"/>
        <v/>
      </c>
      <c r="D369" t="s">
        <v>1203</v>
      </c>
    </row>
    <row r="370" spans="1:4">
      <c r="A370" t="s">
        <v>1202</v>
      </c>
      <c r="B370" t="str">
        <f>IF('02_Warehouse_Locations'!A369="","",'02_Warehouse_Locations'!A369)</f>
        <v/>
      </c>
      <c r="C370" t="str">
        <f t="shared" si="5"/>
        <v/>
      </c>
      <c r="D370" t="s">
        <v>1203</v>
      </c>
    </row>
    <row r="371" spans="1:4">
      <c r="A371" t="s">
        <v>1202</v>
      </c>
      <c r="B371" t="str">
        <f>IF('02_Warehouse_Locations'!A370="","",'02_Warehouse_Locations'!A370)</f>
        <v/>
      </c>
      <c r="C371" t="str">
        <f t="shared" si="5"/>
        <v/>
      </c>
      <c r="D371" t="s">
        <v>1203</v>
      </c>
    </row>
    <row r="372" spans="1:4">
      <c r="A372" t="s">
        <v>1202</v>
      </c>
      <c r="B372" t="str">
        <f>IF('02_Warehouse_Locations'!A371="","",'02_Warehouse_Locations'!A371)</f>
        <v/>
      </c>
      <c r="C372" t="str">
        <f t="shared" si="5"/>
        <v/>
      </c>
      <c r="D372" t="s">
        <v>1203</v>
      </c>
    </row>
    <row r="373" spans="1:4">
      <c r="A373" t="s">
        <v>1202</v>
      </c>
      <c r="B373" t="str">
        <f>IF('02_Warehouse_Locations'!A372="","",'02_Warehouse_Locations'!A372)</f>
        <v/>
      </c>
      <c r="C373" t="str">
        <f t="shared" si="5"/>
        <v/>
      </c>
      <c r="D373" t="s">
        <v>1203</v>
      </c>
    </row>
    <row r="374" spans="1:4">
      <c r="A374" t="s">
        <v>1202</v>
      </c>
      <c r="B374" t="str">
        <f>IF('02_Warehouse_Locations'!A373="","",'02_Warehouse_Locations'!A373)</f>
        <v/>
      </c>
      <c r="C374" t="str">
        <f t="shared" si="5"/>
        <v/>
      </c>
      <c r="D374" t="s">
        <v>1203</v>
      </c>
    </row>
    <row r="375" spans="1:4">
      <c r="A375" t="s">
        <v>1202</v>
      </c>
      <c r="B375" t="str">
        <f>IF('02_Warehouse_Locations'!A374="","",'02_Warehouse_Locations'!A374)</f>
        <v/>
      </c>
      <c r="C375" t="str">
        <f t="shared" si="5"/>
        <v/>
      </c>
      <c r="D375" t="s">
        <v>1203</v>
      </c>
    </row>
    <row r="376" spans="1:4">
      <c r="A376" t="s">
        <v>1202</v>
      </c>
      <c r="B376" t="str">
        <f>IF('02_Warehouse_Locations'!A375="","",'02_Warehouse_Locations'!A375)</f>
        <v/>
      </c>
      <c r="C376" t="str">
        <f t="shared" si="5"/>
        <v/>
      </c>
      <c r="D376" t="s">
        <v>1203</v>
      </c>
    </row>
    <row r="377" spans="1:4">
      <c r="A377" t="s">
        <v>1202</v>
      </c>
      <c r="B377" t="str">
        <f>IF('02_Warehouse_Locations'!A376="","",'02_Warehouse_Locations'!A376)</f>
        <v/>
      </c>
      <c r="C377" t="str">
        <f t="shared" si="5"/>
        <v/>
      </c>
      <c r="D377" t="s">
        <v>1203</v>
      </c>
    </row>
    <row r="378" spans="1:4">
      <c r="A378" t="s">
        <v>1202</v>
      </c>
      <c r="B378" t="str">
        <f>IF('02_Warehouse_Locations'!A377="","",'02_Warehouse_Locations'!A377)</f>
        <v/>
      </c>
      <c r="C378" t="str">
        <f t="shared" si="5"/>
        <v/>
      </c>
      <c r="D378" t="s">
        <v>1203</v>
      </c>
    </row>
    <row r="379" spans="1:4">
      <c r="A379" t="s">
        <v>1202</v>
      </c>
      <c r="B379" t="str">
        <f>IF('02_Warehouse_Locations'!A378="","",'02_Warehouse_Locations'!A378)</f>
        <v/>
      </c>
      <c r="C379" t="str">
        <f t="shared" si="5"/>
        <v/>
      </c>
      <c r="D379" t="s">
        <v>1203</v>
      </c>
    </row>
    <row r="380" spans="1:4">
      <c r="A380" t="s">
        <v>1202</v>
      </c>
      <c r="B380" t="str">
        <f>IF('02_Warehouse_Locations'!A379="","",'02_Warehouse_Locations'!A379)</f>
        <v/>
      </c>
      <c r="C380" t="str">
        <f t="shared" si="5"/>
        <v/>
      </c>
      <c r="D380" t="s">
        <v>1203</v>
      </c>
    </row>
    <row r="381" spans="1:4">
      <c r="A381" t="s">
        <v>1202</v>
      </c>
      <c r="B381" t="str">
        <f>IF('02_Warehouse_Locations'!A380="","",'02_Warehouse_Locations'!A380)</f>
        <v/>
      </c>
      <c r="C381" t="str">
        <f t="shared" si="5"/>
        <v/>
      </c>
      <c r="D381" t="s">
        <v>1203</v>
      </c>
    </row>
    <row r="382" spans="1:4">
      <c r="A382" t="s">
        <v>1202</v>
      </c>
      <c r="B382" t="str">
        <f>IF('02_Warehouse_Locations'!A381="","",'02_Warehouse_Locations'!A381)</f>
        <v/>
      </c>
      <c r="C382" t="str">
        <f t="shared" si="5"/>
        <v/>
      </c>
      <c r="D382" t="s">
        <v>1203</v>
      </c>
    </row>
    <row r="383" spans="1:4">
      <c r="A383" t="s">
        <v>1202</v>
      </c>
      <c r="B383" t="str">
        <f>IF('02_Warehouse_Locations'!A382="","",'02_Warehouse_Locations'!A382)</f>
        <v/>
      </c>
      <c r="C383" t="str">
        <f t="shared" si="5"/>
        <v/>
      </c>
      <c r="D383" t="s">
        <v>1203</v>
      </c>
    </row>
    <row r="384" spans="1:4">
      <c r="A384" t="s">
        <v>1202</v>
      </c>
      <c r="B384" t="str">
        <f>IF('02_Warehouse_Locations'!A383="","",'02_Warehouse_Locations'!A383)</f>
        <v/>
      </c>
      <c r="C384" t="str">
        <f t="shared" si="5"/>
        <v/>
      </c>
      <c r="D384" t="s">
        <v>1203</v>
      </c>
    </row>
    <row r="385" spans="1:4">
      <c r="A385" t="s">
        <v>1202</v>
      </c>
      <c r="B385" t="str">
        <f>IF('02_Warehouse_Locations'!A384="","",'02_Warehouse_Locations'!A384)</f>
        <v/>
      </c>
      <c r="C385" t="str">
        <f t="shared" si="5"/>
        <v/>
      </c>
      <c r="D385" t="s">
        <v>1203</v>
      </c>
    </row>
    <row r="386" spans="1:4">
      <c r="A386" t="s">
        <v>1202</v>
      </c>
      <c r="B386" t="str">
        <f>IF('02_Warehouse_Locations'!A385="","",'02_Warehouse_Locations'!A385)</f>
        <v/>
      </c>
      <c r="C386" t="str">
        <f t="shared" si="5"/>
        <v/>
      </c>
      <c r="D386" t="s">
        <v>1203</v>
      </c>
    </row>
    <row r="387" spans="1:4">
      <c r="A387" t="s">
        <v>1202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1203</v>
      </c>
    </row>
    <row r="388" spans="1:4">
      <c r="A388" t="s">
        <v>1202</v>
      </c>
      <c r="B388" t="str">
        <f>IF('02_Warehouse_Locations'!A387="","",'02_Warehouse_Locations'!A387)</f>
        <v/>
      </c>
      <c r="C388" t="str">
        <f t="shared" si="6"/>
        <v/>
      </c>
      <c r="D388" t="s">
        <v>1203</v>
      </c>
    </row>
    <row r="389" spans="1:4">
      <c r="A389" t="s">
        <v>1202</v>
      </c>
      <c r="B389" t="str">
        <f>IF('02_Warehouse_Locations'!A388="","",'02_Warehouse_Locations'!A388)</f>
        <v/>
      </c>
      <c r="C389" t="str">
        <f t="shared" si="6"/>
        <v/>
      </c>
      <c r="D389" t="s">
        <v>1203</v>
      </c>
    </row>
    <row r="390" spans="1:4">
      <c r="A390" t="s">
        <v>1202</v>
      </c>
      <c r="B390" t="str">
        <f>IF('02_Warehouse_Locations'!A389="","",'02_Warehouse_Locations'!A389)</f>
        <v/>
      </c>
      <c r="C390" t="str">
        <f t="shared" si="6"/>
        <v/>
      </c>
      <c r="D390" t="s">
        <v>1203</v>
      </c>
    </row>
    <row r="391" spans="1:4">
      <c r="A391" t="s">
        <v>1202</v>
      </c>
      <c r="B391" t="str">
        <f>IF('02_Warehouse_Locations'!A390="","",'02_Warehouse_Locations'!A390)</f>
        <v/>
      </c>
      <c r="C391" t="str">
        <f t="shared" si="6"/>
        <v/>
      </c>
      <c r="D391" t="s">
        <v>1203</v>
      </c>
    </row>
    <row r="392" spans="1:4">
      <c r="A392" t="s">
        <v>1202</v>
      </c>
      <c r="B392" t="str">
        <f>IF('02_Warehouse_Locations'!A391="","",'02_Warehouse_Locations'!A391)</f>
        <v/>
      </c>
      <c r="C392" t="str">
        <f t="shared" si="6"/>
        <v/>
      </c>
      <c r="D392" t="s">
        <v>1203</v>
      </c>
    </row>
    <row r="393" spans="1:4">
      <c r="A393" t="s">
        <v>1202</v>
      </c>
      <c r="B393" t="str">
        <f>IF('02_Warehouse_Locations'!A392="","",'02_Warehouse_Locations'!A392)</f>
        <v/>
      </c>
      <c r="C393" t="str">
        <f t="shared" si="6"/>
        <v/>
      </c>
      <c r="D393" t="s">
        <v>1203</v>
      </c>
    </row>
    <row r="394" spans="1:4">
      <c r="A394" t="s">
        <v>1202</v>
      </c>
      <c r="B394" t="str">
        <f>IF('02_Warehouse_Locations'!A393="","",'02_Warehouse_Locations'!A393)</f>
        <v/>
      </c>
      <c r="C394" t="str">
        <f t="shared" si="6"/>
        <v/>
      </c>
      <c r="D394" t="s">
        <v>1203</v>
      </c>
    </row>
    <row r="395" spans="1:4">
      <c r="A395" t="s">
        <v>1202</v>
      </c>
      <c r="B395" t="str">
        <f>IF('02_Warehouse_Locations'!A394="","",'02_Warehouse_Locations'!A394)</f>
        <v/>
      </c>
      <c r="C395" t="str">
        <f t="shared" si="6"/>
        <v/>
      </c>
      <c r="D395" t="s">
        <v>1203</v>
      </c>
    </row>
    <row r="396" spans="1:4">
      <c r="A396" t="s">
        <v>1202</v>
      </c>
      <c r="B396" t="str">
        <f>IF('02_Warehouse_Locations'!A395="","",'02_Warehouse_Locations'!A395)</f>
        <v/>
      </c>
      <c r="C396" t="str">
        <f t="shared" si="6"/>
        <v/>
      </c>
      <c r="D396" t="s">
        <v>1203</v>
      </c>
    </row>
    <row r="397" spans="1:4">
      <c r="A397" t="s">
        <v>1202</v>
      </c>
      <c r="B397" t="str">
        <f>IF('02_Warehouse_Locations'!A396="","",'02_Warehouse_Locations'!A396)</f>
        <v/>
      </c>
      <c r="C397" t="str">
        <f t="shared" si="6"/>
        <v/>
      </c>
      <c r="D397" t="s">
        <v>1203</v>
      </c>
    </row>
    <row r="398" spans="1:4">
      <c r="A398" t="s">
        <v>1202</v>
      </c>
      <c r="B398" t="str">
        <f>IF('02_Warehouse_Locations'!A397="","",'02_Warehouse_Locations'!A397)</f>
        <v/>
      </c>
      <c r="C398" t="str">
        <f t="shared" si="6"/>
        <v/>
      </c>
      <c r="D398" t="s">
        <v>1203</v>
      </c>
    </row>
    <row r="399" spans="1:4">
      <c r="A399" t="s">
        <v>1202</v>
      </c>
      <c r="B399" t="str">
        <f>IF('02_Warehouse_Locations'!A398="","",'02_Warehouse_Locations'!A398)</f>
        <v/>
      </c>
      <c r="C399" t="str">
        <f t="shared" si="6"/>
        <v/>
      </c>
      <c r="D399" t="s">
        <v>1203</v>
      </c>
    </row>
    <row r="400" spans="1:4">
      <c r="A400" t="s">
        <v>1202</v>
      </c>
      <c r="B400" t="str">
        <f>IF('02_Warehouse_Locations'!A399="","",'02_Warehouse_Locations'!A399)</f>
        <v/>
      </c>
      <c r="C400" t="str">
        <f t="shared" si="6"/>
        <v/>
      </c>
      <c r="D400" t="s">
        <v>1203</v>
      </c>
    </row>
    <row r="401" spans="1:4">
      <c r="A401" t="s">
        <v>1202</v>
      </c>
      <c r="B401" t="str">
        <f>IF('02_Warehouse_Locations'!A400="","",'02_Warehouse_Locations'!A400)</f>
        <v/>
      </c>
      <c r="C401" t="str">
        <f t="shared" si="6"/>
        <v/>
      </c>
      <c r="D401" t="s">
        <v>1203</v>
      </c>
    </row>
    <row r="402" spans="1:4">
      <c r="A402" t="s">
        <v>1202</v>
      </c>
      <c r="B402" t="str">
        <f>IF('02_Warehouse_Locations'!A401="","",'02_Warehouse_Locations'!A401)</f>
        <v/>
      </c>
      <c r="C402" t="str">
        <f t="shared" si="6"/>
        <v/>
      </c>
      <c r="D402" t="s">
        <v>1203</v>
      </c>
    </row>
    <row r="403" spans="1:4">
      <c r="A403" t="s">
        <v>1202</v>
      </c>
      <c r="B403" t="str">
        <f>IF('02_Warehouse_Locations'!A402="","",'02_Warehouse_Locations'!A402)</f>
        <v/>
      </c>
      <c r="C403" t="str">
        <f t="shared" si="6"/>
        <v/>
      </c>
      <c r="D403" t="s">
        <v>1203</v>
      </c>
    </row>
    <row r="404" spans="1:4">
      <c r="A404" t="s">
        <v>1202</v>
      </c>
      <c r="B404" t="str">
        <f>IF('02_Warehouse_Locations'!A403="","",'02_Warehouse_Locations'!A403)</f>
        <v/>
      </c>
      <c r="C404" t="str">
        <f t="shared" si="6"/>
        <v/>
      </c>
      <c r="D404" t="s">
        <v>1203</v>
      </c>
    </row>
    <row r="405" spans="1:4">
      <c r="A405" t="s">
        <v>1202</v>
      </c>
      <c r="B405" t="str">
        <f>IF('02_Warehouse_Locations'!A404="","",'02_Warehouse_Locations'!A404)</f>
        <v/>
      </c>
      <c r="C405" t="str">
        <f t="shared" si="6"/>
        <v/>
      </c>
      <c r="D405" t="s">
        <v>1203</v>
      </c>
    </row>
    <row r="406" spans="1:4">
      <c r="A406" t="s">
        <v>1202</v>
      </c>
      <c r="B406" t="str">
        <f>IF('02_Warehouse_Locations'!A405="","",'02_Warehouse_Locations'!A405)</f>
        <v/>
      </c>
      <c r="C406" t="str">
        <f t="shared" si="6"/>
        <v/>
      </c>
      <c r="D406" t="s">
        <v>1203</v>
      </c>
    </row>
    <row r="407" spans="1:4">
      <c r="A407" t="s">
        <v>1202</v>
      </c>
      <c r="B407" t="str">
        <f>IF('02_Warehouse_Locations'!A406="","",'02_Warehouse_Locations'!A406)</f>
        <v/>
      </c>
      <c r="C407" t="str">
        <f t="shared" si="6"/>
        <v/>
      </c>
      <c r="D407" t="s">
        <v>1203</v>
      </c>
    </row>
    <row r="408" spans="1:4">
      <c r="A408" t="s">
        <v>1202</v>
      </c>
      <c r="B408" t="str">
        <f>IF('02_Warehouse_Locations'!A407="","",'02_Warehouse_Locations'!A407)</f>
        <v/>
      </c>
      <c r="C408" t="str">
        <f t="shared" si="6"/>
        <v/>
      </c>
      <c r="D408" t="s">
        <v>1203</v>
      </c>
    </row>
    <row r="409" spans="1:4">
      <c r="A409" t="s">
        <v>1202</v>
      </c>
      <c r="B409" t="str">
        <f>IF('02_Warehouse_Locations'!A408="","",'02_Warehouse_Locations'!A408)</f>
        <v/>
      </c>
      <c r="C409" t="str">
        <f t="shared" si="6"/>
        <v/>
      </c>
      <c r="D409" t="s">
        <v>1203</v>
      </c>
    </row>
    <row r="410" spans="1:4">
      <c r="A410" t="s">
        <v>1202</v>
      </c>
      <c r="B410" t="str">
        <f>IF('02_Warehouse_Locations'!A409="","",'02_Warehouse_Locations'!A409)</f>
        <v/>
      </c>
      <c r="C410" t="str">
        <f t="shared" si="6"/>
        <v/>
      </c>
      <c r="D410" t="s">
        <v>1203</v>
      </c>
    </row>
    <row r="411" spans="1:4">
      <c r="A411" t="s">
        <v>1202</v>
      </c>
      <c r="B411" t="str">
        <f>IF('02_Warehouse_Locations'!A410="","",'02_Warehouse_Locations'!A410)</f>
        <v/>
      </c>
      <c r="C411" t="str">
        <f t="shared" si="6"/>
        <v/>
      </c>
      <c r="D411" t="s">
        <v>1203</v>
      </c>
    </row>
    <row r="412" spans="1:4">
      <c r="A412" t="s">
        <v>1202</v>
      </c>
      <c r="B412" t="str">
        <f>IF('02_Warehouse_Locations'!A411="","",'02_Warehouse_Locations'!A411)</f>
        <v/>
      </c>
      <c r="C412" t="str">
        <f t="shared" si="6"/>
        <v/>
      </c>
      <c r="D412" t="s">
        <v>1203</v>
      </c>
    </row>
    <row r="413" spans="1:4">
      <c r="A413" t="s">
        <v>1202</v>
      </c>
      <c r="B413" t="str">
        <f>IF('02_Warehouse_Locations'!A412="","",'02_Warehouse_Locations'!A412)</f>
        <v/>
      </c>
      <c r="C413" t="str">
        <f t="shared" si="6"/>
        <v/>
      </c>
      <c r="D413" t="s">
        <v>1203</v>
      </c>
    </row>
    <row r="414" spans="1:4">
      <c r="A414" t="s">
        <v>1202</v>
      </c>
      <c r="B414" t="str">
        <f>IF('02_Warehouse_Locations'!A413="","",'02_Warehouse_Locations'!A413)</f>
        <v/>
      </c>
      <c r="C414" t="str">
        <f t="shared" si="6"/>
        <v/>
      </c>
      <c r="D414" t="s">
        <v>1203</v>
      </c>
    </row>
    <row r="415" spans="1:4">
      <c r="A415" t="s">
        <v>1202</v>
      </c>
      <c r="B415" t="str">
        <f>IF('02_Warehouse_Locations'!A414="","",'02_Warehouse_Locations'!A414)</f>
        <v/>
      </c>
      <c r="C415" t="str">
        <f t="shared" si="6"/>
        <v/>
      </c>
      <c r="D415" t="s">
        <v>1203</v>
      </c>
    </row>
    <row r="416" spans="1:4">
      <c r="A416" t="s">
        <v>1202</v>
      </c>
      <c r="B416" t="str">
        <f>IF('02_Warehouse_Locations'!A415="","",'02_Warehouse_Locations'!A415)</f>
        <v/>
      </c>
      <c r="C416" t="str">
        <f t="shared" si="6"/>
        <v/>
      </c>
      <c r="D416" t="s">
        <v>1203</v>
      </c>
    </row>
    <row r="417" spans="1:4">
      <c r="A417" t="s">
        <v>1202</v>
      </c>
      <c r="B417" t="str">
        <f>IF('02_Warehouse_Locations'!A416="","",'02_Warehouse_Locations'!A416)</f>
        <v/>
      </c>
      <c r="C417" t="str">
        <f t="shared" si="6"/>
        <v/>
      </c>
      <c r="D417" t="s">
        <v>1203</v>
      </c>
    </row>
    <row r="418" spans="1:4">
      <c r="A418" t="s">
        <v>1202</v>
      </c>
      <c r="B418" t="str">
        <f>IF('02_Warehouse_Locations'!A417="","",'02_Warehouse_Locations'!A417)</f>
        <v/>
      </c>
      <c r="C418" t="str">
        <f t="shared" si="6"/>
        <v/>
      </c>
      <c r="D418" t="s">
        <v>1203</v>
      </c>
    </row>
    <row r="419" spans="1:4">
      <c r="A419" t="s">
        <v>1202</v>
      </c>
      <c r="B419" t="str">
        <f>IF('02_Warehouse_Locations'!A418="","",'02_Warehouse_Locations'!A418)</f>
        <v/>
      </c>
      <c r="C419" t="str">
        <f t="shared" si="6"/>
        <v/>
      </c>
      <c r="D419" t="s">
        <v>1203</v>
      </c>
    </row>
    <row r="420" spans="1:4">
      <c r="A420" t="s">
        <v>1202</v>
      </c>
      <c r="B420" t="str">
        <f>IF('02_Warehouse_Locations'!A419="","",'02_Warehouse_Locations'!A419)</f>
        <v/>
      </c>
      <c r="C420" t="str">
        <f t="shared" si="6"/>
        <v/>
      </c>
      <c r="D420" t="s">
        <v>1203</v>
      </c>
    </row>
    <row r="421" spans="1:4">
      <c r="A421" t="s">
        <v>1202</v>
      </c>
      <c r="B421" t="str">
        <f>IF('02_Warehouse_Locations'!A420="","",'02_Warehouse_Locations'!A420)</f>
        <v/>
      </c>
      <c r="C421" t="str">
        <f t="shared" si="6"/>
        <v/>
      </c>
      <c r="D421" t="s">
        <v>1203</v>
      </c>
    </row>
    <row r="422" spans="1:4">
      <c r="A422" t="s">
        <v>1202</v>
      </c>
      <c r="B422" t="str">
        <f>IF('02_Warehouse_Locations'!A421="","",'02_Warehouse_Locations'!A421)</f>
        <v/>
      </c>
      <c r="C422" t="str">
        <f t="shared" si="6"/>
        <v/>
      </c>
      <c r="D422" t="s">
        <v>1203</v>
      </c>
    </row>
    <row r="423" spans="1:4">
      <c r="A423" t="s">
        <v>1202</v>
      </c>
      <c r="B423" t="str">
        <f>IF('02_Warehouse_Locations'!A422="","",'02_Warehouse_Locations'!A422)</f>
        <v/>
      </c>
      <c r="C423" t="str">
        <f t="shared" si="6"/>
        <v/>
      </c>
      <c r="D423" t="s">
        <v>1203</v>
      </c>
    </row>
    <row r="424" spans="1:4">
      <c r="A424" t="s">
        <v>1202</v>
      </c>
      <c r="B424" t="str">
        <f>IF('02_Warehouse_Locations'!A423="","",'02_Warehouse_Locations'!A423)</f>
        <v/>
      </c>
      <c r="C424" t="str">
        <f t="shared" si="6"/>
        <v/>
      </c>
      <c r="D424" t="s">
        <v>1203</v>
      </c>
    </row>
    <row r="425" spans="1:4">
      <c r="A425" t="s">
        <v>1202</v>
      </c>
      <c r="B425" t="str">
        <f>IF('02_Warehouse_Locations'!A424="","",'02_Warehouse_Locations'!A424)</f>
        <v/>
      </c>
      <c r="C425" t="str">
        <f t="shared" si="6"/>
        <v/>
      </c>
      <c r="D425" t="s">
        <v>1203</v>
      </c>
    </row>
    <row r="426" spans="1:4">
      <c r="A426" t="s">
        <v>1202</v>
      </c>
      <c r="B426" t="str">
        <f>IF('02_Warehouse_Locations'!A425="","",'02_Warehouse_Locations'!A425)</f>
        <v/>
      </c>
      <c r="C426" t="str">
        <f t="shared" si="6"/>
        <v/>
      </c>
      <c r="D426" t="s">
        <v>1203</v>
      </c>
    </row>
    <row r="427" spans="1:4">
      <c r="A427" t="s">
        <v>1202</v>
      </c>
      <c r="B427" t="str">
        <f>IF('02_Warehouse_Locations'!A426="","",'02_Warehouse_Locations'!A426)</f>
        <v/>
      </c>
      <c r="C427" t="str">
        <f t="shared" si="6"/>
        <v/>
      </c>
      <c r="D427" t="s">
        <v>1203</v>
      </c>
    </row>
    <row r="428" spans="1:4">
      <c r="A428" t="s">
        <v>1202</v>
      </c>
      <c r="B428" t="str">
        <f>IF('02_Warehouse_Locations'!A427="","",'02_Warehouse_Locations'!A427)</f>
        <v/>
      </c>
      <c r="C428" t="str">
        <f t="shared" si="6"/>
        <v/>
      </c>
      <c r="D428" t="s">
        <v>1203</v>
      </c>
    </row>
    <row r="429" spans="1:4">
      <c r="A429" t="s">
        <v>1202</v>
      </c>
      <c r="B429" t="str">
        <f>IF('02_Warehouse_Locations'!A428="","",'02_Warehouse_Locations'!A428)</f>
        <v/>
      </c>
      <c r="C429" t="str">
        <f t="shared" si="6"/>
        <v/>
      </c>
      <c r="D429" t="s">
        <v>1203</v>
      </c>
    </row>
    <row r="430" spans="1:4">
      <c r="A430" t="s">
        <v>1202</v>
      </c>
      <c r="B430" t="str">
        <f>IF('02_Warehouse_Locations'!A429="","",'02_Warehouse_Locations'!A429)</f>
        <v/>
      </c>
      <c r="C430" t="str">
        <f t="shared" si="6"/>
        <v/>
      </c>
      <c r="D430" t="s">
        <v>1203</v>
      </c>
    </row>
    <row r="431" spans="1:4">
      <c r="A431" t="s">
        <v>1202</v>
      </c>
      <c r="B431" t="str">
        <f>IF('02_Warehouse_Locations'!A430="","",'02_Warehouse_Locations'!A430)</f>
        <v/>
      </c>
      <c r="C431" t="str">
        <f t="shared" si="6"/>
        <v/>
      </c>
      <c r="D431" t="s">
        <v>1203</v>
      </c>
    </row>
    <row r="432" spans="1:4">
      <c r="A432" t="s">
        <v>1202</v>
      </c>
      <c r="B432" t="str">
        <f>IF('02_Warehouse_Locations'!A431="","",'02_Warehouse_Locations'!A431)</f>
        <v/>
      </c>
      <c r="C432" t="str">
        <f t="shared" si="6"/>
        <v/>
      </c>
      <c r="D432" t="s">
        <v>1203</v>
      </c>
    </row>
    <row r="433" spans="1:4">
      <c r="A433" t="s">
        <v>1202</v>
      </c>
      <c r="B433" t="str">
        <f>IF('02_Warehouse_Locations'!A432="","",'02_Warehouse_Locations'!A432)</f>
        <v/>
      </c>
      <c r="C433" t="str">
        <f t="shared" si="6"/>
        <v/>
      </c>
      <c r="D433" t="s">
        <v>1203</v>
      </c>
    </row>
    <row r="434" spans="1:4">
      <c r="A434" t="s">
        <v>1202</v>
      </c>
      <c r="B434" t="str">
        <f>IF('02_Warehouse_Locations'!A433="","",'02_Warehouse_Locations'!A433)</f>
        <v/>
      </c>
      <c r="C434" t="str">
        <f t="shared" si="6"/>
        <v/>
      </c>
      <c r="D434" t="s">
        <v>1203</v>
      </c>
    </row>
    <row r="435" spans="1:4">
      <c r="A435" t="s">
        <v>1202</v>
      </c>
      <c r="B435" t="str">
        <f>IF('02_Warehouse_Locations'!A434="","",'02_Warehouse_Locations'!A434)</f>
        <v/>
      </c>
      <c r="C435" t="str">
        <f t="shared" si="6"/>
        <v/>
      </c>
      <c r="D435" t="s">
        <v>1203</v>
      </c>
    </row>
    <row r="436" spans="1:4">
      <c r="A436" t="s">
        <v>1202</v>
      </c>
      <c r="B436" t="str">
        <f>IF('02_Warehouse_Locations'!A435="","",'02_Warehouse_Locations'!A435)</f>
        <v/>
      </c>
      <c r="C436" t="str">
        <f t="shared" si="6"/>
        <v/>
      </c>
      <c r="D436" t="s">
        <v>1203</v>
      </c>
    </row>
    <row r="437" spans="1:4">
      <c r="A437" t="s">
        <v>1202</v>
      </c>
      <c r="B437" t="str">
        <f>IF('02_Warehouse_Locations'!A436="","",'02_Warehouse_Locations'!A436)</f>
        <v/>
      </c>
      <c r="C437" t="str">
        <f t="shared" si="6"/>
        <v/>
      </c>
      <c r="D437" t="s">
        <v>1203</v>
      </c>
    </row>
    <row r="438" spans="1:4">
      <c r="A438" t="s">
        <v>1202</v>
      </c>
      <c r="B438" t="str">
        <f>IF('02_Warehouse_Locations'!A437="","",'02_Warehouse_Locations'!A437)</f>
        <v/>
      </c>
      <c r="C438" t="str">
        <f t="shared" si="6"/>
        <v/>
      </c>
      <c r="D438" t="s">
        <v>1203</v>
      </c>
    </row>
    <row r="439" spans="1:4">
      <c r="A439" t="s">
        <v>1202</v>
      </c>
      <c r="B439" t="str">
        <f>IF('02_Warehouse_Locations'!A438="","",'02_Warehouse_Locations'!A438)</f>
        <v/>
      </c>
      <c r="C439" t="str">
        <f t="shared" si="6"/>
        <v/>
      </c>
      <c r="D439" t="s">
        <v>1203</v>
      </c>
    </row>
    <row r="440" spans="1:4">
      <c r="A440" t="s">
        <v>1202</v>
      </c>
      <c r="B440" t="str">
        <f>IF('02_Warehouse_Locations'!A439="","",'02_Warehouse_Locations'!A439)</f>
        <v/>
      </c>
      <c r="C440" t="str">
        <f t="shared" si="6"/>
        <v/>
      </c>
      <c r="D440" t="s">
        <v>1203</v>
      </c>
    </row>
    <row r="441" spans="1:4">
      <c r="A441" t="s">
        <v>1202</v>
      </c>
      <c r="B441" t="str">
        <f>IF('02_Warehouse_Locations'!A440="","",'02_Warehouse_Locations'!A440)</f>
        <v/>
      </c>
      <c r="C441" t="str">
        <f t="shared" si="6"/>
        <v/>
      </c>
      <c r="D441" t="s">
        <v>1203</v>
      </c>
    </row>
    <row r="442" spans="1:4">
      <c r="A442" t="s">
        <v>1202</v>
      </c>
      <c r="B442" t="str">
        <f>IF('02_Warehouse_Locations'!A441="","",'02_Warehouse_Locations'!A441)</f>
        <v/>
      </c>
      <c r="C442" t="str">
        <f t="shared" si="6"/>
        <v/>
      </c>
      <c r="D442" t="s">
        <v>1203</v>
      </c>
    </row>
    <row r="443" spans="1:4">
      <c r="A443" t="s">
        <v>1202</v>
      </c>
      <c r="B443" t="str">
        <f>IF('02_Warehouse_Locations'!A442="","",'02_Warehouse_Locations'!A442)</f>
        <v/>
      </c>
      <c r="C443" t="str">
        <f t="shared" si="6"/>
        <v/>
      </c>
      <c r="D443" t="s">
        <v>1203</v>
      </c>
    </row>
    <row r="444" spans="1:4">
      <c r="A444" t="s">
        <v>1202</v>
      </c>
      <c r="B444" t="str">
        <f>IF('02_Warehouse_Locations'!A443="","",'02_Warehouse_Locations'!A443)</f>
        <v/>
      </c>
      <c r="C444" t="str">
        <f t="shared" si="6"/>
        <v/>
      </c>
      <c r="D444" t="s">
        <v>1203</v>
      </c>
    </row>
    <row r="445" spans="1:4">
      <c r="A445" t="s">
        <v>1202</v>
      </c>
      <c r="B445" t="str">
        <f>IF('02_Warehouse_Locations'!A444="","",'02_Warehouse_Locations'!A444)</f>
        <v/>
      </c>
      <c r="C445" t="str">
        <f t="shared" si="6"/>
        <v/>
      </c>
      <c r="D445" t="s">
        <v>1203</v>
      </c>
    </row>
    <row r="446" spans="1:4">
      <c r="A446" t="s">
        <v>1202</v>
      </c>
      <c r="B446" t="str">
        <f>IF('02_Warehouse_Locations'!A445="","",'02_Warehouse_Locations'!A445)</f>
        <v/>
      </c>
      <c r="C446" t="str">
        <f t="shared" si="6"/>
        <v/>
      </c>
      <c r="D446" t="s">
        <v>1203</v>
      </c>
    </row>
    <row r="447" spans="1:4">
      <c r="A447" t="s">
        <v>1202</v>
      </c>
      <c r="B447" t="str">
        <f>IF('02_Warehouse_Locations'!A446="","",'02_Warehouse_Locations'!A446)</f>
        <v/>
      </c>
      <c r="C447" t="str">
        <f t="shared" si="6"/>
        <v/>
      </c>
      <c r="D447" t="s">
        <v>1203</v>
      </c>
    </row>
    <row r="448" spans="1:4">
      <c r="A448" t="s">
        <v>1202</v>
      </c>
      <c r="B448" t="str">
        <f>IF('02_Warehouse_Locations'!A447="","",'02_Warehouse_Locations'!A447)</f>
        <v/>
      </c>
      <c r="C448" t="str">
        <f t="shared" si="6"/>
        <v/>
      </c>
      <c r="D448" t="s">
        <v>1203</v>
      </c>
    </row>
    <row r="449" spans="1:4">
      <c r="A449" t="s">
        <v>1202</v>
      </c>
      <c r="B449" t="str">
        <f>IF('02_Warehouse_Locations'!A448="","",'02_Warehouse_Locations'!A448)</f>
        <v/>
      </c>
      <c r="C449" t="str">
        <f t="shared" si="6"/>
        <v/>
      </c>
      <c r="D449" t="s">
        <v>1203</v>
      </c>
    </row>
    <row r="450" spans="1:4">
      <c r="A450" t="s">
        <v>1202</v>
      </c>
      <c r="B450" t="str">
        <f>IF('02_Warehouse_Locations'!A449="","",'02_Warehouse_Locations'!A449)</f>
        <v/>
      </c>
      <c r="C450" t="str">
        <f t="shared" si="6"/>
        <v/>
      </c>
      <c r="D450" t="s">
        <v>1203</v>
      </c>
    </row>
    <row r="451" spans="1:4">
      <c r="A451" t="s">
        <v>1202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1203</v>
      </c>
    </row>
    <row r="452" spans="1:4">
      <c r="A452" t="s">
        <v>1202</v>
      </c>
      <c r="B452" t="str">
        <f>IF('02_Warehouse_Locations'!A451="","",'02_Warehouse_Locations'!A451)</f>
        <v/>
      </c>
      <c r="C452" t="str">
        <f t="shared" si="7"/>
        <v/>
      </c>
      <c r="D452" t="s">
        <v>1203</v>
      </c>
    </row>
    <row r="453" spans="1:4">
      <c r="A453" t="s">
        <v>1202</v>
      </c>
      <c r="B453" t="str">
        <f>IF('02_Warehouse_Locations'!A452="","",'02_Warehouse_Locations'!A452)</f>
        <v/>
      </c>
      <c r="C453" t="str">
        <f t="shared" si="7"/>
        <v/>
      </c>
      <c r="D453" t="s">
        <v>1203</v>
      </c>
    </row>
    <row r="454" spans="1:4">
      <c r="A454" t="s">
        <v>1202</v>
      </c>
      <c r="B454" t="str">
        <f>IF('02_Warehouse_Locations'!A453="","",'02_Warehouse_Locations'!A453)</f>
        <v/>
      </c>
      <c r="C454" t="str">
        <f t="shared" si="7"/>
        <v/>
      </c>
      <c r="D454" t="s">
        <v>1203</v>
      </c>
    </row>
    <row r="455" spans="1:4">
      <c r="A455" t="s">
        <v>1202</v>
      </c>
      <c r="B455" t="str">
        <f>IF('02_Warehouse_Locations'!A454="","",'02_Warehouse_Locations'!A454)</f>
        <v/>
      </c>
      <c r="C455" t="str">
        <f t="shared" si="7"/>
        <v/>
      </c>
      <c r="D455" t="s">
        <v>1203</v>
      </c>
    </row>
    <row r="456" spans="1:4">
      <c r="A456" t="s">
        <v>1202</v>
      </c>
      <c r="B456" t="str">
        <f>IF('02_Warehouse_Locations'!A455="","",'02_Warehouse_Locations'!A455)</f>
        <v/>
      </c>
      <c r="C456" t="str">
        <f t="shared" si="7"/>
        <v/>
      </c>
      <c r="D456" t="s">
        <v>1203</v>
      </c>
    </row>
    <row r="457" spans="1:4">
      <c r="A457" t="s">
        <v>1202</v>
      </c>
      <c r="B457" t="str">
        <f>IF('02_Warehouse_Locations'!A456="","",'02_Warehouse_Locations'!A456)</f>
        <v/>
      </c>
      <c r="C457" t="str">
        <f t="shared" si="7"/>
        <v/>
      </c>
      <c r="D457" t="s">
        <v>1203</v>
      </c>
    </row>
    <row r="458" spans="1:4">
      <c r="A458" t="s">
        <v>1202</v>
      </c>
      <c r="B458" t="str">
        <f>IF('02_Warehouse_Locations'!A457="","",'02_Warehouse_Locations'!A457)</f>
        <v/>
      </c>
      <c r="C458" t="str">
        <f t="shared" si="7"/>
        <v/>
      </c>
      <c r="D458" t="s">
        <v>1203</v>
      </c>
    </row>
    <row r="459" spans="1:4">
      <c r="A459" t="s">
        <v>1202</v>
      </c>
      <c r="B459" t="str">
        <f>IF('02_Warehouse_Locations'!A458="","",'02_Warehouse_Locations'!A458)</f>
        <v/>
      </c>
      <c r="C459" t="str">
        <f t="shared" si="7"/>
        <v/>
      </c>
      <c r="D459" t="s">
        <v>1203</v>
      </c>
    </row>
    <row r="460" spans="1:4">
      <c r="A460" t="s">
        <v>1202</v>
      </c>
      <c r="B460" t="str">
        <f>IF('02_Warehouse_Locations'!A459="","",'02_Warehouse_Locations'!A459)</f>
        <v/>
      </c>
      <c r="C460" t="str">
        <f t="shared" si="7"/>
        <v/>
      </c>
      <c r="D460" t="s">
        <v>1203</v>
      </c>
    </row>
    <row r="461" spans="1:4">
      <c r="A461" t="s">
        <v>1202</v>
      </c>
      <c r="B461" t="str">
        <f>IF('02_Warehouse_Locations'!A460="","",'02_Warehouse_Locations'!A460)</f>
        <v/>
      </c>
      <c r="C461" t="str">
        <f t="shared" si="7"/>
        <v/>
      </c>
      <c r="D461" t="s">
        <v>1203</v>
      </c>
    </row>
    <row r="462" spans="1:4">
      <c r="A462" t="s">
        <v>1202</v>
      </c>
      <c r="B462" t="str">
        <f>IF('02_Warehouse_Locations'!A461="","",'02_Warehouse_Locations'!A461)</f>
        <v/>
      </c>
      <c r="C462" t="str">
        <f t="shared" si="7"/>
        <v/>
      </c>
      <c r="D462" t="s">
        <v>1203</v>
      </c>
    </row>
    <row r="463" spans="1:4">
      <c r="A463" t="s">
        <v>1202</v>
      </c>
      <c r="B463" t="str">
        <f>IF('02_Warehouse_Locations'!A462="","",'02_Warehouse_Locations'!A462)</f>
        <v/>
      </c>
      <c r="C463" t="str">
        <f t="shared" si="7"/>
        <v/>
      </c>
      <c r="D463" t="s">
        <v>1203</v>
      </c>
    </row>
    <row r="464" spans="1:4">
      <c r="A464" t="s">
        <v>1202</v>
      </c>
      <c r="B464" t="str">
        <f>IF('02_Warehouse_Locations'!A463="","",'02_Warehouse_Locations'!A463)</f>
        <v/>
      </c>
      <c r="C464" t="str">
        <f t="shared" si="7"/>
        <v/>
      </c>
      <c r="D464" t="s">
        <v>1203</v>
      </c>
    </row>
    <row r="465" spans="1:4">
      <c r="A465" t="s">
        <v>1202</v>
      </c>
      <c r="B465" t="str">
        <f>IF('02_Warehouse_Locations'!A464="","",'02_Warehouse_Locations'!A464)</f>
        <v/>
      </c>
      <c r="C465" t="str">
        <f t="shared" si="7"/>
        <v/>
      </c>
      <c r="D465" t="s">
        <v>1203</v>
      </c>
    </row>
    <row r="466" spans="1:4">
      <c r="A466" t="s">
        <v>1202</v>
      </c>
      <c r="B466" t="str">
        <f>IF('02_Warehouse_Locations'!A465="","",'02_Warehouse_Locations'!A465)</f>
        <v/>
      </c>
      <c r="C466" t="str">
        <f t="shared" si="7"/>
        <v/>
      </c>
      <c r="D466" t="s">
        <v>1203</v>
      </c>
    </row>
    <row r="467" spans="1:4">
      <c r="A467" t="s">
        <v>1202</v>
      </c>
      <c r="B467" t="str">
        <f>IF('02_Warehouse_Locations'!A466="","",'02_Warehouse_Locations'!A466)</f>
        <v/>
      </c>
      <c r="C467" t="str">
        <f t="shared" si="7"/>
        <v/>
      </c>
      <c r="D467" t="s">
        <v>1203</v>
      </c>
    </row>
    <row r="468" spans="1:4">
      <c r="A468" t="s">
        <v>1202</v>
      </c>
      <c r="B468" t="str">
        <f>IF('02_Warehouse_Locations'!A467="","",'02_Warehouse_Locations'!A467)</f>
        <v/>
      </c>
      <c r="C468" t="str">
        <f t="shared" si="7"/>
        <v/>
      </c>
      <c r="D468" t="s">
        <v>1203</v>
      </c>
    </row>
    <row r="469" spans="1:4">
      <c r="A469" t="s">
        <v>1202</v>
      </c>
      <c r="B469" t="str">
        <f>IF('02_Warehouse_Locations'!A468="","",'02_Warehouse_Locations'!A468)</f>
        <v/>
      </c>
      <c r="C469" t="str">
        <f t="shared" si="7"/>
        <v/>
      </c>
      <c r="D469" t="s">
        <v>1203</v>
      </c>
    </row>
    <row r="470" spans="1:4">
      <c r="A470" t="s">
        <v>1202</v>
      </c>
      <c r="B470" t="str">
        <f>IF('02_Warehouse_Locations'!A469="","",'02_Warehouse_Locations'!A469)</f>
        <v/>
      </c>
      <c r="C470" t="str">
        <f t="shared" si="7"/>
        <v/>
      </c>
      <c r="D470" t="s">
        <v>1203</v>
      </c>
    </row>
    <row r="471" spans="1:4">
      <c r="A471" t="s">
        <v>1202</v>
      </c>
      <c r="B471" t="str">
        <f>IF('02_Warehouse_Locations'!A470="","",'02_Warehouse_Locations'!A470)</f>
        <v/>
      </c>
      <c r="C471" t="str">
        <f t="shared" si="7"/>
        <v/>
      </c>
      <c r="D471" t="s">
        <v>1203</v>
      </c>
    </row>
    <row r="472" spans="1:4">
      <c r="A472" t="s">
        <v>1202</v>
      </c>
      <c r="B472" t="str">
        <f>IF('02_Warehouse_Locations'!A471="","",'02_Warehouse_Locations'!A471)</f>
        <v/>
      </c>
      <c r="C472" t="str">
        <f t="shared" si="7"/>
        <v/>
      </c>
      <c r="D472" t="s">
        <v>1203</v>
      </c>
    </row>
    <row r="473" spans="1:4">
      <c r="A473" t="s">
        <v>1202</v>
      </c>
      <c r="B473" t="str">
        <f>IF('02_Warehouse_Locations'!A472="","",'02_Warehouse_Locations'!A472)</f>
        <v/>
      </c>
      <c r="C473" t="str">
        <f t="shared" si="7"/>
        <v/>
      </c>
      <c r="D473" t="s">
        <v>1203</v>
      </c>
    </row>
    <row r="474" spans="1:4">
      <c r="A474" t="s">
        <v>1202</v>
      </c>
      <c r="B474" t="str">
        <f>IF('02_Warehouse_Locations'!A473="","",'02_Warehouse_Locations'!A473)</f>
        <v/>
      </c>
      <c r="C474" t="str">
        <f t="shared" si="7"/>
        <v/>
      </c>
      <c r="D474" t="s">
        <v>1203</v>
      </c>
    </row>
    <row r="475" spans="1:4">
      <c r="A475" t="s">
        <v>1202</v>
      </c>
      <c r="B475" t="str">
        <f>IF('02_Warehouse_Locations'!A474="","",'02_Warehouse_Locations'!A474)</f>
        <v/>
      </c>
      <c r="C475" t="str">
        <f t="shared" si="7"/>
        <v/>
      </c>
      <c r="D475" t="s">
        <v>1203</v>
      </c>
    </row>
    <row r="476" spans="1:4">
      <c r="A476" t="s">
        <v>1202</v>
      </c>
      <c r="B476" t="str">
        <f>IF('02_Warehouse_Locations'!A475="","",'02_Warehouse_Locations'!A475)</f>
        <v/>
      </c>
      <c r="C476" t="str">
        <f t="shared" si="7"/>
        <v/>
      </c>
      <c r="D476" t="s">
        <v>1203</v>
      </c>
    </row>
    <row r="477" spans="1:4">
      <c r="A477" t="s">
        <v>1202</v>
      </c>
      <c r="B477" t="str">
        <f>IF('02_Warehouse_Locations'!A476="","",'02_Warehouse_Locations'!A476)</f>
        <v/>
      </c>
      <c r="C477" t="str">
        <f t="shared" si="7"/>
        <v/>
      </c>
      <c r="D477" t="s">
        <v>1203</v>
      </c>
    </row>
    <row r="478" spans="1:4">
      <c r="A478" t="s">
        <v>1202</v>
      </c>
      <c r="B478" t="str">
        <f>IF('02_Warehouse_Locations'!A477="","",'02_Warehouse_Locations'!A477)</f>
        <v/>
      </c>
      <c r="C478" t="str">
        <f t="shared" si="7"/>
        <v/>
      </c>
      <c r="D478" t="s">
        <v>1203</v>
      </c>
    </row>
    <row r="479" spans="1:4">
      <c r="A479" t="s">
        <v>1202</v>
      </c>
      <c r="B479" t="str">
        <f>IF('02_Warehouse_Locations'!A478="","",'02_Warehouse_Locations'!A478)</f>
        <v/>
      </c>
      <c r="C479" t="str">
        <f t="shared" si="7"/>
        <v/>
      </c>
      <c r="D479" t="s">
        <v>1203</v>
      </c>
    </row>
    <row r="480" spans="1:4">
      <c r="A480" t="s">
        <v>1202</v>
      </c>
      <c r="B480" t="str">
        <f>IF('02_Warehouse_Locations'!A479="","",'02_Warehouse_Locations'!A479)</f>
        <v/>
      </c>
      <c r="C480" t="str">
        <f t="shared" si="7"/>
        <v/>
      </c>
      <c r="D480" t="s">
        <v>1203</v>
      </c>
    </row>
    <row r="481" spans="1:4">
      <c r="A481" t="s">
        <v>1202</v>
      </c>
      <c r="B481" t="str">
        <f>IF('02_Warehouse_Locations'!A480="","",'02_Warehouse_Locations'!A480)</f>
        <v/>
      </c>
      <c r="C481" t="str">
        <f t="shared" si="7"/>
        <v/>
      </c>
      <c r="D481" t="s">
        <v>1203</v>
      </c>
    </row>
    <row r="482" spans="1:4">
      <c r="A482" t="s">
        <v>1202</v>
      </c>
      <c r="B482" t="str">
        <f>IF('02_Warehouse_Locations'!A481="","",'02_Warehouse_Locations'!A481)</f>
        <v/>
      </c>
      <c r="C482" t="str">
        <f t="shared" si="7"/>
        <v/>
      </c>
      <c r="D482" t="s">
        <v>1203</v>
      </c>
    </row>
    <row r="483" spans="1:4">
      <c r="A483" t="s">
        <v>1202</v>
      </c>
      <c r="B483" t="str">
        <f>IF('02_Warehouse_Locations'!A482="","",'02_Warehouse_Locations'!A482)</f>
        <v/>
      </c>
      <c r="C483" t="str">
        <f t="shared" si="7"/>
        <v/>
      </c>
      <c r="D483" t="s">
        <v>1203</v>
      </c>
    </row>
    <row r="484" spans="1:4">
      <c r="A484" t="s">
        <v>1202</v>
      </c>
      <c r="B484" t="str">
        <f>IF('02_Warehouse_Locations'!A483="","",'02_Warehouse_Locations'!A483)</f>
        <v/>
      </c>
      <c r="C484" t="str">
        <f t="shared" si="7"/>
        <v/>
      </c>
      <c r="D484" t="s">
        <v>1203</v>
      </c>
    </row>
    <row r="485" spans="1:4">
      <c r="A485" t="s">
        <v>1202</v>
      </c>
      <c r="B485" t="str">
        <f>IF('02_Warehouse_Locations'!A484="","",'02_Warehouse_Locations'!A484)</f>
        <v/>
      </c>
      <c r="C485" t="str">
        <f t="shared" si="7"/>
        <v/>
      </c>
      <c r="D485" t="s">
        <v>1203</v>
      </c>
    </row>
    <row r="486" spans="1:4">
      <c r="A486" t="s">
        <v>1202</v>
      </c>
      <c r="B486" t="str">
        <f>IF('02_Warehouse_Locations'!A485="","",'02_Warehouse_Locations'!A485)</f>
        <v/>
      </c>
      <c r="C486" t="str">
        <f t="shared" si="7"/>
        <v/>
      </c>
      <c r="D486" t="s">
        <v>1203</v>
      </c>
    </row>
    <row r="487" spans="1:4">
      <c r="A487" t="s">
        <v>1202</v>
      </c>
      <c r="B487" t="str">
        <f>IF('02_Warehouse_Locations'!A486="","",'02_Warehouse_Locations'!A486)</f>
        <v/>
      </c>
      <c r="C487" t="str">
        <f t="shared" si="7"/>
        <v/>
      </c>
      <c r="D487" t="s">
        <v>1203</v>
      </c>
    </row>
    <row r="488" spans="1:4">
      <c r="A488" t="s">
        <v>1202</v>
      </c>
      <c r="B488" t="str">
        <f>IF('02_Warehouse_Locations'!A487="","",'02_Warehouse_Locations'!A487)</f>
        <v/>
      </c>
      <c r="C488" t="str">
        <f t="shared" si="7"/>
        <v/>
      </c>
      <c r="D488" t="s">
        <v>1203</v>
      </c>
    </row>
    <row r="489" spans="1:4">
      <c r="A489" t="s">
        <v>1202</v>
      </c>
      <c r="B489" t="str">
        <f>IF('02_Warehouse_Locations'!A488="","",'02_Warehouse_Locations'!A488)</f>
        <v/>
      </c>
      <c r="C489" t="str">
        <f t="shared" si="7"/>
        <v/>
      </c>
      <c r="D489" t="s">
        <v>1203</v>
      </c>
    </row>
    <row r="490" spans="1:4">
      <c r="A490" t="s">
        <v>1202</v>
      </c>
      <c r="B490" t="str">
        <f>IF('02_Warehouse_Locations'!A489="","",'02_Warehouse_Locations'!A489)</f>
        <v/>
      </c>
      <c r="C490" t="str">
        <f t="shared" si="7"/>
        <v/>
      </c>
      <c r="D490" t="s">
        <v>1203</v>
      </c>
    </row>
    <row r="491" spans="1:4">
      <c r="A491" t="s">
        <v>1202</v>
      </c>
      <c r="B491" t="str">
        <f>IF('02_Warehouse_Locations'!A490="","",'02_Warehouse_Locations'!A490)</f>
        <v/>
      </c>
      <c r="C491" t="str">
        <f t="shared" si="7"/>
        <v/>
      </c>
      <c r="D491" t="s">
        <v>1203</v>
      </c>
    </row>
    <row r="492" spans="1:4">
      <c r="A492" t="s">
        <v>1202</v>
      </c>
      <c r="B492" t="str">
        <f>IF('02_Warehouse_Locations'!A491="","",'02_Warehouse_Locations'!A491)</f>
        <v/>
      </c>
      <c r="C492" t="str">
        <f t="shared" si="7"/>
        <v/>
      </c>
      <c r="D492" t="s">
        <v>1203</v>
      </c>
    </row>
    <row r="493" spans="1:4">
      <c r="A493" t="s">
        <v>1202</v>
      </c>
      <c r="B493" t="str">
        <f>IF('02_Warehouse_Locations'!A492="","",'02_Warehouse_Locations'!A492)</f>
        <v/>
      </c>
      <c r="C493" t="str">
        <f t="shared" si="7"/>
        <v/>
      </c>
      <c r="D493" t="s">
        <v>1203</v>
      </c>
    </row>
    <row r="494" spans="1:4">
      <c r="A494" t="s">
        <v>1202</v>
      </c>
      <c r="B494" t="str">
        <f>IF('02_Warehouse_Locations'!A493="","",'02_Warehouse_Locations'!A493)</f>
        <v/>
      </c>
      <c r="C494" t="str">
        <f t="shared" si="7"/>
        <v/>
      </c>
      <c r="D494" t="s">
        <v>1203</v>
      </c>
    </row>
    <row r="495" spans="1:4">
      <c r="A495" t="s">
        <v>1202</v>
      </c>
      <c r="B495" t="str">
        <f>IF('02_Warehouse_Locations'!A494="","",'02_Warehouse_Locations'!A494)</f>
        <v/>
      </c>
      <c r="C495" t="str">
        <f t="shared" si="7"/>
        <v/>
      </c>
      <c r="D495" t="s">
        <v>1203</v>
      </c>
    </row>
    <row r="496" spans="1:4">
      <c r="A496" t="s">
        <v>1202</v>
      </c>
      <c r="B496" t="str">
        <f>IF('02_Warehouse_Locations'!A495="","",'02_Warehouse_Locations'!A495)</f>
        <v/>
      </c>
      <c r="C496" t="str">
        <f t="shared" si="7"/>
        <v/>
      </c>
      <c r="D496" t="s">
        <v>1203</v>
      </c>
    </row>
    <row r="497" spans="1:4">
      <c r="A497" t="s">
        <v>1202</v>
      </c>
      <c r="B497" t="str">
        <f>IF('02_Warehouse_Locations'!A496="","",'02_Warehouse_Locations'!A496)</f>
        <v/>
      </c>
      <c r="C497" t="str">
        <f t="shared" si="7"/>
        <v/>
      </c>
      <c r="D497" t="s">
        <v>1203</v>
      </c>
    </row>
    <row r="498" spans="1:4">
      <c r="A498" t="s">
        <v>1202</v>
      </c>
      <c r="B498" t="str">
        <f>IF('02_Warehouse_Locations'!A497="","",'02_Warehouse_Locations'!A497)</f>
        <v/>
      </c>
      <c r="C498" t="str">
        <f t="shared" si="7"/>
        <v/>
      </c>
      <c r="D498" t="s">
        <v>1203</v>
      </c>
    </row>
    <row r="499" spans="1:4">
      <c r="A499" t="s">
        <v>1202</v>
      </c>
      <c r="B499" t="str">
        <f>IF('02_Warehouse_Locations'!A498="","",'02_Warehouse_Locations'!A498)</f>
        <v/>
      </c>
      <c r="C499" t="str">
        <f t="shared" si="7"/>
        <v/>
      </c>
      <c r="D499" t="s">
        <v>1203</v>
      </c>
    </row>
    <row r="500" spans="1:4">
      <c r="A500" t="s">
        <v>1202</v>
      </c>
      <c r="B500" t="str">
        <f>IF('02_Warehouse_Locations'!A499="","",'02_Warehouse_Locations'!A499)</f>
        <v/>
      </c>
      <c r="C500" t="str">
        <f t="shared" si="7"/>
        <v/>
      </c>
      <c r="D500" t="s">
        <v>1203</v>
      </c>
    </row>
    <row r="501" spans="1:4">
      <c r="A501" t="s">
        <v>1202</v>
      </c>
      <c r="B501" t="str">
        <f>IF('02_Warehouse_Locations'!A500="","",'02_Warehouse_Locations'!A500)</f>
        <v/>
      </c>
      <c r="C501" t="str">
        <f t="shared" si="7"/>
        <v/>
      </c>
      <c r="D501" t="s">
        <v>1203</v>
      </c>
    </row>
    <row r="502" spans="1:4">
      <c r="A502" t="s">
        <v>1202</v>
      </c>
      <c r="B502" t="str">
        <f>IF('02_Warehouse_Locations'!A501="","",'02_Warehouse_Locations'!A501)</f>
        <v/>
      </c>
      <c r="C502" t="str">
        <f t="shared" si="7"/>
        <v/>
      </c>
      <c r="D502" t="s">
        <v>1203</v>
      </c>
    </row>
    <row r="505" spans="1:4">
      <c r="A505" s="29" t="s">
        <v>1204</v>
      </c>
    </row>
    <row r="506" spans="1:4">
      <c r="A506" t="s">
        <v>1205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1206</v>
      </c>
    </row>
    <row r="507" spans="1:4">
      <c r="A507" t="s">
        <v>1205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1206</v>
      </c>
    </row>
    <row r="508" spans="1:4">
      <c r="A508" t="s">
        <v>1205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1206</v>
      </c>
    </row>
    <row r="509" spans="1:4">
      <c r="A509" t="s">
        <v>1205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1206</v>
      </c>
    </row>
    <row r="510" spans="1:4">
      <c r="A510" t="s">
        <v>1205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1206</v>
      </c>
    </row>
    <row r="511" spans="1:4">
      <c r="A511" t="s">
        <v>1205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1206</v>
      </c>
    </row>
    <row r="512" spans="1:4">
      <c r="A512" t="s">
        <v>1205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1206</v>
      </c>
    </row>
    <row r="513" spans="1:4">
      <c r="A513" t="s">
        <v>1205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1206</v>
      </c>
    </row>
    <row r="514" spans="1:4">
      <c r="A514" t="s">
        <v>1205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1206</v>
      </c>
    </row>
    <row r="515" spans="1:4">
      <c r="A515" t="s">
        <v>1205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1206</v>
      </c>
    </row>
    <row r="516" spans="1:4">
      <c r="A516" t="s">
        <v>1205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1206</v>
      </c>
    </row>
    <row r="517" spans="1:4">
      <c r="A517" t="s">
        <v>1205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1206</v>
      </c>
    </row>
    <row r="518" spans="1:4">
      <c r="A518" t="s">
        <v>1205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1206</v>
      </c>
    </row>
    <row r="519" spans="1:4">
      <c r="A519" t="s">
        <v>1205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1206</v>
      </c>
    </row>
    <row r="520" spans="1:4">
      <c r="A520" t="s">
        <v>1205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1206</v>
      </c>
    </row>
    <row r="521" spans="1:4">
      <c r="A521" t="s">
        <v>1205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1206</v>
      </c>
    </row>
    <row r="522" spans="1:4">
      <c r="A522" t="s">
        <v>1205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1206</v>
      </c>
    </row>
    <row r="523" spans="1:4">
      <c r="A523" t="s">
        <v>1205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1206</v>
      </c>
    </row>
    <row r="524" spans="1:4">
      <c r="A524" t="s">
        <v>1205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1206</v>
      </c>
    </row>
    <row r="525" spans="1:4">
      <c r="A525" t="s">
        <v>1205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1206</v>
      </c>
    </row>
    <row r="526" spans="1:4">
      <c r="A526" t="s">
        <v>1205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1206</v>
      </c>
    </row>
    <row r="527" spans="1:4">
      <c r="A527" t="s">
        <v>1205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1206</v>
      </c>
    </row>
    <row r="528" spans="1:4">
      <c r="A528" t="s">
        <v>1205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1206</v>
      </c>
    </row>
    <row r="529" spans="1:4">
      <c r="A529" t="s">
        <v>1205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1206</v>
      </c>
    </row>
    <row r="530" spans="1:4">
      <c r="A530" t="s">
        <v>1205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1206</v>
      </c>
    </row>
    <row r="531" spans="1:4">
      <c r="A531" t="s">
        <v>1205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1206</v>
      </c>
    </row>
    <row r="532" spans="1:4">
      <c r="A532" t="s">
        <v>1205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1206</v>
      </c>
    </row>
    <row r="533" spans="1:4">
      <c r="A533" t="s">
        <v>1205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1206</v>
      </c>
    </row>
    <row r="534" spans="1:4">
      <c r="A534" t="s">
        <v>1205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1206</v>
      </c>
    </row>
    <row r="535" spans="1:4">
      <c r="A535" t="s">
        <v>1205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1206</v>
      </c>
    </row>
    <row r="536" spans="1:4">
      <c r="A536" t="s">
        <v>1205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1206</v>
      </c>
    </row>
    <row r="537" spans="1:4">
      <c r="A537" t="s">
        <v>1205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1206</v>
      </c>
    </row>
    <row r="538" spans="1:4">
      <c r="A538" t="s">
        <v>1205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1206</v>
      </c>
    </row>
    <row r="539" spans="1:4">
      <c r="A539" t="s">
        <v>1205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1206</v>
      </c>
    </row>
    <row r="540" spans="1:4">
      <c r="A540" t="s">
        <v>1205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1206</v>
      </c>
    </row>
    <row r="541" spans="1:4">
      <c r="A541" t="s">
        <v>1205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1206</v>
      </c>
    </row>
    <row r="542" spans="1:4">
      <c r="A542" t="s">
        <v>1205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1206</v>
      </c>
    </row>
    <row r="543" spans="1:4">
      <c r="A543" t="s">
        <v>1205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1206</v>
      </c>
    </row>
    <row r="544" spans="1:4">
      <c r="A544" t="s">
        <v>1205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1206</v>
      </c>
    </row>
    <row r="545" spans="1:4">
      <c r="A545" t="s">
        <v>1205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1206</v>
      </c>
    </row>
    <row r="546" spans="1:4">
      <c r="A546" t="s">
        <v>1205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1206</v>
      </c>
    </row>
    <row r="547" spans="1:4">
      <c r="A547" t="s">
        <v>1205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1206</v>
      </c>
    </row>
    <row r="548" spans="1:4">
      <c r="A548" t="s">
        <v>1205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1206</v>
      </c>
    </row>
    <row r="549" spans="1:4">
      <c r="A549" t="s">
        <v>1205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1206</v>
      </c>
    </row>
    <row r="550" spans="1:4">
      <c r="A550" t="s">
        <v>1205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1206</v>
      </c>
    </row>
    <row r="551" spans="1:4">
      <c r="A551" t="s">
        <v>1205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1206</v>
      </c>
    </row>
    <row r="552" spans="1:4">
      <c r="A552" t="s">
        <v>1205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1206</v>
      </c>
    </row>
    <row r="553" spans="1:4">
      <c r="A553" t="s">
        <v>1205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1206</v>
      </c>
    </row>
    <row r="554" spans="1:4">
      <c r="A554" t="s">
        <v>1205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1206</v>
      </c>
    </row>
    <row r="555" spans="1:4">
      <c r="A555" t="s">
        <v>1205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1206</v>
      </c>
    </row>
    <row r="556" spans="1:4">
      <c r="A556" t="s">
        <v>1205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1206</v>
      </c>
    </row>
    <row r="557" spans="1:4">
      <c r="A557" t="s">
        <v>1205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1206</v>
      </c>
    </row>
    <row r="558" spans="1:4">
      <c r="A558" t="s">
        <v>1205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1206</v>
      </c>
    </row>
    <row r="559" spans="1:4">
      <c r="A559" t="s">
        <v>1205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1206</v>
      </c>
    </row>
    <row r="560" spans="1:4">
      <c r="A560" t="s">
        <v>1205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1206</v>
      </c>
    </row>
    <row r="561" spans="1:4">
      <c r="A561" t="s">
        <v>1205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1206</v>
      </c>
    </row>
    <row r="562" spans="1:4">
      <c r="A562" t="s">
        <v>1205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1206</v>
      </c>
    </row>
    <row r="563" spans="1:4">
      <c r="A563" t="s">
        <v>1205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1206</v>
      </c>
    </row>
    <row r="564" spans="1:4">
      <c r="A564" t="s">
        <v>1205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1206</v>
      </c>
    </row>
    <row r="565" spans="1:4">
      <c r="A565" t="s">
        <v>1205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1206</v>
      </c>
    </row>
    <row r="566" spans="1:4">
      <c r="A566" t="s">
        <v>1205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1206</v>
      </c>
    </row>
    <row r="567" spans="1:4">
      <c r="A567" t="s">
        <v>1205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1206</v>
      </c>
    </row>
    <row r="568" spans="1:4">
      <c r="A568" t="s">
        <v>1205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1206</v>
      </c>
    </row>
    <row r="569" spans="1:4">
      <c r="A569" t="s">
        <v>1205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1206</v>
      </c>
    </row>
    <row r="570" spans="1:4">
      <c r="A570" t="s">
        <v>1205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1206</v>
      </c>
    </row>
    <row r="571" spans="1:4">
      <c r="A571" t="s">
        <v>1205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1206</v>
      </c>
    </row>
    <row r="572" spans="1:4">
      <c r="A572" t="s">
        <v>1205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1206</v>
      </c>
    </row>
    <row r="573" spans="1:4">
      <c r="A573" t="s">
        <v>1205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1206</v>
      </c>
    </row>
    <row r="574" spans="1:4">
      <c r="A574" t="s">
        <v>1205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1206</v>
      </c>
    </row>
    <row r="575" spans="1:4">
      <c r="A575" t="s">
        <v>1205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1206</v>
      </c>
    </row>
    <row r="576" spans="1:4">
      <c r="A576" t="s">
        <v>1205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1206</v>
      </c>
    </row>
    <row r="577" spans="1:4">
      <c r="A577" t="s">
        <v>1205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1206</v>
      </c>
    </row>
    <row r="578" spans="1:4">
      <c r="A578" t="s">
        <v>1205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1206</v>
      </c>
    </row>
    <row r="579" spans="1:4">
      <c r="A579" t="s">
        <v>1205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1206</v>
      </c>
    </row>
    <row r="580" spans="1:4">
      <c r="A580" t="s">
        <v>1205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1206</v>
      </c>
    </row>
    <row r="581" spans="1:4">
      <c r="A581" t="s">
        <v>1205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1206</v>
      </c>
    </row>
    <row r="582" spans="1:4">
      <c r="A582" t="s">
        <v>1205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1206</v>
      </c>
    </row>
    <row r="583" spans="1:4">
      <c r="A583" t="s">
        <v>1205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1206</v>
      </c>
    </row>
    <row r="584" spans="1:4">
      <c r="A584" t="s">
        <v>1205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1206</v>
      </c>
    </row>
    <row r="585" spans="1:4">
      <c r="A585" t="s">
        <v>1205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1206</v>
      </c>
    </row>
    <row r="586" spans="1:4">
      <c r="A586" t="s">
        <v>1205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1206</v>
      </c>
    </row>
    <row r="587" spans="1:4">
      <c r="A587" t="s">
        <v>1205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1206</v>
      </c>
    </row>
    <row r="588" spans="1:4">
      <c r="A588" t="s">
        <v>1205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1206</v>
      </c>
    </row>
    <row r="589" spans="1:4">
      <c r="A589" t="s">
        <v>1205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1206</v>
      </c>
    </row>
    <row r="590" spans="1:4">
      <c r="A590" t="s">
        <v>1205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1206</v>
      </c>
    </row>
    <row r="591" spans="1:4">
      <c r="A591" t="s">
        <v>1205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1206</v>
      </c>
    </row>
    <row r="592" spans="1:4">
      <c r="A592" t="s">
        <v>1205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1206</v>
      </c>
    </row>
    <row r="593" spans="1:4">
      <c r="A593" t="s">
        <v>1205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1206</v>
      </c>
    </row>
    <row r="594" spans="1:4">
      <c r="A594" t="s">
        <v>1205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1206</v>
      </c>
    </row>
    <row r="595" spans="1:4">
      <c r="A595" t="s">
        <v>1205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1206</v>
      </c>
    </row>
    <row r="596" spans="1:4">
      <c r="A596" t="s">
        <v>1205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1206</v>
      </c>
    </row>
    <row r="597" spans="1:4">
      <c r="A597" t="s">
        <v>1205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1206</v>
      </c>
    </row>
    <row r="598" spans="1:4">
      <c r="A598" t="s">
        <v>1205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1206</v>
      </c>
    </row>
    <row r="599" spans="1:4">
      <c r="A599" t="s">
        <v>1205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1206</v>
      </c>
    </row>
    <row r="600" spans="1:4">
      <c r="A600" t="s">
        <v>1205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1206</v>
      </c>
    </row>
    <row r="601" spans="1:4">
      <c r="A601" t="s">
        <v>1205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1206</v>
      </c>
    </row>
    <row r="602" spans="1:4">
      <c r="A602" t="s">
        <v>1205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1206</v>
      </c>
    </row>
    <row r="603" spans="1:4">
      <c r="A603" t="s">
        <v>1205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1206</v>
      </c>
    </row>
    <row r="604" spans="1:4">
      <c r="A604" t="s">
        <v>1205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1206</v>
      </c>
    </row>
    <row r="605" spans="1:4">
      <c r="A605" t="s">
        <v>1205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1206</v>
      </c>
    </row>
    <row r="606" spans="1:4">
      <c r="A606" t="s">
        <v>1205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1206</v>
      </c>
    </row>
    <row r="607" spans="1:4">
      <c r="A607" t="s">
        <v>1205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1206</v>
      </c>
    </row>
    <row r="608" spans="1:4">
      <c r="A608" t="s">
        <v>1205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1206</v>
      </c>
    </row>
    <row r="609" spans="1:4">
      <c r="A609" t="s">
        <v>1205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1206</v>
      </c>
    </row>
    <row r="610" spans="1:4">
      <c r="A610" t="s">
        <v>1205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1206</v>
      </c>
    </row>
    <row r="611" spans="1:4">
      <c r="A611" t="s">
        <v>1205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1206</v>
      </c>
    </row>
    <row r="612" spans="1:4">
      <c r="A612" t="s">
        <v>1205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1206</v>
      </c>
    </row>
    <row r="613" spans="1:4">
      <c r="A613" t="s">
        <v>1205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1206</v>
      </c>
    </row>
    <row r="614" spans="1:4">
      <c r="A614" t="s">
        <v>1205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1206</v>
      </c>
    </row>
    <row r="615" spans="1:4">
      <c r="A615" t="s">
        <v>1205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1206</v>
      </c>
    </row>
    <row r="616" spans="1:4">
      <c r="A616" t="s">
        <v>1205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1206</v>
      </c>
    </row>
    <row r="617" spans="1:4">
      <c r="A617" t="s">
        <v>1205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1206</v>
      </c>
    </row>
    <row r="618" spans="1:4">
      <c r="A618" t="s">
        <v>1205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1206</v>
      </c>
    </row>
    <row r="619" spans="1:4">
      <c r="A619" t="s">
        <v>1205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1206</v>
      </c>
    </row>
    <row r="620" spans="1:4">
      <c r="A620" t="s">
        <v>1205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1206</v>
      </c>
    </row>
    <row r="621" spans="1:4">
      <c r="A621" t="s">
        <v>1205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1206</v>
      </c>
    </row>
    <row r="622" spans="1:4">
      <c r="A622" t="s">
        <v>1205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1206</v>
      </c>
    </row>
    <row r="623" spans="1:4">
      <c r="A623" t="s">
        <v>1205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1206</v>
      </c>
    </row>
    <row r="624" spans="1:4">
      <c r="A624" t="s">
        <v>1205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1206</v>
      </c>
    </row>
    <row r="625" spans="1:4">
      <c r="A625" t="s">
        <v>1205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1206</v>
      </c>
    </row>
    <row r="626" spans="1:4">
      <c r="A626" t="s">
        <v>1205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1206</v>
      </c>
    </row>
    <row r="627" spans="1:4">
      <c r="A627" t="s">
        <v>1205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1206</v>
      </c>
    </row>
    <row r="628" spans="1:4">
      <c r="A628" t="s">
        <v>1205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1206</v>
      </c>
    </row>
    <row r="629" spans="1:4">
      <c r="A629" t="s">
        <v>1205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1206</v>
      </c>
    </row>
    <row r="630" spans="1:4">
      <c r="A630" t="s">
        <v>1205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1206</v>
      </c>
    </row>
    <row r="631" spans="1:4">
      <c r="A631" t="s">
        <v>1205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1206</v>
      </c>
    </row>
    <row r="632" spans="1:4">
      <c r="A632" t="s">
        <v>1205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1206</v>
      </c>
    </row>
    <row r="633" spans="1:4">
      <c r="A633" t="s">
        <v>1205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1206</v>
      </c>
    </row>
    <row r="634" spans="1:4">
      <c r="A634" t="s">
        <v>1205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1206</v>
      </c>
    </row>
    <row r="635" spans="1:4">
      <c r="A635" t="s">
        <v>1205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1206</v>
      </c>
    </row>
    <row r="636" spans="1:4">
      <c r="A636" t="s">
        <v>1205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1206</v>
      </c>
    </row>
    <row r="637" spans="1:4">
      <c r="A637" t="s">
        <v>1205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1206</v>
      </c>
    </row>
    <row r="638" spans="1:4">
      <c r="A638" t="s">
        <v>1205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1206</v>
      </c>
    </row>
    <row r="639" spans="1:4">
      <c r="A639" t="s">
        <v>1205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1206</v>
      </c>
    </row>
    <row r="640" spans="1:4">
      <c r="A640" t="s">
        <v>1205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1206</v>
      </c>
    </row>
    <row r="641" spans="1:4">
      <c r="A641" t="s">
        <v>1205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1206</v>
      </c>
    </row>
    <row r="642" spans="1:4">
      <c r="A642" t="s">
        <v>1205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1206</v>
      </c>
    </row>
    <row r="643" spans="1:4">
      <c r="A643" t="s">
        <v>1205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1206</v>
      </c>
    </row>
    <row r="644" spans="1:4">
      <c r="A644" t="s">
        <v>1205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1206</v>
      </c>
    </row>
    <row r="645" spans="1:4">
      <c r="A645" t="s">
        <v>1205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1206</v>
      </c>
    </row>
    <row r="646" spans="1:4">
      <c r="A646" t="s">
        <v>1205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1206</v>
      </c>
    </row>
    <row r="647" spans="1:4">
      <c r="A647" t="s">
        <v>1205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1206</v>
      </c>
    </row>
    <row r="648" spans="1:4">
      <c r="A648" t="s">
        <v>1205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1206</v>
      </c>
    </row>
    <row r="649" spans="1:4">
      <c r="A649" t="s">
        <v>1205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1206</v>
      </c>
    </row>
    <row r="650" spans="1:4">
      <c r="A650" t="s">
        <v>1205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1206</v>
      </c>
    </row>
    <row r="651" spans="1:4">
      <c r="A651" t="s">
        <v>1205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1206</v>
      </c>
    </row>
    <row r="652" spans="1:4">
      <c r="A652" t="s">
        <v>1205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1206</v>
      </c>
    </row>
    <row r="653" spans="1:4">
      <c r="A653" t="s">
        <v>1205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1206</v>
      </c>
    </row>
    <row r="654" spans="1:4">
      <c r="A654" t="s">
        <v>1205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1206</v>
      </c>
    </row>
    <row r="655" spans="1:4">
      <c r="A655" t="s">
        <v>1205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1206</v>
      </c>
    </row>
    <row r="656" spans="1:4">
      <c r="A656" t="s">
        <v>1205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1206</v>
      </c>
    </row>
    <row r="657" spans="1:4">
      <c r="A657" t="s">
        <v>1205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1206</v>
      </c>
    </row>
    <row r="658" spans="1:4">
      <c r="A658" t="s">
        <v>1205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1206</v>
      </c>
    </row>
    <row r="659" spans="1:4">
      <c r="A659" t="s">
        <v>1205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1206</v>
      </c>
    </row>
    <row r="660" spans="1:4">
      <c r="A660" t="s">
        <v>1205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1206</v>
      </c>
    </row>
    <row r="661" spans="1:4">
      <c r="A661" t="s">
        <v>1205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1206</v>
      </c>
    </row>
    <row r="662" spans="1:4">
      <c r="A662" t="s">
        <v>1205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1206</v>
      </c>
    </row>
    <row r="663" spans="1:4">
      <c r="A663" t="s">
        <v>1205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1206</v>
      </c>
    </row>
    <row r="664" spans="1:4">
      <c r="A664" t="s">
        <v>1205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1206</v>
      </c>
    </row>
    <row r="665" spans="1:4">
      <c r="A665" t="s">
        <v>1205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1206</v>
      </c>
    </row>
    <row r="666" spans="1:4">
      <c r="A666" t="s">
        <v>1205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1206</v>
      </c>
    </row>
    <row r="667" spans="1:4">
      <c r="A667" t="s">
        <v>1205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1206</v>
      </c>
    </row>
    <row r="668" spans="1:4">
      <c r="A668" t="s">
        <v>1205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1206</v>
      </c>
    </row>
    <row r="669" spans="1:4">
      <c r="A669" t="s">
        <v>1205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1206</v>
      </c>
    </row>
    <row r="670" spans="1:4">
      <c r="A670" t="s">
        <v>1205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1206</v>
      </c>
    </row>
    <row r="671" spans="1:4">
      <c r="A671" t="s">
        <v>1205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1206</v>
      </c>
    </row>
    <row r="672" spans="1:4">
      <c r="A672" t="s">
        <v>1205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1206</v>
      </c>
    </row>
    <row r="673" spans="1:4">
      <c r="A673" t="s">
        <v>1205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1206</v>
      </c>
    </row>
    <row r="674" spans="1:4">
      <c r="A674" t="s">
        <v>1205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1206</v>
      </c>
    </row>
    <row r="675" spans="1:4">
      <c r="A675" t="s">
        <v>1205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1206</v>
      </c>
    </row>
    <row r="676" spans="1:4">
      <c r="A676" t="s">
        <v>1205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1206</v>
      </c>
    </row>
    <row r="677" spans="1:4">
      <c r="A677" t="s">
        <v>1205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1206</v>
      </c>
    </row>
    <row r="678" spans="1:4">
      <c r="A678" t="s">
        <v>1205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1206</v>
      </c>
    </row>
    <row r="679" spans="1:4">
      <c r="A679" t="s">
        <v>1205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1206</v>
      </c>
    </row>
    <row r="680" spans="1:4">
      <c r="A680" t="s">
        <v>1205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1206</v>
      </c>
    </row>
    <row r="681" spans="1:4">
      <c r="A681" t="s">
        <v>1205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1206</v>
      </c>
    </row>
    <row r="682" spans="1:4">
      <c r="A682" t="s">
        <v>1205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1206</v>
      </c>
    </row>
    <row r="683" spans="1:4">
      <c r="A683" t="s">
        <v>1205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1206</v>
      </c>
    </row>
    <row r="684" spans="1:4">
      <c r="A684" t="s">
        <v>1205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1206</v>
      </c>
    </row>
    <row r="685" spans="1:4">
      <c r="A685" t="s">
        <v>1205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1206</v>
      </c>
    </row>
    <row r="686" spans="1:4">
      <c r="A686" t="s">
        <v>1205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1206</v>
      </c>
    </row>
    <row r="687" spans="1:4">
      <c r="A687" t="s">
        <v>1205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1206</v>
      </c>
    </row>
    <row r="688" spans="1:4">
      <c r="A688" t="s">
        <v>1205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1206</v>
      </c>
    </row>
    <row r="689" spans="1:4">
      <c r="A689" t="s">
        <v>1205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1206</v>
      </c>
    </row>
    <row r="690" spans="1:4">
      <c r="A690" t="s">
        <v>1205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1206</v>
      </c>
    </row>
    <row r="691" spans="1:4">
      <c r="A691" t="s">
        <v>1205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1206</v>
      </c>
    </row>
    <row r="692" spans="1:4">
      <c r="A692" t="s">
        <v>1205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1206</v>
      </c>
    </row>
    <row r="693" spans="1:4">
      <c r="A693" t="s">
        <v>1205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1206</v>
      </c>
    </row>
    <row r="694" spans="1:4">
      <c r="A694" t="s">
        <v>1205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1206</v>
      </c>
    </row>
    <row r="695" spans="1:4">
      <c r="A695" t="s">
        <v>1205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1206</v>
      </c>
    </row>
    <row r="696" spans="1:4">
      <c r="A696" t="s">
        <v>1205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1206</v>
      </c>
    </row>
    <row r="697" spans="1:4">
      <c r="A697" t="s">
        <v>1205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1206</v>
      </c>
    </row>
    <row r="698" spans="1:4">
      <c r="A698" t="s">
        <v>1205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1206</v>
      </c>
    </row>
    <row r="699" spans="1:4">
      <c r="A699" t="s">
        <v>1205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1206</v>
      </c>
    </row>
    <row r="700" spans="1:4">
      <c r="A700" t="s">
        <v>1205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1206</v>
      </c>
    </row>
    <row r="701" spans="1:4">
      <c r="A701" t="s">
        <v>1205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1206</v>
      </c>
    </row>
    <row r="702" spans="1:4">
      <c r="A702" t="s">
        <v>1205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1206</v>
      </c>
    </row>
    <row r="703" spans="1:4">
      <c r="A703" t="s">
        <v>1205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1206</v>
      </c>
    </row>
    <row r="704" spans="1:4">
      <c r="A704" t="s">
        <v>1205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1206</v>
      </c>
    </row>
    <row r="705" spans="1:4">
      <c r="A705" t="s">
        <v>1205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1206</v>
      </c>
    </row>
    <row r="706" spans="1:4">
      <c r="A706" t="s">
        <v>1205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1206</v>
      </c>
    </row>
    <row r="707" spans="1:4">
      <c r="A707" t="s">
        <v>1205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1206</v>
      </c>
    </row>
    <row r="708" spans="1:4">
      <c r="A708" t="s">
        <v>1205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1206</v>
      </c>
    </row>
    <row r="709" spans="1:4">
      <c r="A709" t="s">
        <v>1205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1206</v>
      </c>
    </row>
    <row r="710" spans="1:4">
      <c r="A710" t="s">
        <v>1205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1206</v>
      </c>
    </row>
    <row r="711" spans="1:4">
      <c r="A711" t="s">
        <v>1205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1206</v>
      </c>
    </row>
    <row r="712" spans="1:4">
      <c r="A712" t="s">
        <v>1205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1206</v>
      </c>
    </row>
    <row r="713" spans="1:4">
      <c r="A713" t="s">
        <v>1205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1206</v>
      </c>
    </row>
    <row r="714" spans="1:4">
      <c r="A714" t="s">
        <v>1205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1206</v>
      </c>
    </row>
    <row r="715" spans="1:4">
      <c r="A715" t="s">
        <v>1205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1206</v>
      </c>
    </row>
    <row r="716" spans="1:4">
      <c r="A716" t="s">
        <v>1205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1206</v>
      </c>
    </row>
    <row r="717" spans="1:4">
      <c r="A717" t="s">
        <v>1205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1206</v>
      </c>
    </row>
    <row r="718" spans="1:4">
      <c r="A718" t="s">
        <v>1205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1206</v>
      </c>
    </row>
    <row r="719" spans="1:4">
      <c r="A719" t="s">
        <v>1205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1206</v>
      </c>
    </row>
    <row r="720" spans="1:4">
      <c r="A720" t="s">
        <v>1205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1206</v>
      </c>
    </row>
    <row r="721" spans="1:4">
      <c r="A721" t="s">
        <v>1205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1206</v>
      </c>
    </row>
    <row r="722" spans="1:4">
      <c r="A722" t="s">
        <v>1205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1206</v>
      </c>
    </row>
    <row r="723" spans="1:4">
      <c r="A723" t="s">
        <v>1205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1206</v>
      </c>
    </row>
    <row r="724" spans="1:4">
      <c r="A724" t="s">
        <v>1205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1206</v>
      </c>
    </row>
    <row r="725" spans="1:4">
      <c r="A725" t="s">
        <v>1205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1206</v>
      </c>
    </row>
    <row r="726" spans="1:4">
      <c r="A726" t="s">
        <v>1205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1206</v>
      </c>
    </row>
    <row r="727" spans="1:4">
      <c r="A727" t="s">
        <v>1205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1206</v>
      </c>
    </row>
    <row r="728" spans="1:4">
      <c r="A728" t="s">
        <v>1205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1206</v>
      </c>
    </row>
    <row r="729" spans="1:4">
      <c r="A729" t="s">
        <v>1205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1206</v>
      </c>
    </row>
    <row r="730" spans="1:4">
      <c r="A730" t="s">
        <v>1205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1206</v>
      </c>
    </row>
    <row r="731" spans="1:4">
      <c r="A731" t="s">
        <v>1205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1206</v>
      </c>
    </row>
    <row r="732" spans="1:4">
      <c r="A732" t="s">
        <v>1205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1206</v>
      </c>
    </row>
    <row r="733" spans="1:4">
      <c r="A733" t="s">
        <v>1205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1206</v>
      </c>
    </row>
    <row r="734" spans="1:4">
      <c r="A734" t="s">
        <v>1205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1206</v>
      </c>
    </row>
    <row r="735" spans="1:4">
      <c r="A735" t="s">
        <v>1205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1206</v>
      </c>
    </row>
    <row r="736" spans="1:4">
      <c r="A736" t="s">
        <v>1205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1206</v>
      </c>
    </row>
    <row r="737" spans="1:4">
      <c r="A737" t="s">
        <v>1205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1206</v>
      </c>
    </row>
    <row r="738" spans="1:4">
      <c r="A738" t="s">
        <v>1205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1206</v>
      </c>
    </row>
    <row r="739" spans="1:4">
      <c r="A739" t="s">
        <v>1205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1206</v>
      </c>
    </row>
    <row r="740" spans="1:4">
      <c r="A740" t="s">
        <v>1205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1206</v>
      </c>
    </row>
    <row r="741" spans="1:4">
      <c r="A741" t="s">
        <v>1205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1206</v>
      </c>
    </row>
    <row r="742" spans="1:4">
      <c r="A742" t="s">
        <v>1205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1206</v>
      </c>
    </row>
    <row r="743" spans="1:4">
      <c r="A743" t="s">
        <v>1205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1206</v>
      </c>
    </row>
    <row r="744" spans="1:4">
      <c r="A744" t="s">
        <v>1205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1206</v>
      </c>
    </row>
    <row r="745" spans="1:4">
      <c r="A745" t="s">
        <v>1205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1206</v>
      </c>
    </row>
    <row r="746" spans="1:4">
      <c r="A746" t="s">
        <v>1205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1206</v>
      </c>
    </row>
    <row r="747" spans="1:4">
      <c r="A747" t="s">
        <v>1205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1206</v>
      </c>
    </row>
    <row r="748" spans="1:4">
      <c r="A748" t="s">
        <v>1205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1206</v>
      </c>
    </row>
    <row r="749" spans="1:4">
      <c r="A749" t="s">
        <v>1205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1206</v>
      </c>
    </row>
    <row r="750" spans="1:4">
      <c r="A750" t="s">
        <v>1205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1206</v>
      </c>
    </row>
    <row r="751" spans="1:4">
      <c r="A751" t="s">
        <v>1205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1206</v>
      </c>
    </row>
    <row r="752" spans="1:4">
      <c r="A752" t="s">
        <v>1205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1206</v>
      </c>
    </row>
    <row r="753" spans="1:4">
      <c r="A753" t="s">
        <v>1205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1206</v>
      </c>
    </row>
    <row r="754" spans="1:4">
      <c r="A754" t="s">
        <v>1205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1206</v>
      </c>
    </row>
    <row r="755" spans="1:4">
      <c r="A755" t="s">
        <v>1205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1206</v>
      </c>
    </row>
    <row r="756" spans="1:4">
      <c r="A756" t="s">
        <v>1205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1206</v>
      </c>
    </row>
    <row r="757" spans="1:4">
      <c r="A757" t="s">
        <v>1205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1206</v>
      </c>
    </row>
    <row r="758" spans="1:4">
      <c r="A758" t="s">
        <v>1205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1206</v>
      </c>
    </row>
    <row r="759" spans="1:4">
      <c r="A759" t="s">
        <v>1205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1206</v>
      </c>
    </row>
    <row r="760" spans="1:4">
      <c r="A760" t="s">
        <v>1205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1206</v>
      </c>
    </row>
    <row r="761" spans="1:4">
      <c r="A761" t="s">
        <v>1205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1206</v>
      </c>
    </row>
    <row r="762" spans="1:4">
      <c r="A762" t="s">
        <v>1205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1206</v>
      </c>
    </row>
    <row r="763" spans="1:4">
      <c r="A763" t="s">
        <v>1205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1206</v>
      </c>
    </row>
    <row r="764" spans="1:4">
      <c r="A764" t="s">
        <v>1205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1206</v>
      </c>
    </row>
    <row r="765" spans="1:4">
      <c r="A765" t="s">
        <v>1205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1206</v>
      </c>
    </row>
    <row r="766" spans="1:4">
      <c r="A766" t="s">
        <v>1205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1206</v>
      </c>
    </row>
    <row r="767" spans="1:4">
      <c r="A767" t="s">
        <v>1205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1206</v>
      </c>
    </row>
    <row r="768" spans="1:4">
      <c r="A768" t="s">
        <v>1205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1206</v>
      </c>
    </row>
    <row r="769" spans="1:4">
      <c r="A769" t="s">
        <v>1205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1206</v>
      </c>
    </row>
    <row r="770" spans="1:4">
      <c r="A770" t="s">
        <v>1205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1206</v>
      </c>
    </row>
    <row r="771" spans="1:4">
      <c r="A771" t="s">
        <v>1205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1206</v>
      </c>
    </row>
    <row r="772" spans="1:4">
      <c r="A772" t="s">
        <v>1205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1206</v>
      </c>
    </row>
    <row r="773" spans="1:4">
      <c r="A773" t="s">
        <v>1205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1206</v>
      </c>
    </row>
    <row r="774" spans="1:4">
      <c r="A774" t="s">
        <v>1205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1206</v>
      </c>
    </row>
    <row r="775" spans="1:4">
      <c r="A775" t="s">
        <v>1205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1206</v>
      </c>
    </row>
    <row r="776" spans="1:4">
      <c r="A776" t="s">
        <v>1205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1206</v>
      </c>
    </row>
    <row r="777" spans="1:4">
      <c r="A777" t="s">
        <v>1205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1206</v>
      </c>
    </row>
    <row r="778" spans="1:4">
      <c r="A778" t="s">
        <v>1205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1206</v>
      </c>
    </row>
    <row r="779" spans="1:4">
      <c r="A779" t="s">
        <v>1205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1206</v>
      </c>
    </row>
    <row r="780" spans="1:4">
      <c r="A780" t="s">
        <v>1205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1206</v>
      </c>
    </row>
    <row r="781" spans="1:4">
      <c r="A781" t="s">
        <v>1205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1206</v>
      </c>
    </row>
    <row r="782" spans="1:4">
      <c r="A782" t="s">
        <v>1205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1206</v>
      </c>
    </row>
    <row r="783" spans="1:4">
      <c r="A783" t="s">
        <v>1205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1206</v>
      </c>
    </row>
    <row r="784" spans="1:4">
      <c r="A784" t="s">
        <v>1205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1206</v>
      </c>
    </row>
    <row r="785" spans="1:4">
      <c r="A785" t="s">
        <v>1205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1206</v>
      </c>
    </row>
    <row r="786" spans="1:4">
      <c r="A786" t="s">
        <v>1205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1206</v>
      </c>
    </row>
    <row r="787" spans="1:4">
      <c r="A787" t="s">
        <v>1205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1206</v>
      </c>
    </row>
    <row r="788" spans="1:4">
      <c r="A788" t="s">
        <v>1205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1206</v>
      </c>
    </row>
    <row r="789" spans="1:4">
      <c r="A789" t="s">
        <v>1205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1206</v>
      </c>
    </row>
    <row r="790" spans="1:4">
      <c r="A790" t="s">
        <v>1205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1206</v>
      </c>
    </row>
    <row r="791" spans="1:4">
      <c r="A791" t="s">
        <v>1205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1206</v>
      </c>
    </row>
    <row r="792" spans="1:4">
      <c r="A792" t="s">
        <v>1205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1206</v>
      </c>
    </row>
    <row r="793" spans="1:4">
      <c r="A793" t="s">
        <v>1205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1206</v>
      </c>
    </row>
    <row r="794" spans="1:4">
      <c r="A794" t="s">
        <v>1205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1206</v>
      </c>
    </row>
    <row r="795" spans="1:4">
      <c r="A795" t="s">
        <v>1205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1206</v>
      </c>
    </row>
    <row r="796" spans="1:4">
      <c r="A796" t="s">
        <v>1205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1206</v>
      </c>
    </row>
    <row r="797" spans="1:4">
      <c r="A797" t="s">
        <v>1205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1206</v>
      </c>
    </row>
    <row r="798" spans="1:4">
      <c r="A798" t="s">
        <v>1205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1206</v>
      </c>
    </row>
    <row r="799" spans="1:4">
      <c r="A799" t="s">
        <v>1205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1206</v>
      </c>
    </row>
    <row r="800" spans="1:4">
      <c r="A800" t="s">
        <v>1205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1206</v>
      </c>
    </row>
    <row r="801" spans="1:4">
      <c r="A801" t="s">
        <v>1205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1206</v>
      </c>
    </row>
    <row r="802" spans="1:4">
      <c r="A802" t="s">
        <v>1205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1206</v>
      </c>
    </row>
    <row r="803" spans="1:4">
      <c r="A803" t="s">
        <v>1205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1206</v>
      </c>
    </row>
    <row r="804" spans="1:4">
      <c r="A804" t="s">
        <v>1205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1206</v>
      </c>
    </row>
    <row r="805" spans="1:4">
      <c r="A805" t="s">
        <v>1205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1206</v>
      </c>
    </row>
    <row r="806" spans="1:4">
      <c r="A806" t="s">
        <v>1205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1206</v>
      </c>
    </row>
    <row r="807" spans="1:4">
      <c r="A807" t="s">
        <v>1205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1206</v>
      </c>
    </row>
    <row r="808" spans="1:4">
      <c r="A808" t="s">
        <v>1205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1206</v>
      </c>
    </row>
    <row r="809" spans="1:4">
      <c r="A809" t="s">
        <v>1205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1206</v>
      </c>
    </row>
    <row r="810" spans="1:4">
      <c r="A810" t="s">
        <v>1205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1206</v>
      </c>
    </row>
    <row r="811" spans="1:4">
      <c r="A811" t="s">
        <v>1205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1206</v>
      </c>
    </row>
    <row r="812" spans="1:4">
      <c r="A812" t="s">
        <v>1205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1206</v>
      </c>
    </row>
    <row r="813" spans="1:4">
      <c r="A813" t="s">
        <v>1205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1206</v>
      </c>
    </row>
    <row r="814" spans="1:4">
      <c r="A814" t="s">
        <v>1205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1206</v>
      </c>
    </row>
    <row r="815" spans="1:4">
      <c r="A815" t="s">
        <v>1205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1206</v>
      </c>
    </row>
    <row r="816" spans="1:4">
      <c r="A816" t="s">
        <v>1205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1206</v>
      </c>
    </row>
    <row r="817" spans="1:4">
      <c r="A817" t="s">
        <v>1205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1206</v>
      </c>
    </row>
    <row r="818" spans="1:4">
      <c r="A818" t="s">
        <v>1205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1206</v>
      </c>
    </row>
    <row r="819" spans="1:4">
      <c r="A819" t="s">
        <v>1205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1206</v>
      </c>
    </row>
    <row r="820" spans="1:4">
      <c r="A820" t="s">
        <v>1205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1206</v>
      </c>
    </row>
    <row r="821" spans="1:4">
      <c r="A821" t="s">
        <v>1205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1206</v>
      </c>
    </row>
    <row r="822" spans="1:4">
      <c r="A822" t="s">
        <v>1205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1206</v>
      </c>
    </row>
    <row r="823" spans="1:4">
      <c r="A823" t="s">
        <v>1205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1206</v>
      </c>
    </row>
    <row r="824" spans="1:4">
      <c r="A824" t="s">
        <v>1205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1206</v>
      </c>
    </row>
    <row r="825" spans="1:4">
      <c r="A825" t="s">
        <v>1205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1206</v>
      </c>
    </row>
    <row r="826" spans="1:4">
      <c r="A826" t="s">
        <v>1205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1206</v>
      </c>
    </row>
    <row r="827" spans="1:4">
      <c r="A827" t="s">
        <v>1205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1206</v>
      </c>
    </row>
    <row r="828" spans="1:4">
      <c r="A828" t="s">
        <v>1205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1206</v>
      </c>
    </row>
    <row r="829" spans="1:4">
      <c r="A829" t="s">
        <v>1205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1206</v>
      </c>
    </row>
    <row r="830" spans="1:4">
      <c r="A830" t="s">
        <v>1205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1206</v>
      </c>
    </row>
    <row r="831" spans="1:4">
      <c r="A831" t="s">
        <v>1205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1206</v>
      </c>
    </row>
    <row r="832" spans="1:4">
      <c r="A832" t="s">
        <v>1205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1206</v>
      </c>
    </row>
    <row r="833" spans="1:4">
      <c r="A833" t="s">
        <v>1205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1206</v>
      </c>
    </row>
    <row r="834" spans="1:4">
      <c r="A834" t="s">
        <v>1205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1206</v>
      </c>
    </row>
    <row r="835" spans="1:4">
      <c r="A835" t="s">
        <v>1205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1206</v>
      </c>
    </row>
    <row r="836" spans="1:4">
      <c r="A836" t="s">
        <v>1205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1206</v>
      </c>
    </row>
    <row r="837" spans="1:4">
      <c r="A837" t="s">
        <v>1205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1206</v>
      </c>
    </row>
    <row r="838" spans="1:4">
      <c r="A838" t="s">
        <v>1205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1206</v>
      </c>
    </row>
    <row r="839" spans="1:4">
      <c r="A839" t="s">
        <v>1205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1206</v>
      </c>
    </row>
    <row r="840" spans="1:4">
      <c r="A840" t="s">
        <v>1205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1206</v>
      </c>
    </row>
    <row r="841" spans="1:4">
      <c r="A841" t="s">
        <v>1205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1206</v>
      </c>
    </row>
    <row r="842" spans="1:4">
      <c r="A842" t="s">
        <v>1205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1206</v>
      </c>
    </row>
    <row r="843" spans="1:4">
      <c r="A843" t="s">
        <v>1205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1206</v>
      </c>
    </row>
    <row r="844" spans="1:4">
      <c r="A844" t="s">
        <v>1205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1206</v>
      </c>
    </row>
    <row r="845" spans="1:4">
      <c r="A845" t="s">
        <v>1205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1206</v>
      </c>
    </row>
    <row r="846" spans="1:4">
      <c r="A846" t="s">
        <v>1205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1206</v>
      </c>
    </row>
    <row r="847" spans="1:4">
      <c r="A847" t="s">
        <v>1205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1206</v>
      </c>
    </row>
    <row r="848" spans="1:4">
      <c r="A848" t="s">
        <v>1205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1206</v>
      </c>
    </row>
    <row r="849" spans="1:4">
      <c r="A849" t="s">
        <v>1205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1206</v>
      </c>
    </row>
    <row r="850" spans="1:4">
      <c r="A850" t="s">
        <v>1205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1206</v>
      </c>
    </row>
    <row r="851" spans="1:4">
      <c r="A851" t="s">
        <v>1205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1206</v>
      </c>
    </row>
    <row r="852" spans="1:4">
      <c r="A852" t="s">
        <v>1205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1206</v>
      </c>
    </row>
    <row r="853" spans="1:4">
      <c r="A853" t="s">
        <v>1205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1206</v>
      </c>
    </row>
    <row r="854" spans="1:4">
      <c r="A854" t="s">
        <v>1205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1206</v>
      </c>
    </row>
    <row r="855" spans="1:4">
      <c r="A855" t="s">
        <v>1205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1206</v>
      </c>
    </row>
    <row r="856" spans="1:4">
      <c r="A856" t="s">
        <v>1205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1206</v>
      </c>
    </row>
    <row r="857" spans="1:4">
      <c r="A857" t="s">
        <v>1205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1206</v>
      </c>
    </row>
    <row r="858" spans="1:4">
      <c r="A858" t="s">
        <v>1205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1206</v>
      </c>
    </row>
    <row r="859" spans="1:4">
      <c r="A859" t="s">
        <v>1205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1206</v>
      </c>
    </row>
    <row r="860" spans="1:4">
      <c r="A860" t="s">
        <v>1205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1206</v>
      </c>
    </row>
    <row r="861" spans="1:4">
      <c r="A861" t="s">
        <v>1205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1206</v>
      </c>
    </row>
    <row r="862" spans="1:4">
      <c r="A862" t="s">
        <v>1205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1206</v>
      </c>
    </row>
    <row r="863" spans="1:4">
      <c r="A863" t="s">
        <v>1205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1206</v>
      </c>
    </row>
    <row r="864" spans="1:4">
      <c r="A864" t="s">
        <v>1205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1206</v>
      </c>
    </row>
    <row r="865" spans="1:4">
      <c r="A865" t="s">
        <v>1205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1206</v>
      </c>
    </row>
    <row r="866" spans="1:4">
      <c r="A866" t="s">
        <v>1205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1206</v>
      </c>
    </row>
    <row r="867" spans="1:4">
      <c r="A867" t="s">
        <v>1205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1206</v>
      </c>
    </row>
    <row r="868" spans="1:4">
      <c r="A868" t="s">
        <v>1205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1206</v>
      </c>
    </row>
    <row r="869" spans="1:4">
      <c r="A869" t="s">
        <v>1205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1206</v>
      </c>
    </row>
    <row r="870" spans="1:4">
      <c r="A870" t="s">
        <v>1205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1206</v>
      </c>
    </row>
    <row r="871" spans="1:4">
      <c r="A871" t="s">
        <v>1205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1206</v>
      </c>
    </row>
    <row r="872" spans="1:4">
      <c r="A872" t="s">
        <v>1205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1206</v>
      </c>
    </row>
    <row r="873" spans="1:4">
      <c r="A873" t="s">
        <v>1205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1206</v>
      </c>
    </row>
    <row r="874" spans="1:4">
      <c r="A874" t="s">
        <v>1205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1206</v>
      </c>
    </row>
    <row r="875" spans="1:4">
      <c r="A875" t="s">
        <v>1205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1206</v>
      </c>
    </row>
    <row r="876" spans="1:4">
      <c r="A876" t="s">
        <v>1205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1206</v>
      </c>
    </row>
    <row r="877" spans="1:4">
      <c r="A877" t="s">
        <v>1205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1206</v>
      </c>
    </row>
    <row r="878" spans="1:4">
      <c r="A878" t="s">
        <v>1205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1206</v>
      </c>
    </row>
    <row r="879" spans="1:4">
      <c r="A879" t="s">
        <v>1205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1206</v>
      </c>
    </row>
    <row r="880" spans="1:4">
      <c r="A880" t="s">
        <v>1205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1206</v>
      </c>
    </row>
    <row r="881" spans="1:4">
      <c r="A881" t="s">
        <v>1205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1206</v>
      </c>
    </row>
    <row r="882" spans="1:4">
      <c r="A882" t="s">
        <v>1205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1206</v>
      </c>
    </row>
    <row r="883" spans="1:4">
      <c r="A883" t="s">
        <v>1205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1206</v>
      </c>
    </row>
    <row r="884" spans="1:4">
      <c r="A884" t="s">
        <v>1205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1206</v>
      </c>
    </row>
    <row r="885" spans="1:4">
      <c r="A885" t="s">
        <v>1205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1206</v>
      </c>
    </row>
    <row r="886" spans="1:4">
      <c r="A886" t="s">
        <v>1205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1206</v>
      </c>
    </row>
    <row r="887" spans="1:4">
      <c r="A887" t="s">
        <v>1205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1206</v>
      </c>
    </row>
    <row r="888" spans="1:4">
      <c r="A888" t="s">
        <v>1205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1206</v>
      </c>
    </row>
    <row r="889" spans="1:4">
      <c r="A889" t="s">
        <v>1205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1206</v>
      </c>
    </row>
    <row r="890" spans="1:4">
      <c r="A890" t="s">
        <v>1205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1206</v>
      </c>
    </row>
    <row r="891" spans="1:4">
      <c r="A891" t="s">
        <v>1205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1206</v>
      </c>
    </row>
    <row r="892" spans="1:4">
      <c r="A892" t="s">
        <v>1205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1206</v>
      </c>
    </row>
    <row r="893" spans="1:4">
      <c r="A893" t="s">
        <v>1205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1206</v>
      </c>
    </row>
    <row r="894" spans="1:4">
      <c r="A894" t="s">
        <v>1205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1206</v>
      </c>
    </row>
    <row r="895" spans="1:4">
      <c r="A895" t="s">
        <v>1205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1206</v>
      </c>
    </row>
    <row r="896" spans="1:4">
      <c r="A896" t="s">
        <v>1205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1206</v>
      </c>
    </row>
    <row r="897" spans="1:4">
      <c r="A897" t="s">
        <v>1205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1206</v>
      </c>
    </row>
    <row r="898" spans="1:4">
      <c r="A898" t="s">
        <v>1205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1206</v>
      </c>
    </row>
    <row r="899" spans="1:4">
      <c r="A899" t="s">
        <v>1205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1206</v>
      </c>
    </row>
    <row r="900" spans="1:4">
      <c r="A900" t="s">
        <v>1205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1206</v>
      </c>
    </row>
    <row r="901" spans="1:4">
      <c r="A901" t="s">
        <v>1205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1206</v>
      </c>
    </row>
    <row r="902" spans="1:4">
      <c r="A902" t="s">
        <v>1205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1206</v>
      </c>
    </row>
    <row r="903" spans="1:4">
      <c r="A903" t="s">
        <v>1205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1206</v>
      </c>
    </row>
    <row r="904" spans="1:4">
      <c r="A904" t="s">
        <v>1205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1206</v>
      </c>
    </row>
    <row r="905" spans="1:4">
      <c r="A905" t="s">
        <v>1205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1206</v>
      </c>
    </row>
    <row r="906" spans="1:4">
      <c r="A906" t="s">
        <v>1205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1206</v>
      </c>
    </row>
    <row r="907" spans="1:4">
      <c r="A907" t="s">
        <v>1205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1206</v>
      </c>
    </row>
    <row r="908" spans="1:4">
      <c r="A908" t="s">
        <v>1205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1206</v>
      </c>
    </row>
    <row r="909" spans="1:4">
      <c r="A909" t="s">
        <v>1205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1206</v>
      </c>
    </row>
    <row r="910" spans="1:4">
      <c r="A910" t="s">
        <v>1205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1206</v>
      </c>
    </row>
    <row r="911" spans="1:4">
      <c r="A911" t="s">
        <v>1205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1206</v>
      </c>
    </row>
    <row r="912" spans="1:4">
      <c r="A912" t="s">
        <v>1205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1206</v>
      </c>
    </row>
    <row r="913" spans="1:4">
      <c r="A913" t="s">
        <v>1205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1206</v>
      </c>
    </row>
    <row r="914" spans="1:4">
      <c r="A914" t="s">
        <v>1205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1206</v>
      </c>
    </row>
    <row r="915" spans="1:4">
      <c r="A915" t="s">
        <v>1205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1206</v>
      </c>
    </row>
    <row r="916" spans="1:4">
      <c r="A916" t="s">
        <v>1205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1206</v>
      </c>
    </row>
    <row r="917" spans="1:4">
      <c r="A917" t="s">
        <v>1205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1206</v>
      </c>
    </row>
    <row r="918" spans="1:4">
      <c r="A918" t="s">
        <v>1205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1206</v>
      </c>
    </row>
    <row r="919" spans="1:4">
      <c r="A919" t="s">
        <v>1205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1206</v>
      </c>
    </row>
    <row r="920" spans="1:4">
      <c r="A920" t="s">
        <v>1205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1206</v>
      </c>
    </row>
    <row r="921" spans="1:4">
      <c r="A921" t="s">
        <v>1205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1206</v>
      </c>
    </row>
    <row r="922" spans="1:4">
      <c r="A922" t="s">
        <v>1205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1206</v>
      </c>
    </row>
    <row r="923" spans="1:4">
      <c r="A923" t="s">
        <v>1205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1206</v>
      </c>
    </row>
    <row r="924" spans="1:4">
      <c r="A924" t="s">
        <v>1205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1206</v>
      </c>
    </row>
    <row r="925" spans="1:4">
      <c r="A925" t="s">
        <v>1205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1206</v>
      </c>
    </row>
    <row r="926" spans="1:4">
      <c r="A926" t="s">
        <v>1205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1206</v>
      </c>
    </row>
    <row r="927" spans="1:4">
      <c r="A927" t="s">
        <v>1205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1206</v>
      </c>
    </row>
    <row r="928" spans="1:4">
      <c r="A928" t="s">
        <v>1205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1206</v>
      </c>
    </row>
    <row r="929" spans="1:4">
      <c r="A929" t="s">
        <v>1205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1206</v>
      </c>
    </row>
    <row r="930" spans="1:4">
      <c r="A930" t="s">
        <v>1205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1206</v>
      </c>
    </row>
    <row r="931" spans="1:4">
      <c r="A931" t="s">
        <v>1205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1206</v>
      </c>
    </row>
    <row r="932" spans="1:4">
      <c r="A932" t="s">
        <v>1205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1206</v>
      </c>
    </row>
    <row r="933" spans="1:4">
      <c r="A933" t="s">
        <v>1205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1206</v>
      </c>
    </row>
    <row r="934" spans="1:4">
      <c r="A934" t="s">
        <v>1205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1206</v>
      </c>
    </row>
    <row r="935" spans="1:4">
      <c r="A935" t="s">
        <v>1205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1206</v>
      </c>
    </row>
    <row r="936" spans="1:4">
      <c r="A936" t="s">
        <v>1205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1206</v>
      </c>
    </row>
    <row r="937" spans="1:4">
      <c r="A937" t="s">
        <v>1205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1206</v>
      </c>
    </row>
    <row r="938" spans="1:4">
      <c r="A938" t="s">
        <v>1205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1206</v>
      </c>
    </row>
    <row r="939" spans="1:4">
      <c r="A939" t="s">
        <v>1205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1206</v>
      </c>
    </row>
    <row r="940" spans="1:4">
      <c r="A940" t="s">
        <v>1205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1206</v>
      </c>
    </row>
    <row r="941" spans="1:4">
      <c r="A941" t="s">
        <v>1205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1206</v>
      </c>
    </row>
    <row r="942" spans="1:4">
      <c r="A942" t="s">
        <v>1205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1206</v>
      </c>
    </row>
    <row r="943" spans="1:4">
      <c r="A943" t="s">
        <v>1205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1206</v>
      </c>
    </row>
    <row r="944" spans="1:4">
      <c r="A944" t="s">
        <v>1205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1206</v>
      </c>
    </row>
    <row r="945" spans="1:4">
      <c r="A945" t="s">
        <v>1205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1206</v>
      </c>
    </row>
    <row r="946" spans="1:4">
      <c r="A946" t="s">
        <v>1205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1206</v>
      </c>
    </row>
    <row r="947" spans="1:4">
      <c r="A947" t="s">
        <v>1205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1206</v>
      </c>
    </row>
    <row r="948" spans="1:4">
      <c r="A948" t="s">
        <v>1205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1206</v>
      </c>
    </row>
    <row r="949" spans="1:4">
      <c r="A949" t="s">
        <v>1205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1206</v>
      </c>
    </row>
    <row r="950" spans="1:4">
      <c r="A950" t="s">
        <v>1205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1206</v>
      </c>
    </row>
    <row r="951" spans="1:4">
      <c r="A951" t="s">
        <v>1205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1206</v>
      </c>
    </row>
    <row r="952" spans="1:4">
      <c r="A952" t="s">
        <v>1205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1206</v>
      </c>
    </row>
    <row r="953" spans="1:4">
      <c r="A953" t="s">
        <v>1205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1206</v>
      </c>
    </row>
    <row r="954" spans="1:4">
      <c r="A954" t="s">
        <v>1205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1206</v>
      </c>
    </row>
    <row r="955" spans="1:4">
      <c r="A955" t="s">
        <v>1205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1206</v>
      </c>
    </row>
    <row r="956" spans="1:4">
      <c r="A956" t="s">
        <v>1205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1206</v>
      </c>
    </row>
    <row r="957" spans="1:4">
      <c r="A957" t="s">
        <v>1205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1206</v>
      </c>
    </row>
    <row r="958" spans="1:4">
      <c r="A958" t="s">
        <v>1205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1206</v>
      </c>
    </row>
    <row r="959" spans="1:4">
      <c r="A959" t="s">
        <v>1205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1206</v>
      </c>
    </row>
    <row r="960" spans="1:4">
      <c r="A960" t="s">
        <v>1205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1206</v>
      </c>
    </row>
    <row r="961" spans="1:4">
      <c r="A961" t="s">
        <v>1205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1206</v>
      </c>
    </row>
    <row r="962" spans="1:4">
      <c r="A962" t="s">
        <v>1205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1206</v>
      </c>
    </row>
    <row r="963" spans="1:4">
      <c r="A963" t="s">
        <v>1205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1206</v>
      </c>
    </row>
    <row r="964" spans="1:4">
      <c r="A964" t="s">
        <v>1205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1206</v>
      </c>
    </row>
    <row r="965" spans="1:4">
      <c r="A965" t="s">
        <v>1205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1206</v>
      </c>
    </row>
    <row r="966" spans="1:4">
      <c r="A966" t="s">
        <v>1205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1206</v>
      </c>
    </row>
    <row r="967" spans="1:4">
      <c r="A967" t="s">
        <v>1205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1206</v>
      </c>
    </row>
    <row r="968" spans="1:4">
      <c r="A968" t="s">
        <v>1205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1206</v>
      </c>
    </row>
    <row r="969" spans="1:4">
      <c r="A969" t="s">
        <v>1205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1206</v>
      </c>
    </row>
    <row r="970" spans="1:4">
      <c r="A970" t="s">
        <v>1205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1206</v>
      </c>
    </row>
    <row r="971" spans="1:4">
      <c r="A971" t="s">
        <v>1205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1206</v>
      </c>
    </row>
    <row r="972" spans="1:4">
      <c r="A972" t="s">
        <v>1205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1206</v>
      </c>
    </row>
    <row r="973" spans="1:4">
      <c r="A973" t="s">
        <v>1205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1206</v>
      </c>
    </row>
    <row r="974" spans="1:4">
      <c r="A974" t="s">
        <v>1205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1206</v>
      </c>
    </row>
    <row r="975" spans="1:4">
      <c r="A975" t="s">
        <v>1205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1206</v>
      </c>
    </row>
    <row r="976" spans="1:4">
      <c r="A976" t="s">
        <v>1205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1206</v>
      </c>
    </row>
    <row r="977" spans="1:4">
      <c r="A977" t="s">
        <v>1205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1206</v>
      </c>
    </row>
    <row r="978" spans="1:4">
      <c r="A978" t="s">
        <v>1205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1206</v>
      </c>
    </row>
    <row r="979" spans="1:4">
      <c r="A979" t="s">
        <v>1205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1206</v>
      </c>
    </row>
    <row r="980" spans="1:4">
      <c r="A980" t="s">
        <v>1205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1206</v>
      </c>
    </row>
    <row r="981" spans="1:4">
      <c r="A981" t="s">
        <v>1205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1206</v>
      </c>
    </row>
    <row r="982" spans="1:4">
      <c r="A982" t="s">
        <v>1205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1206</v>
      </c>
    </row>
    <row r="983" spans="1:4">
      <c r="A983" t="s">
        <v>1205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1206</v>
      </c>
    </row>
    <row r="984" spans="1:4">
      <c r="A984" t="s">
        <v>1205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1206</v>
      </c>
    </row>
    <row r="985" spans="1:4">
      <c r="A985" t="s">
        <v>1205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1206</v>
      </c>
    </row>
    <row r="986" spans="1:4">
      <c r="A986" t="s">
        <v>1205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1206</v>
      </c>
    </row>
    <row r="987" spans="1:4">
      <c r="A987" t="s">
        <v>1205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1206</v>
      </c>
    </row>
    <row r="988" spans="1:4">
      <c r="A988" t="s">
        <v>1205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1206</v>
      </c>
    </row>
    <row r="989" spans="1:4">
      <c r="A989" t="s">
        <v>1205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1206</v>
      </c>
    </row>
    <row r="990" spans="1:4">
      <c r="A990" t="s">
        <v>1205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1206</v>
      </c>
    </row>
    <row r="991" spans="1:4">
      <c r="A991" t="s">
        <v>1205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1206</v>
      </c>
    </row>
    <row r="992" spans="1:4">
      <c r="A992" t="s">
        <v>1205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1206</v>
      </c>
    </row>
    <row r="993" spans="1:4">
      <c r="A993" t="s">
        <v>1205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1206</v>
      </c>
    </row>
    <row r="994" spans="1:4">
      <c r="A994" t="s">
        <v>1205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1206</v>
      </c>
    </row>
    <row r="995" spans="1:4">
      <c r="A995" t="s">
        <v>1205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1206</v>
      </c>
    </row>
    <row r="996" spans="1:4">
      <c r="A996" t="s">
        <v>1205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1206</v>
      </c>
    </row>
    <row r="997" spans="1:4">
      <c r="A997" t="s">
        <v>1205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1206</v>
      </c>
    </row>
    <row r="998" spans="1:4">
      <c r="A998" t="s">
        <v>1205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1206</v>
      </c>
    </row>
    <row r="999" spans="1:4">
      <c r="A999" t="s">
        <v>1205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1206</v>
      </c>
    </row>
    <row r="1000" spans="1:4">
      <c r="A1000" t="s">
        <v>1205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1206</v>
      </c>
    </row>
    <row r="1001" spans="1:4">
      <c r="A1001" t="s">
        <v>1205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1206</v>
      </c>
    </row>
    <row r="1002" spans="1:4">
      <c r="A1002" t="s">
        <v>1205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1206</v>
      </c>
    </row>
    <row r="1003" spans="1:4">
      <c r="A1003" t="s">
        <v>1205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1206</v>
      </c>
    </row>
    <row r="1004" spans="1:4">
      <c r="A1004" t="s">
        <v>1205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1206</v>
      </c>
    </row>
    <row r="1005" spans="1:4">
      <c r="A1005" t="s">
        <v>1205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1206</v>
      </c>
    </row>
  </sheetData>
  <conditionalFormatting sqref="A3:D1005">
    <cfRule type="expression" dxfId="22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1207</v>
      </c>
    </row>
    <row r="3" spans="1:4">
      <c r="A3" s="31" t="s">
        <v>1208</v>
      </c>
      <c r="B3" s="4"/>
      <c r="D3" s="32" t="s">
        <v>1209</v>
      </c>
    </row>
    <row r="4" spans="1:4">
      <c r="A4" s="5"/>
      <c r="B4" s="5"/>
    </row>
    <row r="5" spans="1:4">
      <c r="A5" s="33" t="s">
        <v>129</v>
      </c>
      <c r="B5" s="34" t="str">
        <f>IFERROR(INDEX('01_Warehouse_Ledger'!$B$2:$B$2002,MATCH($B$3,'01_Warehouse_Ledger'!$A$2:$A$2002,0)),"")</f>
        <v/>
      </c>
    </row>
    <row r="6" spans="1:4">
      <c r="A6" s="33" t="s">
        <v>1210</v>
      </c>
      <c r="B6" s="34" t="str">
        <f>IFERROR(INDEX('01_Warehouse_Ledger'!$D$2:$D$2002,MATCH($B$3,'01_Warehouse_Ledger'!$A$2:$A$2002,0)),"")</f>
        <v/>
      </c>
    </row>
    <row r="7" spans="1:4">
      <c r="A7" s="33" t="s">
        <v>1211</v>
      </c>
      <c r="B7" s="34" t="str">
        <f>IFERROR(INDEX('02_Warehouse_Locations'!$J$2:$J$501,MATCH($B$6,'02_Warehouse_Locations'!$A$2:$A$501,0)),"")</f>
        <v/>
      </c>
    </row>
    <row r="8" spans="1:4">
      <c r="A8" s="33" t="s">
        <v>763</v>
      </c>
      <c r="B8" s="34" t="str">
        <f>IFERROR(INDEX('02_Warehouse_Locations'!$B$2:$B$501,MATCH($B$6,'02_Warehouse_Locations'!$A$2:$A$501,0)),"")</f>
        <v/>
      </c>
    </row>
    <row r="9" spans="1:4">
      <c r="A9" s="33" t="s">
        <v>764</v>
      </c>
      <c r="B9" s="34" t="str">
        <f>IFERROR(INDEX('02_Warehouse_Locations'!$C$2:$C$501,MATCH($B$6,'02_Warehouse_Locations'!$A$2:$A$501,0)),"")</f>
        <v/>
      </c>
    </row>
    <row r="10" spans="1:4">
      <c r="A10" s="33" t="s">
        <v>1212</v>
      </c>
      <c r="B10" s="34" t="str">
        <f>IFERROR(INDEX('02_Warehouse_Locations'!$D$2:$D$501,MATCH($B$6,'02_Warehouse_Locations'!$A$2:$A$501,0)),"")</f>
        <v/>
      </c>
    </row>
    <row r="11" spans="1:4">
      <c r="A11" s="33" t="s">
        <v>766</v>
      </c>
      <c r="B11" s="34" t="str">
        <f>IFERROR(INDEX('02_Warehouse_Locations'!$E$2:$E$501,MATCH($B$6,'02_Warehouse_Locations'!$A$2:$A$501,0)),"")</f>
        <v/>
      </c>
    </row>
    <row r="12" spans="1:4">
      <c r="A12" s="33" t="s">
        <v>1213</v>
      </c>
      <c r="B12" s="34" t="str">
        <f>IFERROR(INDEX('02_Warehouse_Locations'!$N$2:$N$501,MATCH($B$6,'02_Warehouse_Locations'!$A$2:$A$501,0)),"")</f>
        <v/>
      </c>
    </row>
    <row r="13" spans="1:4">
      <c r="A13" s="33" t="s">
        <v>774</v>
      </c>
      <c r="B13" s="34" t="str">
        <f>IFERROR(INDEX('02_Warehouse_Locations'!$O$2:$O$501,MATCH($B$6,'02_Warehouse_Locations'!$A$2:$A$501,0)),"")</f>
        <v/>
      </c>
    </row>
    <row r="14" spans="1:4">
      <c r="A14" s="33" t="s">
        <v>775</v>
      </c>
      <c r="B14" s="34" t="str">
        <f>IFERROR(INDEX('02_Warehouse_Locations'!$P$2:$P$501,MATCH($B$6,'02_Warehouse_Locations'!$A$2:$A$501,0)),"")</f>
        <v/>
      </c>
    </row>
    <row r="15" spans="1:4">
      <c r="A15" t="s">
        <v>776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21" priority="1" stopIfTrue="1">
      <formula>AND(TRIM($A3)="",OR($B3&lt;&gt;"",$C3&lt;&gt;"",$D3&lt;&gt;"",$E3&lt;&gt;"",$I3&lt;&gt;"",$J3&lt;&gt;""))</formula>
    </cfRule>
    <cfRule type="expression" dxfId="20" priority="2">
      <formula>AND(TRIM($A3)&lt;&gt;"",NOT(AND(LEFT($A3,4)="PAL-",LEN($A3)=11,ISNUMBER(--MID($A3,5,7)))))</formula>
    </cfRule>
    <cfRule type="expression" dxfId="19" priority="3">
      <formula>AND(TRIM($A3)&lt;&gt;"",COUNTIF($A$2:$A$2002,$A3)&gt;1)</formula>
    </cfRule>
    <cfRule type="expression" dxfId="18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1214</v>
      </c>
    </row>
    <row r="2" spans="1:21">
      <c r="A2" s="36" t="s">
        <v>1215</v>
      </c>
      <c r="B2" s="37" t="str">
        <f>IFERROR('05_Scan_Lookup'!$B$13,"")</f>
        <v/>
      </c>
    </row>
    <row r="3" spans="1:21">
      <c r="A3" s="36" t="s">
        <v>1216</v>
      </c>
      <c r="B3" s="37" t="str">
        <f>IFERROR('05_Scan_Lookup'!$B$14,"")</f>
        <v/>
      </c>
    </row>
    <row r="4" spans="1:21">
      <c r="A4" s="36" t="s">
        <v>1217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1218</v>
      </c>
      <c r="B5" s="37" t="s">
        <v>1219</v>
      </c>
    </row>
    <row r="6" spans="1:21" ht="20.100000000000001" customHeight="1">
      <c r="A6" s="40" t="s">
        <v>1220</v>
      </c>
      <c r="B6" s="40" t="s">
        <v>793</v>
      </c>
      <c r="C6" s="40" t="s">
        <v>205</v>
      </c>
      <c r="D6" s="40" t="s">
        <v>844</v>
      </c>
      <c r="E6" s="40" t="s">
        <v>869</v>
      </c>
      <c r="F6" s="40" t="s">
        <v>910</v>
      </c>
      <c r="G6" s="40" t="s">
        <v>951</v>
      </c>
      <c r="H6" s="40" t="s">
        <v>1221</v>
      </c>
      <c r="I6" s="40" t="s">
        <v>1222</v>
      </c>
      <c r="J6" s="40" t="s">
        <v>1223</v>
      </c>
      <c r="K6" s="40" t="s">
        <v>1224</v>
      </c>
      <c r="L6" s="40" t="s">
        <v>1225</v>
      </c>
      <c r="M6" s="40" t="s">
        <v>789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1226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1227</v>
      </c>
    </row>
    <row r="39" spans="1:21">
      <c r="A39" s="32" t="s">
        <v>1228</v>
      </c>
    </row>
    <row r="40" spans="1:21">
      <c r="A40" s="32" t="s">
        <v>1228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128</v>
      </c>
      <c r="B1" s="50" t="s">
        <v>1229</v>
      </c>
      <c r="C1" s="50" t="s">
        <v>1230</v>
      </c>
      <c r="D1" s="50" t="s">
        <v>1006</v>
      </c>
      <c r="E1" s="50" t="s">
        <v>1231</v>
      </c>
      <c r="F1" s="50" t="s">
        <v>1232</v>
      </c>
      <c r="G1" s="50" t="s">
        <v>1233</v>
      </c>
      <c r="H1" s="50" t="s">
        <v>137</v>
      </c>
      <c r="I1" s="50" t="s">
        <v>1234</v>
      </c>
      <c r="J1" s="50" t="s">
        <v>1235</v>
      </c>
      <c r="L1" s="50" t="s">
        <v>1236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1237</v>
      </c>
      <c r="B1" s="15" t="s">
        <v>1238</v>
      </c>
      <c r="C1" s="15" t="s">
        <v>1239</v>
      </c>
      <c r="D1" s="15" t="s">
        <v>1240</v>
      </c>
      <c r="E1" s="15" t="s">
        <v>1241</v>
      </c>
      <c r="F1" s="15" t="s">
        <v>1242</v>
      </c>
      <c r="G1" s="15" t="s">
        <v>1243</v>
      </c>
      <c r="H1" s="15" t="s">
        <v>137</v>
      </c>
    </row>
    <row r="2" spans="1:8" ht="20.25" customHeight="1">
      <c r="B2" t="s">
        <v>1244</v>
      </c>
      <c r="C2" t="s">
        <v>1245</v>
      </c>
      <c r="D2" s="14">
        <v>56</v>
      </c>
      <c r="E2" s="14" t="s">
        <v>1246</v>
      </c>
      <c r="F2" s="14" t="s">
        <v>1247</v>
      </c>
      <c r="G2" s="14" t="s">
        <v>1248</v>
      </c>
    </row>
    <row r="3" spans="1:8" ht="20.25" customHeight="1">
      <c r="B3" t="s">
        <v>1244</v>
      </c>
      <c r="C3" t="s">
        <v>1249</v>
      </c>
      <c r="D3" s="14">
        <v>35</v>
      </c>
      <c r="E3" s="14" t="s">
        <v>1246</v>
      </c>
      <c r="F3" s="14" t="s">
        <v>1247</v>
      </c>
      <c r="G3" s="14" t="s">
        <v>1248</v>
      </c>
    </row>
    <row r="4" spans="1:8" s="45" customFormat="1" ht="20.25" customHeight="1">
      <c r="B4" s="45" t="s">
        <v>1244</v>
      </c>
      <c r="C4" s="45" t="s">
        <v>1250</v>
      </c>
      <c r="D4" s="46">
        <v>28</v>
      </c>
      <c r="E4" s="46" t="s">
        <v>1246</v>
      </c>
      <c r="F4" s="46" t="s">
        <v>1247</v>
      </c>
      <c r="G4" s="46" t="s">
        <v>1248</v>
      </c>
    </row>
    <row r="5" spans="1:8" s="45" customFormat="1" ht="20.25" customHeight="1">
      <c r="B5" s="45" t="s">
        <v>1244</v>
      </c>
      <c r="C5" s="45" t="s">
        <v>1251</v>
      </c>
      <c r="D5" s="46">
        <v>52</v>
      </c>
      <c r="E5" s="46" t="s">
        <v>1246</v>
      </c>
      <c r="F5" s="46" t="s">
        <v>1247</v>
      </c>
      <c r="G5" s="46" t="s">
        <v>1248</v>
      </c>
    </row>
    <row r="6" spans="1:8" s="45" customFormat="1" ht="20.25" customHeight="1">
      <c r="B6" s="45" t="s">
        <v>1244</v>
      </c>
      <c r="C6" s="45" t="s">
        <v>1252</v>
      </c>
      <c r="D6" s="46">
        <v>50</v>
      </c>
      <c r="E6" s="46" t="s">
        <v>1246</v>
      </c>
      <c r="F6" s="46" t="s">
        <v>1247</v>
      </c>
      <c r="G6" s="46" t="s">
        <v>1248</v>
      </c>
    </row>
    <row r="7" spans="1:8" ht="20.25" customHeight="1">
      <c r="B7" t="s">
        <v>1244</v>
      </c>
      <c r="C7" t="s">
        <v>1253</v>
      </c>
      <c r="D7" s="14">
        <v>29</v>
      </c>
      <c r="E7" s="14" t="s">
        <v>1246</v>
      </c>
      <c r="F7" s="14" t="s">
        <v>1247</v>
      </c>
      <c r="G7" s="14" t="s">
        <v>1248</v>
      </c>
    </row>
    <row r="8" spans="1:8" s="45" customFormat="1" ht="20.25" customHeight="1">
      <c r="B8" s="45" t="s">
        <v>1244</v>
      </c>
      <c r="C8" s="45" t="s">
        <v>1254</v>
      </c>
      <c r="D8" s="46">
        <v>13</v>
      </c>
      <c r="E8" s="46" t="s">
        <v>1246</v>
      </c>
      <c r="F8" s="46" t="s">
        <v>1247</v>
      </c>
      <c r="G8" s="46" t="s">
        <v>1248</v>
      </c>
    </row>
    <row r="9" spans="1:8" s="47" customFormat="1" ht="20.25" customHeight="1">
      <c r="B9" s="47" t="s">
        <v>1244</v>
      </c>
      <c r="C9" s="47" t="s">
        <v>1255</v>
      </c>
      <c r="D9" s="48">
        <v>4</v>
      </c>
      <c r="E9" s="48" t="s">
        <v>1246</v>
      </c>
      <c r="F9" s="48" t="s">
        <v>1247</v>
      </c>
      <c r="G9" s="48" t="s">
        <v>1248</v>
      </c>
    </row>
    <row r="10" spans="1:8" ht="20.25" customHeight="1">
      <c r="B10" t="s">
        <v>1244</v>
      </c>
      <c r="C10" t="s">
        <v>1256</v>
      </c>
      <c r="D10" s="14">
        <v>2</v>
      </c>
      <c r="E10" s="14" t="s">
        <v>1246</v>
      </c>
      <c r="F10" s="14" t="s">
        <v>1247</v>
      </c>
      <c r="G10" s="14" t="s">
        <v>1248</v>
      </c>
    </row>
    <row r="11" spans="1:8" s="45" customFormat="1" ht="20.25" customHeight="1">
      <c r="B11" s="45" t="s">
        <v>1244</v>
      </c>
      <c r="C11" s="45" t="s">
        <v>1257</v>
      </c>
      <c r="D11" s="46">
        <v>2</v>
      </c>
      <c r="E11" s="46" t="s">
        <v>1246</v>
      </c>
      <c r="F11" s="46" t="s">
        <v>1247</v>
      </c>
      <c r="G11" s="46" t="s">
        <v>1248</v>
      </c>
    </row>
    <row r="12" spans="1:8" ht="20.25" customHeight="1">
      <c r="B12" t="s">
        <v>1244</v>
      </c>
      <c r="C12" t="s">
        <v>1258</v>
      </c>
      <c r="D12" s="14">
        <v>117</v>
      </c>
      <c r="E12" s="14" t="s">
        <v>1246</v>
      </c>
      <c r="F12" s="14" t="s">
        <v>1247</v>
      </c>
      <c r="G12" s="14" t="s">
        <v>1248</v>
      </c>
    </row>
    <row r="13" spans="1:8" s="45" customFormat="1" ht="20.25" customHeight="1">
      <c r="B13" s="45" t="s">
        <v>1244</v>
      </c>
      <c r="C13" s="45" t="s">
        <v>1259</v>
      </c>
      <c r="D13" s="46">
        <v>73</v>
      </c>
      <c r="E13" s="46" t="s">
        <v>1246</v>
      </c>
      <c r="F13" s="46" t="s">
        <v>1247</v>
      </c>
      <c r="G13" s="46" t="s">
        <v>1248</v>
      </c>
    </row>
    <row r="14" spans="1:8" ht="20.25" customHeight="1">
      <c r="B14" t="s">
        <v>1244</v>
      </c>
      <c r="C14" t="s">
        <v>1260</v>
      </c>
      <c r="D14" s="14">
        <v>35</v>
      </c>
      <c r="E14" s="14" t="s">
        <v>1246</v>
      </c>
      <c r="F14" s="14" t="s">
        <v>1247</v>
      </c>
      <c r="G14" s="14" t="s">
        <v>1248</v>
      </c>
    </row>
    <row r="15" spans="1:8" ht="20.25" customHeight="1">
      <c r="B15" t="s">
        <v>1244</v>
      </c>
      <c r="C15" t="s">
        <v>1261</v>
      </c>
      <c r="D15" s="14">
        <v>16</v>
      </c>
      <c r="E15" s="14" t="s">
        <v>1246</v>
      </c>
      <c r="F15" s="14" t="s">
        <v>1247</v>
      </c>
      <c r="G15" s="14" t="s">
        <v>1248</v>
      </c>
    </row>
    <row r="16" spans="1:8" ht="20.25" customHeight="1">
      <c r="B16" t="s">
        <v>1244</v>
      </c>
      <c r="C16" t="s">
        <v>1262</v>
      </c>
      <c r="D16" s="14">
        <v>122</v>
      </c>
      <c r="E16" s="14" t="s">
        <v>1246</v>
      </c>
      <c r="F16" s="14" t="s">
        <v>1263</v>
      </c>
      <c r="G16" s="14" t="s">
        <v>1263</v>
      </c>
    </row>
    <row r="17" spans="2:8" ht="20.25" customHeight="1">
      <c r="B17" t="s">
        <v>1244</v>
      </c>
      <c r="C17" t="s">
        <v>1264</v>
      </c>
      <c r="D17" s="14">
        <v>26</v>
      </c>
      <c r="E17" s="14" t="s">
        <v>1265</v>
      </c>
      <c r="F17" s="14" t="s">
        <v>1266</v>
      </c>
      <c r="G17" s="14" t="s">
        <v>1267</v>
      </c>
      <c r="H17" t="s">
        <v>1268</v>
      </c>
    </row>
    <row r="18" spans="2:8" ht="20.25" customHeight="1">
      <c r="B18" t="s">
        <v>1269</v>
      </c>
      <c r="C18" t="s">
        <v>1270</v>
      </c>
      <c r="D18" s="14">
        <v>55</v>
      </c>
      <c r="E18" s="14" t="s">
        <v>1265</v>
      </c>
      <c r="F18" s="14" t="s">
        <v>1266</v>
      </c>
      <c r="G18" s="14" t="s">
        <v>1267</v>
      </c>
      <c r="H18" t="s">
        <v>1268</v>
      </c>
    </row>
    <row r="19" spans="2:8" ht="20.25" customHeight="1">
      <c r="B19" t="s">
        <v>1269</v>
      </c>
      <c r="C19" t="s">
        <v>1271</v>
      </c>
      <c r="D19" s="14">
        <v>98</v>
      </c>
      <c r="E19" s="14" t="s">
        <v>1265</v>
      </c>
      <c r="F19" s="14" t="s">
        <v>1266</v>
      </c>
      <c r="G19" s="14" t="s">
        <v>1267</v>
      </c>
      <c r="H19" t="s">
        <v>1268</v>
      </c>
    </row>
    <row r="20" spans="2:8" ht="20.25" customHeight="1">
      <c r="B20" t="s">
        <v>1269</v>
      </c>
      <c r="C20" t="s">
        <v>1272</v>
      </c>
      <c r="D20" s="14">
        <v>45</v>
      </c>
      <c r="E20" s="14" t="s">
        <v>1265</v>
      </c>
      <c r="F20" s="14" t="s">
        <v>1266</v>
      </c>
      <c r="G20" s="14" t="s">
        <v>1273</v>
      </c>
      <c r="H20" t="s">
        <v>1274</v>
      </c>
    </row>
    <row r="21" spans="2:8" ht="20.25" customHeight="1">
      <c r="B21" t="s">
        <v>1275</v>
      </c>
      <c r="C21" t="s">
        <v>1275</v>
      </c>
      <c r="D21" s="14">
        <v>53</v>
      </c>
      <c r="E21" s="14" t="s">
        <v>1265</v>
      </c>
      <c r="F21" s="14" t="s">
        <v>1266</v>
      </c>
      <c r="G21" s="14" t="s">
        <v>1267</v>
      </c>
      <c r="H21" t="s">
        <v>1268</v>
      </c>
    </row>
    <row r="22" spans="2:8" ht="20.25" customHeight="1">
      <c r="B22" t="s">
        <v>1276</v>
      </c>
      <c r="C22" t="s">
        <v>1277</v>
      </c>
      <c r="D22" s="14">
        <v>25</v>
      </c>
      <c r="E22" s="14" t="s">
        <v>1265</v>
      </c>
      <c r="F22" s="14" t="s">
        <v>1266</v>
      </c>
      <c r="G22" s="14" t="s">
        <v>1267</v>
      </c>
      <c r="H22" t="s">
        <v>1268</v>
      </c>
    </row>
    <row r="23" spans="2:8" ht="20.25" customHeight="1">
      <c r="B23" t="s">
        <v>1278</v>
      </c>
      <c r="C23" t="s">
        <v>1278</v>
      </c>
      <c r="D23" s="14">
        <v>25</v>
      </c>
      <c r="E23" s="14" t="s">
        <v>1265</v>
      </c>
      <c r="F23" s="14" t="s">
        <v>1266</v>
      </c>
      <c r="G23" s="14" t="s">
        <v>1267</v>
      </c>
      <c r="H23" t="s">
        <v>1268</v>
      </c>
    </row>
    <row r="24" spans="2:8" ht="20.25" customHeight="1">
      <c r="B24" t="s">
        <v>1279</v>
      </c>
      <c r="C24" t="s">
        <v>1280</v>
      </c>
      <c r="D24" s="14">
        <v>45</v>
      </c>
      <c r="E24" s="14" t="s">
        <v>1265</v>
      </c>
      <c r="F24" s="14" t="s">
        <v>1266</v>
      </c>
      <c r="G24" s="14" t="s">
        <v>1281</v>
      </c>
      <c r="H24" t="s">
        <v>1274</v>
      </c>
    </row>
    <row r="25" spans="2:8" ht="20.25" customHeight="1">
      <c r="B25" t="s">
        <v>1282</v>
      </c>
      <c r="C25" t="s">
        <v>1283</v>
      </c>
      <c r="D25" s="14">
        <v>28</v>
      </c>
      <c r="E25" s="14" t="s">
        <v>1265</v>
      </c>
      <c r="F25" s="14" t="s">
        <v>1266</v>
      </c>
      <c r="G25" s="14" t="s">
        <v>1267</v>
      </c>
    </row>
    <row r="26" spans="2:8" ht="20.25" customHeight="1">
      <c r="B26" t="s">
        <v>1284</v>
      </c>
      <c r="C26" t="s">
        <v>1285</v>
      </c>
      <c r="D26" s="14">
        <v>25</v>
      </c>
      <c r="E26" s="14" t="s">
        <v>1246</v>
      </c>
      <c r="F26" s="14" t="s">
        <v>1247</v>
      </c>
      <c r="G26" s="14" t="s">
        <v>1286</v>
      </c>
    </row>
    <row r="27" spans="2:8" ht="20.25" customHeight="1">
      <c r="B27" t="s">
        <v>1269</v>
      </c>
      <c r="C27" t="s">
        <v>1287</v>
      </c>
      <c r="D27" s="14">
        <v>25</v>
      </c>
      <c r="E27" s="14" t="s">
        <v>1246</v>
      </c>
      <c r="F27" s="14" t="s">
        <v>1247</v>
      </c>
      <c r="G27" s="14" t="s">
        <v>1286</v>
      </c>
      <c r="H27" t="s">
        <v>1288</v>
      </c>
    </row>
    <row r="28" spans="2:8" ht="20.25" customHeight="1">
      <c r="B28" t="s">
        <v>1269</v>
      </c>
      <c r="C28" t="s">
        <v>1289</v>
      </c>
      <c r="D28" s="14">
        <v>4</v>
      </c>
      <c r="E28" s="14" t="s">
        <v>1246</v>
      </c>
      <c r="F28" s="14" t="s">
        <v>1247</v>
      </c>
      <c r="G28" s="14" t="s">
        <v>1267</v>
      </c>
    </row>
    <row r="29" spans="2:8" ht="20.25" customHeight="1">
      <c r="B29" t="s">
        <v>1282</v>
      </c>
      <c r="C29" s="16" t="s">
        <v>1290</v>
      </c>
      <c r="D29" s="14">
        <v>0</v>
      </c>
      <c r="E29" s="14" t="s">
        <v>1291</v>
      </c>
    </row>
    <row r="30" spans="2:8" ht="20.25" customHeight="1">
      <c r="C30" t="s">
        <v>1292</v>
      </c>
      <c r="D30" s="14">
        <v>1</v>
      </c>
    </row>
    <row r="31" spans="2:8" s="45" customFormat="1" ht="20.25" customHeight="1">
      <c r="B31" s="45" t="s">
        <v>1278</v>
      </c>
      <c r="C31" s="45" t="s">
        <v>1293</v>
      </c>
      <c r="D31" s="46">
        <v>69</v>
      </c>
      <c r="E31" s="46" t="s">
        <v>1246</v>
      </c>
      <c r="F31" s="46" t="s">
        <v>1294</v>
      </c>
      <c r="G31" s="46" t="s">
        <v>1295</v>
      </c>
      <c r="H31" s="45" t="s">
        <v>1296</v>
      </c>
    </row>
    <row r="32" spans="2:8" s="45" customFormat="1" ht="20.25" customHeight="1">
      <c r="B32" s="45" t="s">
        <v>1276</v>
      </c>
      <c r="C32" s="45" t="s">
        <v>1297</v>
      </c>
      <c r="D32" s="46">
        <v>60</v>
      </c>
      <c r="E32" s="46" t="s">
        <v>1246</v>
      </c>
      <c r="F32" s="46" t="s">
        <v>1294</v>
      </c>
      <c r="G32" s="46" t="s">
        <v>1295</v>
      </c>
      <c r="H32" s="45" t="s">
        <v>1296</v>
      </c>
    </row>
    <row r="33" spans="2:8" ht="20.25" customHeight="1">
      <c r="B33" t="s">
        <v>1269</v>
      </c>
      <c r="C33" s="45" t="s">
        <v>1298</v>
      </c>
      <c r="D33" s="14">
        <v>211</v>
      </c>
      <c r="E33" s="14" t="s">
        <v>1246</v>
      </c>
      <c r="F33" s="14" t="s">
        <v>1299</v>
      </c>
      <c r="G33" s="14" t="s">
        <v>1295</v>
      </c>
      <c r="H33" t="s">
        <v>1300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1301</v>
      </c>
      <c r="B1" s="19" t="s">
        <v>1302</v>
      </c>
      <c r="C1" s="19" t="s">
        <v>1303</v>
      </c>
      <c r="D1" s="19" t="s">
        <v>1304</v>
      </c>
      <c r="E1" s="19" t="s">
        <v>1305</v>
      </c>
      <c r="F1" s="19" t="s">
        <v>1306</v>
      </c>
      <c r="G1" s="19" t="s">
        <v>1307</v>
      </c>
      <c r="H1" s="19" t="s">
        <v>1308</v>
      </c>
      <c r="I1" s="19" t="s">
        <v>1309</v>
      </c>
    </row>
    <row r="2" spans="1:9">
      <c r="A2" t="s">
        <v>1310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5</v>
      </c>
      <c r="G2" t="s">
        <v>1311</v>
      </c>
      <c r="H2" s="17" t="s">
        <v>1312</v>
      </c>
    </row>
    <row r="3" spans="1:9">
      <c r="A3" t="s">
        <v>1313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-16</v>
      </c>
      <c r="G3" t="s">
        <v>1314</v>
      </c>
      <c r="H3" t="s">
        <v>1315</v>
      </c>
    </row>
    <row r="4" spans="1:9">
      <c r="A4" t="s">
        <v>1316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-2</v>
      </c>
      <c r="G4" t="s">
        <v>1317</v>
      </c>
      <c r="H4" s="17" t="s">
        <v>1318</v>
      </c>
      <c r="I4" t="s">
        <v>1319</v>
      </c>
    </row>
    <row r="5" spans="1:9">
      <c r="A5" t="s">
        <v>1320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-9</v>
      </c>
      <c r="G5" t="s">
        <v>1321</v>
      </c>
      <c r="H5" s="17" t="s">
        <v>1318</v>
      </c>
      <c r="I5" t="s">
        <v>1322</v>
      </c>
    </row>
    <row r="6" spans="1:9">
      <c r="A6" t="s">
        <v>1323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-2</v>
      </c>
      <c r="G6" t="s">
        <v>1324</v>
      </c>
      <c r="H6" s="17" t="s">
        <v>1318</v>
      </c>
    </row>
    <row r="7" spans="1:9">
      <c r="A7" t="s">
        <v>1325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5</v>
      </c>
      <c r="G7" t="s">
        <v>1326</v>
      </c>
    </row>
    <row r="8" spans="1:9">
      <c r="A8" t="s">
        <v>1327</v>
      </c>
      <c r="B8">
        <v>3</v>
      </c>
      <c r="C8">
        <v>0</v>
      </c>
      <c r="D8" s="54">
        <f t="shared" si="0"/>
        <v>0</v>
      </c>
      <c r="E8" t="s">
        <v>1328</v>
      </c>
      <c r="F8" t="e">
        <f t="shared" ca="1" si="1"/>
        <v>#VALUE!</v>
      </c>
      <c r="G8" t="s">
        <v>1329</v>
      </c>
    </row>
    <row r="9" spans="1:9">
      <c r="A9" t="s">
        <v>1330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19</v>
      </c>
      <c r="G9" t="s">
        <v>1331</v>
      </c>
    </row>
    <row r="10" spans="1:9">
      <c r="A10" t="s">
        <v>1332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20</v>
      </c>
      <c r="G10" t="s">
        <v>1331</v>
      </c>
    </row>
    <row r="11" spans="1:9">
      <c r="A11" t="s">
        <v>1333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12</v>
      </c>
      <c r="G11" t="s">
        <v>1331</v>
      </c>
    </row>
    <row r="12" spans="1:9">
      <c r="A12" t="s">
        <v>1334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26</v>
      </c>
      <c r="G12" t="s">
        <v>1331</v>
      </c>
    </row>
    <row r="13" spans="1:9">
      <c r="A13" t="s">
        <v>1335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33</v>
      </c>
      <c r="G13" t="s">
        <v>1331</v>
      </c>
    </row>
    <row r="14" spans="1:9">
      <c r="A14" t="s">
        <v>1336</v>
      </c>
      <c r="B14">
        <v>6</v>
      </c>
      <c r="C14">
        <v>0</v>
      </c>
      <c r="D14" s="54">
        <f t="shared" si="0"/>
        <v>0</v>
      </c>
      <c r="E14" t="s">
        <v>1328</v>
      </c>
      <c r="F14" t="e">
        <f t="shared" ca="1" si="1"/>
        <v>#VALUE!</v>
      </c>
      <c r="G14" t="s">
        <v>1331</v>
      </c>
    </row>
    <row r="15" spans="1:9">
      <c r="A15" s="18" t="s">
        <v>1337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1338</v>
      </c>
      <c r="B1" s="41" t="s">
        <v>1339</v>
      </c>
      <c r="C1" s="41" t="s">
        <v>1340</v>
      </c>
      <c r="D1" s="41" t="s">
        <v>1341</v>
      </c>
      <c r="E1" s="41" t="s">
        <v>1342</v>
      </c>
      <c r="F1" s="41" t="s">
        <v>1343</v>
      </c>
      <c r="G1" s="41" t="s">
        <v>1344</v>
      </c>
      <c r="H1" s="41" t="s">
        <v>1</v>
      </c>
      <c r="I1" s="41" t="s">
        <v>1345</v>
      </c>
      <c r="J1" s="41" t="s">
        <v>1346</v>
      </c>
      <c r="K1" s="41" t="s">
        <v>1347</v>
      </c>
      <c r="L1" s="41" t="s">
        <v>1348</v>
      </c>
      <c r="M1" s="41" t="s">
        <v>1349</v>
      </c>
      <c r="N1" s="41" t="s">
        <v>1350</v>
      </c>
      <c r="O1" s="41" t="s">
        <v>1351</v>
      </c>
      <c r="P1" s="41" t="s">
        <v>1352</v>
      </c>
      <c r="Q1" s="41" t="s">
        <v>1353</v>
      </c>
      <c r="R1" s="41" t="s">
        <v>1354</v>
      </c>
      <c r="S1" s="41" t="s">
        <v>1355</v>
      </c>
      <c r="T1" s="41" t="s">
        <v>1356</v>
      </c>
      <c r="U1" s="41" t="s">
        <v>1357</v>
      </c>
      <c r="V1" s="41" t="s">
        <v>1358</v>
      </c>
      <c r="W1" s="41" t="s">
        <v>1359</v>
      </c>
      <c r="X1" s="41" t="s">
        <v>1360</v>
      </c>
      <c r="Y1" s="41" t="s">
        <v>137</v>
      </c>
      <c r="Z1" s="41" t="s">
        <v>1361</v>
      </c>
      <c r="AA1" s="41" t="s">
        <v>1362</v>
      </c>
    </row>
    <row r="2" spans="1:29" ht="45.75" customHeight="1">
      <c r="A2" s="22"/>
      <c r="B2" s="22"/>
      <c r="C2" s="21" t="str">
        <f>IF(Deployments!H2="","",Deployments!H2)</f>
        <v>LIJ SDF</v>
      </c>
      <c r="D2" s="21" t="str">
        <f>IF(Deployments!AH2="","",Deployments!AH2)</f>
        <v>Ground Level/Dialysis</v>
      </c>
      <c r="E2" s="21" t="str">
        <f>IF(Deployments!I2="","",Deployments!I2)</f>
        <v>Open Patient Area</v>
      </c>
      <c r="F2" s="21">
        <f>IF(Deployments!J2="","",Deployments!J2)</f>
        <v>1</v>
      </c>
      <c r="G2" s="21" t="str">
        <f>IF(Deployments!K2="","",Deployments!K2)</f>
        <v>BSM 051 A</v>
      </c>
      <c r="H2" s="21" t="str">
        <f>IF(Deployments!A2="","",Deployments!A2)</f>
        <v>Neuron</v>
      </c>
      <c r="I2" s="21" t="str">
        <f>IF(Deployments!AI2="","",Deployments!AI2)</f>
        <v>Fresenius BlueStar</v>
      </c>
      <c r="J2" s="21" t="str">
        <f>IF(Deployments!AJ2="","",Deployments!AJ2)</f>
        <v>2008T</v>
      </c>
      <c r="K2" s="21" t="str">
        <f>IF(Deployments!AD2="","",Deployments!AD2)</f>
        <v>Dialysis Machine</v>
      </c>
      <c r="L2" s="21" t="str">
        <f>IF(Deployments!M2="","",Deployments!M2)</f>
        <v>Describe the environment in which we're deploying:
For ex, input:
"
OR iPro Cybernet Workstation
"</v>
      </c>
      <c r="M2" s="22"/>
      <c r="N2" s="21" t="str">
        <f>IF(Deployments!N2="","",Deployments!N2)</f>
        <v>NA</v>
      </c>
      <c r="O2" s="21" t="str">
        <f>IF(Deployments!O2="","",Deployments!O2)</f>
        <v>NA</v>
      </c>
      <c r="P2" s="21" t="str">
        <f>IF(Deployments!P2="","",Deployments!P2)</f>
        <v>NA</v>
      </c>
      <c r="Q2" s="22"/>
      <c r="R2" s="21" t="str">
        <f>IF(Deployments!AY2="","",Deployments!AY2)</f>
        <v/>
      </c>
      <c r="S2" s="21" t="str">
        <f>IF(Deployments!AX2="","",Deployments!AX2)</f>
        <v/>
      </c>
      <c r="T2" s="21" t="str">
        <f>IF(Deployments!AV2="","",Deployments!AV2)</f>
        <v/>
      </c>
      <c r="U2" s="21" t="str">
        <f>IF(Deployments!AW2="","",Deployments!AW2)</f>
        <v/>
      </c>
      <c r="V2" s="21" t="str">
        <f>IF(Deployments!BA2="","",Deployments!BA2)</f>
        <v>Yes</v>
      </c>
      <c r="W2" s="21" t="str">
        <f>IF(Deployments!BC2="","",Deployments!BC2)</f>
        <v>Firmware Installed</v>
      </c>
      <c r="X2" s="21" t="str">
        <f>IF(Deployments!BK2="","",Deployments!BK2)</f>
        <v>Power Cable, Battery, Epic Beans Relay</v>
      </c>
      <c r="Y2" s="21" t="str">
        <f>IF(Deployments!BB2="","",Deployments!BB2)</f>
        <v/>
      </c>
      <c r="Z2" s="21" t="str">
        <f>IF(Deployments!T2="","",Deployments!T2)</f>
        <v/>
      </c>
      <c r="AA2" s="21" t="str">
        <f>IF(Deployments!L2="","",Deployments!L2)</f>
        <v/>
      </c>
      <c r="AC2" t="s">
        <v>1363</v>
      </c>
    </row>
    <row r="3" spans="1:29" ht="45.75" customHeight="1">
      <c r="A3" s="22"/>
      <c r="B3" s="22"/>
      <c r="C3" s="21" t="str">
        <f>IF(Deployments!H3="","",Deployments!H3)</f>
        <v>LIJ SDF</v>
      </c>
      <c r="D3" s="21" t="str">
        <f>IF(Deployments!AH3="","",Deployments!AH3)</f>
        <v>Ground Level/Dialysis</v>
      </c>
      <c r="E3" s="21" t="str">
        <f>IF(Deployments!I3="","",Deployments!I3)</f>
        <v>Open Patient Area</v>
      </c>
      <c r="F3" s="21">
        <f>IF(Deployments!J3="","",Deployments!J3)</f>
        <v>2</v>
      </c>
      <c r="G3" s="21" t="str">
        <f>IF(Deployments!K3="","",Deployments!K3)</f>
        <v xml:space="preserve">BSM 051 B </v>
      </c>
      <c r="H3" s="21" t="str">
        <f>IF(Deployments!A3="","",Deployments!A3)</f>
        <v>Neuron</v>
      </c>
      <c r="I3" s="21" t="str">
        <f>IF(Deployments!AI3="","",Deployments!AI3)</f>
        <v>Fresenius BlueStar</v>
      </c>
      <c r="J3" s="21" t="str">
        <f>IF(Deployments!AJ3="","",Deployments!AJ3)</f>
        <v>2008T</v>
      </c>
      <c r="K3" s="21" t="str">
        <f>IF(Deployments!AD3="","",Deployments!AD3)</f>
        <v>Dialysis Machine</v>
      </c>
      <c r="L3" s="21" t="str">
        <f>IF(Deployments!M3="","",Deployments!M3)</f>
        <v/>
      </c>
      <c r="M3" s="22"/>
      <c r="N3" s="21" t="str">
        <f>IF(Deployments!N3="","",Deployments!N3)</f>
        <v>NA</v>
      </c>
      <c r="O3" s="21" t="str">
        <f>IF(Deployments!O3="","",Deployments!O3)</f>
        <v>NA</v>
      </c>
      <c r="P3" s="21" t="str">
        <f>IF(Deployments!P3="","",Deployments!P3)</f>
        <v>NA</v>
      </c>
      <c r="Q3" s="22"/>
      <c r="R3" s="21" t="str">
        <f>IF(Deployments!AY3="","",Deployments!AY3)</f>
        <v/>
      </c>
      <c r="S3" s="21" t="str">
        <f>IF(Deployments!AX3="","",Deployments!AX3)</f>
        <v/>
      </c>
      <c r="T3" s="21" t="str">
        <f>IF(Deployments!AV3="","",Deployments!AV3)</f>
        <v/>
      </c>
      <c r="U3" s="21" t="str">
        <f>IF(Deployments!AW3="","",Deployments!AW3)</f>
        <v/>
      </c>
      <c r="V3" s="21" t="str">
        <f>IF(Deployments!BA3="","",Deployments!BA3)</f>
        <v>Yes</v>
      </c>
      <c r="W3" s="21" t="str">
        <f>IF(Deployments!BC3="","",Deployments!BC3)</f>
        <v>Firmware Installed</v>
      </c>
      <c r="X3" s="21" t="str">
        <f>IF(Deployments!BK3="","",Deployments!BK3)</f>
        <v>Power Cable, Battery, Epic Beans Relay</v>
      </c>
      <c r="Y3" s="21" t="str">
        <f>IF(Deployments!BB3="","",Deployments!BB3)</f>
        <v/>
      </c>
      <c r="Z3" s="21" t="str">
        <f>IF(Deployments!T3="","",Deployments!T3)</f>
        <v/>
      </c>
      <c r="AA3" s="21" t="str">
        <f>IF(Deployments!L3="","",Deployments!L3)</f>
        <v/>
      </c>
      <c r="AC3" t="s">
        <v>1279</v>
      </c>
    </row>
    <row r="4" spans="1:29" ht="45.75" customHeight="1">
      <c r="A4" s="22"/>
      <c r="B4" s="22"/>
      <c r="C4" s="21" t="str">
        <f>IF(Deployments!H4="","",Deployments!H4)</f>
        <v>LIJ SDF</v>
      </c>
      <c r="D4" s="21" t="str">
        <f>IF(Deployments!AH4="","",Deployments!AH4)</f>
        <v>Ground Level/Dialysis</v>
      </c>
      <c r="E4" s="21" t="str">
        <f>IF(Deployments!I4="","",Deployments!I4)</f>
        <v>Open Patient Area</v>
      </c>
      <c r="F4" s="21">
        <f>IF(Deployments!J4="","",Deployments!J4)</f>
        <v>3</v>
      </c>
      <c r="G4" s="21" t="str">
        <f>IF(Deployments!K4="","",Deployments!K4)</f>
        <v>BSM 033 A</v>
      </c>
      <c r="H4" s="21" t="str">
        <f>IF(Deployments!A4="","",Deployments!A4)</f>
        <v>Neuron</v>
      </c>
      <c r="I4" s="21" t="str">
        <f>IF(Deployments!AI4="","",Deployments!AI4)</f>
        <v>Fresenius BlueStar</v>
      </c>
      <c r="J4" s="21" t="str">
        <f>IF(Deployments!AJ4="","",Deployments!AJ4)</f>
        <v>2008T</v>
      </c>
      <c r="K4" s="21" t="str">
        <f>IF(Deployments!AD4="","",Deployments!AD4)</f>
        <v>Dialysis Machine</v>
      </c>
      <c r="L4" s="21" t="str">
        <f>IF(Deployments!M4="","",Deployments!M4)</f>
        <v/>
      </c>
      <c r="M4" s="22"/>
      <c r="N4" s="21" t="str">
        <f>IF(Deployments!N4="","",Deployments!N4)</f>
        <v>NA</v>
      </c>
      <c r="O4" s="21" t="str">
        <f>IF(Deployments!O4="","",Deployments!O4)</f>
        <v>NA</v>
      </c>
      <c r="P4" s="21" t="str">
        <f>IF(Deployments!P4="","",Deployments!P4)</f>
        <v>NA</v>
      </c>
      <c r="Q4" s="22"/>
      <c r="R4" s="21" t="str">
        <f>IF(Deployments!AY4="","",Deployments!AY4)</f>
        <v/>
      </c>
      <c r="S4" s="21" t="str">
        <f>IF(Deployments!AX4="","",Deployments!AX4)</f>
        <v/>
      </c>
      <c r="T4" s="21" t="str">
        <f>IF(Deployments!AV4="","",Deployments!AV4)</f>
        <v/>
      </c>
      <c r="U4" s="21" t="str">
        <f>IF(Deployments!AW4="","",Deployments!AW4)</f>
        <v/>
      </c>
      <c r="V4" s="21" t="str">
        <f>IF(Deployments!BA4="","",Deployments!BA4)</f>
        <v>Yes</v>
      </c>
      <c r="W4" s="21" t="str">
        <f>IF(Deployments!BC4="","",Deployments!BC4)</f>
        <v>Firmware Installed</v>
      </c>
      <c r="X4" s="21" t="str">
        <f>IF(Deployments!BK4="","",Deployments!BK4)</f>
        <v>Power Cable, Battery, Epic Beans Relay</v>
      </c>
      <c r="Y4" s="21" t="str">
        <f>IF(Deployments!BB4="","",Deployments!BB4)</f>
        <v/>
      </c>
      <c r="Z4" s="21" t="str">
        <f>IF(Deployments!T4="","",Deployments!T4)</f>
        <v/>
      </c>
      <c r="AA4" s="21" t="str">
        <f>IF(Deployments!L4="","",Deployments!L4)</f>
        <v/>
      </c>
    </row>
    <row r="5" spans="1:29" ht="45.75" customHeight="1">
      <c r="A5" s="22"/>
      <c r="B5" s="22"/>
      <c r="C5" s="21" t="str">
        <f>IF(Deployments!H5="","",Deployments!H5)</f>
        <v>LIJ SDF</v>
      </c>
      <c r="D5" s="21" t="str">
        <f>IF(Deployments!AH5="","",Deployments!AH5)</f>
        <v>Ground Level/Dialysis</v>
      </c>
      <c r="E5" s="21" t="str">
        <f>IF(Deployments!I5="","",Deployments!I5)</f>
        <v>Open Patient Area</v>
      </c>
      <c r="F5" s="21">
        <f>IF(Deployments!J5="","",Deployments!J5)</f>
        <v>4</v>
      </c>
      <c r="G5" s="21" t="str">
        <f>IF(Deployments!K5="","",Deployments!K5)</f>
        <v>BSM 033 B</v>
      </c>
      <c r="H5" s="21" t="str">
        <f>IF(Deployments!A5="","",Deployments!A5)</f>
        <v>Neuron</v>
      </c>
      <c r="I5" s="21" t="str">
        <f>IF(Deployments!AI5="","",Deployments!AI5)</f>
        <v>Fresenius BlueStar</v>
      </c>
      <c r="J5" s="21" t="str">
        <f>IF(Deployments!AJ5="","",Deployments!AJ5)</f>
        <v>2008T</v>
      </c>
      <c r="K5" s="21" t="str">
        <f>IF(Deployments!AD5="","",Deployments!AD5)</f>
        <v>Dialysis Machine</v>
      </c>
      <c r="L5" s="21" t="str">
        <f>IF(Deployments!M5="","",Deployments!M5)</f>
        <v/>
      </c>
      <c r="M5" s="22"/>
      <c r="N5" s="21" t="str">
        <f>IF(Deployments!N5="","",Deployments!N5)</f>
        <v>NA</v>
      </c>
      <c r="O5" s="21" t="str">
        <f>IF(Deployments!O5="","",Deployments!O5)</f>
        <v>NA</v>
      </c>
      <c r="P5" s="21" t="str">
        <f>IF(Deployments!P5="","",Deployments!P5)</f>
        <v>NA</v>
      </c>
      <c r="Q5" s="22"/>
      <c r="R5" s="21" t="str">
        <f>IF(Deployments!AY5="","",Deployments!AY5)</f>
        <v/>
      </c>
      <c r="S5" s="21" t="str">
        <f>IF(Deployments!AX5="","",Deployments!AX5)</f>
        <v/>
      </c>
      <c r="T5" s="21" t="str">
        <f>IF(Deployments!AV5="","",Deployments!AV5)</f>
        <v/>
      </c>
      <c r="U5" s="21" t="str">
        <f>IF(Deployments!AW5="","",Deployments!AW5)</f>
        <v/>
      </c>
      <c r="V5" s="21" t="str">
        <f>IF(Deployments!BA5="","",Deployments!BA5)</f>
        <v>Yes</v>
      </c>
      <c r="W5" s="21" t="str">
        <f>IF(Deployments!BC5="","",Deployments!BC5)</f>
        <v>Firmware Installed</v>
      </c>
      <c r="X5" s="21" t="str">
        <f>IF(Deployments!BK5="","",Deployments!BK5)</f>
        <v>Power Cable, Battery, Epic Beans Relay</v>
      </c>
      <c r="Y5" s="21" t="str">
        <f>IF(Deployments!BB5="","",Deployments!BB5)</f>
        <v/>
      </c>
      <c r="Z5" s="21" t="str">
        <f>IF(Deployments!T5="","",Deployments!T5)</f>
        <v/>
      </c>
      <c r="AA5" s="21" t="str">
        <f>IF(Deployments!L5="","",Deployments!L5)</f>
        <v/>
      </c>
    </row>
    <row r="6" spans="1:29" ht="45.75" customHeight="1">
      <c r="A6" s="22"/>
      <c r="B6" s="22"/>
      <c r="C6" s="21" t="str">
        <f>IF(Deployments!H6="","",Deployments!H6)</f>
        <v>LIJ SDF</v>
      </c>
      <c r="D6" s="21" t="str">
        <f>IF(Deployments!AH6="","",Deployments!AH6)</f>
        <v>Ground Level/Dialysis</v>
      </c>
      <c r="E6" s="21" t="str">
        <f>IF(Deployments!I6="","",Deployments!I6)</f>
        <v>Open Patient Area</v>
      </c>
      <c r="F6" s="21">
        <f>IF(Deployments!J6="","",Deployments!J6)</f>
        <v>5</v>
      </c>
      <c r="G6" s="21" t="str">
        <f>IF(Deployments!K6="","",Deployments!K6)</f>
        <v>BSM 034 A</v>
      </c>
      <c r="H6" s="21" t="str">
        <f>IF(Deployments!A6="","",Deployments!A6)</f>
        <v>Neuron</v>
      </c>
      <c r="I6" s="21" t="str">
        <f>IF(Deployments!AI6="","",Deployments!AI6)</f>
        <v>Fresenius BlueStar</v>
      </c>
      <c r="J6" s="21" t="str">
        <f>IF(Deployments!AJ6="","",Deployments!AJ6)</f>
        <v>2008T</v>
      </c>
      <c r="K6" s="21" t="str">
        <f>IF(Deployments!AD6="","",Deployments!AD6)</f>
        <v>Dialysis Machine</v>
      </c>
      <c r="L6" s="21" t="str">
        <f>IF(Deployments!M6="","",Deployments!M6)</f>
        <v/>
      </c>
      <c r="M6" s="22"/>
      <c r="N6" s="21" t="str">
        <f>IF(Deployments!N6="","",Deployments!N6)</f>
        <v>NA</v>
      </c>
      <c r="O6" s="21" t="str">
        <f>IF(Deployments!O6="","",Deployments!O6)</f>
        <v>NA</v>
      </c>
      <c r="P6" s="21" t="str">
        <f>IF(Deployments!P6="","",Deployments!P6)</f>
        <v>NA</v>
      </c>
      <c r="Q6" s="22"/>
      <c r="R6" s="21" t="str">
        <f>IF(Deployments!AY6="","",Deployments!AY6)</f>
        <v/>
      </c>
      <c r="S6" s="21" t="str">
        <f>IF(Deployments!AX6="","",Deployments!AX6)</f>
        <v/>
      </c>
      <c r="T6" s="21" t="str">
        <f>IF(Deployments!AV6="","",Deployments!AV6)</f>
        <v/>
      </c>
      <c r="U6" s="21" t="str">
        <f>IF(Deployments!AW6="","",Deployments!AW6)</f>
        <v/>
      </c>
      <c r="V6" s="21" t="str">
        <f>IF(Deployments!BA6="","",Deployments!BA6)</f>
        <v>Yes</v>
      </c>
      <c r="W6" s="21" t="str">
        <f>IF(Deployments!BC6="","",Deployments!BC6)</f>
        <v>Firmware Installed</v>
      </c>
      <c r="X6" s="21" t="str">
        <f>IF(Deployments!BK6="","",Deployments!BK6)</f>
        <v>Power Cable, Battery, Epic Beans Relay</v>
      </c>
      <c r="Y6" s="21" t="str">
        <f>IF(Deployments!BB6="","",Deployments!BB6)</f>
        <v/>
      </c>
      <c r="Z6" s="21" t="str">
        <f>IF(Deployments!T6="","",Deployments!T6)</f>
        <v/>
      </c>
      <c r="AA6" s="21" t="str">
        <f>IF(Deployments!L6="","",Deployments!L6)</f>
        <v/>
      </c>
    </row>
    <row r="7" spans="1:29" ht="45.75" customHeight="1">
      <c r="A7" s="22"/>
      <c r="B7" s="22"/>
      <c r="C7" s="21" t="str">
        <f>IF(Deployments!H7="","",Deployments!H7)</f>
        <v>LIJ SDF</v>
      </c>
      <c r="D7" s="21" t="str">
        <f>IF(Deployments!AH7="","",Deployments!AH7)</f>
        <v>Ground Level/Dialysis</v>
      </c>
      <c r="E7" s="21" t="str">
        <f>IF(Deployments!I7="","",Deployments!I7)</f>
        <v>Open Patient Area</v>
      </c>
      <c r="F7" s="21">
        <f>IF(Deployments!J7="","",Deployments!J7)</f>
        <v>6</v>
      </c>
      <c r="G7" s="21" t="str">
        <f>IF(Deployments!K7="","",Deployments!K7)</f>
        <v>BSM 034 B</v>
      </c>
      <c r="H7" s="21" t="str">
        <f>IF(Deployments!A7="","",Deployments!A7)</f>
        <v>Neuron</v>
      </c>
      <c r="I7" s="21" t="str">
        <f>IF(Deployments!AI7="","",Deployments!AI7)</f>
        <v>Fresenius BlueStar</v>
      </c>
      <c r="J7" s="21" t="str">
        <f>IF(Deployments!AJ7="","",Deployments!AJ7)</f>
        <v>2008T</v>
      </c>
      <c r="K7" s="21" t="str">
        <f>IF(Deployments!AD7="","",Deployments!AD7)</f>
        <v>Dialysis Machine</v>
      </c>
      <c r="L7" s="21" t="str">
        <f>IF(Deployments!M7="","",Deployments!M7)</f>
        <v/>
      </c>
      <c r="M7" s="22"/>
      <c r="N7" s="21" t="str">
        <f>IF(Deployments!N7="","",Deployments!N7)</f>
        <v>NA</v>
      </c>
      <c r="O7" s="21" t="str">
        <f>IF(Deployments!O7="","",Deployments!O7)</f>
        <v>NA</v>
      </c>
      <c r="P7" s="21" t="str">
        <f>IF(Deployments!P7="","",Deployments!P7)</f>
        <v>NA</v>
      </c>
      <c r="Q7" s="22"/>
      <c r="R7" s="21" t="str">
        <f>IF(Deployments!AY7="","",Deployments!AY7)</f>
        <v/>
      </c>
      <c r="S7" s="21" t="str">
        <f>IF(Deployments!AX7="","",Deployments!AX7)</f>
        <v/>
      </c>
      <c r="T7" s="21" t="str">
        <f>IF(Deployments!AV7="","",Deployments!AV7)</f>
        <v/>
      </c>
      <c r="U7" s="21" t="str">
        <f>IF(Deployments!AW7="","",Deployments!AW7)</f>
        <v/>
      </c>
      <c r="V7" s="21" t="str">
        <f>IF(Deployments!BA7="","",Deployments!BA7)</f>
        <v>Yes</v>
      </c>
      <c r="W7" s="21" t="str">
        <f>IF(Deployments!BC7="","",Deployments!BC7)</f>
        <v>Firmware Installed</v>
      </c>
      <c r="X7" s="21" t="str">
        <f>IF(Deployments!BK7="","",Deployments!BK7)</f>
        <v>Power Cable, Battery, Epic Beans Relay</v>
      </c>
      <c r="Y7" s="21" t="str">
        <f>IF(Deployments!BB7="","",Deployments!BB7)</f>
        <v/>
      </c>
      <c r="Z7" s="21" t="str">
        <f>IF(Deployments!T7="","",Deployments!T7)</f>
        <v/>
      </c>
      <c r="AA7" s="21" t="str">
        <f>IF(Deployments!L7="","",Deployments!L7)</f>
        <v/>
      </c>
    </row>
    <row r="8" spans="1:29" ht="45.75" customHeight="1">
      <c r="A8" s="22"/>
      <c r="B8" s="22"/>
      <c r="C8" s="21" t="str">
        <f>IF(Deployments!H8="","",Deployments!H8)</f>
        <v>LIJ SDF</v>
      </c>
      <c r="D8" s="21" t="str">
        <f>IF(Deployments!AH8="","",Deployments!AH8)</f>
        <v>Ground Level/Dialysis</v>
      </c>
      <c r="E8" s="21" t="str">
        <f>IF(Deployments!I8="","",Deployments!I8)</f>
        <v>Open Patient Area</v>
      </c>
      <c r="F8" s="21">
        <f>IF(Deployments!J8="","",Deployments!J8)</f>
        <v>7</v>
      </c>
      <c r="G8" s="21" t="str">
        <f>IF(Deployments!K8="","",Deployments!K8)</f>
        <v>BSM 035 A</v>
      </c>
      <c r="H8" s="21" t="str">
        <f>IF(Deployments!A8="","",Deployments!A8)</f>
        <v>Neuron</v>
      </c>
      <c r="I8" s="21" t="str">
        <f>IF(Deployments!AI8="","",Deployments!AI8)</f>
        <v>Fresenius BlueStar</v>
      </c>
      <c r="J8" s="21" t="str">
        <f>IF(Deployments!AJ8="","",Deployments!AJ8)</f>
        <v>2008T</v>
      </c>
      <c r="K8" s="21" t="str">
        <f>IF(Deployments!AD8="","",Deployments!AD8)</f>
        <v>Dialysis Machine</v>
      </c>
      <c r="L8" s="21" t="str">
        <f>IF(Deployments!M8="","",Deployments!M8)</f>
        <v/>
      </c>
      <c r="M8" s="22"/>
      <c r="N8" s="21" t="str">
        <f>IF(Deployments!N8="","",Deployments!N8)</f>
        <v>NA</v>
      </c>
      <c r="O8" s="21" t="str">
        <f>IF(Deployments!O8="","",Deployments!O8)</f>
        <v>NA</v>
      </c>
      <c r="P8" s="21" t="str">
        <f>IF(Deployments!P8="","",Deployments!P8)</f>
        <v>NA</v>
      </c>
      <c r="Q8" s="22"/>
      <c r="R8" s="21" t="str">
        <f>IF(Deployments!AY8="","",Deployments!AY8)</f>
        <v/>
      </c>
      <c r="S8" s="21" t="str">
        <f>IF(Deployments!AX8="","",Deployments!AX8)</f>
        <v/>
      </c>
      <c r="T8" s="21" t="str">
        <f>IF(Deployments!AV8="","",Deployments!AV8)</f>
        <v/>
      </c>
      <c r="U8" s="21" t="str">
        <f>IF(Deployments!AW8="","",Deployments!AW8)</f>
        <v/>
      </c>
      <c r="V8" s="21" t="str">
        <f>IF(Deployments!BA8="","",Deployments!BA8)</f>
        <v>Yes</v>
      </c>
      <c r="W8" s="21" t="str">
        <f>IF(Deployments!BC8="","",Deployments!BC8)</f>
        <v>Firmware Installed</v>
      </c>
      <c r="X8" s="21" t="str">
        <f>IF(Deployments!BK8="","",Deployments!BK8)</f>
        <v>Power Cable, Battery, Epic Beans Relay</v>
      </c>
      <c r="Y8" s="21" t="str">
        <f>IF(Deployments!BB8="","",Deployments!BB8)</f>
        <v/>
      </c>
      <c r="Z8" s="21" t="str">
        <f>IF(Deployments!T8="","",Deployments!T8)</f>
        <v/>
      </c>
      <c r="AA8" s="21" t="str">
        <f>IF(Deployments!L8="","",Deployments!L8)</f>
        <v/>
      </c>
    </row>
    <row r="9" spans="1:29" ht="45.75" customHeight="1">
      <c r="A9" s="22"/>
      <c r="B9" s="22"/>
      <c r="C9" s="21" t="str">
        <f>IF(Deployments!H9="","",Deployments!H9)</f>
        <v>LIJ SDF</v>
      </c>
      <c r="D9" s="21" t="str">
        <f>IF(Deployments!AH9="","",Deployments!AH9)</f>
        <v>Ground Level/Dialysis</v>
      </c>
      <c r="E9" s="21" t="str">
        <f>IF(Deployments!I9="","",Deployments!I9)</f>
        <v>Open Patient Area</v>
      </c>
      <c r="F9" s="21">
        <f>IF(Deployments!J9="","",Deployments!J9)</f>
        <v>8</v>
      </c>
      <c r="G9" s="21" t="str">
        <f>IF(Deployments!K9="","",Deployments!K9)</f>
        <v>BSM 035 B</v>
      </c>
      <c r="H9" s="21" t="str">
        <f>IF(Deployments!A9="","",Deployments!A9)</f>
        <v>Neuron</v>
      </c>
      <c r="I9" s="21" t="str">
        <f>IF(Deployments!AI9="","",Deployments!AI9)</f>
        <v>Fresenius BlueStar</v>
      </c>
      <c r="J9" s="21" t="str">
        <f>IF(Deployments!AJ9="","",Deployments!AJ9)</f>
        <v>2008T</v>
      </c>
      <c r="K9" s="21" t="str">
        <f>IF(Deployments!AD9="","",Deployments!AD9)</f>
        <v>Dialysis Machine</v>
      </c>
      <c r="L9" s="21" t="str">
        <f>IF(Deployments!M9="","",Deployments!M9)</f>
        <v/>
      </c>
      <c r="M9" s="22"/>
      <c r="N9" s="21" t="str">
        <f>IF(Deployments!N9="","",Deployments!N9)</f>
        <v>NA</v>
      </c>
      <c r="O9" s="21" t="str">
        <f>IF(Deployments!O9="","",Deployments!O9)</f>
        <v>NA</v>
      </c>
      <c r="P9" s="21" t="str">
        <f>IF(Deployments!P9="","",Deployments!P9)</f>
        <v>NA</v>
      </c>
      <c r="Q9" s="22"/>
      <c r="R9" s="21" t="str">
        <f>IF(Deployments!AY9="","",Deployments!AY9)</f>
        <v/>
      </c>
      <c r="S9" s="21" t="str">
        <f>IF(Deployments!AX9="","",Deployments!AX9)</f>
        <v/>
      </c>
      <c r="T9" s="21" t="str">
        <f>IF(Deployments!AV9="","",Deployments!AV9)</f>
        <v/>
      </c>
      <c r="U9" s="21" t="str">
        <f>IF(Deployments!AW9="","",Deployments!AW9)</f>
        <v/>
      </c>
      <c r="V9" s="21" t="str">
        <f>IF(Deployments!BA9="","",Deployments!BA9)</f>
        <v>Yes</v>
      </c>
      <c r="W9" s="21" t="str">
        <f>IF(Deployments!BC9="","",Deployments!BC9)</f>
        <v>Firmware Installed</v>
      </c>
      <c r="X9" s="21" t="str">
        <f>IF(Deployments!BK9="","",Deployments!BK9)</f>
        <v>Power Cable, Battery, Epic Beans Relay</v>
      </c>
      <c r="Y9" s="21" t="str">
        <f>IF(Deployments!BB9="","",Deployments!BB9)</f>
        <v/>
      </c>
      <c r="Z9" s="21" t="str">
        <f>IF(Deployments!T9="","",Deployments!T9)</f>
        <v/>
      </c>
      <c r="AA9" s="21" t="str">
        <f>IF(Deployments!L9="","",Deployments!L9)</f>
        <v/>
      </c>
    </row>
    <row r="10" spans="1:29" ht="45.75" customHeight="1">
      <c r="A10" s="22"/>
      <c r="B10" s="22"/>
      <c r="C10" s="21" t="str">
        <f>IF(Deployments!H10="","",Deployments!H10)</f>
        <v>LIJ SDF</v>
      </c>
      <c r="D10" s="21" t="str">
        <f>IF(Deployments!AH10="","",Deployments!AH10)</f>
        <v>Ground Level/Dialysis</v>
      </c>
      <c r="E10" s="21" t="str">
        <f>IF(Deployments!I10="","",Deployments!I10)</f>
        <v>Open Patient Area</v>
      </c>
      <c r="F10" s="21">
        <f>IF(Deployments!J10="","",Deployments!J10)</f>
        <v>9</v>
      </c>
      <c r="G10" s="21" t="str">
        <f>IF(Deployments!K10="","",Deployments!K10)</f>
        <v>BSM 036 A</v>
      </c>
      <c r="H10" s="21" t="str">
        <f>IF(Deployments!A10="","",Deployments!A10)</f>
        <v>Neuron</v>
      </c>
      <c r="I10" s="21" t="str">
        <f>IF(Deployments!AI10="","",Deployments!AI10)</f>
        <v>Fresenius BlueStar</v>
      </c>
      <c r="J10" s="21" t="str">
        <f>IF(Deployments!AJ10="","",Deployments!AJ10)</f>
        <v>2008T</v>
      </c>
      <c r="K10" s="21" t="str">
        <f>IF(Deployments!AD10="","",Deployments!AD10)</f>
        <v>Dialysis Machine</v>
      </c>
      <c r="L10" s="21" t="str">
        <f>IF(Deployments!M10="","",Deployments!M10)</f>
        <v/>
      </c>
      <c r="M10" s="22"/>
      <c r="N10" s="21" t="str">
        <f>IF(Deployments!N10="","",Deployments!N10)</f>
        <v>NA</v>
      </c>
      <c r="O10" s="21" t="str">
        <f>IF(Deployments!O10="","",Deployments!O10)</f>
        <v>NA</v>
      </c>
      <c r="P10" s="21" t="str">
        <f>IF(Deployments!P10="","",Deployments!P10)</f>
        <v>NA</v>
      </c>
      <c r="Q10" s="22"/>
      <c r="R10" s="21" t="str">
        <f>IF(Deployments!AY10="","",Deployments!AY10)</f>
        <v/>
      </c>
      <c r="S10" s="21" t="str">
        <f>IF(Deployments!AX10="","",Deployments!AX10)</f>
        <v/>
      </c>
      <c r="T10" s="21" t="str">
        <f>IF(Deployments!AV10="","",Deployments!AV10)</f>
        <v/>
      </c>
      <c r="U10" s="21" t="str">
        <f>IF(Deployments!AW10="","",Deployments!AW10)</f>
        <v/>
      </c>
      <c r="V10" s="21" t="str">
        <f>IF(Deployments!BA10="","",Deployments!BA10)</f>
        <v>Yes</v>
      </c>
      <c r="W10" s="21" t="str">
        <f>IF(Deployments!BC10="","",Deployments!BC10)</f>
        <v>Firmware Installed</v>
      </c>
      <c r="X10" s="21" t="str">
        <f>IF(Deployments!BK10="","",Deployments!BK10)</f>
        <v>Power Cable, Battery, Epic Beans Relay</v>
      </c>
      <c r="Y10" s="21" t="str">
        <f>IF(Deployments!BB10="","",Deployments!BB10)</f>
        <v/>
      </c>
      <c r="Z10" s="21" t="str">
        <f>IF(Deployments!T10="","",Deployments!T10)</f>
        <v/>
      </c>
      <c r="AA10" s="21" t="str">
        <f>IF(Deployments!L10="","",Deployments!L10)</f>
        <v/>
      </c>
    </row>
    <row r="11" spans="1:29" ht="45.75" customHeight="1">
      <c r="A11" s="22"/>
      <c r="B11" s="22"/>
      <c r="C11" s="21" t="str">
        <f>IF(Deployments!H11="","",Deployments!H11)</f>
        <v>LIJ SDF</v>
      </c>
      <c r="D11" s="21" t="str">
        <f>IF(Deployments!AH11="","",Deployments!AH11)</f>
        <v>Ground Level/Dialysis</v>
      </c>
      <c r="E11" s="21" t="str">
        <f>IF(Deployments!I11="","",Deployments!I11)</f>
        <v>Open Patient Area</v>
      </c>
      <c r="F11" s="21">
        <f>IF(Deployments!J11="","",Deployments!J11)</f>
        <v>10</v>
      </c>
      <c r="G11" s="21" t="str">
        <f>IF(Deployments!K11="","",Deployments!K11)</f>
        <v>BSM 036 B</v>
      </c>
      <c r="H11" s="21" t="str">
        <f>IF(Deployments!A11="","",Deployments!A11)</f>
        <v>Neuron</v>
      </c>
      <c r="I11" s="21" t="str">
        <f>IF(Deployments!AI11="","",Deployments!AI11)</f>
        <v>Fresenius BlueStar</v>
      </c>
      <c r="J11" s="21" t="str">
        <f>IF(Deployments!AJ11="","",Deployments!AJ11)</f>
        <v>2008T</v>
      </c>
      <c r="K11" s="21" t="str">
        <f>IF(Deployments!AD11="","",Deployments!AD11)</f>
        <v>Dialysis Machine</v>
      </c>
      <c r="L11" s="21" t="str">
        <f>IF(Deployments!M11="","",Deployments!M11)</f>
        <v/>
      </c>
      <c r="M11" s="22"/>
      <c r="N11" s="21" t="str">
        <f>IF(Deployments!N11="","",Deployments!N11)</f>
        <v>NA</v>
      </c>
      <c r="O11" s="21" t="str">
        <f>IF(Deployments!O11="","",Deployments!O11)</f>
        <v>NA</v>
      </c>
      <c r="P11" s="21" t="str">
        <f>IF(Deployments!P11="","",Deployments!P11)</f>
        <v>NA</v>
      </c>
      <c r="Q11" s="22"/>
      <c r="R11" s="21" t="str">
        <f>IF(Deployments!AY11="","",Deployments!AY11)</f>
        <v/>
      </c>
      <c r="S11" s="21" t="str">
        <f>IF(Deployments!AX11="","",Deployments!AX11)</f>
        <v/>
      </c>
      <c r="T11" s="21" t="str">
        <f>IF(Deployments!AV11="","",Deployments!AV11)</f>
        <v/>
      </c>
      <c r="U11" s="21" t="str">
        <f>IF(Deployments!AW11="","",Deployments!AW11)</f>
        <v/>
      </c>
      <c r="V11" s="21" t="str">
        <f>IF(Deployments!BA11="","",Deployments!BA11)</f>
        <v>Yes</v>
      </c>
      <c r="W11" s="21" t="str">
        <f>IF(Deployments!BC11="","",Deployments!BC11)</f>
        <v>Firmware Installed</v>
      </c>
      <c r="X11" s="21" t="str">
        <f>IF(Deployments!BK11="","",Deployments!BK11)</f>
        <v>Power Cable, Battery, Epic Beans Relay</v>
      </c>
      <c r="Y11" s="21" t="str">
        <f>IF(Deployments!BB11="","",Deployments!BB11)</f>
        <v/>
      </c>
      <c r="Z11" s="21" t="str">
        <f>IF(Deployments!T11="","",Deployments!T11)</f>
        <v/>
      </c>
      <c r="AA11" s="21" t="str">
        <f>IF(Deployments!L11="","",Deployments!L11)</f>
        <v/>
      </c>
    </row>
    <row r="12" spans="1:29" ht="45.75" customHeight="1">
      <c r="A12" s="22"/>
      <c r="B12" s="22"/>
      <c r="C12" s="21" t="str">
        <f>IF(Deployments!H12="","",Deployments!H12)</f>
        <v>LIJ SDF</v>
      </c>
      <c r="D12" s="21" t="str">
        <f>IF(Deployments!AH12="","",Deployments!AH12)</f>
        <v>Ground Level/Dialysis</v>
      </c>
      <c r="E12" s="21" t="str">
        <f>IF(Deployments!I12="","",Deployments!I12)</f>
        <v>Open Patient Area</v>
      </c>
      <c r="F12" s="21">
        <f>IF(Deployments!J12="","",Deployments!J12)</f>
        <v>11</v>
      </c>
      <c r="G12" s="21" t="str">
        <f>IF(Deployments!K12="","",Deployments!K12)</f>
        <v>BSM 047 D</v>
      </c>
      <c r="H12" s="21" t="str">
        <f>IF(Deployments!A12="","",Deployments!A12)</f>
        <v>Neuron</v>
      </c>
      <c r="I12" s="21" t="str">
        <f>IF(Deployments!AI12="","",Deployments!AI12)</f>
        <v>Fresenius BlueStar</v>
      </c>
      <c r="J12" s="21" t="str">
        <f>IF(Deployments!AJ12="","",Deployments!AJ12)</f>
        <v>2008T</v>
      </c>
      <c r="K12" s="21" t="str">
        <f>IF(Deployments!AD12="","",Deployments!AD12)</f>
        <v>Dialysis Machine</v>
      </c>
      <c r="L12" s="21" t="str">
        <f>IF(Deployments!M12="","",Deployments!M12)</f>
        <v/>
      </c>
      <c r="M12" s="22"/>
      <c r="N12" s="21" t="str">
        <f>IF(Deployments!N12="","",Deployments!N12)</f>
        <v>NA</v>
      </c>
      <c r="O12" s="21" t="str">
        <f>IF(Deployments!O12="","",Deployments!O12)</f>
        <v>NA</v>
      </c>
      <c r="P12" s="21" t="str">
        <f>IF(Deployments!P12="","",Deployments!P12)</f>
        <v>NA</v>
      </c>
      <c r="Q12" s="22"/>
      <c r="R12" s="21" t="str">
        <f>IF(Deployments!AY12="","",Deployments!AY12)</f>
        <v/>
      </c>
      <c r="S12" s="21" t="str">
        <f>IF(Deployments!AX12="","",Deployments!AX12)</f>
        <v/>
      </c>
      <c r="T12" s="21" t="str">
        <f>IF(Deployments!AV12="","",Deployments!AV12)</f>
        <v/>
      </c>
      <c r="U12" s="21" t="str">
        <f>IF(Deployments!AW12="","",Deployments!AW12)</f>
        <v/>
      </c>
      <c r="V12" s="21" t="str">
        <f>IF(Deployments!BA12="","",Deployments!BA12)</f>
        <v>Yes</v>
      </c>
      <c r="W12" s="21" t="str">
        <f>IF(Deployments!BC12="","",Deployments!BC12)</f>
        <v>Firmware Installed</v>
      </c>
      <c r="X12" s="21" t="str">
        <f>IF(Deployments!BK12="","",Deployments!BK12)</f>
        <v>Power Cable, Battery, Epic Beans Relay</v>
      </c>
      <c r="Y12" s="21" t="str">
        <f>IF(Deployments!BB12="","",Deployments!BB12)</f>
        <v>SN scratched off slightly;</v>
      </c>
      <c r="Z12" s="21" t="str">
        <f>IF(Deployments!T12="","",Deployments!T12)</f>
        <v/>
      </c>
      <c r="AA12" s="21" t="str">
        <f>IF(Deployments!L12="","",Deployments!L12)</f>
        <v/>
      </c>
    </row>
    <row r="13" spans="1:29" ht="45.75" customHeight="1">
      <c r="A13" s="22"/>
      <c r="B13" s="22"/>
      <c r="C13" s="21" t="str">
        <f>IF(Deployments!H13="","",Deployments!H13)</f>
        <v>LIJ SDF</v>
      </c>
      <c r="D13" s="21" t="str">
        <f>IF(Deployments!AH13="","",Deployments!AH13)</f>
        <v>Ground Level/Dialysis</v>
      </c>
      <c r="E13" s="21" t="str">
        <f>IF(Deployments!I13="","",Deployments!I13)</f>
        <v>Open Patient Area</v>
      </c>
      <c r="F13" s="21">
        <f>IF(Deployments!J13="","",Deployments!J13)</f>
        <v>12</v>
      </c>
      <c r="G13" s="21" t="str">
        <f>IF(Deployments!K13="","",Deployments!K13)</f>
        <v>BSM 050 D</v>
      </c>
      <c r="H13" s="21" t="str">
        <f>IF(Deployments!A13="","",Deployments!A13)</f>
        <v>Neuron</v>
      </c>
      <c r="I13" s="21" t="str">
        <f>IF(Deployments!AI13="","",Deployments!AI13)</f>
        <v>Fresenius BlueStar</v>
      </c>
      <c r="J13" s="21" t="str">
        <f>IF(Deployments!AJ13="","",Deployments!AJ13)</f>
        <v>2008T</v>
      </c>
      <c r="K13" s="21" t="str">
        <f>IF(Deployments!AD13="","",Deployments!AD13)</f>
        <v>Dialysis Machine</v>
      </c>
      <c r="L13" s="21" t="str">
        <f>IF(Deployments!M13="","",Deployments!M13)</f>
        <v/>
      </c>
      <c r="M13" s="22"/>
      <c r="N13" s="21" t="str">
        <f>IF(Deployments!N13="","",Deployments!N13)</f>
        <v>NA</v>
      </c>
      <c r="O13" s="21" t="str">
        <f>IF(Deployments!O13="","",Deployments!O13)</f>
        <v>NA</v>
      </c>
      <c r="P13" s="21" t="str">
        <f>IF(Deployments!P13="","",Deployments!P13)</f>
        <v>NA</v>
      </c>
      <c r="Q13" s="22"/>
      <c r="R13" s="21" t="str">
        <f>IF(Deployments!AY13="","",Deployments!AY13)</f>
        <v/>
      </c>
      <c r="S13" s="21" t="str">
        <f>IF(Deployments!AX13="","",Deployments!AX13)</f>
        <v/>
      </c>
      <c r="T13" s="21" t="str">
        <f>IF(Deployments!AV13="","",Deployments!AV13)</f>
        <v/>
      </c>
      <c r="U13" s="21" t="str">
        <f>IF(Deployments!AW13="","",Deployments!AW13)</f>
        <v/>
      </c>
      <c r="V13" s="21" t="str">
        <f>IF(Deployments!BA13="","",Deployments!BA13)</f>
        <v>Yes</v>
      </c>
      <c r="W13" s="21" t="str">
        <f>IF(Deployments!BC13="","",Deployments!BC13)</f>
        <v>Firmware Installed</v>
      </c>
      <c r="X13" s="21" t="str">
        <f>IF(Deployments!BK13="","",Deployments!BK13)</f>
        <v>Power Cable, Battery, Epic Beans Relay</v>
      </c>
      <c r="Y13" s="21" t="str">
        <f>IF(Deployments!BB13="","",Deployments!BB13)</f>
        <v/>
      </c>
      <c r="Z13" s="21" t="str">
        <f>IF(Deployments!T13="","",Deployments!T13)</f>
        <v/>
      </c>
      <c r="AA13" s="21" t="str">
        <f>IF(Deployments!L13="","",Deployments!L13)</f>
        <v/>
      </c>
    </row>
    <row r="14" spans="1:29" ht="45.75" customHeight="1">
      <c r="A14" s="22"/>
      <c r="B14" s="22"/>
      <c r="C14" s="21" t="str">
        <f>IF(Deployments!H14="","",Deployments!H14)</f>
        <v>LIJ SDF</v>
      </c>
      <c r="D14" s="21" t="str">
        <f>IF(Deployments!AH14="","",Deployments!AH14)</f>
        <v>Ground Level/Dialysis</v>
      </c>
      <c r="E14" s="21" t="str">
        <f>IF(Deployments!I14="","",Deployments!I14)</f>
        <v>Open Patient Area</v>
      </c>
      <c r="F14" s="21">
        <f>IF(Deployments!J14="","",Deployments!J14)</f>
        <v>13</v>
      </c>
      <c r="G14" s="21" t="str">
        <f>IF(Deployments!K14="","",Deployments!K14)</f>
        <v>BSM 038 A</v>
      </c>
      <c r="H14" s="21" t="str">
        <f>IF(Deployments!A14="","",Deployments!A14)</f>
        <v>Neuron</v>
      </c>
      <c r="I14" s="21" t="str">
        <f>IF(Deployments!AI14="","",Deployments!AI14)</f>
        <v>Fresenius BlueStar</v>
      </c>
      <c r="J14" s="21" t="str">
        <f>IF(Deployments!AJ14="","",Deployments!AJ14)</f>
        <v>2008T</v>
      </c>
      <c r="K14" s="21" t="str">
        <f>IF(Deployments!AD14="","",Deployments!AD14)</f>
        <v>Dialysis Machine</v>
      </c>
      <c r="L14" s="21" t="str">
        <f>IF(Deployments!M14="","",Deployments!M14)</f>
        <v/>
      </c>
      <c r="M14" s="22"/>
      <c r="N14" s="21" t="str">
        <f>IF(Deployments!N14="","",Deployments!N14)</f>
        <v>NA</v>
      </c>
      <c r="O14" s="21" t="str">
        <f>IF(Deployments!O14="","",Deployments!O14)</f>
        <v>NA</v>
      </c>
      <c r="P14" s="21" t="str">
        <f>IF(Deployments!P14="","",Deployments!P14)</f>
        <v>NA</v>
      </c>
      <c r="Q14" s="22"/>
      <c r="R14" s="21" t="str">
        <f>IF(Deployments!AY14="","",Deployments!AY14)</f>
        <v/>
      </c>
      <c r="S14" s="21" t="str">
        <f>IF(Deployments!AX14="","",Deployments!AX14)</f>
        <v/>
      </c>
      <c r="T14" s="21" t="str">
        <f>IF(Deployments!AV14="","",Deployments!AV14)</f>
        <v/>
      </c>
      <c r="U14" s="21" t="str">
        <f>IF(Deployments!AW14="","",Deployments!AW14)</f>
        <v/>
      </c>
      <c r="V14" s="21" t="str">
        <f>IF(Deployments!BA14="","",Deployments!BA14)</f>
        <v>Yes</v>
      </c>
      <c r="W14" s="21" t="str">
        <f>IF(Deployments!BC14="","",Deployments!BC14)</f>
        <v>Firmware Installed</v>
      </c>
      <c r="X14" s="21" t="str">
        <f>IF(Deployments!BK14="","",Deployments!BK14)</f>
        <v>Power Cable, Battery, Epic Beans Relay</v>
      </c>
      <c r="Y14" s="21" t="str">
        <f>IF(Deployments!BB14="","",Deployments!BB14)</f>
        <v/>
      </c>
      <c r="Z14" s="21" t="str">
        <f>IF(Deployments!T14="","",Deployments!T14)</f>
        <v/>
      </c>
      <c r="AA14" s="21" t="str">
        <f>IF(Deployments!L14="","",Deployments!L14)</f>
        <v/>
      </c>
    </row>
    <row r="15" spans="1:29" ht="45.75" customHeight="1">
      <c r="A15" s="22"/>
      <c r="B15" s="22"/>
      <c r="C15" s="21" t="str">
        <f>IF(Deployments!H15="","",Deployments!H15)</f>
        <v>LIJ SDF</v>
      </c>
      <c r="D15" s="21" t="str">
        <f>IF(Deployments!AH15="","",Deployments!AH15)</f>
        <v>Ground Level/Dialysis</v>
      </c>
      <c r="E15" s="21" t="str">
        <f>IF(Deployments!I15="","",Deployments!I15)</f>
        <v>Open Patient Area</v>
      </c>
      <c r="F15" s="21">
        <f>IF(Deployments!J15="","",Deployments!J15)</f>
        <v>14</v>
      </c>
      <c r="G15" s="21" t="str">
        <f>IF(Deployments!K15="","",Deployments!K15)</f>
        <v>BSM 038 B</v>
      </c>
      <c r="H15" s="21" t="str">
        <f>IF(Deployments!A15="","",Deployments!A15)</f>
        <v>Neuron</v>
      </c>
      <c r="I15" s="21" t="str">
        <f>IF(Deployments!AI15="","",Deployments!AI15)</f>
        <v>Fresenius BlueStar</v>
      </c>
      <c r="J15" s="21" t="str">
        <f>IF(Deployments!AJ15="","",Deployments!AJ15)</f>
        <v>2008T</v>
      </c>
      <c r="K15" s="21" t="str">
        <f>IF(Deployments!AD15="","",Deployments!AD15)</f>
        <v>Dialysis Machine</v>
      </c>
      <c r="L15" s="21" t="str">
        <f>IF(Deployments!M15="","",Deployments!M15)</f>
        <v/>
      </c>
      <c r="M15" s="22"/>
      <c r="N15" s="21" t="str">
        <f>IF(Deployments!N15="","",Deployments!N15)</f>
        <v>NA</v>
      </c>
      <c r="O15" s="21" t="str">
        <f>IF(Deployments!O15="","",Deployments!O15)</f>
        <v>NA</v>
      </c>
      <c r="P15" s="21" t="str">
        <f>IF(Deployments!P15="","",Deployments!P15)</f>
        <v>NA</v>
      </c>
      <c r="Q15" s="22"/>
      <c r="R15" s="21" t="str">
        <f>IF(Deployments!AY15="","",Deployments!AY15)</f>
        <v/>
      </c>
      <c r="S15" s="21" t="str">
        <f>IF(Deployments!AX15="","",Deployments!AX15)</f>
        <v/>
      </c>
      <c r="T15" s="21" t="str">
        <f>IF(Deployments!AV15="","",Deployments!AV15)</f>
        <v/>
      </c>
      <c r="U15" s="21" t="str">
        <f>IF(Deployments!AW15="","",Deployments!AW15)</f>
        <v/>
      </c>
      <c r="V15" s="21" t="str">
        <f>IF(Deployments!BA15="","",Deployments!BA15)</f>
        <v>Yes</v>
      </c>
      <c r="W15" s="21" t="str">
        <f>IF(Deployments!BC15="","",Deployments!BC15)</f>
        <v>Firmware Installed</v>
      </c>
      <c r="X15" s="21" t="str">
        <f>IF(Deployments!BK15="","",Deployments!BK15)</f>
        <v>Power Cable, Battery, Epic Beans Relay</v>
      </c>
      <c r="Y15" s="21" t="str">
        <f>IF(Deployments!BB15="","",Deployments!BB15)</f>
        <v/>
      </c>
      <c r="Z15" s="21" t="str">
        <f>IF(Deployments!T15="","",Deployments!T15)</f>
        <v/>
      </c>
      <c r="AA15" s="21" t="str">
        <f>IF(Deployments!L15="","",Deployments!L15)</f>
        <v/>
      </c>
    </row>
    <row r="16" spans="1:29" ht="45.75" customHeight="1">
      <c r="A16" s="22"/>
      <c r="B16" s="22"/>
      <c r="C16" s="21" t="str">
        <f>IF(Deployments!H16="","",Deployments!H16)</f>
        <v>LIJ SDF</v>
      </c>
      <c r="D16" s="21" t="str">
        <f>IF(Deployments!AH16="","",Deployments!AH16)</f>
        <v>Ground Level/Dialysis</v>
      </c>
      <c r="E16" s="21" t="str">
        <f>IF(Deployments!I16="","",Deployments!I16)</f>
        <v>Open Patient Area</v>
      </c>
      <c r="F16" s="21">
        <f>IF(Deployments!J16="","",Deployments!J16)</f>
        <v>15</v>
      </c>
      <c r="G16" s="21" t="str">
        <f>IF(Deployments!K16="","",Deployments!K16)</f>
        <v>BSM 039 A</v>
      </c>
      <c r="H16" s="21" t="str">
        <f>IF(Deployments!A16="","",Deployments!A16)</f>
        <v>Neuron</v>
      </c>
      <c r="I16" s="21" t="str">
        <f>IF(Deployments!AI16="","",Deployments!AI16)</f>
        <v>Fresenius BlueStar</v>
      </c>
      <c r="J16" s="21" t="str">
        <f>IF(Deployments!AJ16="","",Deployments!AJ16)</f>
        <v>2008T</v>
      </c>
      <c r="K16" s="21" t="str">
        <f>IF(Deployments!AD16="","",Deployments!AD16)</f>
        <v>Dialysis Machine</v>
      </c>
      <c r="L16" s="21" t="str">
        <f>IF(Deployments!M16="","",Deployments!M16)</f>
        <v/>
      </c>
      <c r="M16" s="22"/>
      <c r="N16" s="21" t="str">
        <f>IF(Deployments!N16="","",Deployments!N16)</f>
        <v>NA</v>
      </c>
      <c r="O16" s="21" t="str">
        <f>IF(Deployments!O16="","",Deployments!O16)</f>
        <v>NA</v>
      </c>
      <c r="P16" s="21" t="str">
        <f>IF(Deployments!P16="","",Deployments!P16)</f>
        <v>NA</v>
      </c>
      <c r="Q16" s="22"/>
      <c r="R16" s="21" t="str">
        <f>IF(Deployments!AY16="","",Deployments!AY16)</f>
        <v/>
      </c>
      <c r="S16" s="21" t="str">
        <f>IF(Deployments!AX16="","",Deployments!AX16)</f>
        <v/>
      </c>
      <c r="T16" s="21" t="str">
        <f>IF(Deployments!AV16="","",Deployments!AV16)</f>
        <v/>
      </c>
      <c r="U16" s="21" t="str">
        <f>IF(Deployments!AW16="","",Deployments!AW16)</f>
        <v/>
      </c>
      <c r="V16" s="21" t="str">
        <f>IF(Deployments!BA16="","",Deployments!BA16)</f>
        <v>Yes</v>
      </c>
      <c r="W16" s="21" t="str">
        <f>IF(Deployments!BC16="","",Deployments!BC16)</f>
        <v>Firmware Installed</v>
      </c>
      <c r="X16" s="21" t="str">
        <f>IF(Deployments!BK16="","",Deployments!BK16)</f>
        <v>Power Cable, Battery, Epic Beans Relay</v>
      </c>
      <c r="Y16" s="21" t="str">
        <f>IF(Deployments!BB16="","",Deployments!BB16)</f>
        <v/>
      </c>
      <c r="Z16" s="21" t="str">
        <f>IF(Deployments!T16="","",Deployments!T16)</f>
        <v/>
      </c>
      <c r="AA16" s="21" t="str">
        <f>IF(Deployments!L16="","",Deployments!L16)</f>
        <v/>
      </c>
    </row>
    <row r="17" spans="1:27" ht="45.75" customHeight="1">
      <c r="A17" s="22"/>
      <c r="B17" s="22"/>
      <c r="C17" s="21" t="str">
        <f>IF(Deployments!H17="","",Deployments!H17)</f>
        <v>LIJ SDF</v>
      </c>
      <c r="D17" s="21" t="str">
        <f>IF(Deployments!AH17="","",Deployments!AH17)</f>
        <v>Ground Level/Dialysis</v>
      </c>
      <c r="E17" s="21" t="str">
        <f>IF(Deployments!I17="","",Deployments!I17)</f>
        <v>Open Patient Area</v>
      </c>
      <c r="F17" s="21">
        <f>IF(Deployments!J17="","",Deployments!J17)</f>
        <v>16</v>
      </c>
      <c r="G17" s="21" t="str">
        <f>IF(Deployments!K17="","",Deployments!K17)</f>
        <v>BSM 039 B</v>
      </c>
      <c r="H17" s="21" t="str">
        <f>IF(Deployments!A17="","",Deployments!A17)</f>
        <v>Neuron</v>
      </c>
      <c r="I17" s="21" t="str">
        <f>IF(Deployments!AI17="","",Deployments!AI17)</f>
        <v>Fresenius BlueStar</v>
      </c>
      <c r="J17" s="21" t="str">
        <f>IF(Deployments!AJ17="","",Deployments!AJ17)</f>
        <v>2008T</v>
      </c>
      <c r="K17" s="21" t="str">
        <f>IF(Deployments!AD17="","",Deployments!AD17)</f>
        <v>Dialysis Machine</v>
      </c>
      <c r="L17" s="21" t="str">
        <f>IF(Deployments!M17="","",Deployments!M17)</f>
        <v/>
      </c>
      <c r="M17" s="22"/>
      <c r="N17" s="21" t="str">
        <f>IF(Deployments!N17="","",Deployments!N17)</f>
        <v>NA</v>
      </c>
      <c r="O17" s="21" t="str">
        <f>IF(Deployments!O17="","",Deployments!O17)</f>
        <v>NA</v>
      </c>
      <c r="P17" s="21" t="str">
        <f>IF(Deployments!P17="","",Deployments!P17)</f>
        <v>NA</v>
      </c>
      <c r="Q17" s="22"/>
      <c r="R17" s="21" t="str">
        <f>IF(Deployments!AY17="","",Deployments!AY17)</f>
        <v/>
      </c>
      <c r="S17" s="21" t="str">
        <f>IF(Deployments!AX17="","",Deployments!AX17)</f>
        <v/>
      </c>
      <c r="T17" s="21" t="str">
        <f>IF(Deployments!AV17="","",Deployments!AV17)</f>
        <v/>
      </c>
      <c r="U17" s="21" t="str">
        <f>IF(Deployments!AW17="","",Deployments!AW17)</f>
        <v/>
      </c>
      <c r="V17" s="21" t="str">
        <f>IF(Deployments!BA17="","",Deployments!BA17)</f>
        <v>Yes</v>
      </c>
      <c r="W17" s="21" t="str">
        <f>IF(Deployments!BC17="","",Deployments!BC17)</f>
        <v>Firmware Installed</v>
      </c>
      <c r="X17" s="21" t="str">
        <f>IF(Deployments!BK17="","",Deployments!BK17)</f>
        <v>Power Cable, Battery, Epic Beans Relay</v>
      </c>
      <c r="Y17" s="21" t="str">
        <f>IF(Deployments!BB17="","",Deployments!BB17)</f>
        <v/>
      </c>
      <c r="Z17" s="21" t="str">
        <f>IF(Deployments!T17="","",Deployments!T17)</f>
        <v/>
      </c>
      <c r="AA17" s="21" t="str">
        <f>IF(Deployments!L17="","",Deployments!L17)</f>
        <v/>
      </c>
    </row>
    <row r="18" spans="1:27" ht="45.75" customHeight="1">
      <c r="A18" s="22"/>
      <c r="B18" s="22"/>
      <c r="C18" s="21" t="str">
        <f>IF(Deployments!H18="","",Deployments!H18)</f>
        <v>LIJ SDF</v>
      </c>
      <c r="D18" s="21" t="str">
        <f>IF(Deployments!AH18="","",Deployments!AH18)</f>
        <v>Ground Level/Dialysis</v>
      </c>
      <c r="E18" s="21" t="str">
        <f>IF(Deployments!I18="","",Deployments!I18)</f>
        <v>Open Patient Area</v>
      </c>
      <c r="F18" s="21">
        <f>IF(Deployments!J18="","",Deployments!J18)</f>
        <v>17</v>
      </c>
      <c r="G18" s="21" t="str">
        <f>IF(Deployments!K18="","",Deployments!K18)</f>
        <v>BSM 040 A</v>
      </c>
      <c r="H18" s="21" t="str">
        <f>IF(Deployments!A18="","",Deployments!A18)</f>
        <v>Neuron</v>
      </c>
      <c r="I18" s="21" t="str">
        <f>IF(Deployments!AI18="","",Deployments!AI18)</f>
        <v>Fresenius BlueStar</v>
      </c>
      <c r="J18" s="21" t="str">
        <f>IF(Deployments!AJ18="","",Deployments!AJ18)</f>
        <v>2008T</v>
      </c>
      <c r="K18" s="21" t="str">
        <f>IF(Deployments!AD18="","",Deployments!AD18)</f>
        <v>Dialysis Machine</v>
      </c>
      <c r="L18" s="21" t="str">
        <f>IF(Deployments!M18="","",Deployments!M18)</f>
        <v/>
      </c>
      <c r="M18" s="22"/>
      <c r="N18" s="21" t="str">
        <f>IF(Deployments!N18="","",Deployments!N18)</f>
        <v>NA</v>
      </c>
      <c r="O18" s="21" t="str">
        <f>IF(Deployments!O18="","",Deployments!O18)</f>
        <v>NA</v>
      </c>
      <c r="P18" s="21" t="str">
        <f>IF(Deployments!P18="","",Deployments!P18)</f>
        <v>NA</v>
      </c>
      <c r="Q18" s="22"/>
      <c r="R18" s="21" t="str">
        <f>IF(Deployments!AY18="","",Deployments!AY18)</f>
        <v/>
      </c>
      <c r="S18" s="21" t="str">
        <f>IF(Deployments!AX18="","",Deployments!AX18)</f>
        <v/>
      </c>
      <c r="T18" s="21" t="str">
        <f>IF(Deployments!AV18="","",Deployments!AV18)</f>
        <v/>
      </c>
      <c r="U18" s="21" t="str">
        <f>IF(Deployments!AW18="","",Deployments!AW18)</f>
        <v/>
      </c>
      <c r="V18" s="21" t="str">
        <f>IF(Deployments!BA18="","",Deployments!BA18)</f>
        <v>Yes</v>
      </c>
      <c r="W18" s="21" t="str">
        <f>IF(Deployments!BC18="","",Deployments!BC18)</f>
        <v>Firmware Installed</v>
      </c>
      <c r="X18" s="21" t="str">
        <f>IF(Deployments!BK18="","",Deployments!BK18)</f>
        <v>Power Cable, Battery, Epic Beans Relay</v>
      </c>
      <c r="Y18" s="21" t="str">
        <f>IF(Deployments!BB18="","",Deployments!BB18)</f>
        <v/>
      </c>
      <c r="Z18" s="21" t="str">
        <f>IF(Deployments!T18="","",Deployments!T18)</f>
        <v/>
      </c>
      <c r="AA18" s="21" t="str">
        <f>IF(Deployments!L18="","",Deployments!L18)</f>
        <v/>
      </c>
    </row>
    <row r="19" spans="1:27" ht="45.75" customHeight="1">
      <c r="A19" s="22"/>
      <c r="B19" s="22"/>
      <c r="C19" s="21" t="str">
        <f>IF(Deployments!H19="","",Deployments!H19)</f>
        <v>LIJ SDF</v>
      </c>
      <c r="D19" s="21" t="str">
        <f>IF(Deployments!AH19="","",Deployments!AH19)</f>
        <v>Ground Level/Dialysis</v>
      </c>
      <c r="E19" s="21" t="str">
        <f>IF(Deployments!I19="","",Deployments!I19)</f>
        <v>Open Patient Area</v>
      </c>
      <c r="F19" s="21">
        <f>IF(Deployments!J19="","",Deployments!J19)</f>
        <v>18</v>
      </c>
      <c r="G19" s="21" t="str">
        <f>IF(Deployments!K19="","",Deployments!K19)</f>
        <v>BSM 040 B</v>
      </c>
      <c r="H19" s="21" t="str">
        <f>IF(Deployments!A19="","",Deployments!A19)</f>
        <v>Neuron</v>
      </c>
      <c r="I19" s="21" t="str">
        <f>IF(Deployments!AI19="","",Deployments!AI19)</f>
        <v>Fresenius BlueStar</v>
      </c>
      <c r="J19" s="21" t="str">
        <f>IF(Deployments!AJ19="","",Deployments!AJ19)</f>
        <v>2008T</v>
      </c>
      <c r="K19" s="21" t="str">
        <f>IF(Deployments!AD19="","",Deployments!AD19)</f>
        <v>Dialysis Machine</v>
      </c>
      <c r="L19" s="21" t="str">
        <f>IF(Deployments!M19="","",Deployments!M19)</f>
        <v/>
      </c>
      <c r="M19" s="22"/>
      <c r="N19" s="21" t="str">
        <f>IF(Deployments!N19="","",Deployments!N19)</f>
        <v>NA</v>
      </c>
      <c r="O19" s="21" t="str">
        <f>IF(Deployments!O19="","",Deployments!O19)</f>
        <v>NA</v>
      </c>
      <c r="P19" s="21" t="str">
        <f>IF(Deployments!P19="","",Deployments!P19)</f>
        <v>NA</v>
      </c>
      <c r="Q19" s="22"/>
      <c r="R19" s="21" t="str">
        <f>IF(Deployments!AY19="","",Deployments!AY19)</f>
        <v/>
      </c>
      <c r="S19" s="21" t="str">
        <f>IF(Deployments!AX19="","",Deployments!AX19)</f>
        <v/>
      </c>
      <c r="T19" s="21" t="str">
        <f>IF(Deployments!AV19="","",Deployments!AV19)</f>
        <v/>
      </c>
      <c r="U19" s="21" t="str">
        <f>IF(Deployments!AW19="","",Deployments!AW19)</f>
        <v/>
      </c>
      <c r="V19" s="21" t="str">
        <f>IF(Deployments!BA19="","",Deployments!BA19)</f>
        <v>Yes</v>
      </c>
      <c r="W19" s="21" t="str">
        <f>IF(Deployments!BC19="","",Deployments!BC19)</f>
        <v>Firmware Installed</v>
      </c>
      <c r="X19" s="21" t="str">
        <f>IF(Deployments!BK19="","",Deployments!BK19)</f>
        <v>Power Cable, Battery, Epic Beans Relay</v>
      </c>
      <c r="Y19" s="21" t="str">
        <f>IF(Deployments!BB19="","",Deployments!BB19)</f>
        <v/>
      </c>
      <c r="Z19" s="21" t="str">
        <f>IF(Deployments!T19="","",Deployments!T19)</f>
        <v/>
      </c>
      <c r="AA19" s="21" t="str">
        <f>IF(Deployments!L19="","",Deployments!L19)</f>
        <v/>
      </c>
    </row>
    <row r="20" spans="1:27" ht="45.75" customHeight="1">
      <c r="A20" s="22"/>
      <c r="B20" s="22"/>
      <c r="C20" s="21" t="str">
        <f>IF(Deployments!H20="","",Deployments!H20)</f>
        <v>LIJ SDF</v>
      </c>
      <c r="D20" s="21" t="str">
        <f>IF(Deployments!AH20="","",Deployments!AH20)</f>
        <v>Ground Level/Dialysis</v>
      </c>
      <c r="E20" s="21" t="str">
        <f>IF(Deployments!I20="","",Deployments!I20)</f>
        <v>Open Patient Area</v>
      </c>
      <c r="F20" s="21">
        <f>IF(Deployments!J20="","",Deployments!J20)</f>
        <v>19</v>
      </c>
      <c r="G20" s="21" t="str">
        <f>IF(Deployments!K20="","",Deployments!K20)</f>
        <v>BSM 041 A</v>
      </c>
      <c r="H20" s="21" t="str">
        <f>IF(Deployments!A20="","",Deployments!A20)</f>
        <v>Neuron</v>
      </c>
      <c r="I20" s="21" t="str">
        <f>IF(Deployments!AI20="","",Deployments!AI20)</f>
        <v>Fresenius BlueStar</v>
      </c>
      <c r="J20" s="21" t="str">
        <f>IF(Deployments!AJ20="","",Deployments!AJ20)</f>
        <v>2008T</v>
      </c>
      <c r="K20" s="21" t="str">
        <f>IF(Deployments!AD20="","",Deployments!AD20)</f>
        <v>Dialysis Machine</v>
      </c>
      <c r="L20" s="21" t="str">
        <f>IF(Deployments!M20="","",Deployments!M20)</f>
        <v/>
      </c>
      <c r="M20" s="22"/>
      <c r="N20" s="21" t="str">
        <f>IF(Deployments!N20="","",Deployments!N20)</f>
        <v>NA</v>
      </c>
      <c r="O20" s="21" t="str">
        <f>IF(Deployments!O20="","",Deployments!O20)</f>
        <v>NA</v>
      </c>
      <c r="P20" s="21" t="str">
        <f>IF(Deployments!P20="","",Deployments!P20)</f>
        <v>NA</v>
      </c>
      <c r="Q20" s="22"/>
      <c r="R20" s="21" t="str">
        <f>IF(Deployments!AY20="","",Deployments!AY20)</f>
        <v/>
      </c>
      <c r="S20" s="21" t="str">
        <f>IF(Deployments!AX20="","",Deployments!AX20)</f>
        <v/>
      </c>
      <c r="T20" s="21" t="str">
        <f>IF(Deployments!AV20="","",Deployments!AV20)</f>
        <v/>
      </c>
      <c r="U20" s="21" t="str">
        <f>IF(Deployments!AW20="","",Deployments!AW20)</f>
        <v/>
      </c>
      <c r="V20" s="21" t="str">
        <f>IF(Deployments!BA20="","",Deployments!BA20)</f>
        <v>Yes</v>
      </c>
      <c r="W20" s="21" t="str">
        <f>IF(Deployments!BC20="","",Deployments!BC20)</f>
        <v>Firmware Installed</v>
      </c>
      <c r="X20" s="21" t="str">
        <f>IF(Deployments!BK20="","",Deployments!BK20)</f>
        <v>Power Cable, Battery, Epic Beans Relay</v>
      </c>
      <c r="Y20" s="21" t="str">
        <f>IF(Deployments!BB20="","",Deployments!BB20)</f>
        <v/>
      </c>
      <c r="Z20" s="21" t="str">
        <f>IF(Deployments!T20="","",Deployments!T20)</f>
        <v/>
      </c>
      <c r="AA20" s="21" t="str">
        <f>IF(Deployments!L20="","",Deployments!L20)</f>
        <v/>
      </c>
    </row>
    <row r="21" spans="1:27" ht="45.75" customHeight="1">
      <c r="A21" s="22"/>
      <c r="B21" s="22"/>
      <c r="C21" s="21" t="str">
        <f>IF(Deployments!H21="","",Deployments!H21)</f>
        <v>LIJ SDF</v>
      </c>
      <c r="D21" s="21" t="str">
        <f>IF(Deployments!AH21="","",Deployments!AH21)</f>
        <v>Ground Level/Dialysis</v>
      </c>
      <c r="E21" s="21" t="str">
        <f>IF(Deployments!I21="","",Deployments!I21)</f>
        <v>Open Patient Area</v>
      </c>
      <c r="F21" s="21">
        <f>IF(Deployments!J21="","",Deployments!J21)</f>
        <v>20</v>
      </c>
      <c r="G21" s="21" t="str">
        <f>IF(Deployments!K21="","",Deployments!K21)</f>
        <v>BSM 041 B</v>
      </c>
      <c r="H21" s="21" t="str">
        <f>IF(Deployments!A21="","",Deployments!A21)</f>
        <v>Neuron</v>
      </c>
      <c r="I21" s="21" t="str">
        <f>IF(Deployments!AI21="","",Deployments!AI21)</f>
        <v>Fresenius BlueStar</v>
      </c>
      <c r="J21" s="21" t="str">
        <f>IF(Deployments!AJ21="","",Deployments!AJ21)</f>
        <v>2008T</v>
      </c>
      <c r="K21" s="21" t="str">
        <f>IF(Deployments!AD21="","",Deployments!AD21)</f>
        <v>Dialysis Machine</v>
      </c>
      <c r="L21" s="21" t="str">
        <f>IF(Deployments!M21="","",Deployments!M21)</f>
        <v/>
      </c>
      <c r="M21" s="22"/>
      <c r="N21" s="21" t="str">
        <f>IF(Deployments!N21="","",Deployments!N21)</f>
        <v>NA</v>
      </c>
      <c r="O21" s="21" t="str">
        <f>IF(Deployments!O21="","",Deployments!O21)</f>
        <v>NA</v>
      </c>
      <c r="P21" s="21" t="str">
        <f>IF(Deployments!P21="","",Deployments!P21)</f>
        <v>NA</v>
      </c>
      <c r="Q21" s="22"/>
      <c r="R21" s="21" t="str">
        <f>IF(Deployments!AY21="","",Deployments!AY21)</f>
        <v/>
      </c>
      <c r="S21" s="21" t="str">
        <f>IF(Deployments!AX21="","",Deployments!AX21)</f>
        <v/>
      </c>
      <c r="T21" s="21" t="str">
        <f>IF(Deployments!AV21="","",Deployments!AV21)</f>
        <v/>
      </c>
      <c r="U21" s="21" t="str">
        <f>IF(Deployments!AW21="","",Deployments!AW21)</f>
        <v/>
      </c>
      <c r="V21" s="21" t="str">
        <f>IF(Deployments!BA21="","",Deployments!BA21)</f>
        <v>Yes</v>
      </c>
      <c r="W21" s="21" t="str">
        <f>IF(Deployments!BC21="","",Deployments!BC21)</f>
        <v>Firmware Installed</v>
      </c>
      <c r="X21" s="21" t="str">
        <f>IF(Deployments!BK21="","",Deployments!BK21)</f>
        <v>Power Cable, Battery, Epic Beans Relay</v>
      </c>
      <c r="Y21" s="21" t="str">
        <f>IF(Deployments!BB21="","",Deployments!BB21)</f>
        <v/>
      </c>
      <c r="Z21" s="21" t="str">
        <f>IF(Deployments!T21="","",Deployments!T21)</f>
        <v/>
      </c>
      <c r="AA21" s="21" t="str">
        <f>IF(Deployments!L21="","",Deployments!L21)</f>
        <v/>
      </c>
    </row>
    <row r="22" spans="1:27" ht="45.75" customHeight="1">
      <c r="A22" s="22"/>
      <c r="B22" s="22"/>
      <c r="C22" s="21" t="str">
        <f>IF(Deployments!H22="","",Deployments!H22)</f>
        <v>LIJ SDF</v>
      </c>
      <c r="D22" s="21" t="str">
        <f>IF(Deployments!AH22="","",Deployments!AH22)</f>
        <v>Ground Level/Dialysis</v>
      </c>
      <c r="E22" s="21" t="str">
        <f>IF(Deployments!I22="","",Deployments!I22)</f>
        <v>Open Patient Area</v>
      </c>
      <c r="F22" s="21">
        <f>IF(Deployments!J22="","",Deployments!J22)</f>
        <v>21</v>
      </c>
      <c r="G22" s="21" t="str">
        <f>IF(Deployments!K22="","",Deployments!K22)</f>
        <v>042V1</v>
      </c>
      <c r="H22" s="21" t="str">
        <f>IF(Deployments!A22="","",Deployments!A22)</f>
        <v>Neuron</v>
      </c>
      <c r="I22" s="21" t="str">
        <f>IF(Deployments!AI22="","",Deployments!AI22)</f>
        <v>Fresenius BlueStar</v>
      </c>
      <c r="J22" s="21" t="str">
        <f>IF(Deployments!AJ22="","",Deployments!AJ22)</f>
        <v>2008T</v>
      </c>
      <c r="K22" s="21" t="str">
        <f>IF(Deployments!AD22="","",Deployments!AD22)</f>
        <v>Dialysis Machine</v>
      </c>
      <c r="L22" s="21" t="str">
        <f>IF(Deployments!M22="","",Deployments!M22)</f>
        <v/>
      </c>
      <c r="M22" s="22"/>
      <c r="N22" s="21" t="str">
        <f>IF(Deployments!N22="","",Deployments!N22)</f>
        <v>NA</v>
      </c>
      <c r="O22" s="21" t="str">
        <f>IF(Deployments!O22="","",Deployments!O22)</f>
        <v>NA</v>
      </c>
      <c r="P22" s="21" t="str">
        <f>IF(Deployments!P22="","",Deployments!P22)</f>
        <v>NA</v>
      </c>
      <c r="Q22" s="22"/>
      <c r="R22" s="21" t="str">
        <f>IF(Deployments!AY22="","",Deployments!AY22)</f>
        <v/>
      </c>
      <c r="S22" s="21" t="str">
        <f>IF(Deployments!AX22="","",Deployments!AX22)</f>
        <v/>
      </c>
      <c r="T22" s="21" t="str">
        <f>IF(Deployments!AV22="","",Deployments!AV22)</f>
        <v/>
      </c>
      <c r="U22" s="21" t="str">
        <f>IF(Deployments!AW22="","",Deployments!AW22)</f>
        <v/>
      </c>
      <c r="V22" s="21" t="str">
        <f>IF(Deployments!BA22="","",Deployments!BA22)</f>
        <v>Yes</v>
      </c>
      <c r="W22" s="21" t="str">
        <f>IF(Deployments!BC22="","",Deployments!BC22)</f>
        <v>Firmware Installed</v>
      </c>
      <c r="X22" s="21" t="str">
        <f>IF(Deployments!BK22="","",Deployments!BK22)</f>
        <v>Power Cable, Battery, Epic Beans Relay</v>
      </c>
      <c r="Y22" s="21" t="str">
        <f>IF(Deployments!BB22="","",Deployments!BB22)</f>
        <v/>
      </c>
      <c r="Z22" s="21" t="str">
        <f>IF(Deployments!T22="","",Deployments!T22)</f>
        <v/>
      </c>
      <c r="AA22" s="21" t="str">
        <f>IF(Deployments!L22="","",Deployments!L22)</f>
        <v/>
      </c>
    </row>
    <row r="23" spans="1:27" ht="45.75" customHeight="1">
      <c r="A23" s="22"/>
      <c r="B23" s="22"/>
      <c r="C23" s="21" t="str">
        <f>IF(Deployments!H23="","",Deployments!H23)</f>
        <v>LIJ SDF</v>
      </c>
      <c r="D23" s="21" t="str">
        <f>IF(Deployments!AH23="","",Deployments!AH23)</f>
        <v>Ground Level/Dialysis</v>
      </c>
      <c r="E23" s="21" t="str">
        <f>IF(Deployments!I23="","",Deployments!I23)</f>
        <v>Open Patient Area</v>
      </c>
      <c r="F23" s="21">
        <f>IF(Deployments!J23="","",Deployments!J23)</f>
        <v>22</v>
      </c>
      <c r="G23" s="21" t="str">
        <f>IF(Deployments!K23="","",Deployments!K23)</f>
        <v>042V2</v>
      </c>
      <c r="H23" s="21" t="str">
        <f>IF(Deployments!A23="","",Deployments!A23)</f>
        <v>Neuron</v>
      </c>
      <c r="I23" s="21" t="str">
        <f>IF(Deployments!AI23="","",Deployments!AI23)</f>
        <v>Fresenius BlueStar</v>
      </c>
      <c r="J23" s="21" t="str">
        <f>IF(Deployments!AJ23="","",Deployments!AJ23)</f>
        <v>2008T</v>
      </c>
      <c r="K23" s="21" t="str">
        <f>IF(Deployments!AD23="","",Deployments!AD23)</f>
        <v>Dialysis Machine</v>
      </c>
      <c r="L23" s="21" t="str">
        <f>IF(Deployments!M23="","",Deployments!M23)</f>
        <v/>
      </c>
      <c r="M23" s="22"/>
      <c r="N23" s="21" t="str">
        <f>IF(Deployments!N23="","",Deployments!N23)</f>
        <v>NA</v>
      </c>
      <c r="O23" s="21" t="str">
        <f>IF(Deployments!O23="","",Deployments!O23)</f>
        <v>NA</v>
      </c>
      <c r="P23" s="21" t="str">
        <f>IF(Deployments!P23="","",Deployments!P23)</f>
        <v>NA</v>
      </c>
      <c r="Q23" s="22"/>
      <c r="R23" s="21" t="str">
        <f>IF(Deployments!AY23="","",Deployments!AY23)</f>
        <v/>
      </c>
      <c r="S23" s="21" t="str">
        <f>IF(Deployments!AX23="","",Deployments!AX23)</f>
        <v/>
      </c>
      <c r="T23" s="21" t="str">
        <f>IF(Deployments!AV23="","",Deployments!AV23)</f>
        <v/>
      </c>
      <c r="U23" s="21" t="str">
        <f>IF(Deployments!AW23="","",Deployments!AW23)</f>
        <v/>
      </c>
      <c r="V23" s="21" t="str">
        <f>IF(Deployments!BA23="","",Deployments!BA23)</f>
        <v>Yes</v>
      </c>
      <c r="W23" s="21" t="str">
        <f>IF(Deployments!BC23="","",Deployments!BC23)</f>
        <v>Firmware Installed</v>
      </c>
      <c r="X23" s="21" t="str">
        <f>IF(Deployments!BK23="","",Deployments!BK23)</f>
        <v>Power Cable, Battery, Epic Beans Relay</v>
      </c>
      <c r="Y23" s="21" t="str">
        <f>IF(Deployments!BB23="","",Deployments!BB23)</f>
        <v/>
      </c>
      <c r="Z23" s="21" t="str">
        <f>IF(Deployments!T23="","",Deployments!T23)</f>
        <v/>
      </c>
      <c r="AA23" s="21" t="str">
        <f>IF(Deployments!L23="","",Deployments!L23)</f>
        <v/>
      </c>
    </row>
    <row r="24" spans="1:27" ht="45.75" customHeight="1">
      <c r="A24" s="22"/>
      <c r="B24" s="22"/>
      <c r="C24" s="21" t="str">
        <f>IF(Deployments!H24="","",Deployments!H24)</f>
        <v>LIJ SDF</v>
      </c>
      <c r="D24" s="21" t="str">
        <f>IF(Deployments!AH24="","",Deployments!AH24)</f>
        <v>Ground Level/Dialysis</v>
      </c>
      <c r="E24" s="21" t="str">
        <f>IF(Deployments!I24="","",Deployments!I24)</f>
        <v>Open Patient Area</v>
      </c>
      <c r="F24" s="21">
        <f>IF(Deployments!J24="","",Deployments!J24)</f>
        <v>23</v>
      </c>
      <c r="G24" s="21" t="str">
        <f>IF(Deployments!K24="","",Deployments!K24)</f>
        <v>BSM 045D</v>
      </c>
      <c r="H24" s="21" t="str">
        <f>IF(Deployments!A24="","",Deployments!A24)</f>
        <v>Neuron</v>
      </c>
      <c r="I24" s="21" t="str">
        <f>IF(Deployments!AI24="","",Deployments!AI24)</f>
        <v>Fresenius BlueStar</v>
      </c>
      <c r="J24" s="21" t="str">
        <f>IF(Deployments!AJ24="","",Deployments!AJ24)</f>
        <v>2008T</v>
      </c>
      <c r="K24" s="21" t="str">
        <f>IF(Deployments!AD24="","",Deployments!AD24)</f>
        <v>Dialysis Machine</v>
      </c>
      <c r="L24" s="21" t="str">
        <f>IF(Deployments!M24="","",Deployments!M24)</f>
        <v/>
      </c>
      <c r="M24" s="22"/>
      <c r="N24" s="21" t="str">
        <f>IF(Deployments!N24="","",Deployments!N24)</f>
        <v>NA</v>
      </c>
      <c r="O24" s="21" t="str">
        <f>IF(Deployments!O24="","",Deployments!O24)</f>
        <v>NA</v>
      </c>
      <c r="P24" s="21" t="str">
        <f>IF(Deployments!P24="","",Deployments!P24)</f>
        <v>NA</v>
      </c>
      <c r="Q24" s="22"/>
      <c r="R24" s="21" t="str">
        <f>IF(Deployments!AY24="","",Deployments!AY24)</f>
        <v/>
      </c>
      <c r="S24" s="21" t="str">
        <f>IF(Deployments!AX24="","",Deployments!AX24)</f>
        <v/>
      </c>
      <c r="T24" s="21" t="str">
        <f>IF(Deployments!AV24="","",Deployments!AV24)</f>
        <v/>
      </c>
      <c r="U24" s="21" t="str">
        <f>IF(Deployments!AW24="","",Deployments!AW24)</f>
        <v/>
      </c>
      <c r="V24" s="21" t="str">
        <f>IF(Deployments!BA24="","",Deployments!BA24)</f>
        <v>Yes</v>
      </c>
      <c r="W24" s="21" t="str">
        <f>IF(Deployments!BC24="","",Deployments!BC24)</f>
        <v>Firmware Installed</v>
      </c>
      <c r="X24" s="21" t="str">
        <f>IF(Deployments!BK24="","",Deployments!BK24)</f>
        <v>Power Cable, Battery, Epic Beans Relay</v>
      </c>
      <c r="Y24" s="21" t="str">
        <f>IF(Deployments!BB24="","",Deployments!BB24)</f>
        <v/>
      </c>
      <c r="Z24" s="21" t="str">
        <f>IF(Deployments!T24="","",Deployments!T24)</f>
        <v/>
      </c>
      <c r="AA24" s="21" t="str">
        <f>IF(Deployments!L24="","",Deployments!L24)</f>
        <v/>
      </c>
    </row>
    <row r="25" spans="1:27" ht="45.75" customHeight="1">
      <c r="A25" s="22"/>
      <c r="B25" s="22"/>
      <c r="C25" s="21" t="str">
        <f>IF(Deployments!H25="","",Deployments!H25)</f>
        <v>LIJ SDF</v>
      </c>
      <c r="D25" s="21" t="str">
        <f>IF(Deployments!AH25="","",Deployments!AH25)</f>
        <v>Ground Level/Dialysis</v>
      </c>
      <c r="E25" s="21" t="str">
        <f>IF(Deployments!I25="","",Deployments!I25)</f>
        <v>Open Patient Area</v>
      </c>
      <c r="F25" s="21">
        <f>IF(Deployments!J25="","",Deployments!J25)</f>
        <v>24</v>
      </c>
      <c r="G25" s="21" t="str">
        <f>IF(Deployments!K25="","",Deployments!K25)</f>
        <v>BSM 046 C</v>
      </c>
      <c r="H25" s="21" t="str">
        <f>IF(Deployments!A25="","",Deployments!A25)</f>
        <v>Neuron</v>
      </c>
      <c r="I25" s="21" t="str">
        <f>IF(Deployments!AI25="","",Deployments!AI25)</f>
        <v>Fresenius BlueStar</v>
      </c>
      <c r="J25" s="21" t="str">
        <f>IF(Deployments!AJ25="","",Deployments!AJ25)</f>
        <v>2008T</v>
      </c>
      <c r="K25" s="21" t="str">
        <f>IF(Deployments!AD25="","",Deployments!AD25)</f>
        <v>Dialysis Machine</v>
      </c>
      <c r="L25" s="21" t="str">
        <f>IF(Deployments!M25="","",Deployments!M25)</f>
        <v/>
      </c>
      <c r="M25" s="22"/>
      <c r="N25" s="21" t="str">
        <f>IF(Deployments!N25="","",Deployments!N25)</f>
        <v>NA</v>
      </c>
      <c r="O25" s="21" t="str">
        <f>IF(Deployments!O25="","",Deployments!O25)</f>
        <v>NA</v>
      </c>
      <c r="P25" s="21" t="str">
        <f>IF(Deployments!P25="","",Deployments!P25)</f>
        <v>NA</v>
      </c>
      <c r="Q25" s="22"/>
      <c r="R25" s="21" t="str">
        <f>IF(Deployments!AY25="","",Deployments!AY25)</f>
        <v/>
      </c>
      <c r="S25" s="21" t="str">
        <f>IF(Deployments!AX25="","",Deployments!AX25)</f>
        <v/>
      </c>
      <c r="T25" s="21" t="str">
        <f>IF(Deployments!AV25="","",Deployments!AV25)</f>
        <v/>
      </c>
      <c r="U25" s="21" t="str">
        <f>IF(Deployments!AW25="","",Deployments!AW25)</f>
        <v/>
      </c>
      <c r="V25" s="21" t="str">
        <f>IF(Deployments!BA25="","",Deployments!BA25)</f>
        <v>Yes</v>
      </c>
      <c r="W25" s="21" t="str">
        <f>IF(Deployments!BC25="","",Deployments!BC25)</f>
        <v>Firmware Installed</v>
      </c>
      <c r="X25" s="21" t="str">
        <f>IF(Deployments!BK25="","",Deployments!BK25)</f>
        <v>Power Cable, Battery, Epic Beans Relay</v>
      </c>
      <c r="Y25" s="21" t="str">
        <f>IF(Deployments!BB25="","",Deployments!BB25)</f>
        <v/>
      </c>
      <c r="Z25" s="21" t="str">
        <f>IF(Deployments!T25="","",Deployments!T25)</f>
        <v/>
      </c>
      <c r="AA25" s="21" t="str">
        <f>IF(Deployments!L25="","",Deployments!L25)</f>
        <v/>
      </c>
    </row>
    <row r="26" spans="1:27" ht="45.75" customHeight="1">
      <c r="A26" s="22"/>
      <c r="B26" s="22"/>
      <c r="C26" s="21" t="str">
        <f>IF(Deployments!H26="","",Deployments!H26)</f>
        <v>LIJ SDF</v>
      </c>
      <c r="D26" s="21" t="str">
        <f>IF(Deployments!AH26="","",Deployments!AH26)</f>
        <v>Ground Level/Dialysis</v>
      </c>
      <c r="E26" s="21" t="str">
        <f>IF(Deployments!I26="","",Deployments!I26)</f>
        <v>Open Patient Area</v>
      </c>
      <c r="F26" s="21">
        <f>IF(Deployments!J26="","",Deployments!J26)</f>
        <v>25</v>
      </c>
      <c r="G26" s="21" t="str">
        <f>IF(Deployments!K26="","",Deployments!K26)</f>
        <v>BSM 046D</v>
      </c>
      <c r="H26" s="21" t="str">
        <f>IF(Deployments!A26="","",Deployments!A26)</f>
        <v>Neuron</v>
      </c>
      <c r="I26" s="21" t="str">
        <f>IF(Deployments!AI26="","",Deployments!AI26)</f>
        <v>Fresenius BlueStar</v>
      </c>
      <c r="J26" s="21" t="str">
        <f>IF(Deployments!AJ26="","",Deployments!AJ26)</f>
        <v>2008T</v>
      </c>
      <c r="K26" s="21" t="str">
        <f>IF(Deployments!AD26="","",Deployments!AD26)</f>
        <v>Dialysis Machine</v>
      </c>
      <c r="L26" s="21" t="str">
        <f>IF(Deployments!M26="","",Deployments!M26)</f>
        <v/>
      </c>
      <c r="M26" s="22"/>
      <c r="N26" s="21" t="str">
        <f>IF(Deployments!N26="","",Deployments!N26)</f>
        <v>NA</v>
      </c>
      <c r="O26" s="21" t="str">
        <f>IF(Deployments!O26="","",Deployments!O26)</f>
        <v>NA</v>
      </c>
      <c r="P26" s="21" t="str">
        <f>IF(Deployments!P26="","",Deployments!P26)</f>
        <v>NA</v>
      </c>
      <c r="Q26" s="22"/>
      <c r="R26" s="21" t="str">
        <f>IF(Deployments!AY26="","",Deployments!AY26)</f>
        <v/>
      </c>
      <c r="S26" s="21" t="str">
        <f>IF(Deployments!AX26="","",Deployments!AX26)</f>
        <v/>
      </c>
      <c r="T26" s="21" t="str">
        <f>IF(Deployments!AV26="","",Deployments!AV26)</f>
        <v/>
      </c>
      <c r="U26" s="21" t="str">
        <f>IF(Deployments!AW26="","",Deployments!AW26)</f>
        <v/>
      </c>
      <c r="V26" s="21" t="str">
        <f>IF(Deployments!BA26="","",Deployments!BA26)</f>
        <v>Yes</v>
      </c>
      <c r="W26" s="21" t="str">
        <f>IF(Deployments!BC26="","",Deployments!BC26)</f>
        <v>Firmware Installed</v>
      </c>
      <c r="X26" s="21" t="str">
        <f>IF(Deployments!BK26="","",Deployments!BK26)</f>
        <v>Power Cable, Battery, Epic Beans Relay</v>
      </c>
      <c r="Y26" s="21" t="str">
        <f>IF(Deployments!BB26="","",Deployments!BB26)</f>
        <v/>
      </c>
      <c r="Z26" s="21" t="str">
        <f>IF(Deployments!T26="","",Deployments!T26)</f>
        <v/>
      </c>
      <c r="AA26" s="21" t="str">
        <f>IF(Deployments!L26="","",Deployments!L26)</f>
        <v/>
      </c>
    </row>
    <row r="27" spans="1:27" ht="30">
      <c r="A27" s="22"/>
      <c r="B27" s="22"/>
      <c r="C27" s="21" t="str">
        <f>IF(Deployments!H27="","",Deployments!H27)</f>
        <v>LIJ SDF</v>
      </c>
      <c r="D27" s="21" t="str">
        <f>IF(Deployments!AH27="","",Deployments!AH27)</f>
        <v/>
      </c>
      <c r="E27" s="21" t="str">
        <f>IF(Deployments!I27="","",Deployments!I27)</f>
        <v/>
      </c>
      <c r="F27" s="21" t="str">
        <f>IF(Deployments!J27="","",Deployments!J27)</f>
        <v/>
      </c>
      <c r="G27" s="21" t="str">
        <f>IF(Deployments!K27="","",Deployments!K27)</f>
        <v/>
      </c>
      <c r="H27" s="21" t="str">
        <f>IF(Deployments!A27="","",Deployments!A27)</f>
        <v>Neuron</v>
      </c>
      <c r="I27" s="21" t="str">
        <f>IF(Deployments!AI27="","",Deployments!AI27)</f>
        <v/>
      </c>
      <c r="J27" s="21" t="str">
        <f>IF(Deployments!AJ27="","",Deployments!AJ27)</f>
        <v/>
      </c>
      <c r="K27" s="21" t="str">
        <f>IF(Deployments!AD27="","",Deployments!AD27)</f>
        <v>Dialysis Machine</v>
      </c>
      <c r="L27" s="21" t="str">
        <f>IF(Deployments!M27="","",Deployments!M27)</f>
        <v/>
      </c>
      <c r="M27" s="22"/>
      <c r="N27" s="21" t="str">
        <f>IF(Deployments!N27="","",Deployments!N27)</f>
        <v>NA</v>
      </c>
      <c r="O27" s="21" t="str">
        <f>IF(Deployments!O27="","",Deployments!O27)</f>
        <v>NA</v>
      </c>
      <c r="P27" s="21" t="str">
        <f>IF(Deployments!P27="","",Deployments!P27)</f>
        <v>NA</v>
      </c>
      <c r="Q27" s="22"/>
      <c r="R27" s="21" t="str">
        <f>IF(Deployments!AY27="","",Deployments!AY27)</f>
        <v/>
      </c>
      <c r="S27" s="21" t="str">
        <f>IF(Deployments!AX27="","",Deployments!AX27)</f>
        <v/>
      </c>
      <c r="T27" s="21" t="str">
        <f>IF(Deployments!AV27="","",Deployments!AV27)</f>
        <v/>
      </c>
      <c r="U27" s="21" t="str">
        <f>IF(Deployments!AW27="","",Deployments!AW27)</f>
        <v/>
      </c>
      <c r="V27" s="21" t="str">
        <f>IF(Deployments!BA27="","",Deployments!BA27)</f>
        <v>Yes</v>
      </c>
      <c r="W27" s="21" t="str">
        <f>IF(Deployments!BC27="","",Deployments!BC27)</f>
        <v>Firmware Installed</v>
      </c>
      <c r="X27" s="21" t="str">
        <f>IF(Deployments!BK27="","",Deployments!BK27)</f>
        <v>Power Cable, Battery, Epic Beans Relay</v>
      </c>
      <c r="Y27" s="21" t="str">
        <f>IF(Deployments!BB27="","",Deployments!BB27)</f>
        <v/>
      </c>
      <c r="Z27" s="21" t="str">
        <f>IF(Deployments!T27="","",Deployments!T27)</f>
        <v/>
      </c>
      <c r="AA27" s="21" t="str">
        <f>IF(Deployments!L27="","",Deployments!L27)</f>
        <v/>
      </c>
    </row>
    <row r="28" spans="1:27" ht="30">
      <c r="A28" s="22"/>
      <c r="B28" s="22"/>
      <c r="C28" s="21" t="str">
        <f>IF(Deployments!H28="","",Deployments!H28)</f>
        <v>LIJ SDF</v>
      </c>
      <c r="D28" s="21" t="str">
        <f>IF(Deployments!AH28="","",Deployments!AH28)</f>
        <v/>
      </c>
      <c r="E28" s="21" t="str">
        <f>IF(Deployments!I28="","",Deployments!I28)</f>
        <v/>
      </c>
      <c r="F28" s="21" t="str">
        <f>IF(Deployments!J28="","",Deployments!J28)</f>
        <v/>
      </c>
      <c r="G28" s="21" t="str">
        <f>IF(Deployments!K28="","",Deployments!K28)</f>
        <v/>
      </c>
      <c r="H28" s="21" t="str">
        <f>IF(Deployments!A28="","",Deployments!A28)</f>
        <v>Neuron</v>
      </c>
      <c r="I28" s="21" t="str">
        <f>IF(Deployments!AI28="","",Deployments!AI28)</f>
        <v/>
      </c>
      <c r="J28" s="21" t="str">
        <f>IF(Deployments!AJ28="","",Deployments!AJ28)</f>
        <v/>
      </c>
      <c r="K28" s="21" t="str">
        <f>IF(Deployments!AD28="","",Deployments!AD28)</f>
        <v>Dialysis Machine</v>
      </c>
      <c r="L28" s="21" t="str">
        <f>IF(Deployments!M28="","",Deployments!M28)</f>
        <v/>
      </c>
      <c r="M28" s="22"/>
      <c r="N28" s="21" t="str">
        <f>IF(Deployments!N28="","",Deployments!N28)</f>
        <v>NA</v>
      </c>
      <c r="O28" s="21" t="str">
        <f>IF(Deployments!O28="","",Deployments!O28)</f>
        <v>NA</v>
      </c>
      <c r="P28" s="21" t="str">
        <f>IF(Deployments!P28="","",Deployments!P28)</f>
        <v>NA</v>
      </c>
      <c r="Q28" s="22"/>
      <c r="R28" s="21" t="str">
        <f>IF(Deployments!AY28="","",Deployments!AY28)</f>
        <v/>
      </c>
      <c r="S28" s="21" t="str">
        <f>IF(Deployments!AX28="","",Deployments!AX28)</f>
        <v/>
      </c>
      <c r="T28" s="21" t="str">
        <f>IF(Deployments!AV28="","",Deployments!AV28)</f>
        <v/>
      </c>
      <c r="U28" s="21" t="str">
        <f>IF(Deployments!AW28="","",Deployments!AW28)</f>
        <v/>
      </c>
      <c r="V28" s="21" t="str">
        <f>IF(Deployments!BA28="","",Deployments!BA28)</f>
        <v>Yes</v>
      </c>
      <c r="W28" s="21" t="str">
        <f>IF(Deployments!BC28="","",Deployments!BC28)</f>
        <v>Firmware Installed</v>
      </c>
      <c r="X28" s="21" t="str">
        <f>IF(Deployments!BK28="","",Deployments!BK28)</f>
        <v>Power Cable, Battery, Epic Beans Relay</v>
      </c>
      <c r="Y28" s="21" t="str">
        <f>IF(Deployments!BB28="","",Deployments!BB28)</f>
        <v/>
      </c>
      <c r="Z28" s="21" t="str">
        <f>IF(Deployments!T28="","",Deployments!T28)</f>
        <v/>
      </c>
      <c r="AA28" s="21" t="str">
        <f>IF(Deployments!L28="","",Deployments!L28)</f>
        <v/>
      </c>
    </row>
    <row r="29" spans="1:27" ht="30">
      <c r="A29" s="22"/>
      <c r="B29" s="22"/>
      <c r="C29" s="21" t="str">
        <f>IF(Deployments!H29="","",Deployments!H29)</f>
        <v>LIJ SDF</v>
      </c>
      <c r="D29" s="21" t="str">
        <f>IF(Deployments!AH29="","",Deployments!AH29)</f>
        <v/>
      </c>
      <c r="E29" s="21" t="str">
        <f>IF(Deployments!I29="","",Deployments!I29)</f>
        <v/>
      </c>
      <c r="F29" s="21" t="str">
        <f>IF(Deployments!J29="","",Deployments!J29)</f>
        <v/>
      </c>
      <c r="G29" s="21" t="str">
        <f>IF(Deployments!K29="","",Deployments!K29)</f>
        <v/>
      </c>
      <c r="H29" s="21" t="str">
        <f>IF(Deployments!A29="","",Deployments!A29)</f>
        <v>Neuron</v>
      </c>
      <c r="I29" s="21" t="str">
        <f>IF(Deployments!AI29="","",Deployments!AI29)</f>
        <v/>
      </c>
      <c r="J29" s="21" t="str">
        <f>IF(Deployments!AJ29="","",Deployments!AJ29)</f>
        <v/>
      </c>
      <c r="K29" s="21" t="str">
        <f>IF(Deployments!AD29="","",Deployments!AD29)</f>
        <v>Dialysis Machine</v>
      </c>
      <c r="L29" s="21" t="str">
        <f>IF(Deployments!M29="","",Deployments!M29)</f>
        <v/>
      </c>
      <c r="M29" s="22"/>
      <c r="N29" s="21" t="str">
        <f>IF(Deployments!N29="","",Deployments!N29)</f>
        <v>NA</v>
      </c>
      <c r="O29" s="21" t="str">
        <f>IF(Deployments!O29="","",Deployments!O29)</f>
        <v>NA</v>
      </c>
      <c r="P29" s="21" t="str">
        <f>IF(Deployments!P29="","",Deployments!P29)</f>
        <v>NA</v>
      </c>
      <c r="Q29" s="22"/>
      <c r="R29" s="21" t="str">
        <f>IF(Deployments!AY29="","",Deployments!AY29)</f>
        <v/>
      </c>
      <c r="S29" s="21" t="str">
        <f>IF(Deployments!AX29="","",Deployments!AX29)</f>
        <v/>
      </c>
      <c r="T29" s="21" t="str">
        <f>IF(Deployments!AV29="","",Deployments!AV29)</f>
        <v/>
      </c>
      <c r="U29" s="21" t="str">
        <f>IF(Deployments!AW29="","",Deployments!AW29)</f>
        <v/>
      </c>
      <c r="V29" s="21" t="str">
        <f>IF(Deployments!BA29="","",Deployments!BA29)</f>
        <v>Yes</v>
      </c>
      <c r="W29" s="21" t="str">
        <f>IF(Deployments!BC29="","",Deployments!BC29)</f>
        <v>Firmware Installed</v>
      </c>
      <c r="X29" s="21" t="str">
        <f>IF(Deployments!BK29="","",Deployments!BK29)</f>
        <v>Power Cable, Battery, Epic Beans Relay</v>
      </c>
      <c r="Y29" s="21" t="str">
        <f>IF(Deployments!BB29="","",Deployments!BB29)</f>
        <v/>
      </c>
      <c r="Z29" s="21" t="str">
        <f>IF(Deployments!T29="","",Deployments!T29)</f>
        <v/>
      </c>
      <c r="AA29" s="21" t="str">
        <f>IF(Deployments!L29="","",Deployments!L29)</f>
        <v/>
      </c>
    </row>
    <row r="30" spans="1:27" ht="30">
      <c r="A30" s="22"/>
      <c r="B30" s="22"/>
      <c r="C30" s="21" t="str">
        <f>IF(Deployments!H30="","",Deployments!H30)</f>
        <v>LIJ SDF</v>
      </c>
      <c r="D30" s="21" t="str">
        <f>IF(Deployments!AH30="","",Deployments!AH30)</f>
        <v/>
      </c>
      <c r="E30" s="21" t="str">
        <f>IF(Deployments!I30="","",Deployments!I30)</f>
        <v/>
      </c>
      <c r="F30" s="21" t="str">
        <f>IF(Deployments!J30="","",Deployments!J30)</f>
        <v/>
      </c>
      <c r="G30" s="21" t="str">
        <f>IF(Deployments!K30="","",Deployments!K30)</f>
        <v/>
      </c>
      <c r="H30" s="21" t="str">
        <f>IF(Deployments!A30="","",Deployments!A30)</f>
        <v>Neuron</v>
      </c>
      <c r="I30" s="21" t="str">
        <f>IF(Deployments!AI30="","",Deployments!AI30)</f>
        <v/>
      </c>
      <c r="J30" s="21" t="str">
        <f>IF(Deployments!AJ30="","",Deployments!AJ30)</f>
        <v/>
      </c>
      <c r="K30" s="21" t="str">
        <f>IF(Deployments!AD30="","",Deployments!AD30)</f>
        <v/>
      </c>
      <c r="L30" s="21" t="str">
        <f>IF(Deployments!M30="","",Deployments!M30)</f>
        <v/>
      </c>
      <c r="M30" s="22"/>
      <c r="N30" s="21" t="str">
        <f>IF(Deployments!N30="","",Deployments!N30)</f>
        <v/>
      </c>
      <c r="O30" s="21" t="str">
        <f>IF(Deployments!O30="","",Deployments!O30)</f>
        <v/>
      </c>
      <c r="P30" s="21" t="str">
        <f>IF(Deployments!P30="","",Deployments!P30)</f>
        <v/>
      </c>
      <c r="Q30" s="22"/>
      <c r="R30" s="21" t="str">
        <f>IF(Deployments!AY30="","",Deployments!AY30)</f>
        <v/>
      </c>
      <c r="S30" s="21" t="str">
        <f>IF(Deployments!AX30="","",Deployments!AX30)</f>
        <v/>
      </c>
      <c r="T30" s="21" t="str">
        <f>IF(Deployments!AV30="","",Deployments!AV30)</f>
        <v/>
      </c>
      <c r="U30" s="21" t="str">
        <f>IF(Deployments!AW30="","",Deployments!AW30)</f>
        <v/>
      </c>
      <c r="V30" s="21" t="str">
        <f>IF(Deployments!BA30="","",Deployments!BA30)</f>
        <v>Yes</v>
      </c>
      <c r="W30" s="21" t="str">
        <f>IF(Deployments!BC30="","",Deployments!BC30)</f>
        <v>Firmware Installed</v>
      </c>
      <c r="X30" s="21" t="str">
        <f>IF(Deployments!BK30="","",Deployments!BK30)</f>
        <v>Power Cable, Battery, Epic Beans Relay</v>
      </c>
      <c r="Y30" s="21" t="str">
        <f>IF(Deployments!BB30="","",Deployments!BB30)</f>
        <v>Spare Unit</v>
      </c>
      <c r="Z30" s="21" t="str">
        <f>IF(Deployments!T30="","",Deployments!T30)</f>
        <v/>
      </c>
      <c r="AA30" s="21" t="str">
        <f>IF(Deployments!L30="","",Deployments!L30)</f>
        <v/>
      </c>
    </row>
    <row r="31" spans="1:27" ht="30">
      <c r="A31" s="22"/>
      <c r="B31" s="22"/>
      <c r="C31" s="21" t="str">
        <f>IF(Deployments!H31="","",Deployments!H31)</f>
        <v>LIJ SDF</v>
      </c>
      <c r="D31" s="21" t="str">
        <f>IF(Deployments!AH31="","",Deployments!AH31)</f>
        <v/>
      </c>
      <c r="E31" s="21" t="str">
        <f>IF(Deployments!I31="","",Deployments!I31)</f>
        <v/>
      </c>
      <c r="F31" s="21" t="str">
        <f>IF(Deployments!J31="","",Deployments!J31)</f>
        <v/>
      </c>
      <c r="G31" s="21" t="str">
        <f>IF(Deployments!K31="","",Deployments!K31)</f>
        <v/>
      </c>
      <c r="H31" s="21" t="str">
        <f>IF(Deployments!A31="","",Deployments!A31)</f>
        <v>Neuron</v>
      </c>
      <c r="I31" s="21" t="str">
        <f>IF(Deployments!AI31="","",Deployments!AI31)</f>
        <v/>
      </c>
      <c r="J31" s="21" t="str">
        <f>IF(Deployments!AJ31="","",Deployments!AJ31)</f>
        <v/>
      </c>
      <c r="K31" s="21" t="str">
        <f>IF(Deployments!AD31="","",Deployments!AD31)</f>
        <v/>
      </c>
      <c r="L31" s="21" t="str">
        <f>IF(Deployments!M31="","",Deployments!M31)</f>
        <v/>
      </c>
      <c r="M31" s="22"/>
      <c r="N31" s="21" t="str">
        <f>IF(Deployments!N31="","",Deployments!N31)</f>
        <v/>
      </c>
      <c r="O31" s="21" t="str">
        <f>IF(Deployments!O31="","",Deployments!O31)</f>
        <v/>
      </c>
      <c r="P31" s="21" t="str">
        <f>IF(Deployments!P31="","",Deployments!P31)</f>
        <v/>
      </c>
      <c r="Q31" s="22"/>
      <c r="R31" s="21" t="str">
        <f>IF(Deployments!AY31="","",Deployments!AY31)</f>
        <v/>
      </c>
      <c r="S31" s="21" t="str">
        <f>IF(Deployments!AX31="","",Deployments!AX31)</f>
        <v/>
      </c>
      <c r="T31" s="21" t="str">
        <f>IF(Deployments!AV31="","",Deployments!AV31)</f>
        <v/>
      </c>
      <c r="U31" s="21" t="str">
        <f>IF(Deployments!AW31="","",Deployments!AW31)</f>
        <v/>
      </c>
      <c r="V31" s="21" t="str">
        <f>IF(Deployments!BA31="","",Deployments!BA31)</f>
        <v>Yes</v>
      </c>
      <c r="W31" s="21" t="str">
        <f>IF(Deployments!BC31="","",Deployments!BC31)</f>
        <v>Firmware Installed</v>
      </c>
      <c r="X31" s="21" t="str">
        <f>IF(Deployments!BK31="","",Deployments!BK31)</f>
        <v>Power Cable, Battery, Epic Beans Relay</v>
      </c>
      <c r="Y31" s="21" t="str">
        <f>IF(Deployments!BB31="","",Deployments!BB31)</f>
        <v>Spare Unit</v>
      </c>
      <c r="Z31" s="21" t="str">
        <f>IF(Deployments!T31="","",Deployments!T31)</f>
        <v/>
      </c>
      <c r="AA31" s="21" t="str">
        <f>IF(Deployments!L31="","",Deployments!L31)</f>
        <v/>
      </c>
    </row>
    <row r="32" spans="1:27" ht="30">
      <c r="A32" s="22"/>
      <c r="B32" s="22"/>
      <c r="C32" s="21" t="str">
        <f>IF(Deployments!H32="","",Deployments!H32)</f>
        <v>LIJ SDF</v>
      </c>
      <c r="D32" s="21" t="str">
        <f>IF(Deployments!AH32="","",Deployments!AH32)</f>
        <v/>
      </c>
      <c r="E32" s="21" t="str">
        <f>IF(Deployments!I32="","",Deployments!I32)</f>
        <v/>
      </c>
      <c r="F32" s="21" t="str">
        <f>IF(Deployments!J32="","",Deployments!J32)</f>
        <v/>
      </c>
      <c r="G32" s="21" t="str">
        <f>IF(Deployments!K32="","",Deployments!K32)</f>
        <v/>
      </c>
      <c r="H32" s="21" t="str">
        <f>IF(Deployments!A32="","",Deployments!A32)</f>
        <v>Neuron</v>
      </c>
      <c r="I32" s="21" t="str">
        <f>IF(Deployments!AI32="","",Deployments!AI32)</f>
        <v/>
      </c>
      <c r="J32" s="21" t="str">
        <f>IF(Deployments!AJ32="","",Deployments!AJ32)</f>
        <v/>
      </c>
      <c r="K32" s="21" t="str">
        <f>IF(Deployments!AD32="","",Deployments!AD32)</f>
        <v/>
      </c>
      <c r="L32" s="21" t="str">
        <f>IF(Deployments!M32="","",Deployments!M32)</f>
        <v/>
      </c>
      <c r="M32" s="22"/>
      <c r="N32" s="21" t="str">
        <f>IF(Deployments!N32="","",Deployments!N32)</f>
        <v/>
      </c>
      <c r="O32" s="21" t="str">
        <f>IF(Deployments!O32="","",Deployments!O32)</f>
        <v/>
      </c>
      <c r="P32" s="21" t="str">
        <f>IF(Deployments!P32="","",Deployments!P32)</f>
        <v/>
      </c>
      <c r="Q32" s="22"/>
      <c r="R32" s="21" t="str">
        <f>IF(Deployments!AY32="","",Deployments!AY32)</f>
        <v/>
      </c>
      <c r="S32" s="21" t="str">
        <f>IF(Deployments!AX32="","",Deployments!AX32)</f>
        <v/>
      </c>
      <c r="T32" s="21" t="str">
        <f>IF(Deployments!AV32="","",Deployments!AV32)</f>
        <v/>
      </c>
      <c r="U32" s="21" t="str">
        <f>IF(Deployments!AW32="","",Deployments!AW32)</f>
        <v/>
      </c>
      <c r="V32" s="21" t="str">
        <f>IF(Deployments!BA32="","",Deployments!BA32)</f>
        <v>Yes</v>
      </c>
      <c r="W32" s="21" t="str">
        <f>IF(Deployments!BC32="","",Deployments!BC32)</f>
        <v>Firmware Installed</v>
      </c>
      <c r="X32" s="21" t="str">
        <f>IF(Deployments!BK32="","",Deployments!BK32)</f>
        <v>Power Cable, Battery, Epic Beans Relay</v>
      </c>
      <c r="Y32" s="21" t="str">
        <f>IF(Deployments!BB32="","",Deployments!BB32)</f>
        <v>Spare Unit</v>
      </c>
      <c r="Z32" s="21" t="str">
        <f>IF(Deployments!T32="","",Deployments!T32)</f>
        <v/>
      </c>
      <c r="AA32" s="21" t="str">
        <f>IF(Deployments!L32="","",Deployments!L32)</f>
        <v/>
      </c>
    </row>
    <row r="33" spans="1:27" ht="30">
      <c r="A33" s="22"/>
      <c r="B33" s="22"/>
      <c r="C33" s="21" t="str">
        <f>IF(Deployments!H33="","",Deployments!H33)</f>
        <v>LIJ SDF</v>
      </c>
      <c r="D33" s="21" t="str">
        <f>IF(Deployments!AH33="","",Deployments!AH33)</f>
        <v/>
      </c>
      <c r="E33" s="21" t="str">
        <f>IF(Deployments!I33="","",Deployments!I33)</f>
        <v/>
      </c>
      <c r="F33" s="21" t="str">
        <f>IF(Deployments!J33="","",Deployments!J33)</f>
        <v/>
      </c>
      <c r="G33" s="21" t="str">
        <f>IF(Deployments!K33="","",Deployments!K33)</f>
        <v/>
      </c>
      <c r="H33" s="21" t="str">
        <f>IF(Deployments!A33="","",Deployments!A33)</f>
        <v>Neuron</v>
      </c>
      <c r="I33" s="21" t="str">
        <f>IF(Deployments!AI33="","",Deployments!AI33)</f>
        <v/>
      </c>
      <c r="J33" s="21" t="str">
        <f>IF(Deployments!AJ33="","",Deployments!AJ33)</f>
        <v/>
      </c>
      <c r="K33" s="21" t="str">
        <f>IF(Deployments!AD33="","",Deployments!AD33)</f>
        <v/>
      </c>
      <c r="L33" s="21" t="str">
        <f>IF(Deployments!M33="","",Deployments!M33)</f>
        <v/>
      </c>
      <c r="M33" s="22"/>
      <c r="N33" s="21" t="str">
        <f>IF(Deployments!N33="","",Deployments!N33)</f>
        <v/>
      </c>
      <c r="O33" s="21" t="str">
        <f>IF(Deployments!O33="","",Deployments!O33)</f>
        <v/>
      </c>
      <c r="P33" s="21" t="str">
        <f>IF(Deployments!P33="","",Deployments!P33)</f>
        <v/>
      </c>
      <c r="Q33" s="22"/>
      <c r="R33" s="21" t="str">
        <f>IF(Deployments!AY33="","",Deployments!AY33)</f>
        <v/>
      </c>
      <c r="S33" s="21" t="str">
        <f>IF(Deployments!AX33="","",Deployments!AX33)</f>
        <v/>
      </c>
      <c r="T33" s="21" t="str">
        <f>IF(Deployments!AV33="","",Deployments!AV33)</f>
        <v/>
      </c>
      <c r="U33" s="21" t="str">
        <f>IF(Deployments!AW33="","",Deployments!AW33)</f>
        <v/>
      </c>
      <c r="V33" s="21" t="str">
        <f>IF(Deployments!BA33="","",Deployments!BA33)</f>
        <v>Yes</v>
      </c>
      <c r="W33" s="21" t="str">
        <f>IF(Deployments!BC33="","",Deployments!BC33)</f>
        <v>Firmware Installed</v>
      </c>
      <c r="X33" s="21" t="str">
        <f>IF(Deployments!BK33="","",Deployments!BK33)</f>
        <v>Power Cable, Battery, Epic Beans Relay</v>
      </c>
      <c r="Y33" s="21" t="str">
        <f>IF(Deployments!BB33="","",Deployments!BB33)</f>
        <v>Spare Unit</v>
      </c>
      <c r="Z33" s="21" t="str">
        <f>IF(Deployments!T33="","",Deployments!T33)</f>
        <v/>
      </c>
      <c r="AA33" s="21" t="str">
        <f>IF(Deployments!L33="","",Deployments!L33)</f>
        <v/>
      </c>
    </row>
    <row r="34" spans="1:27" ht="45.75" customHeight="1">
      <c r="A34" s="22"/>
      <c r="B34" s="22"/>
      <c r="C34" s="21" t="str">
        <f>IF(Deployments!H34="","",Deployments!H34)</f>
        <v>PBMC</v>
      </c>
      <c r="D34" s="21" t="str">
        <f>IF(Deployments!AH34="","",Deployments!AH34)</f>
        <v>Third Floor/Cath Lab</v>
      </c>
      <c r="E34" s="21" t="str">
        <f>IF(Deployments!I34="","",Deployments!I34)</f>
        <v>Lab 3/ Neuro BiPlane</v>
      </c>
      <c r="F34" s="21" t="str">
        <f>IF(Deployments!J34="","",Deployments!J34)</f>
        <v>N/A</v>
      </c>
      <c r="G34" s="21" t="str">
        <f>IF(Deployments!K34="","",Deployments!K34)</f>
        <v/>
      </c>
      <c r="H34" s="21" t="str">
        <f>IF(Deployments!A34="","",Deployments!A34)</f>
        <v>Neuron</v>
      </c>
      <c r="I34" s="21" t="str">
        <f>IF(Deployments!AI34="","",Deployments!AI34)</f>
        <v>Drager</v>
      </c>
      <c r="J34" s="21" t="str">
        <f>IF(Deployments!AJ34="","",Deployments!AJ34)</f>
        <v>Atlan A350</v>
      </c>
      <c r="K34" s="21" t="str">
        <f>IF(Deployments!AD34="","",Deployments!AD34)</f>
        <v>Anesthesia Machine</v>
      </c>
      <c r="L34" s="21" t="str">
        <f>IF(Deployments!M34="","",Deployments!M34)</f>
        <v/>
      </c>
      <c r="M34" s="22"/>
      <c r="N34" s="21" t="str">
        <f>IF(Deployments!N34="","",Deployments!N34)</f>
        <v>NA</v>
      </c>
      <c r="O34" s="21" t="str">
        <f>IF(Deployments!O34="","",Deployments!O34)</f>
        <v>NA</v>
      </c>
      <c r="P34" s="21" t="str">
        <f>IF(Deployments!P34="","",Deployments!P34)</f>
        <v>NA</v>
      </c>
      <c r="Q34" s="22"/>
      <c r="R34" s="21" t="str">
        <f>IF(Deployments!AY34="","",Deployments!AY34)</f>
        <v/>
      </c>
      <c r="S34" s="21" t="str">
        <f>IF(Deployments!AX34="","",Deployments!AX34)</f>
        <v/>
      </c>
      <c r="T34" s="21" t="str">
        <f>IF(Deployments!AV34="","",Deployments!AV34)</f>
        <v/>
      </c>
      <c r="U34" s="21" t="str">
        <f>IF(Deployments!AW34="","",Deployments!AW34)</f>
        <v/>
      </c>
      <c r="V34" s="21" t="str">
        <f>IF(Deployments!BA34="","",Deployments!BA34)</f>
        <v>Yes</v>
      </c>
      <c r="W34" s="21" t="str">
        <f>IF(Deployments!BC34="","",Deployments!BC34)</f>
        <v>Firmware Installed</v>
      </c>
      <c r="X34" s="21" t="str">
        <f>IF(Deployments!BK34="","",Deployments!BK34)</f>
        <v>Power Cable, Battery, Epic Beans Relay</v>
      </c>
      <c r="Y34" s="21" t="str">
        <f>IF(Deployments!BB34="","",Deployments!BB34)</f>
        <v>PBMC</v>
      </c>
      <c r="Z34" s="21" t="str">
        <f>IF(Deployments!T34="","",Deployments!T34)</f>
        <v/>
      </c>
      <c r="AA34" s="21" t="str">
        <f>IF(Deployments!L34="","",Deployments!L34)</f>
        <v/>
      </c>
    </row>
    <row r="35" spans="1:27" ht="45.75" customHeight="1">
      <c r="A35" s="22"/>
      <c r="B35" s="22"/>
      <c r="C35" s="21" t="str">
        <f>IF(Deployments!H35="","",Deployments!H35)</f>
        <v>PBMC</v>
      </c>
      <c r="D35" s="21" t="str">
        <f>IF(Deployments!AH35="","",Deployments!AH35)</f>
        <v>Third Floor/Cath Lab</v>
      </c>
      <c r="E35" s="21" t="str">
        <f>IF(Deployments!I35="","",Deployments!I35)</f>
        <v>Lab 3/ Neuro BiPlane</v>
      </c>
      <c r="F35" s="21" t="str">
        <f>IF(Deployments!J35="","",Deployments!J35)</f>
        <v>N/A</v>
      </c>
      <c r="G35" s="21" t="str">
        <f>IF(Deployments!K35="","",Deployments!K35)</f>
        <v/>
      </c>
      <c r="H35" s="21" t="str">
        <f>IF(Deployments!A35="","",Deployments!A35)</f>
        <v>Cybernet</v>
      </c>
      <c r="I35" s="21" t="str">
        <f>IF(Deployments!AI35="","",Deployments!AI35)</f>
        <v>Drager</v>
      </c>
      <c r="J35" s="21" t="str">
        <f>IF(Deployments!AJ35="","",Deployments!AJ35)</f>
        <v>Atlan A350</v>
      </c>
      <c r="K35" s="21" t="str">
        <f>IF(Deployments!AD35="","",Deployments!AD35)</f>
        <v>Anesthesia Machine</v>
      </c>
      <c r="L35" s="21" t="str">
        <f>IF(Deployments!M35="","",Deployments!M35)</f>
        <v/>
      </c>
      <c r="M35" s="22"/>
      <c r="N35" s="21" t="str">
        <f>IF(Deployments!N35="","",Deployments!N35)</f>
        <v/>
      </c>
      <c r="O35" s="21" t="str">
        <f>IF(Deployments!O35="","",Deployments!O35)</f>
        <v/>
      </c>
      <c r="P35" s="21" t="str">
        <f>IF(Deployments!P35="","",Deployments!P35)</f>
        <v/>
      </c>
      <c r="Q35" s="22"/>
      <c r="R35" s="21" t="str">
        <f>IF(Deployments!AY35="","",Deployments!AY35)</f>
        <v/>
      </c>
      <c r="S35" s="21" t="str">
        <f>IF(Deployments!AX35="","",Deployments!AX35)</f>
        <v/>
      </c>
      <c r="T35" s="21" t="str">
        <f>IF(Deployments!AV35="","",Deployments!AV35)</f>
        <v/>
      </c>
      <c r="U35" s="21" t="str">
        <f>IF(Deployments!AW35="","",Deployments!AW35)</f>
        <v/>
      </c>
      <c r="V35" s="21" t="str">
        <f>IF(Deployments!BA35="","",Deployments!BA35)</f>
        <v>Yes</v>
      </c>
      <c r="W35" s="21" t="str">
        <f>IF(Deployments!BC35="","",Deployments!BC35)</f>
        <v>Firmware Installed</v>
      </c>
      <c r="X35" s="21" t="str">
        <f>IF(Deployments!BK35="","",Deployments!BK35)</f>
        <v>Power Cable, Battery, Epic Beans Relay</v>
      </c>
      <c r="Y35" s="21" t="str">
        <f>IF(Deployments!BB35="","",Deployments!BB35)</f>
        <v>PBMC</v>
      </c>
      <c r="Z35" s="21" t="str">
        <f>IF(Deployments!T35="","",Deployments!T35)</f>
        <v/>
      </c>
      <c r="AA35" s="21" t="str">
        <f>IF(Deployments!L35="","",Deployments!L35)</f>
        <v/>
      </c>
    </row>
    <row r="36" spans="1:27" ht="45.75" customHeight="1">
      <c r="A36" s="22"/>
      <c r="B36" s="22"/>
      <c r="C36" s="21" t="str">
        <f>IF(Deployments!H36="","",Deployments!H36)</f>
        <v>MEETH</v>
      </c>
      <c r="D36" s="21" t="str">
        <f>IF(Deployments!AH36="","",Deployments!AH36)</f>
        <v/>
      </c>
      <c r="E36" s="21" t="str">
        <f>IF(Deployments!I36="","",Deployments!I36)</f>
        <v/>
      </c>
      <c r="F36" s="21" t="str">
        <f>IF(Deployments!J36="","",Deployments!J36)</f>
        <v/>
      </c>
      <c r="G36" s="21" t="str">
        <f>IF(Deployments!K36="","",Deployments!K36)</f>
        <v/>
      </c>
      <c r="H36" s="21" t="str">
        <f>IF(Deployments!A36="","",Deployments!A36)</f>
        <v>Neuron</v>
      </c>
      <c r="I36" s="21" t="str">
        <f>IF(Deployments!AI36="","",Deployments!AI36)</f>
        <v/>
      </c>
      <c r="J36" s="21" t="str">
        <f>IF(Deployments!AJ36="","",Deployments!AJ36)</f>
        <v/>
      </c>
      <c r="K36" s="21" t="str">
        <f>IF(Deployments!AD36="","",Deployments!AD36)</f>
        <v/>
      </c>
      <c r="L36" s="21" t="str">
        <f>IF(Deployments!M36="","",Deployments!M36)</f>
        <v/>
      </c>
      <c r="M36" s="22"/>
      <c r="N36" s="21" t="str">
        <f>IF(Deployments!N36="","",Deployments!N36)</f>
        <v>NA</v>
      </c>
      <c r="O36" s="21" t="str">
        <f>IF(Deployments!O36="","",Deployments!O36)</f>
        <v>NA</v>
      </c>
      <c r="P36" s="21" t="str">
        <f>IF(Deployments!P36="","",Deployments!P36)</f>
        <v>NA</v>
      </c>
      <c r="Q36" s="22"/>
      <c r="R36" s="21" t="str">
        <f>IF(Deployments!AY36="","",Deployments!AY36)</f>
        <v/>
      </c>
      <c r="S36" s="21" t="str">
        <f>IF(Deployments!AX36="","",Deployments!AX36)</f>
        <v/>
      </c>
      <c r="T36" s="21" t="str">
        <f>IF(Deployments!AV36="","",Deployments!AV36)</f>
        <v/>
      </c>
      <c r="U36" s="21" t="str">
        <f>IF(Deployments!AW36="","",Deployments!AW36)</f>
        <v/>
      </c>
      <c r="V36" s="21" t="str">
        <f>IF(Deployments!BA36="","",Deployments!BA36)</f>
        <v/>
      </c>
      <c r="W36" s="21" t="str">
        <f>IF(Deployments!BC36="","",Deployments!BC36)</f>
        <v>In Storage</v>
      </c>
      <c r="X36" s="21" t="str">
        <f>IF(Deployments!BK36="","",Deployments!BK36)</f>
        <v>Power Cable, Battery, Firmware Download, Device ID, Epic Beans Relay</v>
      </c>
      <c r="Y36" s="21" t="str">
        <f>IF(Deployments!BB36="","",Deployments!BB36)</f>
        <v/>
      </c>
      <c r="Z36" s="21" t="str">
        <f>IF(Deployments!T36="","",Deployments!T36)</f>
        <v/>
      </c>
      <c r="AA36" s="21" t="str">
        <f>IF(Deployments!L36="","",Deployments!L36)</f>
        <v/>
      </c>
    </row>
    <row r="37" spans="1:27" ht="45.75" customHeight="1">
      <c r="A37" s="22"/>
      <c r="B37" s="22"/>
      <c r="C37" s="21" t="str">
        <f>IF(Deployments!H37="","",Deployments!H37)</f>
        <v>MEETH</v>
      </c>
      <c r="D37" s="21" t="str">
        <f>IF(Deployments!AH37="","",Deployments!AH37)</f>
        <v/>
      </c>
      <c r="E37" s="21" t="str">
        <f>IF(Deployments!I37="","",Deployments!I37)</f>
        <v/>
      </c>
      <c r="F37" s="21" t="str">
        <f>IF(Deployments!J37="","",Deployments!J37)</f>
        <v/>
      </c>
      <c r="G37" s="21" t="str">
        <f>IF(Deployments!K37="","",Deployments!K37)</f>
        <v/>
      </c>
      <c r="H37" s="21" t="str">
        <f>IF(Deployments!A37="","",Deployments!A37)</f>
        <v>Neuron</v>
      </c>
      <c r="I37" s="21" t="str">
        <f>IF(Deployments!AI37="","",Deployments!AI37)</f>
        <v/>
      </c>
      <c r="J37" s="21" t="str">
        <f>IF(Deployments!AJ37="","",Deployments!AJ37)</f>
        <v/>
      </c>
      <c r="K37" s="21" t="str">
        <f>IF(Deployments!AD37="","",Deployments!AD37)</f>
        <v/>
      </c>
      <c r="L37" s="21" t="str">
        <f>IF(Deployments!M37="","",Deployments!M37)</f>
        <v/>
      </c>
      <c r="M37" s="22"/>
      <c r="N37" s="21" t="str">
        <f>IF(Deployments!N37="","",Deployments!N37)</f>
        <v>NA</v>
      </c>
      <c r="O37" s="21" t="str">
        <f>IF(Deployments!O37="","",Deployments!O37)</f>
        <v>NA</v>
      </c>
      <c r="P37" s="21" t="str">
        <f>IF(Deployments!P37="","",Deployments!P37)</f>
        <v>NA</v>
      </c>
      <c r="Q37" s="22"/>
      <c r="R37" s="21" t="str">
        <f>IF(Deployments!AY37="","",Deployments!AY37)</f>
        <v/>
      </c>
      <c r="S37" s="21" t="str">
        <f>IF(Deployments!AX37="","",Deployments!AX37)</f>
        <v/>
      </c>
      <c r="T37" s="21" t="str">
        <f>IF(Deployments!AV37="","",Deployments!AV37)</f>
        <v/>
      </c>
      <c r="U37" s="21" t="str">
        <f>IF(Deployments!AW37="","",Deployments!AW37)</f>
        <v/>
      </c>
      <c r="V37" s="21" t="str">
        <f>IF(Deployments!BA37="","",Deployments!BA37)</f>
        <v/>
      </c>
      <c r="W37" s="21" t="str">
        <f>IF(Deployments!BC37="","",Deployments!BC37)</f>
        <v>In Storage</v>
      </c>
      <c r="X37" s="21" t="str">
        <f>IF(Deployments!BK37="","",Deployments!BK37)</f>
        <v>Power Cable, Battery, Firmware Download, Device ID, Epic Beans Relay</v>
      </c>
      <c r="Y37" s="21" t="str">
        <f>IF(Deployments!BB37="","",Deployments!BB37)</f>
        <v/>
      </c>
      <c r="Z37" s="21" t="str">
        <f>IF(Deployments!T37="","",Deployments!T37)</f>
        <v/>
      </c>
      <c r="AA37" s="21" t="str">
        <f>IF(Deployments!L37="","",Deployments!L37)</f>
        <v/>
      </c>
    </row>
    <row r="38" spans="1:27" ht="45.75" customHeight="1">
      <c r="A38" s="22"/>
      <c r="B38" s="22"/>
      <c r="C38" s="21" t="str">
        <f>IF(Deployments!H38="","",Deployments!H38)</f>
        <v>MEETH</v>
      </c>
      <c r="D38" s="21" t="str">
        <f>IF(Deployments!AH38="","",Deployments!AH38)</f>
        <v/>
      </c>
      <c r="E38" s="21" t="str">
        <f>IF(Deployments!I38="","",Deployments!I38)</f>
        <v/>
      </c>
      <c r="F38" s="21" t="str">
        <f>IF(Deployments!J38="","",Deployments!J38)</f>
        <v/>
      </c>
      <c r="G38" s="21" t="str">
        <f>IF(Deployments!K38="","",Deployments!K38)</f>
        <v/>
      </c>
      <c r="H38" s="21" t="str">
        <f>IF(Deployments!A38="","",Deployments!A38)</f>
        <v>Neuron</v>
      </c>
      <c r="I38" s="21" t="str">
        <f>IF(Deployments!AI38="","",Deployments!AI38)</f>
        <v/>
      </c>
      <c r="J38" s="21" t="str">
        <f>IF(Deployments!AJ38="","",Deployments!AJ38)</f>
        <v/>
      </c>
      <c r="K38" s="21" t="str">
        <f>IF(Deployments!AD38="","",Deployments!AD38)</f>
        <v/>
      </c>
      <c r="L38" s="21" t="str">
        <f>IF(Deployments!M38="","",Deployments!M38)</f>
        <v/>
      </c>
      <c r="M38" s="22"/>
      <c r="N38" s="21" t="str">
        <f>IF(Deployments!N38="","",Deployments!N38)</f>
        <v>NA</v>
      </c>
      <c r="O38" s="21" t="str">
        <f>IF(Deployments!O38="","",Deployments!O38)</f>
        <v>NA</v>
      </c>
      <c r="P38" s="21" t="str">
        <f>IF(Deployments!P38="","",Deployments!P38)</f>
        <v>NA</v>
      </c>
      <c r="Q38" s="22"/>
      <c r="R38" s="21" t="str">
        <f>IF(Deployments!AY38="","",Deployments!AY38)</f>
        <v/>
      </c>
      <c r="S38" s="21" t="str">
        <f>IF(Deployments!AX38="","",Deployments!AX38)</f>
        <v/>
      </c>
      <c r="T38" s="21" t="str">
        <f>IF(Deployments!AV38="","",Deployments!AV38)</f>
        <v/>
      </c>
      <c r="U38" s="21" t="str">
        <f>IF(Deployments!AW38="","",Deployments!AW38)</f>
        <v/>
      </c>
      <c r="V38" s="21" t="str">
        <f>IF(Deployments!BA38="","",Deployments!BA38)</f>
        <v/>
      </c>
      <c r="W38" s="21" t="str">
        <f>IF(Deployments!BC38="","",Deployments!BC38)</f>
        <v>In Storage</v>
      </c>
      <c r="X38" s="21" t="str">
        <f>IF(Deployments!BK38="","",Deployments!BK38)</f>
        <v>Power Cable, Battery, Firmware Download, Device ID, Epic Beans Relay</v>
      </c>
      <c r="Y38" s="21" t="str">
        <f>IF(Deployments!BB38="","",Deployments!BB38)</f>
        <v/>
      </c>
      <c r="Z38" s="21" t="str">
        <f>IF(Deployments!T38="","",Deployments!T38)</f>
        <v/>
      </c>
      <c r="AA38" s="21" t="str">
        <f>IF(Deployments!L38="","",Deployments!L38)</f>
        <v/>
      </c>
    </row>
    <row r="39" spans="1:27" ht="45.75" customHeight="1">
      <c r="A39" s="22"/>
      <c r="B39" s="22"/>
      <c r="C39" s="21" t="str">
        <f>IF(Deployments!H39="","",Deployments!H39)</f>
        <v>ZUCKER HOSPITAL</v>
      </c>
      <c r="D39" s="21" t="str">
        <f>IF(Deployments!AH39="","",Deployments!AH39)</f>
        <v/>
      </c>
      <c r="E39" s="21" t="str">
        <f>IF(Deployments!I39="","",Deployments!I39)</f>
        <v/>
      </c>
      <c r="F39" s="21" t="str">
        <f>IF(Deployments!J39="","",Deployments!J39)</f>
        <v/>
      </c>
      <c r="G39" s="21" t="str">
        <f>IF(Deployments!K39="","",Deployments!K39)</f>
        <v/>
      </c>
      <c r="H39" s="21" t="str">
        <f>IF(Deployments!A39="","",Deployments!A39)</f>
        <v>Neuron</v>
      </c>
      <c r="I39" s="21" t="str">
        <f>IF(Deployments!AI39="","",Deployments!AI39)</f>
        <v/>
      </c>
      <c r="J39" s="21" t="str">
        <f>IF(Deployments!AJ39="","",Deployments!AJ39)</f>
        <v/>
      </c>
      <c r="K39" s="21" t="str">
        <f>IF(Deployments!AD39="","",Deployments!AD39)</f>
        <v/>
      </c>
      <c r="L39" s="21" t="str">
        <f>IF(Deployments!M39="","",Deployments!M39)</f>
        <v/>
      </c>
      <c r="M39" s="22"/>
      <c r="N39" s="21" t="str">
        <f>IF(Deployments!N39="","",Deployments!N39)</f>
        <v>NA</v>
      </c>
      <c r="O39" s="21" t="str">
        <f>IF(Deployments!O39="","",Deployments!O39)</f>
        <v>NA</v>
      </c>
      <c r="P39" s="21" t="str">
        <f>IF(Deployments!P39="","",Deployments!P39)</f>
        <v>NA</v>
      </c>
      <c r="Q39" s="22"/>
      <c r="R39" s="21" t="str">
        <f>IF(Deployments!AY39="","",Deployments!AY39)</f>
        <v/>
      </c>
      <c r="S39" s="21" t="str">
        <f>IF(Deployments!AX39="","",Deployments!AX39)</f>
        <v/>
      </c>
      <c r="T39" s="21" t="str">
        <f>IF(Deployments!AV39="","",Deployments!AV39)</f>
        <v/>
      </c>
      <c r="U39" s="21" t="str">
        <f>IF(Deployments!AW39="","",Deployments!AW39)</f>
        <v/>
      </c>
      <c r="V39" s="21" t="str">
        <f>IF(Deployments!BA39="","",Deployments!BA39)</f>
        <v/>
      </c>
      <c r="W39" s="21" t="str">
        <f>IF(Deployments!BC39="","",Deployments!BC39)</f>
        <v>In Storage</v>
      </c>
      <c r="X39" s="21" t="str">
        <f>IF(Deployments!BK39="","",Deployments!BK39)</f>
        <v>Power Cable, Battery, Firmware Download, Device ID, Epic Beans Relay</v>
      </c>
      <c r="Y39" s="21" t="str">
        <f>IF(Deployments!BB39="","",Deployments!BB39)</f>
        <v/>
      </c>
      <c r="Z39" s="21" t="str">
        <f>IF(Deployments!T39="","",Deployments!T39)</f>
        <v/>
      </c>
      <c r="AA39" s="21" t="str">
        <f>IF(Deployments!L39="","",Deployments!L39)</f>
        <v/>
      </c>
    </row>
    <row r="40" spans="1:27" ht="45.75" customHeight="1">
      <c r="A40" s="22"/>
      <c r="B40" s="22"/>
      <c r="C40" s="21" t="str">
        <f>IF(Deployments!H40="","",Deployments!H40)</f>
        <v>ZUCKER HOSPITAL</v>
      </c>
      <c r="D40" s="21" t="str">
        <f>IF(Deployments!AH40="","",Deployments!AH40)</f>
        <v/>
      </c>
      <c r="E40" s="21" t="str">
        <f>IF(Deployments!I40="","",Deployments!I40)</f>
        <v/>
      </c>
      <c r="F40" s="21" t="str">
        <f>IF(Deployments!J40="","",Deployments!J40)</f>
        <v/>
      </c>
      <c r="G40" s="21" t="str">
        <f>IF(Deployments!K40="","",Deployments!K40)</f>
        <v/>
      </c>
      <c r="H40" s="21" t="str">
        <f>IF(Deployments!A40="","",Deployments!A40)</f>
        <v>Neuron</v>
      </c>
      <c r="I40" s="21" t="str">
        <f>IF(Deployments!AI40="","",Deployments!AI40)</f>
        <v/>
      </c>
      <c r="J40" s="21" t="str">
        <f>IF(Deployments!AJ40="","",Deployments!AJ40)</f>
        <v/>
      </c>
      <c r="K40" s="21" t="str">
        <f>IF(Deployments!AD40="","",Deployments!AD40)</f>
        <v/>
      </c>
      <c r="L40" s="21" t="str">
        <f>IF(Deployments!M40="","",Deployments!M40)</f>
        <v/>
      </c>
      <c r="M40" s="22"/>
      <c r="N40" s="21" t="str">
        <f>IF(Deployments!N40="","",Deployments!N40)</f>
        <v>NA</v>
      </c>
      <c r="O40" s="21" t="str">
        <f>IF(Deployments!O40="","",Deployments!O40)</f>
        <v>NA</v>
      </c>
      <c r="P40" s="21" t="str">
        <f>IF(Deployments!P40="","",Deployments!P40)</f>
        <v>NA</v>
      </c>
      <c r="Q40" s="22"/>
      <c r="R40" s="21" t="str">
        <f>IF(Deployments!AY40="","",Deployments!AY40)</f>
        <v/>
      </c>
      <c r="S40" s="21" t="str">
        <f>IF(Deployments!AX40="","",Deployments!AX40)</f>
        <v/>
      </c>
      <c r="T40" s="21" t="str">
        <f>IF(Deployments!AV40="","",Deployments!AV40)</f>
        <v/>
      </c>
      <c r="U40" s="21" t="str">
        <f>IF(Deployments!AW40="","",Deployments!AW40)</f>
        <v/>
      </c>
      <c r="V40" s="21" t="str">
        <f>IF(Deployments!BA40="","",Deployments!BA40)</f>
        <v/>
      </c>
      <c r="W40" s="21" t="str">
        <f>IF(Deployments!BC40="","",Deployments!BC40)</f>
        <v>In Storage</v>
      </c>
      <c r="X40" s="21" t="str">
        <f>IF(Deployments!BK40="","",Deployments!BK40)</f>
        <v>Power Cable, Battery, Firmware Download, Device ID, Epic Beans Relay</v>
      </c>
      <c r="Y40" s="21" t="str">
        <f>IF(Deployments!BB40="","",Deployments!BB40)</f>
        <v/>
      </c>
      <c r="Z40" s="21" t="str">
        <f>IF(Deployments!T40="","",Deployments!T40)</f>
        <v/>
      </c>
      <c r="AA40" s="21" t="str">
        <f>IF(Deployments!L40="","",Deployments!L40)</f>
        <v/>
      </c>
    </row>
    <row r="41" spans="1:27" ht="45.75" customHeight="1">
      <c r="A41" s="22"/>
      <c r="B41" s="22"/>
      <c r="C41" s="21" t="str">
        <f>IF(Deployments!H41="","",Deployments!H41)</f>
        <v>ZUCKER HOSPITAL</v>
      </c>
      <c r="D41" s="21" t="str">
        <f>IF(Deployments!AH41="","",Deployments!AH41)</f>
        <v/>
      </c>
      <c r="E41" s="21" t="str">
        <f>IF(Deployments!I41="","",Deployments!I41)</f>
        <v/>
      </c>
      <c r="F41" s="21" t="str">
        <f>IF(Deployments!J41="","",Deployments!J41)</f>
        <v/>
      </c>
      <c r="G41" s="21" t="str">
        <f>IF(Deployments!K41="","",Deployments!K41)</f>
        <v/>
      </c>
      <c r="H41" s="21" t="str">
        <f>IF(Deployments!A41="","",Deployments!A41)</f>
        <v>Neuron</v>
      </c>
      <c r="I41" s="21" t="str">
        <f>IF(Deployments!AI41="","",Deployments!AI41)</f>
        <v/>
      </c>
      <c r="J41" s="21" t="str">
        <f>IF(Deployments!AJ41="","",Deployments!AJ41)</f>
        <v/>
      </c>
      <c r="K41" s="21" t="str">
        <f>IF(Deployments!AD41="","",Deployments!AD41)</f>
        <v/>
      </c>
      <c r="L41" s="21" t="str">
        <f>IF(Deployments!M41="","",Deployments!M41)</f>
        <v/>
      </c>
      <c r="M41" s="22"/>
      <c r="N41" s="21" t="str">
        <f>IF(Deployments!N41="","",Deployments!N41)</f>
        <v>NA</v>
      </c>
      <c r="O41" s="21" t="str">
        <f>IF(Deployments!O41="","",Deployments!O41)</f>
        <v>NA</v>
      </c>
      <c r="P41" s="21" t="str">
        <f>IF(Deployments!P41="","",Deployments!P41)</f>
        <v>NA</v>
      </c>
      <c r="Q41" s="22"/>
      <c r="R41" s="21" t="str">
        <f>IF(Deployments!AY41="","",Deployments!AY41)</f>
        <v/>
      </c>
      <c r="S41" s="21" t="str">
        <f>IF(Deployments!AX41="","",Deployments!AX41)</f>
        <v/>
      </c>
      <c r="T41" s="21" t="str">
        <f>IF(Deployments!AV41="","",Deployments!AV41)</f>
        <v/>
      </c>
      <c r="U41" s="21" t="str">
        <f>IF(Deployments!AW41="","",Deployments!AW41)</f>
        <v/>
      </c>
      <c r="V41" s="21" t="str">
        <f>IF(Deployments!BA41="","",Deployments!BA41)</f>
        <v/>
      </c>
      <c r="W41" s="21" t="str">
        <f>IF(Deployments!BC41="","",Deployments!BC41)</f>
        <v>In Storage</v>
      </c>
      <c r="X41" s="21" t="str">
        <f>IF(Deployments!BK41="","",Deployments!BK41)</f>
        <v>Power Cable, Battery, Firmware Download, Device ID, Epic Beans Relay</v>
      </c>
      <c r="Y41" s="21" t="str">
        <f>IF(Deployments!BB41="","",Deployments!BB41)</f>
        <v/>
      </c>
      <c r="Z41" s="21" t="str">
        <f>IF(Deployments!T41="","",Deployments!T41)</f>
        <v/>
      </c>
      <c r="AA41" s="21" t="str">
        <f>IF(Deployments!L41="","",Deployments!L41)</f>
        <v/>
      </c>
    </row>
    <row r="42" spans="1:27" ht="45.75" customHeight="1">
      <c r="A42" s="22"/>
      <c r="B42" s="22"/>
      <c r="C42" s="21" t="str">
        <f>IF(Deployments!H42="","",Deployments!H42)</f>
        <v>CCMC</v>
      </c>
      <c r="D42" s="21" t="str">
        <f>IF(Deployments!AH42="","",Deployments!AH42)</f>
        <v/>
      </c>
      <c r="E42" s="21" t="str">
        <f>IF(Deployments!I42="","",Deployments!I42)</f>
        <v/>
      </c>
      <c r="F42" s="21" t="str">
        <f>IF(Deployments!J42="","",Deployments!J42)</f>
        <v/>
      </c>
      <c r="G42" s="21" t="str">
        <f>IF(Deployments!K42="","",Deployments!K42)</f>
        <v/>
      </c>
      <c r="H42" s="21" t="str">
        <f>IF(Deployments!A42="","",Deployments!A42)</f>
        <v>Neuron</v>
      </c>
      <c r="I42" s="21" t="str">
        <f>IF(Deployments!AI42="","",Deployments!AI42)</f>
        <v/>
      </c>
      <c r="J42" s="21" t="str">
        <f>IF(Deployments!AJ42="","",Deployments!AJ42)</f>
        <v/>
      </c>
      <c r="K42" s="21" t="str">
        <f>IF(Deployments!AD42="","",Deployments!AD42)</f>
        <v/>
      </c>
      <c r="L42" s="21" t="str">
        <f>IF(Deployments!M42="","",Deployments!M42)</f>
        <v/>
      </c>
      <c r="M42" s="22"/>
      <c r="N42" s="21" t="str">
        <f>IF(Deployments!N42="","",Deployments!N42)</f>
        <v>NA</v>
      </c>
      <c r="O42" s="21" t="str">
        <f>IF(Deployments!O42="","",Deployments!O42)</f>
        <v>NA</v>
      </c>
      <c r="P42" s="21" t="str">
        <f>IF(Deployments!P42="","",Deployments!P42)</f>
        <v>NA</v>
      </c>
      <c r="Q42" s="22"/>
      <c r="R42" s="21" t="str">
        <f>IF(Deployments!AY42="","",Deployments!AY42)</f>
        <v/>
      </c>
      <c r="S42" s="21" t="str">
        <f>IF(Deployments!AX42="","",Deployments!AX42)</f>
        <v/>
      </c>
      <c r="T42" s="21" t="str">
        <f>IF(Deployments!AV42="","",Deployments!AV42)</f>
        <v/>
      </c>
      <c r="U42" s="21" t="str">
        <f>IF(Deployments!AW42="","",Deployments!AW42)</f>
        <v/>
      </c>
      <c r="V42" s="21" t="str">
        <f>IF(Deployments!BA42="","",Deployments!BA42)</f>
        <v/>
      </c>
      <c r="W42" s="21" t="str">
        <f>IF(Deployments!BC42="","",Deployments!BC42)</f>
        <v>In Storage</v>
      </c>
      <c r="X42" s="21" t="str">
        <f>IF(Deployments!BK42="","",Deployments!BK42)</f>
        <v>Power Cable, Battery, Firmware Download, Device ID, Epic Beans Relay</v>
      </c>
      <c r="Y42" s="21" t="str">
        <f>IF(Deployments!BB42="","",Deployments!BB42)</f>
        <v/>
      </c>
      <c r="Z42" s="21" t="str">
        <f>IF(Deployments!T42="","",Deployments!T42)</f>
        <v/>
      </c>
      <c r="AA42" s="21" t="str">
        <f>IF(Deployments!L42="","",Deployments!L42)</f>
        <v/>
      </c>
    </row>
    <row r="43" spans="1:27" ht="45.75" customHeight="1">
      <c r="A43" s="22"/>
      <c r="B43" s="22"/>
      <c r="C43" s="21" t="str">
        <f>IF(Deployments!H43="","",Deployments!H43)</f>
        <v>Glen Cove</v>
      </c>
      <c r="D43" s="21" t="str">
        <f>IF(Deployments!AH43="","",Deployments!AH43)</f>
        <v/>
      </c>
      <c r="E43" s="21" t="str">
        <f>IF(Deployments!I43="","",Deployments!I43)</f>
        <v/>
      </c>
      <c r="F43" s="21" t="str">
        <f>IF(Deployments!J43="","",Deployments!J43)</f>
        <v/>
      </c>
      <c r="G43" s="21" t="str">
        <f>IF(Deployments!K43="","",Deployments!K43)</f>
        <v/>
      </c>
      <c r="H43" s="21" t="str">
        <f>IF(Deployments!A43="","",Deployments!A43)</f>
        <v>Neuron</v>
      </c>
      <c r="I43" s="21" t="str">
        <f>IF(Deployments!AI43="","",Deployments!AI43)</f>
        <v/>
      </c>
      <c r="J43" s="21" t="str">
        <f>IF(Deployments!AJ43="","",Deployments!AJ43)</f>
        <v/>
      </c>
      <c r="K43" s="21" t="str">
        <f>IF(Deployments!AD43="","",Deployments!AD43)</f>
        <v/>
      </c>
      <c r="L43" s="21" t="str">
        <f>IF(Deployments!M43="","",Deployments!M43)</f>
        <v/>
      </c>
      <c r="M43" s="22"/>
      <c r="N43" s="21" t="str">
        <f>IF(Deployments!N43="","",Deployments!N43)</f>
        <v>NA</v>
      </c>
      <c r="O43" s="21" t="str">
        <f>IF(Deployments!O43="","",Deployments!O43)</f>
        <v>NA</v>
      </c>
      <c r="P43" s="21" t="str">
        <f>IF(Deployments!P43="","",Deployments!P43)</f>
        <v>NA</v>
      </c>
      <c r="Q43" s="22"/>
      <c r="R43" s="21" t="str">
        <f>IF(Deployments!AY43="","",Deployments!AY43)</f>
        <v/>
      </c>
      <c r="S43" s="21" t="str">
        <f>IF(Deployments!AX43="","",Deployments!AX43)</f>
        <v/>
      </c>
      <c r="T43" s="21" t="str">
        <f>IF(Deployments!AV43="","",Deployments!AV43)</f>
        <v/>
      </c>
      <c r="U43" s="21" t="str">
        <f>IF(Deployments!AW43="","",Deployments!AW43)</f>
        <v/>
      </c>
      <c r="V43" s="21" t="str">
        <f>IF(Deployments!BA43="","",Deployments!BA43)</f>
        <v/>
      </c>
      <c r="W43" s="21" t="str">
        <f>IF(Deployments!BC43="","",Deployments!BC43)</f>
        <v>In Storage</v>
      </c>
      <c r="X43" s="21" t="str">
        <f>IF(Deployments!BK43="","",Deployments!BK43)</f>
        <v>Power Cable, Battery, Firmware Download, Device ID, Epic Beans Relay</v>
      </c>
      <c r="Y43" s="21" t="str">
        <f>IF(Deployments!BB43="","",Deployments!BB43)</f>
        <v/>
      </c>
      <c r="Z43" s="21" t="str">
        <f>IF(Deployments!T43="","",Deployments!T43)</f>
        <v/>
      </c>
      <c r="AA43" s="21" t="str">
        <f>IF(Deployments!L43="","",Deployments!L43)</f>
        <v/>
      </c>
    </row>
    <row r="44" spans="1:27" ht="45.75" customHeight="1">
      <c r="A44" s="22"/>
      <c r="B44" s="22"/>
      <c r="C44" s="21" t="str">
        <f>IF(Deployments!H44="","",Deployments!H44)</f>
        <v>Glen Cove</v>
      </c>
      <c r="D44" s="21" t="str">
        <f>IF(Deployments!AH44="","",Deployments!AH44)</f>
        <v/>
      </c>
      <c r="E44" s="21" t="str">
        <f>IF(Deployments!I44="","",Deployments!I44)</f>
        <v/>
      </c>
      <c r="F44" s="21" t="str">
        <f>IF(Deployments!J44="","",Deployments!J44)</f>
        <v/>
      </c>
      <c r="G44" s="21" t="str">
        <f>IF(Deployments!K44="","",Deployments!K44)</f>
        <v/>
      </c>
      <c r="H44" s="21" t="str">
        <f>IF(Deployments!A44="","",Deployments!A44)</f>
        <v>Neuron</v>
      </c>
      <c r="I44" s="21" t="str">
        <f>IF(Deployments!AI44="","",Deployments!AI44)</f>
        <v/>
      </c>
      <c r="J44" s="21" t="str">
        <f>IF(Deployments!AJ44="","",Deployments!AJ44)</f>
        <v/>
      </c>
      <c r="K44" s="21" t="str">
        <f>IF(Deployments!AD44="","",Deployments!AD44)</f>
        <v/>
      </c>
      <c r="L44" s="21" t="str">
        <f>IF(Deployments!M44="","",Deployments!M44)</f>
        <v/>
      </c>
      <c r="M44" s="22"/>
      <c r="N44" s="21" t="str">
        <f>IF(Deployments!N44="","",Deployments!N44)</f>
        <v>NA</v>
      </c>
      <c r="O44" s="21" t="str">
        <f>IF(Deployments!O44="","",Deployments!O44)</f>
        <v>NA</v>
      </c>
      <c r="P44" s="21" t="str">
        <f>IF(Deployments!P44="","",Deployments!P44)</f>
        <v>NA</v>
      </c>
      <c r="Q44" s="22"/>
      <c r="R44" s="21" t="str">
        <f>IF(Deployments!AY44="","",Deployments!AY44)</f>
        <v/>
      </c>
      <c r="S44" s="21" t="str">
        <f>IF(Deployments!AX44="","",Deployments!AX44)</f>
        <v/>
      </c>
      <c r="T44" s="21" t="str">
        <f>IF(Deployments!AV44="","",Deployments!AV44)</f>
        <v/>
      </c>
      <c r="U44" s="21" t="str">
        <f>IF(Deployments!AW44="","",Deployments!AW44)</f>
        <v/>
      </c>
      <c r="V44" s="21" t="str">
        <f>IF(Deployments!BA44="","",Deployments!BA44)</f>
        <v/>
      </c>
      <c r="W44" s="21" t="str">
        <f>IF(Deployments!BC44="","",Deployments!BC44)</f>
        <v>In Storage</v>
      </c>
      <c r="X44" s="21" t="str">
        <f>IF(Deployments!BK44="","",Deployments!BK44)</f>
        <v>Power Cable, Battery, Firmware Download, Device ID, Epic Beans Relay</v>
      </c>
      <c r="Y44" s="21" t="str">
        <f>IF(Deployments!BB44="","",Deployments!BB44)</f>
        <v/>
      </c>
      <c r="Z44" s="21" t="str">
        <f>IF(Deployments!T44="","",Deployments!T44)</f>
        <v/>
      </c>
      <c r="AA44" s="21" t="str">
        <f>IF(Deployments!L44="","",Deployments!L44)</f>
        <v/>
      </c>
    </row>
    <row r="45" spans="1:27" ht="45.75" customHeight="1">
      <c r="A45" s="22"/>
      <c r="B45" s="22"/>
      <c r="C45" s="21" t="str">
        <f>IF(Deployments!H45="","",Deployments!H45)</f>
        <v>Glen Cove</v>
      </c>
      <c r="D45" s="21" t="str">
        <f>IF(Deployments!AH45="","",Deployments!AH45)</f>
        <v/>
      </c>
      <c r="E45" s="21" t="str">
        <f>IF(Deployments!I45="","",Deployments!I45)</f>
        <v/>
      </c>
      <c r="F45" s="21" t="str">
        <f>IF(Deployments!J45="","",Deployments!J45)</f>
        <v/>
      </c>
      <c r="G45" s="21" t="str">
        <f>IF(Deployments!K45="","",Deployments!K45)</f>
        <v/>
      </c>
      <c r="H45" s="21" t="str">
        <f>IF(Deployments!A45="","",Deployments!A45)</f>
        <v>Neuron</v>
      </c>
      <c r="I45" s="21" t="str">
        <f>IF(Deployments!AI45="","",Deployments!AI45)</f>
        <v/>
      </c>
      <c r="J45" s="21" t="str">
        <f>IF(Deployments!AJ45="","",Deployments!AJ45)</f>
        <v/>
      </c>
      <c r="K45" s="21" t="str">
        <f>IF(Deployments!AD45="","",Deployments!AD45)</f>
        <v/>
      </c>
      <c r="L45" s="21" t="str">
        <f>IF(Deployments!M45="","",Deployments!M45)</f>
        <v/>
      </c>
      <c r="M45" s="22"/>
      <c r="N45" s="21" t="str">
        <f>IF(Deployments!N45="","",Deployments!N45)</f>
        <v>NA</v>
      </c>
      <c r="O45" s="21" t="str">
        <f>IF(Deployments!O45="","",Deployments!O45)</f>
        <v>NA</v>
      </c>
      <c r="P45" s="21" t="str">
        <f>IF(Deployments!P45="","",Deployments!P45)</f>
        <v>NA</v>
      </c>
      <c r="Q45" s="22"/>
      <c r="R45" s="21" t="str">
        <f>IF(Deployments!AY45="","",Deployments!AY45)</f>
        <v/>
      </c>
      <c r="S45" s="21" t="str">
        <f>IF(Deployments!AX45="","",Deployments!AX45)</f>
        <v/>
      </c>
      <c r="T45" s="21" t="str">
        <f>IF(Deployments!AV45="","",Deployments!AV45)</f>
        <v/>
      </c>
      <c r="U45" s="21" t="str">
        <f>IF(Deployments!AW45="","",Deployments!AW45)</f>
        <v/>
      </c>
      <c r="V45" s="21" t="str">
        <f>IF(Deployments!BA45="","",Deployments!BA45)</f>
        <v/>
      </c>
      <c r="W45" s="21" t="str">
        <f>IF(Deployments!BC45="","",Deployments!BC45)</f>
        <v>In Storage</v>
      </c>
      <c r="X45" s="21" t="str">
        <f>IF(Deployments!BK45="","",Deployments!BK45)</f>
        <v>Power Cable, Battery, Firmware Download, Device ID, Epic Beans Relay</v>
      </c>
      <c r="Y45" s="21" t="str">
        <f>IF(Deployments!BB45="","",Deployments!BB45)</f>
        <v/>
      </c>
      <c r="Z45" s="21" t="str">
        <f>IF(Deployments!T45="","",Deployments!T45)</f>
        <v/>
      </c>
      <c r="AA45" s="21" t="str">
        <f>IF(Deployments!L45="","",Deployments!L45)</f>
        <v/>
      </c>
    </row>
    <row r="46" spans="1:27" ht="41.25" customHeight="1">
      <c r="A46" s="22"/>
      <c r="B46" s="22"/>
      <c r="C46" s="21" t="str">
        <f>IF(Deployments!H46="","",Deployments!H46)</f>
        <v>Glen Cove</v>
      </c>
      <c r="D46" s="21" t="str">
        <f>IF(Deployments!AH46="","",Deployments!AH46)</f>
        <v/>
      </c>
      <c r="E46" s="21" t="str">
        <f>IF(Deployments!I46="","",Deployments!I46)</f>
        <v/>
      </c>
      <c r="F46" s="21" t="str">
        <f>IF(Deployments!J46="","",Deployments!J46)</f>
        <v/>
      </c>
      <c r="G46" s="21" t="str">
        <f>IF(Deployments!K46="","",Deployments!K46)</f>
        <v/>
      </c>
      <c r="H46" s="21" t="str">
        <f>IF(Deployments!A46="","",Deployments!A46)</f>
        <v>Neuron</v>
      </c>
      <c r="I46" s="21" t="str">
        <f>IF(Deployments!AI46="","",Deployments!AI46)</f>
        <v/>
      </c>
      <c r="J46" s="21" t="str">
        <f>IF(Deployments!AJ46="","",Deployments!AJ46)</f>
        <v/>
      </c>
      <c r="K46" s="21" t="str">
        <f>IF(Deployments!AD46="","",Deployments!AD46)</f>
        <v/>
      </c>
      <c r="L46" s="21" t="str">
        <f>IF(Deployments!M46="","",Deployments!M46)</f>
        <v/>
      </c>
      <c r="M46" s="22"/>
      <c r="N46" s="21" t="str">
        <f>IF(Deployments!N46="","",Deployments!N46)</f>
        <v/>
      </c>
      <c r="O46" s="21" t="str">
        <f>IF(Deployments!O46="","",Deployments!O46)</f>
        <v/>
      </c>
      <c r="P46" s="21" t="str">
        <f>IF(Deployments!P46="","",Deployments!P46)</f>
        <v/>
      </c>
      <c r="Q46" s="22"/>
      <c r="R46" s="21" t="str">
        <f>IF(Deployments!AY46="","",Deployments!AY46)</f>
        <v/>
      </c>
      <c r="S46" s="21" t="str">
        <f>IF(Deployments!AX46="","",Deployments!AX46)</f>
        <v/>
      </c>
      <c r="T46" s="21" t="str">
        <f>IF(Deployments!AV46="","",Deployments!AV46)</f>
        <v/>
      </c>
      <c r="U46" s="21" t="str">
        <f>IF(Deployments!AW46="","",Deployments!AW46)</f>
        <v/>
      </c>
      <c r="V46" s="21" t="str">
        <f>IF(Deployments!BA46="","",Deployments!BA46)</f>
        <v/>
      </c>
      <c r="W46" s="21" t="str">
        <f>IF(Deployments!BC46="","",Deployments!BC46)</f>
        <v/>
      </c>
      <c r="X46" s="21" t="str">
        <f>IF(Deployments!BK46="","",Deployments!BK46)</f>
        <v>Power Cable, Battery, Firmware Download, Device ID, Epic Beans Relay</v>
      </c>
      <c r="Y46" s="21" t="str">
        <f>IF(Deployments!BB46="","",Deployments!BB46)</f>
        <v/>
      </c>
      <c r="Z46" s="21" t="str">
        <f>IF(Deployments!T46="","",Deployments!T46)</f>
        <v/>
      </c>
      <c r="AA46" s="21" t="str">
        <f>IF(Deployments!L46="","",Deployments!L46)</f>
        <v/>
      </c>
    </row>
    <row r="47" spans="1:27" ht="45.75" customHeight="1">
      <c r="A47" s="22"/>
      <c r="B47" s="22"/>
      <c r="C47" s="21" t="str">
        <f>IF(Deployments!H47="","",Deployments!H47)</f>
        <v>Glen Cove</v>
      </c>
      <c r="D47" s="21" t="str">
        <f>IF(Deployments!AH47="","",Deployments!AH47)</f>
        <v/>
      </c>
      <c r="E47" s="21" t="str">
        <f>IF(Deployments!I47="","",Deployments!I47)</f>
        <v/>
      </c>
      <c r="F47" s="21" t="str">
        <f>IF(Deployments!J47="","",Deployments!J47)</f>
        <v/>
      </c>
      <c r="G47" s="21" t="str">
        <f>IF(Deployments!K47="","",Deployments!K47)</f>
        <v/>
      </c>
      <c r="H47" s="21" t="str">
        <f>IF(Deployments!A47="","",Deployments!A47)</f>
        <v>Neuron</v>
      </c>
      <c r="I47" s="21" t="str">
        <f>IF(Deployments!AI47="","",Deployments!AI47)</f>
        <v/>
      </c>
      <c r="J47" s="21" t="str">
        <f>IF(Deployments!AJ47="","",Deployments!AJ47)</f>
        <v/>
      </c>
      <c r="K47" s="21" t="str">
        <f>IF(Deployments!AD47="","",Deployments!AD47)</f>
        <v/>
      </c>
      <c r="L47" s="21" t="str">
        <f>IF(Deployments!M47="","",Deployments!M47)</f>
        <v/>
      </c>
      <c r="M47" s="22"/>
      <c r="N47" s="21" t="str">
        <f>IF(Deployments!N47="","",Deployments!N47)</f>
        <v>NA</v>
      </c>
      <c r="O47" s="21" t="str">
        <f>IF(Deployments!O47="","",Deployments!O47)</f>
        <v>NA</v>
      </c>
      <c r="P47" s="21" t="str">
        <f>IF(Deployments!P47="","",Deployments!P47)</f>
        <v>NA</v>
      </c>
      <c r="Q47" s="22"/>
      <c r="R47" s="21" t="str">
        <f>IF(Deployments!AY47="","",Deployments!AY47)</f>
        <v/>
      </c>
      <c r="S47" s="21" t="str">
        <f>IF(Deployments!AX47="","",Deployments!AX47)</f>
        <v/>
      </c>
      <c r="T47" s="21" t="str">
        <f>IF(Deployments!AV47="","",Deployments!AV47)</f>
        <v/>
      </c>
      <c r="U47" s="21" t="str">
        <f>IF(Deployments!AW47="","",Deployments!AW47)</f>
        <v/>
      </c>
      <c r="V47" s="21" t="str">
        <f>IF(Deployments!BA47="","",Deployments!BA47)</f>
        <v/>
      </c>
      <c r="W47" s="21" t="str">
        <f>IF(Deployments!BC47="","",Deployments!BC47)</f>
        <v>In Storage</v>
      </c>
      <c r="X47" s="21" t="str">
        <f>IF(Deployments!BK47="","",Deployments!BK47)</f>
        <v>Power Cable, Battery, Firmware Download, Device ID, Epic Beans Relay</v>
      </c>
      <c r="Y47" s="21" t="str">
        <f>IF(Deployments!BB47="","",Deployments!BB47)</f>
        <v/>
      </c>
      <c r="Z47" s="21" t="str">
        <f>IF(Deployments!T47="","",Deployments!T47)</f>
        <v/>
      </c>
      <c r="AA47" s="21" t="str">
        <f>IF(Deployments!L47="","",Deployments!L47)</f>
        <v/>
      </c>
    </row>
    <row r="48" spans="1:27" ht="45.75" customHeight="1">
      <c r="A48" s="22"/>
      <c r="B48" s="22"/>
      <c r="C48" s="21" t="str">
        <f>IF(Deployments!H48="","",Deployments!H48)</f>
        <v>Glen Cove</v>
      </c>
      <c r="D48" s="21" t="str">
        <f>IF(Deployments!AH48="","",Deployments!AH48)</f>
        <v/>
      </c>
      <c r="E48" s="21" t="str">
        <f>IF(Deployments!I48="","",Deployments!I48)</f>
        <v/>
      </c>
      <c r="F48" s="21" t="str">
        <f>IF(Deployments!J48="","",Deployments!J48)</f>
        <v/>
      </c>
      <c r="G48" s="21" t="str">
        <f>IF(Deployments!K48="","",Deployments!K48)</f>
        <v/>
      </c>
      <c r="H48" s="21" t="str">
        <f>IF(Deployments!A48="","",Deployments!A48)</f>
        <v>Neuron</v>
      </c>
      <c r="I48" s="21" t="str">
        <f>IF(Deployments!AI48="","",Deployments!AI48)</f>
        <v/>
      </c>
      <c r="J48" s="21" t="str">
        <f>IF(Deployments!AJ48="","",Deployments!AJ48)</f>
        <v/>
      </c>
      <c r="K48" s="21" t="str">
        <f>IF(Deployments!AD48="","",Deployments!AD48)</f>
        <v/>
      </c>
      <c r="L48" s="21" t="str">
        <f>IF(Deployments!M48="","",Deployments!M48)</f>
        <v/>
      </c>
      <c r="M48" s="22"/>
      <c r="N48" s="21" t="str">
        <f>IF(Deployments!N48="","",Deployments!N48)</f>
        <v>NA</v>
      </c>
      <c r="O48" s="21" t="str">
        <f>IF(Deployments!O48="","",Deployments!O48)</f>
        <v>NA</v>
      </c>
      <c r="P48" s="21" t="str">
        <f>IF(Deployments!P48="","",Deployments!P48)</f>
        <v>NA</v>
      </c>
      <c r="Q48" s="22"/>
      <c r="R48" s="21" t="str">
        <f>IF(Deployments!AY48="","",Deployments!AY48)</f>
        <v/>
      </c>
      <c r="S48" s="21" t="str">
        <f>IF(Deployments!AX48="","",Deployments!AX48)</f>
        <v/>
      </c>
      <c r="T48" s="21" t="str">
        <f>IF(Deployments!AV48="","",Deployments!AV48)</f>
        <v/>
      </c>
      <c r="U48" s="21" t="str">
        <f>IF(Deployments!AW48="","",Deployments!AW48)</f>
        <v/>
      </c>
      <c r="V48" s="21" t="str">
        <f>IF(Deployments!BA48="","",Deployments!BA48)</f>
        <v/>
      </c>
      <c r="W48" s="21" t="str">
        <f>IF(Deployments!BC48="","",Deployments!BC48)</f>
        <v>In Storage</v>
      </c>
      <c r="X48" s="21" t="str">
        <f>IF(Deployments!BK48="","",Deployments!BK48)</f>
        <v>Power Cable, Battery, Firmware Download, Device ID, Epic Beans Relay</v>
      </c>
      <c r="Y48" s="21" t="str">
        <f>IF(Deployments!BB48="","",Deployments!BB48)</f>
        <v/>
      </c>
      <c r="Z48" s="21" t="str">
        <f>IF(Deployments!T48="","",Deployments!T48)</f>
        <v/>
      </c>
      <c r="AA48" s="21" t="str">
        <f>IF(Deployments!L48="","",Deployments!L48)</f>
        <v/>
      </c>
    </row>
    <row r="49" spans="1:27" ht="45.75" customHeight="1">
      <c r="A49" s="22"/>
      <c r="B49" s="22"/>
      <c r="C49" s="21" t="str">
        <f>IF(Deployments!H49="","",Deployments!H49)</f>
        <v>Glen Cove</v>
      </c>
      <c r="D49" s="21" t="str">
        <f>IF(Deployments!AH49="","",Deployments!AH49)</f>
        <v/>
      </c>
      <c r="E49" s="21" t="str">
        <f>IF(Deployments!I49="","",Deployments!I49)</f>
        <v/>
      </c>
      <c r="F49" s="21" t="str">
        <f>IF(Deployments!J49="","",Deployments!J49)</f>
        <v/>
      </c>
      <c r="G49" s="21" t="str">
        <f>IF(Deployments!K49="","",Deployments!K49)</f>
        <v/>
      </c>
      <c r="H49" s="21" t="str">
        <f>IF(Deployments!A49="","",Deployments!A49)</f>
        <v>Neuron</v>
      </c>
      <c r="I49" s="21" t="str">
        <f>IF(Deployments!AI49="","",Deployments!AI49)</f>
        <v/>
      </c>
      <c r="J49" s="21" t="str">
        <f>IF(Deployments!AJ49="","",Deployments!AJ49)</f>
        <v/>
      </c>
      <c r="K49" s="21" t="str">
        <f>IF(Deployments!AD49="","",Deployments!AD49)</f>
        <v/>
      </c>
      <c r="L49" s="21" t="str">
        <f>IF(Deployments!M49="","",Deployments!M49)</f>
        <v/>
      </c>
      <c r="M49" s="22"/>
      <c r="N49" s="21" t="str">
        <f>IF(Deployments!N49="","",Deployments!N49)</f>
        <v>NA</v>
      </c>
      <c r="O49" s="21" t="str">
        <f>IF(Deployments!O49="","",Deployments!O49)</f>
        <v>NA</v>
      </c>
      <c r="P49" s="21" t="str">
        <f>IF(Deployments!P49="","",Deployments!P49)</f>
        <v>NA</v>
      </c>
      <c r="Q49" s="22"/>
      <c r="R49" s="21" t="str">
        <f>IF(Deployments!AY49="","",Deployments!AY49)</f>
        <v/>
      </c>
      <c r="S49" s="21" t="str">
        <f>IF(Deployments!AX49="","",Deployments!AX49)</f>
        <v/>
      </c>
      <c r="T49" s="21" t="str">
        <f>IF(Deployments!AV49="","",Deployments!AV49)</f>
        <v/>
      </c>
      <c r="U49" s="21" t="str">
        <f>IF(Deployments!AW49="","",Deployments!AW49)</f>
        <v/>
      </c>
      <c r="V49" s="21" t="str">
        <f>IF(Deployments!BA49="","",Deployments!BA49)</f>
        <v/>
      </c>
      <c r="W49" s="21" t="str">
        <f>IF(Deployments!BC49="","",Deployments!BC49)</f>
        <v>In Storage</v>
      </c>
      <c r="X49" s="21" t="str">
        <f>IF(Deployments!BK49="","",Deployments!BK49)</f>
        <v>Power Cable, Battery, Firmware Download, Device ID, Epic Beans Relay</v>
      </c>
      <c r="Y49" s="21" t="str">
        <f>IF(Deployments!BB49="","",Deployments!BB49)</f>
        <v/>
      </c>
      <c r="Z49" s="21" t="str">
        <f>IF(Deployments!T49="","",Deployments!T49)</f>
        <v/>
      </c>
      <c r="AA49" s="21" t="str">
        <f>IF(Deployments!L49="","",Deployments!L49)</f>
        <v/>
      </c>
    </row>
    <row r="50" spans="1:27" ht="30.75" customHeight="1">
      <c r="A50" s="22"/>
      <c r="B50" s="22"/>
      <c r="C50" s="21" t="str">
        <f>IF(Deployments!H50="","",Deployments!H50)</f>
        <v>LIJ-IR</v>
      </c>
      <c r="D50" s="21" t="str">
        <f>IF(Deployments!AH50="","",Deployments!AH50)</f>
        <v/>
      </c>
      <c r="E50" s="21" t="str">
        <f>IF(Deployments!I50="","",Deployments!I50)</f>
        <v/>
      </c>
      <c r="F50" s="21" t="str">
        <f>IF(Deployments!J50="","",Deployments!J50)</f>
        <v/>
      </c>
      <c r="G50" s="21" t="str">
        <f>IF(Deployments!K50="","",Deployments!K50)</f>
        <v/>
      </c>
      <c r="H50" s="21" t="str">
        <f>IF(Deployments!A50="","",Deployments!A50)</f>
        <v>Cybernet</v>
      </c>
      <c r="I50" s="21" t="str">
        <f>IF(Deployments!AI50="","",Deployments!AI50)</f>
        <v>Cybernet Manufacturing Inc</v>
      </c>
      <c r="J50" s="21" t="str">
        <f>IF(Deployments!AJ50="","",Deployments!AJ50)</f>
        <v>CyberMed-S24 TGL</v>
      </c>
      <c r="K50" s="21" t="str">
        <f>IF(Deployments!AD50="","",Deployments!AD50)</f>
        <v/>
      </c>
      <c r="L50" s="21" t="str">
        <f>IF(Deployments!M50="","",Deployments!M50)</f>
        <v/>
      </c>
      <c r="M50" s="22"/>
      <c r="N50" s="21" t="str">
        <f>IF(Deployments!N50="","",Deployments!N50)</f>
        <v>Yes</v>
      </c>
      <c r="O50" s="21" t="str">
        <f>IF(Deployments!O50="","",Deployments!O50)</f>
        <v>No</v>
      </c>
      <c r="P50" s="21" t="str">
        <f>IF(Deployments!P50="","",Deployments!P50)</f>
        <v>No</v>
      </c>
      <c r="Q50" s="22"/>
      <c r="R50" s="21" t="str">
        <f>IF(Deployments!AY50="","",Deployments!AY50)</f>
        <v/>
      </c>
      <c r="S50" s="21" t="str">
        <f>IF(Deployments!AX50="","",Deployments!AX50)</f>
        <v/>
      </c>
      <c r="T50" s="21" t="str">
        <f>IF(Deployments!AV50="","",Deployments!AV50)</f>
        <v/>
      </c>
      <c r="U50" s="21" t="str">
        <f>IF(Deployments!AW50="","",Deployments!AW50)</f>
        <v/>
      </c>
      <c r="V50" s="21" t="str">
        <f>IF(Deployments!BA50="","",Deployments!BA50)</f>
        <v/>
      </c>
      <c r="W50" s="21" t="str">
        <f>IF(Deployments!BC50="","",Deployments!BC50)</f>
        <v>In Storage</v>
      </c>
      <c r="X50" s="21" t="str">
        <f>IF(Deployments!BK50="","",Deployments!BK50)</f>
        <v/>
      </c>
      <c r="Y50" s="21" t="str">
        <f>IF(Deployments!BB50="","",Deployments!BB50)</f>
        <v>Ran POSTINSTALL, boxed</v>
      </c>
      <c r="Z50" s="21" t="str">
        <f>IF(Deployments!T50="","",Deployments!T50)</f>
        <v/>
      </c>
      <c r="AA50" s="21" t="str">
        <f>IF(Deployments!L50="","",Deployments!L50)</f>
        <v/>
      </c>
    </row>
    <row r="51" spans="1:27" ht="30.75" customHeight="1">
      <c r="A51" s="22"/>
      <c r="B51" s="22"/>
      <c r="C51" s="21" t="str">
        <f>IF(Deployments!H51="","",Deployments!H51)</f>
        <v>LIJ-IR</v>
      </c>
      <c r="D51" s="21" t="str">
        <f>IF(Deployments!AH51="","",Deployments!AH51)</f>
        <v/>
      </c>
      <c r="E51" s="21" t="str">
        <f>IF(Deployments!I51="","",Deployments!I51)</f>
        <v/>
      </c>
      <c r="F51" s="21" t="str">
        <f>IF(Deployments!J51="","",Deployments!J51)</f>
        <v/>
      </c>
      <c r="G51" s="21" t="str">
        <f>IF(Deployments!K51="","",Deployments!K51)</f>
        <v/>
      </c>
      <c r="H51" s="21" t="str">
        <f>IF(Deployments!A51="","",Deployments!A51)</f>
        <v>Cybernet</v>
      </c>
      <c r="I51" s="21" t="str">
        <f>IF(Deployments!AI51="","",Deployments!AI51)</f>
        <v>Cybernet Manufacturing Inc</v>
      </c>
      <c r="J51" s="21" t="str">
        <f>IF(Deployments!AJ51="","",Deployments!AJ51)</f>
        <v>CyberMed-S24 TGL</v>
      </c>
      <c r="K51" s="21" t="str">
        <f>IF(Deployments!AD51="","",Deployments!AD51)</f>
        <v/>
      </c>
      <c r="L51" s="21" t="str">
        <f>IF(Deployments!M51="","",Deployments!M51)</f>
        <v/>
      </c>
      <c r="M51" s="22"/>
      <c r="N51" s="21" t="str">
        <f>IF(Deployments!N51="","",Deployments!N51)</f>
        <v>Yes</v>
      </c>
      <c r="O51" s="21" t="str">
        <f>IF(Deployments!O51="","",Deployments!O51)</f>
        <v>No</v>
      </c>
      <c r="P51" s="21" t="str">
        <f>IF(Deployments!P51="","",Deployments!P51)</f>
        <v>No</v>
      </c>
      <c r="Q51" s="22"/>
      <c r="R51" s="21" t="str">
        <f>IF(Deployments!AY51="","",Deployments!AY51)</f>
        <v/>
      </c>
      <c r="S51" s="21" t="str">
        <f>IF(Deployments!AX51="","",Deployments!AX51)</f>
        <v/>
      </c>
      <c r="T51" s="21" t="str">
        <f>IF(Deployments!AV51="","",Deployments!AV51)</f>
        <v/>
      </c>
      <c r="U51" s="21" t="str">
        <f>IF(Deployments!AW51="","",Deployments!AW51)</f>
        <v/>
      </c>
      <c r="V51" s="21" t="str">
        <f>IF(Deployments!BA51="","",Deployments!BA51)</f>
        <v/>
      </c>
      <c r="W51" s="21" t="str">
        <f>IF(Deployments!BC51="","",Deployments!BC51)</f>
        <v>In Storage</v>
      </c>
      <c r="X51" s="21" t="str">
        <f>IF(Deployments!BK51="","",Deployments!BK51)</f>
        <v/>
      </c>
      <c r="Y51" s="21" t="str">
        <f>IF(Deployments!BB51="","",Deployments!BB51)</f>
        <v>Ran POSTINSTALL, boxed</v>
      </c>
      <c r="Z51" s="21" t="str">
        <f>IF(Deployments!T51="","",Deployments!T51)</f>
        <v/>
      </c>
      <c r="AA51" s="21" t="str">
        <f>IF(Deployments!L51="","",Deployments!L51)</f>
        <v/>
      </c>
    </row>
    <row r="52" spans="1:27">
      <c r="A52" s="22"/>
      <c r="B52" s="22"/>
      <c r="C52" s="21" t="str">
        <f>IF(Deployments!H52="","",Deployments!H52)</f>
        <v>MEETH</v>
      </c>
      <c r="D52" s="21" t="str">
        <f>IF(Deployments!AH52="","",Deployments!AH52)</f>
        <v/>
      </c>
      <c r="E52" s="21" t="str">
        <f>IF(Deployments!I52="","",Deployments!I52)</f>
        <v/>
      </c>
      <c r="F52" s="21" t="str">
        <f>IF(Deployments!J52="","",Deployments!J52)</f>
        <v/>
      </c>
      <c r="G52" s="21" t="str">
        <f>IF(Deployments!K52="","",Deployments!K52)</f>
        <v/>
      </c>
      <c r="H52" s="21" t="str">
        <f>IF(Deployments!A52="","",Deployments!A52)</f>
        <v>Cybernet</v>
      </c>
      <c r="I52" s="21" t="str">
        <f>IF(Deployments!AI52="","",Deployments!AI52)</f>
        <v/>
      </c>
      <c r="J52" s="21" t="str">
        <f>IF(Deployments!AJ52="","",Deployments!AJ52)</f>
        <v/>
      </c>
      <c r="K52" s="21" t="str">
        <f>IF(Deployments!AD52="","",Deployments!AD52)</f>
        <v/>
      </c>
      <c r="L52" s="21" t="str">
        <f>IF(Deployments!M52="","",Deployments!M52)</f>
        <v/>
      </c>
      <c r="M52" s="22"/>
      <c r="N52" s="21" t="str">
        <f>IF(Deployments!N52="","",Deployments!N52)</f>
        <v>Yes</v>
      </c>
      <c r="O52" s="21" t="str">
        <f>IF(Deployments!O52="","",Deployments!O52)</f>
        <v>No</v>
      </c>
      <c r="P52" s="21" t="str">
        <f>IF(Deployments!P52="","",Deployments!P52)</f>
        <v>No</v>
      </c>
      <c r="Q52" s="22"/>
      <c r="R52" s="21" t="str">
        <f>IF(Deployments!AY52="","",Deployments!AY52)</f>
        <v/>
      </c>
      <c r="S52" s="21" t="str">
        <f>IF(Deployments!AX52="","",Deployments!AX52)</f>
        <v/>
      </c>
      <c r="T52" s="21" t="str">
        <f>IF(Deployments!AV52="","",Deployments!AV52)</f>
        <v/>
      </c>
      <c r="U52" s="21" t="str">
        <f>IF(Deployments!AW52="","",Deployments!AW52)</f>
        <v/>
      </c>
      <c r="V52" s="21" t="str">
        <f>IF(Deployments!BA52="","",Deployments!BA52)</f>
        <v/>
      </c>
      <c r="W52" s="21" t="str">
        <f>IF(Deployments!BC52="","",Deployments!BC52)</f>
        <v/>
      </c>
      <c r="X52" s="21" t="str">
        <f>IF(Deployments!BK52="","",Deployments!BK52)</f>
        <v/>
      </c>
      <c r="Y52" s="21" t="str">
        <f>IF(Deployments!BB52="","",Deployments!BB52)</f>
        <v xml:space="preserve">Ran POSTINSTALL </v>
      </c>
      <c r="Z52" s="21" t="str">
        <f>IF(Deployments!T52="","",Deployments!T52)</f>
        <v/>
      </c>
      <c r="AA52" s="21" t="str">
        <f>IF(Deployments!L52="","",Deployments!L52)</f>
        <v/>
      </c>
    </row>
    <row r="53" spans="1:27">
      <c r="A53" s="22"/>
      <c r="B53" s="22"/>
      <c r="C53" s="21" t="str">
        <f>IF(Deployments!H53="","",Deployments!H53)</f>
        <v>MEETH</v>
      </c>
      <c r="D53" s="21" t="str">
        <f>IF(Deployments!AH53="","",Deployments!AH53)</f>
        <v/>
      </c>
      <c r="E53" s="21" t="str">
        <f>IF(Deployments!I53="","",Deployments!I53)</f>
        <v/>
      </c>
      <c r="F53" s="21" t="str">
        <f>IF(Deployments!J53="","",Deployments!J53)</f>
        <v/>
      </c>
      <c r="G53" s="21" t="str">
        <f>IF(Deployments!K53="","",Deployments!K53)</f>
        <v/>
      </c>
      <c r="H53" s="21" t="str">
        <f>IF(Deployments!A53="","",Deployments!A53)</f>
        <v>Cybernet</v>
      </c>
      <c r="I53" s="21" t="str">
        <f>IF(Deployments!AI53="","",Deployments!AI53)</f>
        <v/>
      </c>
      <c r="J53" s="21" t="str">
        <f>IF(Deployments!AJ53="","",Deployments!AJ53)</f>
        <v/>
      </c>
      <c r="K53" s="21" t="str">
        <f>IF(Deployments!AD53="","",Deployments!AD53)</f>
        <v/>
      </c>
      <c r="L53" s="21" t="str">
        <f>IF(Deployments!M53="","",Deployments!M53)</f>
        <v/>
      </c>
      <c r="M53" s="22"/>
      <c r="N53" s="21" t="str">
        <f>IF(Deployments!N53="","",Deployments!N53)</f>
        <v>Yes</v>
      </c>
      <c r="O53" s="21" t="str">
        <f>IF(Deployments!O53="","",Deployments!O53)</f>
        <v>No</v>
      </c>
      <c r="P53" s="21" t="str">
        <f>IF(Deployments!P53="","",Deployments!P53)</f>
        <v>No</v>
      </c>
      <c r="Q53" s="22"/>
      <c r="R53" s="21" t="str">
        <f>IF(Deployments!AY53="","",Deployments!AY53)</f>
        <v/>
      </c>
      <c r="S53" s="21" t="str">
        <f>IF(Deployments!AX53="","",Deployments!AX53)</f>
        <v/>
      </c>
      <c r="T53" s="21" t="str">
        <f>IF(Deployments!AV53="","",Deployments!AV53)</f>
        <v/>
      </c>
      <c r="U53" s="21" t="str">
        <f>IF(Deployments!AW53="","",Deployments!AW53)</f>
        <v/>
      </c>
      <c r="V53" s="21" t="str">
        <f>IF(Deployments!BA53="","",Deployments!BA53)</f>
        <v/>
      </c>
      <c r="W53" s="21" t="str">
        <f>IF(Deployments!BC53="","",Deployments!BC53)</f>
        <v/>
      </c>
      <c r="X53" s="21" t="str">
        <f>IF(Deployments!BK53="","",Deployments!BK53)</f>
        <v/>
      </c>
      <c r="Y53" s="21" t="str">
        <f>IF(Deployments!BB53="","",Deployments!BB53)</f>
        <v>Ran POSTINSTALL</v>
      </c>
      <c r="Z53" s="21" t="str">
        <f>IF(Deployments!T53="","",Deployments!T53)</f>
        <v/>
      </c>
      <c r="AA53" s="21" t="str">
        <f>IF(Deployments!L53="","",Deployments!L53)</f>
        <v/>
      </c>
    </row>
    <row r="54" spans="1:27" ht="30.75" customHeight="1">
      <c r="A54" s="22"/>
      <c r="B54" s="22"/>
      <c r="C54" s="21" t="str">
        <f>IF(Deployments!H54="","",Deployments!H54)</f>
        <v>NSUH</v>
      </c>
      <c r="D54" s="21" t="str">
        <f>IF(Deployments!AH54="","",Deployments!AH54)</f>
        <v/>
      </c>
      <c r="E54" s="21" t="str">
        <f>IF(Deployments!I54="","",Deployments!I54)</f>
        <v/>
      </c>
      <c r="F54" s="21" t="str">
        <f>IF(Deployments!J54="","",Deployments!J54)</f>
        <v/>
      </c>
      <c r="G54" s="21" t="str">
        <f>IF(Deployments!K54="","",Deployments!K54)</f>
        <v/>
      </c>
      <c r="H54" s="21" t="str">
        <f>IF(Deployments!A54="","",Deployments!A54)</f>
        <v>Cybernet</v>
      </c>
      <c r="I54" s="21" t="str">
        <f>IF(Deployments!AI54="","",Deployments!AI54)</f>
        <v>Cybernet Manufacturing Inc</v>
      </c>
      <c r="J54" s="21" t="str">
        <f>IF(Deployments!AJ54="","",Deployments!AJ54)</f>
        <v>CyberMed-S24 TGL</v>
      </c>
      <c r="K54" s="21" t="str">
        <f>IF(Deployments!AD54="","",Deployments!AD54)</f>
        <v/>
      </c>
      <c r="L54" s="21" t="str">
        <f>IF(Deployments!M54="","",Deployments!M54)</f>
        <v/>
      </c>
      <c r="M54" s="22"/>
      <c r="N54" s="21" t="str">
        <f>IF(Deployments!N54="","",Deployments!N54)</f>
        <v>Yes</v>
      </c>
      <c r="O54" s="21" t="str">
        <f>IF(Deployments!O54="","",Deployments!O54)</f>
        <v>No</v>
      </c>
      <c r="P54" s="21" t="str">
        <f>IF(Deployments!P54="","",Deployments!P54)</f>
        <v>No</v>
      </c>
      <c r="Q54" s="22"/>
      <c r="R54" s="21" t="str">
        <f>IF(Deployments!AY54="","",Deployments!AY54)</f>
        <v/>
      </c>
      <c r="S54" s="21" t="str">
        <f>IF(Deployments!AX54="","",Deployments!AX54)</f>
        <v/>
      </c>
      <c r="T54" s="21" t="str">
        <f>IF(Deployments!AV54="","",Deployments!AV54)</f>
        <v/>
      </c>
      <c r="U54" s="21" t="str">
        <f>IF(Deployments!AW54="","",Deployments!AW54)</f>
        <v/>
      </c>
      <c r="V54" s="21" t="str">
        <f>IF(Deployments!BA54="","",Deployments!BA54)</f>
        <v/>
      </c>
      <c r="W54" s="21" t="str">
        <f>IF(Deployments!BC54="","",Deployments!BC54)</f>
        <v>In Storage</v>
      </c>
      <c r="X54" s="21" t="str">
        <f>IF(Deployments!BK54="","",Deployments!BK54)</f>
        <v/>
      </c>
      <c r="Y54" s="21" t="str">
        <f>IF(Deployments!BB54="","",Deployments!BB54)</f>
        <v>Ran POSTINSTALL, boxe</v>
      </c>
      <c r="Z54" s="21" t="str">
        <f>IF(Deployments!T54="","",Deployments!T54)</f>
        <v/>
      </c>
      <c r="AA54" s="21" t="str">
        <f>IF(Deployments!L54="","",Deployments!L54)</f>
        <v/>
      </c>
    </row>
    <row r="55" spans="1:27" ht="30.75" customHeight="1">
      <c r="A55" s="22"/>
      <c r="B55" s="22"/>
      <c r="C55" s="21" t="str">
        <f>IF(Deployments!H55="","",Deployments!H55)</f>
        <v>NSUH</v>
      </c>
      <c r="D55" s="21" t="str">
        <f>IF(Deployments!AH55="","",Deployments!AH55)</f>
        <v/>
      </c>
      <c r="E55" s="21" t="str">
        <f>IF(Deployments!I55="","",Deployments!I55)</f>
        <v/>
      </c>
      <c r="F55" s="21" t="str">
        <f>IF(Deployments!J55="","",Deployments!J55)</f>
        <v/>
      </c>
      <c r="G55" s="21" t="str">
        <f>IF(Deployments!K55="","",Deployments!K55)</f>
        <v/>
      </c>
      <c r="H55" s="21" t="str">
        <f>IF(Deployments!A55="","",Deployments!A55)</f>
        <v>Cybernet</v>
      </c>
      <c r="I55" s="21" t="str">
        <f>IF(Deployments!AI55="","",Deployments!AI55)</f>
        <v>Cybernet Manufacturing Inc</v>
      </c>
      <c r="J55" s="21" t="str">
        <f>IF(Deployments!AJ55="","",Deployments!AJ55)</f>
        <v>CyberMed-S24 TGL</v>
      </c>
      <c r="K55" s="21" t="str">
        <f>IF(Deployments!AD55="","",Deployments!AD55)</f>
        <v/>
      </c>
      <c r="L55" s="21" t="str">
        <f>IF(Deployments!M55="","",Deployments!M55)</f>
        <v/>
      </c>
      <c r="M55" s="22"/>
      <c r="N55" s="21" t="str">
        <f>IF(Deployments!N55="","",Deployments!N55)</f>
        <v>Yes</v>
      </c>
      <c r="O55" s="21" t="str">
        <f>IF(Deployments!O55="","",Deployments!O55)</f>
        <v>No</v>
      </c>
      <c r="P55" s="21" t="str">
        <f>IF(Deployments!P55="","",Deployments!P55)</f>
        <v>No</v>
      </c>
      <c r="Q55" s="22"/>
      <c r="R55" s="21" t="str">
        <f>IF(Deployments!AY55="","",Deployments!AY55)</f>
        <v/>
      </c>
      <c r="S55" s="21" t="str">
        <f>IF(Deployments!AX55="","",Deployments!AX55)</f>
        <v/>
      </c>
      <c r="T55" s="21" t="str">
        <f>IF(Deployments!AV55="","",Deployments!AV55)</f>
        <v/>
      </c>
      <c r="U55" s="21" t="str">
        <f>IF(Deployments!AW55="","",Deployments!AW55)</f>
        <v/>
      </c>
      <c r="V55" s="21" t="str">
        <f>IF(Deployments!BA55="","",Deployments!BA55)</f>
        <v/>
      </c>
      <c r="W55" s="21" t="str">
        <f>IF(Deployments!BC55="","",Deployments!BC55)</f>
        <v>In Storage</v>
      </c>
      <c r="X55" s="21" t="str">
        <f>IF(Deployments!BK55="","",Deployments!BK55)</f>
        <v/>
      </c>
      <c r="Y55" s="21" t="str">
        <f>IF(Deployments!BB55="","",Deployments!BB55)</f>
        <v>Ran POSTINSTALL, boxe</v>
      </c>
      <c r="Z55" s="21" t="str">
        <f>IF(Deployments!T55="","",Deployments!T55)</f>
        <v/>
      </c>
      <c r="AA55" s="21" t="str">
        <f>IF(Deployments!L55="","",Deployments!L55)</f>
        <v/>
      </c>
    </row>
    <row r="56" spans="1:27">
      <c r="A56" s="22"/>
      <c r="B56" s="22"/>
      <c r="C56" s="21" t="str">
        <f>IF(Deployments!H56="","",Deployments!H56)</f>
        <v>NSUH</v>
      </c>
      <c r="D56" s="21" t="str">
        <f>IF(Deployments!AH56="","",Deployments!AH56)</f>
        <v/>
      </c>
      <c r="E56" s="21" t="str">
        <f>IF(Deployments!I56="","",Deployments!I56)</f>
        <v/>
      </c>
      <c r="F56" s="21" t="str">
        <f>IF(Deployments!J56="","",Deployments!J56)</f>
        <v/>
      </c>
      <c r="G56" s="21" t="str">
        <f>IF(Deployments!K56="","",Deployments!K56)</f>
        <v/>
      </c>
      <c r="H56" s="21" t="str">
        <f>IF(Deployments!A56="","",Deployments!A56)</f>
        <v>Cybernet</v>
      </c>
      <c r="I56" s="21" t="str">
        <f>IF(Deployments!AI56="","",Deployments!AI56)</f>
        <v/>
      </c>
      <c r="J56" s="21" t="str">
        <f>IF(Deployments!AJ56="","",Deployments!AJ56)</f>
        <v/>
      </c>
      <c r="K56" s="21" t="str">
        <f>IF(Deployments!AD56="","",Deployments!AD56)</f>
        <v/>
      </c>
      <c r="L56" s="21" t="str">
        <f>IF(Deployments!M56="","",Deployments!M56)</f>
        <v/>
      </c>
      <c r="M56" s="22"/>
      <c r="N56" s="21" t="str">
        <f>IF(Deployments!N56="","",Deployments!N56)</f>
        <v>Yes</v>
      </c>
      <c r="O56" s="21" t="str">
        <f>IF(Deployments!O56="","",Deployments!O56)</f>
        <v>No</v>
      </c>
      <c r="P56" s="21" t="str">
        <f>IF(Deployments!P56="","",Deployments!P56)</f>
        <v>No</v>
      </c>
      <c r="Q56" s="22"/>
      <c r="R56" s="21" t="str">
        <f>IF(Deployments!AY56="","",Deployments!AY56)</f>
        <v/>
      </c>
      <c r="S56" s="21" t="str">
        <f>IF(Deployments!AX56="","",Deployments!AX56)</f>
        <v/>
      </c>
      <c r="T56" s="21" t="str">
        <f>IF(Deployments!AV56="","",Deployments!AV56)</f>
        <v/>
      </c>
      <c r="U56" s="21" t="str">
        <f>IF(Deployments!AW56="","",Deployments!AW56)</f>
        <v/>
      </c>
      <c r="V56" s="21" t="str">
        <f>IF(Deployments!BA56="","",Deployments!BA56)</f>
        <v/>
      </c>
      <c r="W56" s="21" t="str">
        <f>IF(Deployments!BC56="","",Deployments!BC56)</f>
        <v>In Storage</v>
      </c>
      <c r="X56" s="21" t="str">
        <f>IF(Deployments!BK56="","",Deployments!BK56)</f>
        <v/>
      </c>
      <c r="Y56" s="21" t="str">
        <f>IF(Deployments!BB56="","",Deployments!BB56)</f>
        <v/>
      </c>
      <c r="Z56" s="21" t="str">
        <f>IF(Deployments!T56="","",Deployments!T56)</f>
        <v/>
      </c>
      <c r="AA56" s="21" t="str">
        <f>IF(Deployments!L56="","",Deployments!L56)</f>
        <v/>
      </c>
    </row>
    <row r="57" spans="1:27">
      <c r="A57" s="22"/>
      <c r="B57" s="22"/>
      <c r="C57" s="21" t="str">
        <f>IF(Deployments!H57="","",Deployments!H57)</f>
        <v>NSUH</v>
      </c>
      <c r="D57" s="21" t="str">
        <f>IF(Deployments!AH57="","",Deployments!AH57)</f>
        <v/>
      </c>
      <c r="E57" s="21" t="str">
        <f>IF(Deployments!I57="","",Deployments!I57)</f>
        <v/>
      </c>
      <c r="F57" s="21" t="str">
        <f>IF(Deployments!J57="","",Deployments!J57)</f>
        <v/>
      </c>
      <c r="G57" s="21" t="str">
        <f>IF(Deployments!K57="","",Deployments!K57)</f>
        <v/>
      </c>
      <c r="H57" s="21" t="str">
        <f>IF(Deployments!A57="","",Deployments!A57)</f>
        <v>Cybernet</v>
      </c>
      <c r="I57" s="21" t="str">
        <f>IF(Deployments!AI57="","",Deployments!AI57)</f>
        <v/>
      </c>
      <c r="J57" s="21" t="str">
        <f>IF(Deployments!AJ57="","",Deployments!AJ57)</f>
        <v/>
      </c>
      <c r="K57" s="21" t="str">
        <f>IF(Deployments!AD57="","",Deployments!AD57)</f>
        <v/>
      </c>
      <c r="L57" s="21" t="str">
        <f>IF(Deployments!M57="","",Deployments!M57)</f>
        <v/>
      </c>
      <c r="M57" s="22"/>
      <c r="N57" s="21" t="str">
        <f>IF(Deployments!N57="","",Deployments!N57)</f>
        <v>Yes</v>
      </c>
      <c r="O57" s="21" t="str">
        <f>IF(Deployments!O57="","",Deployments!O57)</f>
        <v>No</v>
      </c>
      <c r="P57" s="21" t="str">
        <f>IF(Deployments!P57="","",Deployments!P57)</f>
        <v>No</v>
      </c>
      <c r="Q57" s="22"/>
      <c r="R57" s="21" t="str">
        <f>IF(Deployments!AY57="","",Deployments!AY57)</f>
        <v/>
      </c>
      <c r="S57" s="21" t="str">
        <f>IF(Deployments!AX57="","",Deployments!AX57)</f>
        <v/>
      </c>
      <c r="T57" s="21" t="str">
        <f>IF(Deployments!AV57="","",Deployments!AV57)</f>
        <v/>
      </c>
      <c r="U57" s="21" t="str">
        <f>IF(Deployments!AW57="","",Deployments!AW57)</f>
        <v/>
      </c>
      <c r="V57" s="21" t="str">
        <f>IF(Deployments!BA57="","",Deployments!BA57)</f>
        <v/>
      </c>
      <c r="W57" s="21" t="str">
        <f>IF(Deployments!BC57="","",Deployments!BC57)</f>
        <v>In Storage</v>
      </c>
      <c r="X57" s="21" t="str">
        <f>IF(Deployments!BK57="","",Deployments!BK57)</f>
        <v/>
      </c>
      <c r="Y57" s="21" t="str">
        <f>IF(Deployments!BB57="","",Deployments!BB57)</f>
        <v/>
      </c>
      <c r="Z57" s="21" t="str">
        <f>IF(Deployments!T57="","",Deployments!T57)</f>
        <v/>
      </c>
      <c r="AA57" s="21" t="str">
        <f>IF(Deployments!L57="","",Deployments!L57)</f>
        <v/>
      </c>
    </row>
    <row r="58" spans="1:27">
      <c r="A58" s="22"/>
      <c r="B58" s="22"/>
      <c r="C58" s="21" t="str">
        <f>IF(Deployments!H58="","",Deployments!H58)</f>
        <v>NSUH</v>
      </c>
      <c r="D58" s="21" t="str">
        <f>IF(Deployments!AH58="","",Deployments!AH58)</f>
        <v/>
      </c>
      <c r="E58" s="21" t="str">
        <f>IF(Deployments!I58="","",Deployments!I58)</f>
        <v/>
      </c>
      <c r="F58" s="21" t="str">
        <f>IF(Deployments!J58="","",Deployments!J58)</f>
        <v/>
      </c>
      <c r="G58" s="21" t="str">
        <f>IF(Deployments!K58="","",Deployments!K58)</f>
        <v/>
      </c>
      <c r="H58" s="21" t="str">
        <f>IF(Deployments!A58="","",Deployments!A58)</f>
        <v>Cybernet</v>
      </c>
      <c r="I58" s="21" t="str">
        <f>IF(Deployments!AI58="","",Deployments!AI58)</f>
        <v/>
      </c>
      <c r="J58" s="21" t="str">
        <f>IF(Deployments!AJ58="","",Deployments!AJ58)</f>
        <v/>
      </c>
      <c r="K58" s="21" t="str">
        <f>IF(Deployments!AD58="","",Deployments!AD58)</f>
        <v/>
      </c>
      <c r="L58" s="21" t="str">
        <f>IF(Deployments!M58="","",Deployments!M58)</f>
        <v/>
      </c>
      <c r="M58" s="22"/>
      <c r="N58" s="21" t="str">
        <f>IF(Deployments!N58="","",Deployments!N58)</f>
        <v>Yes</v>
      </c>
      <c r="O58" s="21" t="str">
        <f>IF(Deployments!O58="","",Deployments!O58)</f>
        <v>No</v>
      </c>
      <c r="P58" s="21" t="str">
        <f>IF(Deployments!P58="","",Deployments!P58)</f>
        <v>No</v>
      </c>
      <c r="Q58" s="22"/>
      <c r="R58" s="21" t="str">
        <f>IF(Deployments!AY58="","",Deployments!AY58)</f>
        <v/>
      </c>
      <c r="S58" s="21" t="str">
        <f>IF(Deployments!AX58="","",Deployments!AX58)</f>
        <v/>
      </c>
      <c r="T58" s="21" t="str">
        <f>IF(Deployments!AV58="","",Deployments!AV58)</f>
        <v/>
      </c>
      <c r="U58" s="21" t="str">
        <f>IF(Deployments!AW58="","",Deployments!AW58)</f>
        <v/>
      </c>
      <c r="V58" s="21" t="str">
        <f>IF(Deployments!BA58="","",Deployments!BA58)</f>
        <v/>
      </c>
      <c r="W58" s="21" t="str">
        <f>IF(Deployments!BC58="","",Deployments!BC58)</f>
        <v>In Storage</v>
      </c>
      <c r="X58" s="21" t="str">
        <f>IF(Deployments!BK58="","",Deployments!BK58)</f>
        <v/>
      </c>
      <c r="Y58" s="21" t="str">
        <f>IF(Deployments!BB58="","",Deployments!BB58)</f>
        <v/>
      </c>
      <c r="Z58" s="21" t="str">
        <f>IF(Deployments!T58="","",Deployments!T58)</f>
        <v/>
      </c>
      <c r="AA58" s="21" t="str">
        <f>IF(Deployments!L58="","",Deployments!L58)</f>
        <v/>
      </c>
    </row>
    <row r="59" spans="1:27">
      <c r="A59" s="22"/>
      <c r="B59" s="22"/>
      <c r="C59" s="21" t="str">
        <f>IF(Deployments!H59="","",Deployments!H59)</f>
        <v>NSUH</v>
      </c>
      <c r="D59" s="21" t="str">
        <f>IF(Deployments!AH59="","",Deployments!AH59)</f>
        <v/>
      </c>
      <c r="E59" s="21" t="str">
        <f>IF(Deployments!I59="","",Deployments!I59)</f>
        <v/>
      </c>
      <c r="F59" s="21" t="str">
        <f>IF(Deployments!J59="","",Deployments!J59)</f>
        <v/>
      </c>
      <c r="G59" s="21" t="str">
        <f>IF(Deployments!K59="","",Deployments!K59)</f>
        <v/>
      </c>
      <c r="H59" s="21" t="str">
        <f>IF(Deployments!A59="","",Deployments!A59)</f>
        <v>Cybernet</v>
      </c>
      <c r="I59" s="21" t="str">
        <f>IF(Deployments!AI59="","",Deployments!AI59)</f>
        <v/>
      </c>
      <c r="J59" s="21" t="str">
        <f>IF(Deployments!AJ59="","",Deployments!AJ59)</f>
        <v/>
      </c>
      <c r="K59" s="21" t="str">
        <f>IF(Deployments!AD59="","",Deployments!AD59)</f>
        <v/>
      </c>
      <c r="L59" s="21" t="str">
        <f>IF(Deployments!M59="","",Deployments!M59)</f>
        <v/>
      </c>
      <c r="M59" s="22"/>
      <c r="N59" s="21" t="str">
        <f>IF(Deployments!N59="","",Deployments!N59)</f>
        <v>Yes</v>
      </c>
      <c r="O59" s="21" t="str">
        <f>IF(Deployments!O59="","",Deployments!O59)</f>
        <v>No</v>
      </c>
      <c r="P59" s="21" t="str">
        <f>IF(Deployments!P59="","",Deployments!P59)</f>
        <v>No</v>
      </c>
      <c r="Q59" s="22"/>
      <c r="R59" s="21" t="str">
        <f>IF(Deployments!AY59="","",Deployments!AY59)</f>
        <v/>
      </c>
      <c r="S59" s="21" t="str">
        <f>IF(Deployments!AX59="","",Deployments!AX59)</f>
        <v/>
      </c>
      <c r="T59" s="21" t="str">
        <f>IF(Deployments!AV59="","",Deployments!AV59)</f>
        <v/>
      </c>
      <c r="U59" s="21" t="str">
        <f>IF(Deployments!AW59="","",Deployments!AW59)</f>
        <v/>
      </c>
      <c r="V59" s="21" t="str">
        <f>IF(Deployments!BA59="","",Deployments!BA59)</f>
        <v/>
      </c>
      <c r="W59" s="21" t="str">
        <f>IF(Deployments!BC59="","",Deployments!BC59)</f>
        <v>In Storage</v>
      </c>
      <c r="X59" s="21" t="str">
        <f>IF(Deployments!BK59="","",Deployments!BK59)</f>
        <v/>
      </c>
      <c r="Y59" s="21" t="str">
        <f>IF(Deployments!BB59="","",Deployments!BB59)</f>
        <v/>
      </c>
      <c r="Z59" s="21" t="str">
        <f>IF(Deployments!T59="","",Deployments!T59)</f>
        <v/>
      </c>
      <c r="AA59" s="21" t="str">
        <f>IF(Deployments!L59="","",Deployments!L59)</f>
        <v/>
      </c>
    </row>
    <row r="60" spans="1:27">
      <c r="A60" s="22"/>
      <c r="B60" s="22"/>
      <c r="C60" s="21" t="str">
        <f>IF(Deployments!H60="","",Deployments!H60)</f>
        <v>NSUH</v>
      </c>
      <c r="D60" s="21" t="str">
        <f>IF(Deployments!AH60="","",Deployments!AH60)</f>
        <v/>
      </c>
      <c r="E60" s="21" t="str">
        <f>IF(Deployments!I60="","",Deployments!I60)</f>
        <v/>
      </c>
      <c r="F60" s="21" t="str">
        <f>IF(Deployments!J60="","",Deployments!J60)</f>
        <v/>
      </c>
      <c r="G60" s="21" t="str">
        <f>IF(Deployments!K60="","",Deployments!K60)</f>
        <v/>
      </c>
      <c r="H60" s="21" t="str">
        <f>IF(Deployments!A60="","",Deployments!A60)</f>
        <v>Cybernet</v>
      </c>
      <c r="I60" s="21" t="str">
        <f>IF(Deployments!AI60="","",Deployments!AI60)</f>
        <v/>
      </c>
      <c r="J60" s="21" t="str">
        <f>IF(Deployments!AJ60="","",Deployments!AJ60)</f>
        <v/>
      </c>
      <c r="K60" s="21" t="str">
        <f>IF(Deployments!AD60="","",Deployments!AD60)</f>
        <v/>
      </c>
      <c r="L60" s="21" t="str">
        <f>IF(Deployments!M60="","",Deployments!M60)</f>
        <v/>
      </c>
      <c r="M60" s="22"/>
      <c r="N60" s="21" t="str">
        <f>IF(Deployments!N60="","",Deployments!N60)</f>
        <v>Yes</v>
      </c>
      <c r="O60" s="21" t="str">
        <f>IF(Deployments!O60="","",Deployments!O60)</f>
        <v>No</v>
      </c>
      <c r="P60" s="21" t="str">
        <f>IF(Deployments!P60="","",Deployments!P60)</f>
        <v>No</v>
      </c>
      <c r="Q60" s="22"/>
      <c r="R60" s="21" t="str">
        <f>IF(Deployments!AY60="","",Deployments!AY60)</f>
        <v/>
      </c>
      <c r="S60" s="21" t="str">
        <f>IF(Deployments!AX60="","",Deployments!AX60)</f>
        <v/>
      </c>
      <c r="T60" s="21" t="str">
        <f>IF(Deployments!AV60="","",Deployments!AV60)</f>
        <v/>
      </c>
      <c r="U60" s="21" t="str">
        <f>IF(Deployments!AW60="","",Deployments!AW60)</f>
        <v/>
      </c>
      <c r="V60" s="21" t="str">
        <f>IF(Deployments!BA60="","",Deployments!BA60)</f>
        <v/>
      </c>
      <c r="W60" s="21" t="str">
        <f>IF(Deployments!BC60="","",Deployments!BC60)</f>
        <v>In Storage</v>
      </c>
      <c r="X60" s="21" t="str">
        <f>IF(Deployments!BK60="","",Deployments!BK60)</f>
        <v/>
      </c>
      <c r="Y60" s="21" t="str">
        <f>IF(Deployments!BB60="","",Deployments!BB60)</f>
        <v/>
      </c>
      <c r="Z60" s="21" t="str">
        <f>IF(Deployments!T60="","",Deployments!T60)</f>
        <v/>
      </c>
      <c r="AA60" s="21" t="str">
        <f>IF(Deployments!L60="","",Deployments!L60)</f>
        <v/>
      </c>
    </row>
    <row r="61" spans="1:27">
      <c r="A61" s="22"/>
      <c r="B61" s="22"/>
      <c r="C61" s="21" t="str">
        <f>IF(Deployments!H61="","",Deployments!H61)</f>
        <v>NSUH</v>
      </c>
      <c r="D61" s="21" t="str">
        <f>IF(Deployments!AH61="","",Deployments!AH61)</f>
        <v/>
      </c>
      <c r="E61" s="21" t="str">
        <f>IF(Deployments!I61="","",Deployments!I61)</f>
        <v/>
      </c>
      <c r="F61" s="21" t="str">
        <f>IF(Deployments!J61="","",Deployments!J61)</f>
        <v/>
      </c>
      <c r="G61" s="21" t="str">
        <f>IF(Deployments!K61="","",Deployments!K61)</f>
        <v/>
      </c>
      <c r="H61" s="21" t="str">
        <f>IF(Deployments!A61="","",Deployments!A61)</f>
        <v>Cybernet</v>
      </c>
      <c r="I61" s="21" t="str">
        <f>IF(Deployments!AI61="","",Deployments!AI61)</f>
        <v/>
      </c>
      <c r="J61" s="21" t="str">
        <f>IF(Deployments!AJ61="","",Deployments!AJ61)</f>
        <v/>
      </c>
      <c r="K61" s="21" t="str">
        <f>IF(Deployments!AD61="","",Deployments!AD61)</f>
        <v/>
      </c>
      <c r="L61" s="21" t="str">
        <f>IF(Deployments!M61="","",Deployments!M61)</f>
        <v/>
      </c>
      <c r="M61" s="22"/>
      <c r="N61" s="21" t="str">
        <f>IF(Deployments!N61="","",Deployments!N61)</f>
        <v>Yes</v>
      </c>
      <c r="O61" s="21" t="str">
        <f>IF(Deployments!O61="","",Deployments!O61)</f>
        <v>No</v>
      </c>
      <c r="P61" s="21" t="str">
        <f>IF(Deployments!P61="","",Deployments!P61)</f>
        <v>No</v>
      </c>
      <c r="Q61" s="22"/>
      <c r="R61" s="21" t="str">
        <f>IF(Deployments!AY61="","",Deployments!AY61)</f>
        <v/>
      </c>
      <c r="S61" s="21" t="str">
        <f>IF(Deployments!AX61="","",Deployments!AX61)</f>
        <v/>
      </c>
      <c r="T61" s="21" t="str">
        <f>IF(Deployments!AV61="","",Deployments!AV61)</f>
        <v/>
      </c>
      <c r="U61" s="21" t="str">
        <f>IF(Deployments!AW61="","",Deployments!AW61)</f>
        <v/>
      </c>
      <c r="V61" s="21" t="str">
        <f>IF(Deployments!BA61="","",Deployments!BA61)</f>
        <v/>
      </c>
      <c r="W61" s="21" t="str">
        <f>IF(Deployments!BC61="","",Deployments!BC61)</f>
        <v>In Storage</v>
      </c>
      <c r="X61" s="21" t="str">
        <f>IF(Deployments!BK61="","",Deployments!BK61)</f>
        <v/>
      </c>
      <c r="Y61" s="21" t="str">
        <f>IF(Deployments!BB61="","",Deployments!BB61)</f>
        <v/>
      </c>
      <c r="Z61" s="21" t="str">
        <f>IF(Deployments!T61="","",Deployments!T61)</f>
        <v/>
      </c>
      <c r="AA61" s="21" t="str">
        <f>IF(Deployments!L61="","",Deployments!L61)</f>
        <v/>
      </c>
    </row>
    <row r="62" spans="1:27">
      <c r="A62" s="22"/>
      <c r="B62" s="22"/>
      <c r="C62" s="21" t="str">
        <f>IF(Deployments!H62="","",Deployments!H62)</f>
        <v>NSUH</v>
      </c>
      <c r="D62" s="21" t="str">
        <f>IF(Deployments!AH62="","",Deployments!AH62)</f>
        <v/>
      </c>
      <c r="E62" s="21" t="str">
        <f>IF(Deployments!I62="","",Deployments!I62)</f>
        <v/>
      </c>
      <c r="F62" s="21" t="str">
        <f>IF(Deployments!J62="","",Deployments!J62)</f>
        <v/>
      </c>
      <c r="G62" s="21" t="str">
        <f>IF(Deployments!K62="","",Deployments!K62)</f>
        <v/>
      </c>
      <c r="H62" s="21" t="str">
        <f>IF(Deployments!A62="","",Deployments!A62)</f>
        <v>Cybernet</v>
      </c>
      <c r="I62" s="21" t="str">
        <f>IF(Deployments!AI62="","",Deployments!AI62)</f>
        <v/>
      </c>
      <c r="J62" s="21" t="str">
        <f>IF(Deployments!AJ62="","",Deployments!AJ62)</f>
        <v/>
      </c>
      <c r="K62" s="21" t="str">
        <f>IF(Deployments!AD62="","",Deployments!AD62)</f>
        <v/>
      </c>
      <c r="L62" s="21" t="str">
        <f>IF(Deployments!M62="","",Deployments!M62)</f>
        <v/>
      </c>
      <c r="M62" s="22"/>
      <c r="N62" s="21" t="str">
        <f>IF(Deployments!N62="","",Deployments!N62)</f>
        <v>Yes</v>
      </c>
      <c r="O62" s="21" t="str">
        <f>IF(Deployments!O62="","",Deployments!O62)</f>
        <v>No</v>
      </c>
      <c r="P62" s="21" t="str">
        <f>IF(Deployments!P62="","",Deployments!P62)</f>
        <v>No</v>
      </c>
      <c r="Q62" s="22"/>
      <c r="R62" s="21" t="str">
        <f>IF(Deployments!AY62="","",Deployments!AY62)</f>
        <v/>
      </c>
      <c r="S62" s="21" t="str">
        <f>IF(Deployments!AX62="","",Deployments!AX62)</f>
        <v/>
      </c>
      <c r="T62" s="21" t="str">
        <f>IF(Deployments!AV62="","",Deployments!AV62)</f>
        <v/>
      </c>
      <c r="U62" s="21" t="str">
        <f>IF(Deployments!AW62="","",Deployments!AW62)</f>
        <v/>
      </c>
      <c r="V62" s="21" t="str">
        <f>IF(Deployments!BA62="","",Deployments!BA62)</f>
        <v/>
      </c>
      <c r="W62" s="21" t="str">
        <f>IF(Deployments!BC62="","",Deployments!BC62)</f>
        <v>In Storage</v>
      </c>
      <c r="X62" s="21" t="str">
        <f>IF(Deployments!BK62="","",Deployments!BK62)</f>
        <v/>
      </c>
      <c r="Y62" s="21" t="str">
        <f>IF(Deployments!BB62="","",Deployments!BB62)</f>
        <v/>
      </c>
      <c r="Z62" s="21" t="str">
        <f>IF(Deployments!T62="","",Deployments!T62)</f>
        <v/>
      </c>
      <c r="AA62" s="21" t="str">
        <f>IF(Deployments!L62="","",Deployments!L62)</f>
        <v/>
      </c>
    </row>
    <row r="63" spans="1:27">
      <c r="A63" s="22"/>
      <c r="B63" s="22"/>
      <c r="C63" s="21" t="str">
        <f>IF(Deployments!H63="","",Deployments!H63)</f>
        <v>NSUH</v>
      </c>
      <c r="D63" s="21" t="str">
        <f>IF(Deployments!AH63="","",Deployments!AH63)</f>
        <v/>
      </c>
      <c r="E63" s="21" t="str">
        <f>IF(Deployments!I63="","",Deployments!I63)</f>
        <v/>
      </c>
      <c r="F63" s="21" t="str">
        <f>IF(Deployments!J63="","",Deployments!J63)</f>
        <v/>
      </c>
      <c r="G63" s="21" t="str">
        <f>IF(Deployments!K63="","",Deployments!K63)</f>
        <v/>
      </c>
      <c r="H63" s="21" t="str">
        <f>IF(Deployments!A63="","",Deployments!A63)</f>
        <v>Cybernet</v>
      </c>
      <c r="I63" s="21" t="str">
        <f>IF(Deployments!AI63="","",Deployments!AI63)</f>
        <v/>
      </c>
      <c r="J63" s="21" t="str">
        <f>IF(Deployments!AJ63="","",Deployments!AJ63)</f>
        <v/>
      </c>
      <c r="K63" s="21" t="str">
        <f>IF(Deployments!AD63="","",Deployments!AD63)</f>
        <v/>
      </c>
      <c r="L63" s="21" t="str">
        <f>IF(Deployments!M63="","",Deployments!M63)</f>
        <v/>
      </c>
      <c r="M63" s="22"/>
      <c r="N63" s="21" t="str">
        <f>IF(Deployments!N63="","",Deployments!N63)</f>
        <v>Yes</v>
      </c>
      <c r="O63" s="21" t="str">
        <f>IF(Deployments!O63="","",Deployments!O63)</f>
        <v>No</v>
      </c>
      <c r="P63" s="21" t="str">
        <f>IF(Deployments!P63="","",Deployments!P63)</f>
        <v>No</v>
      </c>
      <c r="Q63" s="22"/>
      <c r="R63" s="21" t="str">
        <f>IF(Deployments!AY63="","",Deployments!AY63)</f>
        <v/>
      </c>
      <c r="S63" s="21" t="str">
        <f>IF(Deployments!AX63="","",Deployments!AX63)</f>
        <v/>
      </c>
      <c r="T63" s="21" t="str">
        <f>IF(Deployments!AV63="","",Deployments!AV63)</f>
        <v/>
      </c>
      <c r="U63" s="21" t="str">
        <f>IF(Deployments!AW63="","",Deployments!AW63)</f>
        <v/>
      </c>
      <c r="V63" s="21" t="str">
        <f>IF(Deployments!BA63="","",Deployments!BA63)</f>
        <v/>
      </c>
      <c r="W63" s="21" t="str">
        <f>IF(Deployments!BC63="","",Deployments!BC63)</f>
        <v>In Storage</v>
      </c>
      <c r="X63" s="21" t="str">
        <f>IF(Deployments!BK63="","",Deployments!BK63)</f>
        <v/>
      </c>
      <c r="Y63" s="21" t="str">
        <f>IF(Deployments!BB63="","",Deployments!BB63)</f>
        <v/>
      </c>
      <c r="Z63" s="21" t="str">
        <f>IF(Deployments!T63="","",Deployments!T63)</f>
        <v/>
      </c>
      <c r="AA63" s="21" t="str">
        <f>IF(Deployments!L63="","",Deployments!L63)</f>
        <v/>
      </c>
    </row>
    <row r="64" spans="1:27">
      <c r="A64" s="22"/>
      <c r="B64" s="22"/>
      <c r="C64" s="21" t="str">
        <f>IF(Deployments!H64="","",Deployments!H64)</f>
        <v>NSUH</v>
      </c>
      <c r="D64" s="21" t="str">
        <f>IF(Deployments!AH64="","",Deployments!AH64)</f>
        <v/>
      </c>
      <c r="E64" s="21" t="str">
        <f>IF(Deployments!I64="","",Deployments!I64)</f>
        <v/>
      </c>
      <c r="F64" s="21" t="str">
        <f>IF(Deployments!J64="","",Deployments!J64)</f>
        <v/>
      </c>
      <c r="G64" s="21" t="str">
        <f>IF(Deployments!K64="","",Deployments!K64)</f>
        <v/>
      </c>
      <c r="H64" s="21" t="str">
        <f>IF(Deployments!A64="","",Deployments!A64)</f>
        <v>Cybernet</v>
      </c>
      <c r="I64" s="21" t="str">
        <f>IF(Deployments!AI64="","",Deployments!AI64)</f>
        <v/>
      </c>
      <c r="J64" s="21" t="str">
        <f>IF(Deployments!AJ64="","",Deployments!AJ64)</f>
        <v/>
      </c>
      <c r="K64" s="21" t="str">
        <f>IF(Deployments!AD64="","",Deployments!AD64)</f>
        <v/>
      </c>
      <c r="L64" s="21" t="str">
        <f>IF(Deployments!M64="","",Deployments!M64)</f>
        <v/>
      </c>
      <c r="M64" s="22"/>
      <c r="N64" s="21" t="str">
        <f>IF(Deployments!N64="","",Deployments!N64)</f>
        <v>Yes</v>
      </c>
      <c r="O64" s="21" t="str">
        <f>IF(Deployments!O64="","",Deployments!O64)</f>
        <v>No</v>
      </c>
      <c r="P64" s="21" t="str">
        <f>IF(Deployments!P64="","",Deployments!P64)</f>
        <v>No</v>
      </c>
      <c r="Q64" s="22"/>
      <c r="R64" s="21" t="str">
        <f>IF(Deployments!AY64="","",Deployments!AY64)</f>
        <v/>
      </c>
      <c r="S64" s="21" t="str">
        <f>IF(Deployments!AX64="","",Deployments!AX64)</f>
        <v/>
      </c>
      <c r="T64" s="21" t="str">
        <f>IF(Deployments!AV64="","",Deployments!AV64)</f>
        <v/>
      </c>
      <c r="U64" s="21" t="str">
        <f>IF(Deployments!AW64="","",Deployments!AW64)</f>
        <v/>
      </c>
      <c r="V64" s="21" t="str">
        <f>IF(Deployments!BA64="","",Deployments!BA64)</f>
        <v/>
      </c>
      <c r="W64" s="21" t="str">
        <f>IF(Deployments!BC64="","",Deployments!BC64)</f>
        <v>In Storage</v>
      </c>
      <c r="X64" s="21" t="str">
        <f>IF(Deployments!BK64="","",Deployments!BK64)</f>
        <v/>
      </c>
      <c r="Y64" s="21" t="str">
        <f>IF(Deployments!BB64="","",Deployments!BB64)</f>
        <v/>
      </c>
      <c r="Z64" s="21" t="str">
        <f>IF(Deployments!T64="","",Deployments!T64)</f>
        <v/>
      </c>
      <c r="AA64" s="21" t="str">
        <f>IF(Deployments!L64="","",Deployments!L64)</f>
        <v/>
      </c>
    </row>
    <row r="65" spans="1:27">
      <c r="A65" s="22"/>
      <c r="B65" s="22"/>
      <c r="C65" s="21" t="str">
        <f>IF(Deployments!H65="","",Deployments!H65)</f>
        <v>NSUH</v>
      </c>
      <c r="D65" s="21" t="str">
        <f>IF(Deployments!AH65="","",Deployments!AH65)</f>
        <v/>
      </c>
      <c r="E65" s="21" t="str">
        <f>IF(Deployments!I65="","",Deployments!I65)</f>
        <v/>
      </c>
      <c r="F65" s="21" t="str">
        <f>IF(Deployments!J65="","",Deployments!J65)</f>
        <v/>
      </c>
      <c r="G65" s="21" t="str">
        <f>IF(Deployments!K65="","",Deployments!K65)</f>
        <v/>
      </c>
      <c r="H65" s="21" t="str">
        <f>IF(Deployments!A65="","",Deployments!A65)</f>
        <v>Cybernet</v>
      </c>
      <c r="I65" s="21" t="str">
        <f>IF(Deployments!AI65="","",Deployments!AI65)</f>
        <v/>
      </c>
      <c r="J65" s="21" t="str">
        <f>IF(Deployments!AJ65="","",Deployments!AJ65)</f>
        <v/>
      </c>
      <c r="K65" s="21" t="str">
        <f>IF(Deployments!AD65="","",Deployments!AD65)</f>
        <v/>
      </c>
      <c r="L65" s="21" t="str">
        <f>IF(Deployments!M65="","",Deployments!M65)</f>
        <v/>
      </c>
      <c r="M65" s="22"/>
      <c r="N65" s="21" t="str">
        <f>IF(Deployments!N65="","",Deployments!N65)</f>
        <v>Yes</v>
      </c>
      <c r="O65" s="21" t="str">
        <f>IF(Deployments!O65="","",Deployments!O65)</f>
        <v>No</v>
      </c>
      <c r="P65" s="21" t="str">
        <f>IF(Deployments!P65="","",Deployments!P65)</f>
        <v>No</v>
      </c>
      <c r="Q65" s="22"/>
      <c r="R65" s="21" t="str">
        <f>IF(Deployments!AY65="","",Deployments!AY65)</f>
        <v/>
      </c>
      <c r="S65" s="21" t="str">
        <f>IF(Deployments!AX65="","",Deployments!AX65)</f>
        <v/>
      </c>
      <c r="T65" s="21" t="str">
        <f>IF(Deployments!AV65="","",Deployments!AV65)</f>
        <v/>
      </c>
      <c r="U65" s="21" t="str">
        <f>IF(Deployments!AW65="","",Deployments!AW65)</f>
        <v/>
      </c>
      <c r="V65" s="21" t="str">
        <f>IF(Deployments!BA65="","",Deployments!BA65)</f>
        <v/>
      </c>
      <c r="W65" s="21" t="str">
        <f>IF(Deployments!BC65="","",Deployments!BC65)</f>
        <v>In Storage</v>
      </c>
      <c r="X65" s="21" t="str">
        <f>IF(Deployments!BK65="","",Deployments!BK65)</f>
        <v/>
      </c>
      <c r="Y65" s="21" t="str">
        <f>IF(Deployments!BB65="","",Deployments!BB65)</f>
        <v/>
      </c>
      <c r="Z65" s="21" t="str">
        <f>IF(Deployments!T65="","",Deployments!T65)</f>
        <v/>
      </c>
      <c r="AA65" s="21" t="str">
        <f>IF(Deployments!L65="","",Deployments!L65)</f>
        <v/>
      </c>
    </row>
    <row r="66" spans="1:27">
      <c r="A66" s="22"/>
      <c r="B66" s="22"/>
      <c r="C66" s="21" t="str">
        <f>IF(Deployments!H66="","",Deployments!H66)</f>
        <v>NSUH</v>
      </c>
      <c r="D66" s="21" t="str">
        <f>IF(Deployments!AH66="","",Deployments!AH66)</f>
        <v/>
      </c>
      <c r="E66" s="21" t="str">
        <f>IF(Deployments!I66="","",Deployments!I66)</f>
        <v/>
      </c>
      <c r="F66" s="21" t="str">
        <f>IF(Deployments!J66="","",Deployments!J66)</f>
        <v/>
      </c>
      <c r="G66" s="21" t="str">
        <f>IF(Deployments!K66="","",Deployments!K66)</f>
        <v/>
      </c>
      <c r="H66" s="21" t="str">
        <f>IF(Deployments!A66="","",Deployments!A66)</f>
        <v>Cybernet</v>
      </c>
      <c r="I66" s="21" t="str">
        <f>IF(Deployments!AI66="","",Deployments!AI66)</f>
        <v/>
      </c>
      <c r="J66" s="21" t="str">
        <f>IF(Deployments!AJ66="","",Deployments!AJ66)</f>
        <v/>
      </c>
      <c r="K66" s="21" t="str">
        <f>IF(Deployments!AD66="","",Deployments!AD66)</f>
        <v/>
      </c>
      <c r="L66" s="21" t="str">
        <f>IF(Deployments!M66="","",Deployments!M66)</f>
        <v/>
      </c>
      <c r="M66" s="22"/>
      <c r="N66" s="21" t="str">
        <f>IF(Deployments!N66="","",Deployments!N66)</f>
        <v>Yes</v>
      </c>
      <c r="O66" s="21" t="str">
        <f>IF(Deployments!O66="","",Deployments!O66)</f>
        <v>No</v>
      </c>
      <c r="P66" s="21" t="str">
        <f>IF(Deployments!P66="","",Deployments!P66)</f>
        <v>No</v>
      </c>
      <c r="Q66" s="22"/>
      <c r="R66" s="21" t="str">
        <f>IF(Deployments!AY66="","",Deployments!AY66)</f>
        <v/>
      </c>
      <c r="S66" s="21" t="str">
        <f>IF(Deployments!AX66="","",Deployments!AX66)</f>
        <v/>
      </c>
      <c r="T66" s="21" t="str">
        <f>IF(Deployments!AV66="","",Deployments!AV66)</f>
        <v/>
      </c>
      <c r="U66" s="21" t="str">
        <f>IF(Deployments!AW66="","",Deployments!AW66)</f>
        <v/>
      </c>
      <c r="V66" s="21" t="str">
        <f>IF(Deployments!BA66="","",Deployments!BA66)</f>
        <v/>
      </c>
      <c r="W66" s="21" t="str">
        <f>IF(Deployments!BC66="","",Deployments!BC66)</f>
        <v/>
      </c>
      <c r="X66" s="21" t="str">
        <f>IF(Deployments!BK66="","",Deployments!BK66)</f>
        <v/>
      </c>
      <c r="Y66" s="21" t="str">
        <f>IF(Deployments!BB66="","",Deployments!BB66)</f>
        <v/>
      </c>
      <c r="Z66" s="21" t="str">
        <f>IF(Deployments!T66="","",Deployments!T66)</f>
        <v/>
      </c>
      <c r="AA66" s="21" t="str">
        <f>IF(Deployments!L66="","",Deployments!L66)</f>
        <v/>
      </c>
    </row>
    <row r="67" spans="1:27">
      <c r="A67" s="22"/>
      <c r="B67" s="22"/>
      <c r="C67" s="21" t="str">
        <f>IF(Deployments!H67="","",Deployments!H67)</f>
        <v>NSUH</v>
      </c>
      <c r="D67" s="21" t="str">
        <f>IF(Deployments!AH67="","",Deployments!AH67)</f>
        <v/>
      </c>
      <c r="E67" s="21" t="str">
        <f>IF(Deployments!I67="","",Deployments!I67)</f>
        <v/>
      </c>
      <c r="F67" s="21" t="str">
        <f>IF(Deployments!J67="","",Deployments!J67)</f>
        <v/>
      </c>
      <c r="G67" s="21" t="str">
        <f>IF(Deployments!K67="","",Deployments!K67)</f>
        <v/>
      </c>
      <c r="H67" s="21" t="str">
        <f>IF(Deployments!A67="","",Deployments!A67)</f>
        <v>Cybernet</v>
      </c>
      <c r="I67" s="21" t="str">
        <f>IF(Deployments!AI67="","",Deployments!AI67)</f>
        <v/>
      </c>
      <c r="J67" s="21" t="str">
        <f>IF(Deployments!AJ67="","",Deployments!AJ67)</f>
        <v/>
      </c>
      <c r="K67" s="21" t="str">
        <f>IF(Deployments!AD67="","",Deployments!AD67)</f>
        <v/>
      </c>
      <c r="L67" s="21" t="str">
        <f>IF(Deployments!M67="","",Deployments!M67)</f>
        <v/>
      </c>
      <c r="M67" s="22"/>
      <c r="N67" s="21" t="str">
        <f>IF(Deployments!N67="","",Deployments!N67)</f>
        <v>Yes</v>
      </c>
      <c r="O67" s="21" t="str">
        <f>IF(Deployments!O67="","",Deployments!O67)</f>
        <v>No</v>
      </c>
      <c r="P67" s="21" t="str">
        <f>IF(Deployments!P67="","",Deployments!P67)</f>
        <v>No</v>
      </c>
      <c r="Q67" s="22"/>
      <c r="R67" s="21" t="str">
        <f>IF(Deployments!AY67="","",Deployments!AY67)</f>
        <v/>
      </c>
      <c r="S67" s="21" t="str">
        <f>IF(Deployments!AX67="","",Deployments!AX67)</f>
        <v/>
      </c>
      <c r="T67" s="21" t="str">
        <f>IF(Deployments!AV67="","",Deployments!AV67)</f>
        <v/>
      </c>
      <c r="U67" s="21" t="str">
        <f>IF(Deployments!AW67="","",Deployments!AW67)</f>
        <v/>
      </c>
      <c r="V67" s="21" t="str">
        <f>IF(Deployments!BA67="","",Deployments!BA67)</f>
        <v/>
      </c>
      <c r="W67" s="21" t="str">
        <f>IF(Deployments!BC67="","",Deployments!BC67)</f>
        <v/>
      </c>
      <c r="X67" s="21" t="str">
        <f>IF(Deployments!BK67="","",Deployments!BK67)</f>
        <v/>
      </c>
      <c r="Y67" s="21" t="str">
        <f>IF(Deployments!BB67="","",Deployments!BB67)</f>
        <v/>
      </c>
      <c r="Z67" s="21" t="str">
        <f>IF(Deployments!T67="","",Deployments!T67)</f>
        <v/>
      </c>
      <c r="AA67" s="21" t="str">
        <f>IF(Deployments!L67="","",Deployments!L67)</f>
        <v/>
      </c>
    </row>
    <row r="68" spans="1:27">
      <c r="A68" s="22"/>
      <c r="B68" s="22"/>
      <c r="C68" s="21" t="str">
        <f>IF(Deployments!H68="","",Deployments!H68)</f>
        <v>NSUH</v>
      </c>
      <c r="D68" s="21" t="str">
        <f>IF(Deployments!AH68="","",Deployments!AH68)</f>
        <v/>
      </c>
      <c r="E68" s="21" t="str">
        <f>IF(Deployments!I68="","",Deployments!I68)</f>
        <v/>
      </c>
      <c r="F68" s="21" t="str">
        <f>IF(Deployments!J68="","",Deployments!J68)</f>
        <v/>
      </c>
      <c r="G68" s="21" t="str">
        <f>IF(Deployments!K68="","",Deployments!K68)</f>
        <v/>
      </c>
      <c r="H68" s="21" t="str">
        <f>IF(Deployments!A68="","",Deployments!A68)</f>
        <v>Cybernet</v>
      </c>
      <c r="I68" s="21" t="str">
        <f>IF(Deployments!AI68="","",Deployments!AI68)</f>
        <v/>
      </c>
      <c r="J68" s="21" t="str">
        <f>IF(Deployments!AJ68="","",Deployments!AJ68)</f>
        <v/>
      </c>
      <c r="K68" s="21" t="str">
        <f>IF(Deployments!AD68="","",Deployments!AD68)</f>
        <v/>
      </c>
      <c r="L68" s="21" t="str">
        <f>IF(Deployments!M68="","",Deployments!M68)</f>
        <v/>
      </c>
      <c r="M68" s="22"/>
      <c r="N68" s="21" t="str">
        <f>IF(Deployments!N68="","",Deployments!N68)</f>
        <v>Yes</v>
      </c>
      <c r="O68" s="21" t="str">
        <f>IF(Deployments!O68="","",Deployments!O68)</f>
        <v>No</v>
      </c>
      <c r="P68" s="21" t="str">
        <f>IF(Deployments!P68="","",Deployments!P68)</f>
        <v>No</v>
      </c>
      <c r="Q68" s="22"/>
      <c r="R68" s="21" t="str">
        <f>IF(Deployments!AY68="","",Deployments!AY68)</f>
        <v/>
      </c>
      <c r="S68" s="21" t="str">
        <f>IF(Deployments!AX68="","",Deployments!AX68)</f>
        <v/>
      </c>
      <c r="T68" s="21" t="str">
        <f>IF(Deployments!AV68="","",Deployments!AV68)</f>
        <v/>
      </c>
      <c r="U68" s="21" t="str">
        <f>IF(Deployments!AW68="","",Deployments!AW68)</f>
        <v/>
      </c>
      <c r="V68" s="21" t="str">
        <f>IF(Deployments!BA68="","",Deployments!BA68)</f>
        <v/>
      </c>
      <c r="W68" s="21" t="str">
        <f>IF(Deployments!BC68="","",Deployments!BC68)</f>
        <v/>
      </c>
      <c r="X68" s="21" t="str">
        <f>IF(Deployments!BK68="","",Deployments!BK68)</f>
        <v/>
      </c>
      <c r="Y68" s="21" t="str">
        <f>IF(Deployments!BB68="","",Deployments!BB68)</f>
        <v/>
      </c>
      <c r="Z68" s="21" t="str">
        <f>IF(Deployments!T68="","",Deployments!T68)</f>
        <v/>
      </c>
      <c r="AA68" s="21" t="str">
        <f>IF(Deployments!L68="","",Deployments!L68)</f>
        <v/>
      </c>
    </row>
    <row r="69" spans="1:27">
      <c r="A69" s="22"/>
      <c r="B69" s="22"/>
      <c r="C69" s="21" t="str">
        <f>IF(Deployments!H69="","",Deployments!H69)</f>
        <v>LIJ - CCMC</v>
      </c>
      <c r="D69" s="21" t="str">
        <f>IF(Deployments!AH69="","",Deployments!AH69)</f>
        <v/>
      </c>
      <c r="E69" s="21" t="str">
        <f>IF(Deployments!I69="","",Deployments!I69)</f>
        <v/>
      </c>
      <c r="F69" s="21" t="str">
        <f>IF(Deployments!J69="","",Deployments!J69)</f>
        <v/>
      </c>
      <c r="G69" s="21" t="str">
        <f>IF(Deployments!K69="","",Deployments!K69)</f>
        <v/>
      </c>
      <c r="H69" s="21" t="str">
        <f>IF(Deployments!A69="","",Deployments!A69)</f>
        <v>Cybernet</v>
      </c>
      <c r="I69" s="21" t="str">
        <f>IF(Deployments!AI69="","",Deployments!AI69)</f>
        <v/>
      </c>
      <c r="J69" s="21" t="str">
        <f>IF(Deployments!AJ69="","",Deployments!AJ69)</f>
        <v/>
      </c>
      <c r="K69" s="21" t="str">
        <f>IF(Deployments!AD69="","",Deployments!AD69)</f>
        <v/>
      </c>
      <c r="L69" s="21" t="str">
        <f>IF(Deployments!M69="","",Deployments!M69)</f>
        <v/>
      </c>
      <c r="M69" s="22"/>
      <c r="N69" s="21" t="str">
        <f>IF(Deployments!N69="","",Deployments!N69)</f>
        <v>Yes</v>
      </c>
      <c r="O69" s="21" t="str">
        <f>IF(Deployments!O69="","",Deployments!O69)</f>
        <v>No</v>
      </c>
      <c r="P69" s="21" t="str">
        <f>IF(Deployments!P69="","",Deployments!P69)</f>
        <v>No</v>
      </c>
      <c r="Q69" s="22"/>
      <c r="R69" s="21" t="str">
        <f>IF(Deployments!AY69="","",Deployments!AY69)</f>
        <v/>
      </c>
      <c r="S69" s="21" t="str">
        <f>IF(Deployments!AX69="","",Deployments!AX69)</f>
        <v/>
      </c>
      <c r="T69" s="21" t="str">
        <f>IF(Deployments!AV69="","",Deployments!AV69)</f>
        <v/>
      </c>
      <c r="U69" s="21" t="str">
        <f>IF(Deployments!AW69="","",Deployments!AW69)</f>
        <v/>
      </c>
      <c r="V69" s="21" t="str">
        <f>IF(Deployments!BA69="","",Deployments!BA69)</f>
        <v/>
      </c>
      <c r="W69" s="21" t="str">
        <f>IF(Deployments!BC69="","",Deployments!BC69)</f>
        <v/>
      </c>
      <c r="X69" s="21" t="str">
        <f>IF(Deployments!BK69="","",Deployments!BK69)</f>
        <v/>
      </c>
      <c r="Y69" s="21" t="str">
        <f>IF(Deployments!BB69="","",Deployments!BB69)</f>
        <v/>
      </c>
      <c r="Z69" s="21" t="str">
        <f>IF(Deployments!T69="","",Deployments!T69)</f>
        <v/>
      </c>
      <c r="AA69" s="21" t="str">
        <f>IF(Deployments!L69="","",Deployments!L69)</f>
        <v/>
      </c>
    </row>
    <row r="70" spans="1:27">
      <c r="A70" s="22"/>
      <c r="B70" s="22"/>
      <c r="C70" s="21" t="str">
        <f>IF(Deployments!H70="","",Deployments!H70)</f>
        <v>LIJ - CCMC</v>
      </c>
      <c r="D70" s="21" t="str">
        <f>IF(Deployments!AH70="","",Deployments!AH70)</f>
        <v/>
      </c>
      <c r="E70" s="21" t="str">
        <f>IF(Deployments!I70="","",Deployments!I70)</f>
        <v/>
      </c>
      <c r="F70" s="21" t="str">
        <f>IF(Deployments!J70="","",Deployments!J70)</f>
        <v/>
      </c>
      <c r="G70" s="21" t="str">
        <f>IF(Deployments!K70="","",Deployments!K70)</f>
        <v/>
      </c>
      <c r="H70" s="21" t="str">
        <f>IF(Deployments!A70="","",Deployments!A70)</f>
        <v>Cybernet</v>
      </c>
      <c r="I70" s="21" t="str">
        <f>IF(Deployments!AI70="","",Deployments!AI70)</f>
        <v/>
      </c>
      <c r="J70" s="21" t="str">
        <f>IF(Deployments!AJ70="","",Deployments!AJ70)</f>
        <v/>
      </c>
      <c r="K70" s="21" t="str">
        <f>IF(Deployments!AD70="","",Deployments!AD70)</f>
        <v/>
      </c>
      <c r="L70" s="21" t="str">
        <f>IF(Deployments!M70="","",Deployments!M70)</f>
        <v/>
      </c>
      <c r="M70" s="22"/>
      <c r="N70" s="21" t="str">
        <f>IF(Deployments!N70="","",Deployments!N70)</f>
        <v>Yes</v>
      </c>
      <c r="O70" s="21" t="str">
        <f>IF(Deployments!O70="","",Deployments!O70)</f>
        <v>No</v>
      </c>
      <c r="P70" s="21" t="str">
        <f>IF(Deployments!P70="","",Deployments!P70)</f>
        <v>No</v>
      </c>
      <c r="Q70" s="22"/>
      <c r="R70" s="21" t="str">
        <f>IF(Deployments!AY70="","",Deployments!AY70)</f>
        <v/>
      </c>
      <c r="S70" s="21" t="str">
        <f>IF(Deployments!AX70="","",Deployments!AX70)</f>
        <v/>
      </c>
      <c r="T70" s="21" t="str">
        <f>IF(Deployments!AV70="","",Deployments!AV70)</f>
        <v/>
      </c>
      <c r="U70" s="21" t="str">
        <f>IF(Deployments!AW70="","",Deployments!AW70)</f>
        <v/>
      </c>
      <c r="V70" s="21" t="str">
        <f>IF(Deployments!BA70="","",Deployments!BA70)</f>
        <v/>
      </c>
      <c r="W70" s="21" t="str">
        <f>IF(Deployments!BC70="","",Deployments!BC70)</f>
        <v/>
      </c>
      <c r="X70" s="21" t="str">
        <f>IF(Deployments!BK70="","",Deployments!BK70)</f>
        <v/>
      </c>
      <c r="Y70" s="21" t="str">
        <f>IF(Deployments!BB70="","",Deployments!BB70)</f>
        <v/>
      </c>
      <c r="Z70" s="21" t="str">
        <f>IF(Deployments!T70="","",Deployments!T70)</f>
        <v/>
      </c>
      <c r="AA70" s="21" t="str">
        <f>IF(Deployments!L70="","",Deployments!L70)</f>
        <v/>
      </c>
    </row>
    <row r="71" spans="1:27">
      <c r="A71" s="22"/>
      <c r="B71" s="22"/>
      <c r="C71" s="21" t="str">
        <f>IF(Deployments!H71="","",Deployments!H71)</f>
        <v>LIJ - CCMC</v>
      </c>
      <c r="D71" s="21" t="str">
        <f>IF(Deployments!AH71="","",Deployments!AH71)</f>
        <v/>
      </c>
      <c r="E71" s="21" t="str">
        <f>IF(Deployments!I71="","",Deployments!I71)</f>
        <v/>
      </c>
      <c r="F71" s="21" t="str">
        <f>IF(Deployments!J71="","",Deployments!J71)</f>
        <v/>
      </c>
      <c r="G71" s="21" t="str">
        <f>IF(Deployments!K71="","",Deployments!K71)</f>
        <v/>
      </c>
      <c r="H71" s="21" t="str">
        <f>IF(Deployments!A71="","",Deployments!A71)</f>
        <v>Cybernet</v>
      </c>
      <c r="I71" s="21" t="str">
        <f>IF(Deployments!AI71="","",Deployments!AI71)</f>
        <v/>
      </c>
      <c r="J71" s="21" t="str">
        <f>IF(Deployments!AJ71="","",Deployments!AJ71)</f>
        <v/>
      </c>
      <c r="K71" s="21" t="str">
        <f>IF(Deployments!AD71="","",Deployments!AD71)</f>
        <v/>
      </c>
      <c r="L71" s="21" t="str">
        <f>IF(Deployments!M71="","",Deployments!M71)</f>
        <v/>
      </c>
      <c r="M71" s="22"/>
      <c r="N71" s="21" t="str">
        <f>IF(Deployments!N71="","",Deployments!N71)</f>
        <v>Yes</v>
      </c>
      <c r="O71" s="21" t="str">
        <f>IF(Deployments!O71="","",Deployments!O71)</f>
        <v>No</v>
      </c>
      <c r="P71" s="21" t="str">
        <f>IF(Deployments!P71="","",Deployments!P71)</f>
        <v>No</v>
      </c>
      <c r="Q71" s="22"/>
      <c r="R71" s="21" t="str">
        <f>IF(Deployments!AY71="","",Deployments!AY71)</f>
        <v/>
      </c>
      <c r="S71" s="21" t="str">
        <f>IF(Deployments!AX71="","",Deployments!AX71)</f>
        <v/>
      </c>
      <c r="T71" s="21" t="str">
        <f>IF(Deployments!AV71="","",Deployments!AV71)</f>
        <v/>
      </c>
      <c r="U71" s="21" t="str">
        <f>IF(Deployments!AW71="","",Deployments!AW71)</f>
        <v/>
      </c>
      <c r="V71" s="21" t="str">
        <f>IF(Deployments!BA71="","",Deployments!BA71)</f>
        <v/>
      </c>
      <c r="W71" s="21" t="str">
        <f>IF(Deployments!BC71="","",Deployments!BC71)</f>
        <v/>
      </c>
      <c r="X71" s="21" t="str">
        <f>IF(Deployments!BK71="","",Deployments!BK71)</f>
        <v/>
      </c>
      <c r="Y71" s="21" t="str">
        <f>IF(Deployments!BB71="","",Deployments!BB71)</f>
        <v/>
      </c>
      <c r="Z71" s="21" t="str">
        <f>IF(Deployments!T71="","",Deployments!T71)</f>
        <v/>
      </c>
      <c r="AA71" s="21" t="str">
        <f>IF(Deployments!L71="","",Deployments!L71)</f>
        <v/>
      </c>
    </row>
    <row r="72" spans="1:27">
      <c r="A72" s="22"/>
      <c r="B72" s="22"/>
      <c r="C72" s="21" t="str">
        <f>IF(Deployments!H72="","",Deployments!H72)</f>
        <v>LIJ - CCMC</v>
      </c>
      <c r="D72" s="21" t="str">
        <f>IF(Deployments!AH72="","",Deployments!AH72)</f>
        <v/>
      </c>
      <c r="E72" s="21" t="str">
        <f>IF(Deployments!I72="","",Deployments!I72)</f>
        <v/>
      </c>
      <c r="F72" s="21" t="str">
        <f>IF(Deployments!J72="","",Deployments!J72)</f>
        <v/>
      </c>
      <c r="G72" s="21" t="str">
        <f>IF(Deployments!K72="","",Deployments!K72)</f>
        <v/>
      </c>
      <c r="H72" s="21" t="str">
        <f>IF(Deployments!A72="","",Deployments!A72)</f>
        <v>Cybernet</v>
      </c>
      <c r="I72" s="21" t="str">
        <f>IF(Deployments!AI72="","",Deployments!AI72)</f>
        <v/>
      </c>
      <c r="J72" s="21" t="str">
        <f>IF(Deployments!AJ72="","",Deployments!AJ72)</f>
        <v/>
      </c>
      <c r="K72" s="21" t="str">
        <f>IF(Deployments!AD72="","",Deployments!AD72)</f>
        <v/>
      </c>
      <c r="L72" s="21" t="str">
        <f>IF(Deployments!M72="","",Deployments!M72)</f>
        <v/>
      </c>
      <c r="M72" s="22"/>
      <c r="N72" s="21" t="str">
        <f>IF(Deployments!N72="","",Deployments!N72)</f>
        <v>Yes</v>
      </c>
      <c r="O72" s="21" t="str">
        <f>IF(Deployments!O72="","",Deployments!O72)</f>
        <v>No</v>
      </c>
      <c r="P72" s="21" t="str">
        <f>IF(Deployments!P72="","",Deployments!P72)</f>
        <v>No</v>
      </c>
      <c r="Q72" s="22"/>
      <c r="R72" s="21" t="str">
        <f>IF(Deployments!AY72="","",Deployments!AY72)</f>
        <v/>
      </c>
      <c r="S72" s="21" t="str">
        <f>IF(Deployments!AX72="","",Deployments!AX72)</f>
        <v/>
      </c>
      <c r="T72" s="21" t="str">
        <f>IF(Deployments!AV72="","",Deployments!AV72)</f>
        <v/>
      </c>
      <c r="U72" s="21" t="str">
        <f>IF(Deployments!AW72="","",Deployments!AW72)</f>
        <v/>
      </c>
      <c r="V72" s="21" t="str">
        <f>IF(Deployments!BA72="","",Deployments!BA72)</f>
        <v/>
      </c>
      <c r="W72" s="21" t="str">
        <f>IF(Deployments!BC72="","",Deployments!BC72)</f>
        <v/>
      </c>
      <c r="X72" s="21" t="str">
        <f>IF(Deployments!BK72="","",Deployments!BK72)</f>
        <v/>
      </c>
      <c r="Y72" s="21" t="str">
        <f>IF(Deployments!BB72="","",Deployments!BB72)</f>
        <v/>
      </c>
      <c r="Z72" s="21" t="str">
        <f>IF(Deployments!T72="","",Deployments!T72)</f>
        <v/>
      </c>
      <c r="AA72" s="21" t="str">
        <f>IF(Deployments!L72="","",Deployments!L72)</f>
        <v/>
      </c>
    </row>
    <row r="73" spans="1:27">
      <c r="A73" s="22"/>
      <c r="B73" s="22"/>
      <c r="C73" s="21" t="str">
        <f>IF(Deployments!H73="","",Deployments!H73)</f>
        <v>LIJ - CCMC</v>
      </c>
      <c r="D73" s="21" t="str">
        <f>IF(Deployments!AH73="","",Deployments!AH73)</f>
        <v/>
      </c>
      <c r="E73" s="21" t="str">
        <f>IF(Deployments!I73="","",Deployments!I73)</f>
        <v/>
      </c>
      <c r="F73" s="21" t="str">
        <f>IF(Deployments!J73="","",Deployments!J73)</f>
        <v/>
      </c>
      <c r="G73" s="21" t="str">
        <f>IF(Deployments!K73="","",Deployments!K73)</f>
        <v/>
      </c>
      <c r="H73" s="21" t="str">
        <f>IF(Deployments!A73="","",Deployments!A73)</f>
        <v>Cybernet</v>
      </c>
      <c r="I73" s="21" t="str">
        <f>IF(Deployments!AI73="","",Deployments!AI73)</f>
        <v/>
      </c>
      <c r="J73" s="21" t="str">
        <f>IF(Deployments!AJ73="","",Deployments!AJ73)</f>
        <v/>
      </c>
      <c r="K73" s="21" t="str">
        <f>IF(Deployments!AD73="","",Deployments!AD73)</f>
        <v/>
      </c>
      <c r="L73" s="21" t="str">
        <f>IF(Deployments!M73="","",Deployments!M73)</f>
        <v/>
      </c>
      <c r="M73" s="22"/>
      <c r="N73" s="21" t="str">
        <f>IF(Deployments!N73="","",Deployments!N73)</f>
        <v>Yes</v>
      </c>
      <c r="O73" s="21" t="str">
        <f>IF(Deployments!O73="","",Deployments!O73)</f>
        <v>No</v>
      </c>
      <c r="P73" s="21" t="str">
        <f>IF(Deployments!P73="","",Deployments!P73)</f>
        <v>No</v>
      </c>
      <c r="Q73" s="22"/>
      <c r="R73" s="21" t="str">
        <f>IF(Deployments!AY73="","",Deployments!AY73)</f>
        <v/>
      </c>
      <c r="S73" s="21" t="str">
        <f>IF(Deployments!AX73="","",Deployments!AX73)</f>
        <v/>
      </c>
      <c r="T73" s="21" t="str">
        <f>IF(Deployments!AV73="","",Deployments!AV73)</f>
        <v/>
      </c>
      <c r="U73" s="21" t="str">
        <f>IF(Deployments!AW73="","",Deployments!AW73)</f>
        <v/>
      </c>
      <c r="V73" s="21" t="str">
        <f>IF(Deployments!BA73="","",Deployments!BA73)</f>
        <v/>
      </c>
      <c r="W73" s="21" t="str">
        <f>IF(Deployments!BC73="","",Deployments!BC73)</f>
        <v/>
      </c>
      <c r="X73" s="21" t="str">
        <f>IF(Deployments!BK73="","",Deployments!BK73)</f>
        <v/>
      </c>
      <c r="Y73" s="21" t="str">
        <f>IF(Deployments!BB73="","",Deployments!BB73)</f>
        <v/>
      </c>
      <c r="Z73" s="21" t="str">
        <f>IF(Deployments!T73="","",Deployments!T73)</f>
        <v/>
      </c>
      <c r="AA73" s="21" t="str">
        <f>IF(Deployments!L73="","",Deployments!L73)</f>
        <v/>
      </c>
    </row>
    <row r="74" spans="1:27">
      <c r="A74" s="22"/>
      <c r="B74" s="22"/>
      <c r="C74" s="21" t="str">
        <f>IF(Deployments!H74="","",Deployments!H74)</f>
        <v>LIJ - CCMC</v>
      </c>
      <c r="D74" s="21" t="str">
        <f>IF(Deployments!AH74="","",Deployments!AH74)</f>
        <v/>
      </c>
      <c r="E74" s="21" t="str">
        <f>IF(Deployments!I74="","",Deployments!I74)</f>
        <v/>
      </c>
      <c r="F74" s="21" t="str">
        <f>IF(Deployments!J74="","",Deployments!J74)</f>
        <v/>
      </c>
      <c r="G74" s="21" t="str">
        <f>IF(Deployments!K74="","",Deployments!K74)</f>
        <v/>
      </c>
      <c r="H74" s="21" t="str">
        <f>IF(Deployments!A74="","",Deployments!A74)</f>
        <v>Cybernet</v>
      </c>
      <c r="I74" s="21" t="str">
        <f>IF(Deployments!AI74="","",Deployments!AI74)</f>
        <v/>
      </c>
      <c r="J74" s="21" t="str">
        <f>IF(Deployments!AJ74="","",Deployments!AJ74)</f>
        <v/>
      </c>
      <c r="K74" s="21" t="str">
        <f>IF(Deployments!AD74="","",Deployments!AD74)</f>
        <v/>
      </c>
      <c r="L74" s="21" t="str">
        <f>IF(Deployments!M74="","",Deployments!M74)</f>
        <v/>
      </c>
      <c r="M74" s="22"/>
      <c r="N74" s="21" t="str">
        <f>IF(Deployments!N74="","",Deployments!N74)</f>
        <v>Yes</v>
      </c>
      <c r="O74" s="21" t="str">
        <f>IF(Deployments!O74="","",Deployments!O74)</f>
        <v>No</v>
      </c>
      <c r="P74" s="21" t="str">
        <f>IF(Deployments!P74="","",Deployments!P74)</f>
        <v>No</v>
      </c>
      <c r="Q74" s="22"/>
      <c r="R74" s="21" t="str">
        <f>IF(Deployments!AY74="","",Deployments!AY74)</f>
        <v/>
      </c>
      <c r="S74" s="21" t="str">
        <f>IF(Deployments!AX74="","",Deployments!AX74)</f>
        <v/>
      </c>
      <c r="T74" s="21" t="str">
        <f>IF(Deployments!AV74="","",Deployments!AV74)</f>
        <v/>
      </c>
      <c r="U74" s="21" t="str">
        <f>IF(Deployments!AW74="","",Deployments!AW74)</f>
        <v/>
      </c>
      <c r="V74" s="21" t="str">
        <f>IF(Deployments!BA74="","",Deployments!BA74)</f>
        <v/>
      </c>
      <c r="W74" s="21" t="str">
        <f>IF(Deployments!BC74="","",Deployments!BC74)</f>
        <v/>
      </c>
      <c r="X74" s="21" t="str">
        <f>IF(Deployments!BK74="","",Deployments!BK74)</f>
        <v/>
      </c>
      <c r="Y74" s="21" t="str">
        <f>IF(Deployments!BB74="","",Deployments!BB74)</f>
        <v/>
      </c>
      <c r="Z74" s="21" t="str">
        <f>IF(Deployments!T74="","",Deployments!T74)</f>
        <v/>
      </c>
      <c r="AA74" s="21" t="str">
        <f>IF(Deployments!L74="","",Deployments!L74)</f>
        <v/>
      </c>
    </row>
    <row r="75" spans="1:27">
      <c r="A75" s="22"/>
      <c r="B75" s="22"/>
      <c r="C75" s="21" t="str">
        <f>IF(Deployments!H75="","",Deployments!H75)</f>
        <v>LIJ - CCMC</v>
      </c>
      <c r="D75" s="21" t="str">
        <f>IF(Deployments!AH75="","",Deployments!AH75)</f>
        <v/>
      </c>
      <c r="E75" s="21" t="str">
        <f>IF(Deployments!I75="","",Deployments!I75)</f>
        <v/>
      </c>
      <c r="F75" s="21" t="str">
        <f>IF(Deployments!J75="","",Deployments!J75)</f>
        <v/>
      </c>
      <c r="G75" s="21" t="str">
        <f>IF(Deployments!K75="","",Deployments!K75)</f>
        <v/>
      </c>
      <c r="H75" s="21" t="str">
        <f>IF(Deployments!A75="","",Deployments!A75)</f>
        <v>Cybernet</v>
      </c>
      <c r="I75" s="21" t="str">
        <f>IF(Deployments!AI75="","",Deployments!AI75)</f>
        <v/>
      </c>
      <c r="J75" s="21" t="str">
        <f>IF(Deployments!AJ75="","",Deployments!AJ75)</f>
        <v/>
      </c>
      <c r="K75" s="21" t="str">
        <f>IF(Deployments!AD75="","",Deployments!AD75)</f>
        <v/>
      </c>
      <c r="L75" s="21" t="str">
        <f>IF(Deployments!M75="","",Deployments!M75)</f>
        <v/>
      </c>
      <c r="M75" s="22"/>
      <c r="N75" s="21" t="str">
        <f>IF(Deployments!N75="","",Deployments!N75)</f>
        <v>Yes</v>
      </c>
      <c r="O75" s="21" t="str">
        <f>IF(Deployments!O75="","",Deployments!O75)</f>
        <v>No</v>
      </c>
      <c r="P75" s="21" t="str">
        <f>IF(Deployments!P75="","",Deployments!P75)</f>
        <v>No</v>
      </c>
      <c r="Q75" s="22"/>
      <c r="R75" s="21" t="str">
        <f>IF(Deployments!AY75="","",Deployments!AY75)</f>
        <v/>
      </c>
      <c r="S75" s="21" t="str">
        <f>IF(Deployments!AX75="","",Deployments!AX75)</f>
        <v/>
      </c>
      <c r="T75" s="21" t="str">
        <f>IF(Deployments!AV75="","",Deployments!AV75)</f>
        <v/>
      </c>
      <c r="U75" s="21" t="str">
        <f>IF(Deployments!AW75="","",Deployments!AW75)</f>
        <v/>
      </c>
      <c r="V75" s="21" t="str">
        <f>IF(Deployments!BA75="","",Deployments!BA75)</f>
        <v/>
      </c>
      <c r="W75" s="21" t="str">
        <f>IF(Deployments!BC75="","",Deployments!BC75)</f>
        <v/>
      </c>
      <c r="X75" s="21" t="str">
        <f>IF(Deployments!BK75="","",Deployments!BK75)</f>
        <v/>
      </c>
      <c r="Y75" s="21" t="str">
        <f>IF(Deployments!BB75="","",Deployments!BB75)</f>
        <v/>
      </c>
      <c r="Z75" s="21" t="str">
        <f>IF(Deployments!T75="","",Deployments!T75)</f>
        <v/>
      </c>
      <c r="AA75" s="21" t="str">
        <f>IF(Deployments!L75="","",Deployments!L75)</f>
        <v/>
      </c>
    </row>
    <row r="76" spans="1:27">
      <c r="A76" s="22"/>
      <c r="B76" s="22"/>
      <c r="C76" s="21" t="str">
        <f>IF(Deployments!H76="","",Deployments!H76)</f>
        <v>LIJ - CCMC</v>
      </c>
      <c r="D76" s="21" t="str">
        <f>IF(Deployments!AH76="","",Deployments!AH76)</f>
        <v/>
      </c>
      <c r="E76" s="21" t="str">
        <f>IF(Deployments!I76="","",Deployments!I76)</f>
        <v/>
      </c>
      <c r="F76" s="21" t="str">
        <f>IF(Deployments!J76="","",Deployments!J76)</f>
        <v/>
      </c>
      <c r="G76" s="21" t="str">
        <f>IF(Deployments!K76="","",Deployments!K76)</f>
        <v/>
      </c>
      <c r="H76" s="21" t="str">
        <f>IF(Deployments!A76="","",Deployments!A76)</f>
        <v>Cybernet</v>
      </c>
      <c r="I76" s="21" t="str">
        <f>IF(Deployments!AI76="","",Deployments!AI76)</f>
        <v/>
      </c>
      <c r="J76" s="21" t="str">
        <f>IF(Deployments!AJ76="","",Deployments!AJ76)</f>
        <v/>
      </c>
      <c r="K76" s="21" t="str">
        <f>IF(Deployments!AD76="","",Deployments!AD76)</f>
        <v/>
      </c>
      <c r="L76" s="21" t="str">
        <f>IF(Deployments!M76="","",Deployments!M76)</f>
        <v/>
      </c>
      <c r="M76" s="22"/>
      <c r="N76" s="21" t="str">
        <f>IF(Deployments!N76="","",Deployments!N76)</f>
        <v>Yes</v>
      </c>
      <c r="O76" s="21" t="str">
        <f>IF(Deployments!O76="","",Deployments!O76)</f>
        <v>No</v>
      </c>
      <c r="P76" s="21" t="str">
        <f>IF(Deployments!P76="","",Deployments!P76)</f>
        <v>No</v>
      </c>
      <c r="Q76" s="22"/>
      <c r="R76" s="21" t="str">
        <f>IF(Deployments!AY76="","",Deployments!AY76)</f>
        <v/>
      </c>
      <c r="S76" s="21" t="str">
        <f>IF(Deployments!AX76="","",Deployments!AX76)</f>
        <v/>
      </c>
      <c r="T76" s="21" t="str">
        <f>IF(Deployments!AV76="","",Deployments!AV76)</f>
        <v/>
      </c>
      <c r="U76" s="21" t="str">
        <f>IF(Deployments!AW76="","",Deployments!AW76)</f>
        <v/>
      </c>
      <c r="V76" s="21" t="str">
        <f>IF(Deployments!BA76="","",Deployments!BA76)</f>
        <v/>
      </c>
      <c r="W76" s="21" t="str">
        <f>IF(Deployments!BC76="","",Deployments!BC76)</f>
        <v/>
      </c>
      <c r="X76" s="21" t="str">
        <f>IF(Deployments!BK76="","",Deployments!BK76)</f>
        <v/>
      </c>
      <c r="Y76" s="21" t="str">
        <f>IF(Deployments!BB76="","",Deployments!BB76)</f>
        <v/>
      </c>
      <c r="Z76" s="21" t="str">
        <f>IF(Deployments!T76="","",Deployments!T76)</f>
        <v/>
      </c>
      <c r="AA76" s="21" t="str">
        <f>IF(Deployments!L76="","",Deployments!L76)</f>
        <v/>
      </c>
    </row>
    <row r="77" spans="1:27">
      <c r="A77" s="22"/>
      <c r="B77" s="22"/>
      <c r="C77" s="21" t="str">
        <f>IF(Deployments!H77="","",Deployments!H77)</f>
        <v>LIJ - CCMC</v>
      </c>
      <c r="D77" s="21" t="str">
        <f>IF(Deployments!AH77="","",Deployments!AH77)</f>
        <v/>
      </c>
      <c r="E77" s="21" t="str">
        <f>IF(Deployments!I77="","",Deployments!I77)</f>
        <v/>
      </c>
      <c r="F77" s="21" t="str">
        <f>IF(Deployments!J77="","",Deployments!J77)</f>
        <v/>
      </c>
      <c r="G77" s="21" t="str">
        <f>IF(Deployments!K77="","",Deployments!K77)</f>
        <v/>
      </c>
      <c r="H77" s="21" t="str">
        <f>IF(Deployments!A77="","",Deployments!A77)</f>
        <v>Cybernet</v>
      </c>
      <c r="I77" s="21" t="str">
        <f>IF(Deployments!AI77="","",Deployments!AI77)</f>
        <v/>
      </c>
      <c r="J77" s="21" t="str">
        <f>IF(Deployments!AJ77="","",Deployments!AJ77)</f>
        <v/>
      </c>
      <c r="K77" s="21" t="str">
        <f>IF(Deployments!AD77="","",Deployments!AD77)</f>
        <v/>
      </c>
      <c r="L77" s="21" t="str">
        <f>IF(Deployments!M77="","",Deployments!M77)</f>
        <v/>
      </c>
      <c r="M77" s="22"/>
      <c r="N77" s="21" t="str">
        <f>IF(Deployments!N77="","",Deployments!N77)</f>
        <v>Yes</v>
      </c>
      <c r="O77" s="21" t="str">
        <f>IF(Deployments!O77="","",Deployments!O77)</f>
        <v>No</v>
      </c>
      <c r="P77" s="21" t="str">
        <f>IF(Deployments!P77="","",Deployments!P77)</f>
        <v>No</v>
      </c>
      <c r="Q77" s="22"/>
      <c r="R77" s="21" t="str">
        <f>IF(Deployments!AY77="","",Deployments!AY77)</f>
        <v/>
      </c>
      <c r="S77" s="21" t="str">
        <f>IF(Deployments!AX77="","",Deployments!AX77)</f>
        <v/>
      </c>
      <c r="T77" s="21" t="str">
        <f>IF(Deployments!AV77="","",Deployments!AV77)</f>
        <v/>
      </c>
      <c r="U77" s="21" t="str">
        <f>IF(Deployments!AW77="","",Deployments!AW77)</f>
        <v/>
      </c>
      <c r="V77" s="21" t="str">
        <f>IF(Deployments!BA77="","",Deployments!BA77)</f>
        <v/>
      </c>
      <c r="W77" s="21" t="str">
        <f>IF(Deployments!BC77="","",Deployments!BC77)</f>
        <v/>
      </c>
      <c r="X77" s="21" t="str">
        <f>IF(Deployments!BK77="","",Deployments!BK77)</f>
        <v/>
      </c>
      <c r="Y77" s="21" t="str">
        <f>IF(Deployments!BB77="","",Deployments!BB77)</f>
        <v/>
      </c>
      <c r="Z77" s="21" t="str">
        <f>IF(Deployments!T77="","",Deployments!T77)</f>
        <v/>
      </c>
      <c r="AA77" s="21" t="str">
        <f>IF(Deployments!L77="","",Deployments!L77)</f>
        <v/>
      </c>
    </row>
    <row r="78" spans="1:27">
      <c r="A78" s="22"/>
      <c r="B78" s="22"/>
      <c r="C78" s="21" t="str">
        <f>IF(Deployments!H78="","",Deployments!H78)</f>
        <v>CFAM</v>
      </c>
      <c r="D78" s="21" t="str">
        <f>IF(Deployments!AH78="","",Deployments!AH78)</f>
        <v/>
      </c>
      <c r="E78" s="21" t="str">
        <f>IF(Deployments!I78="","",Deployments!I78)</f>
        <v/>
      </c>
      <c r="F78" s="21" t="str">
        <f>IF(Deployments!J78="","",Deployments!J78)</f>
        <v/>
      </c>
      <c r="G78" s="21" t="str">
        <f>IF(Deployments!K78="","",Deployments!K78)</f>
        <v/>
      </c>
      <c r="H78" s="21" t="str">
        <f>IF(Deployments!A78="","",Deployments!A78)</f>
        <v>Cybernet</v>
      </c>
      <c r="I78" s="21" t="str">
        <f>IF(Deployments!AI78="","",Deployments!AI78)</f>
        <v/>
      </c>
      <c r="J78" s="21" t="str">
        <f>IF(Deployments!AJ78="","",Deployments!AJ78)</f>
        <v/>
      </c>
      <c r="K78" s="21" t="str">
        <f>IF(Deployments!AD78="","",Deployments!AD78)</f>
        <v/>
      </c>
      <c r="L78" s="21" t="str">
        <f>IF(Deployments!M78="","",Deployments!M78)</f>
        <v/>
      </c>
      <c r="M78" s="22"/>
      <c r="N78" s="21" t="str">
        <f>IF(Deployments!N78="","",Deployments!N78)</f>
        <v>Yes</v>
      </c>
      <c r="O78" s="21" t="str">
        <f>IF(Deployments!O78="","",Deployments!O78)</f>
        <v>No</v>
      </c>
      <c r="P78" s="21" t="str">
        <f>IF(Deployments!P78="","",Deployments!P78)</f>
        <v>No</v>
      </c>
      <c r="Q78" s="22"/>
      <c r="R78" s="21" t="str">
        <f>IF(Deployments!AY78="","",Deployments!AY78)</f>
        <v/>
      </c>
      <c r="S78" s="21" t="str">
        <f>IF(Deployments!AX78="","",Deployments!AX78)</f>
        <v/>
      </c>
      <c r="T78" s="21" t="str">
        <f>IF(Deployments!AV78="","",Deployments!AV78)</f>
        <v/>
      </c>
      <c r="U78" s="21" t="str">
        <f>IF(Deployments!AW78="","",Deployments!AW78)</f>
        <v/>
      </c>
      <c r="V78" s="21" t="str">
        <f>IF(Deployments!BA78="","",Deployments!BA78)</f>
        <v/>
      </c>
      <c r="W78" s="21" t="str">
        <f>IF(Deployments!BC78="","",Deployments!BC78)</f>
        <v/>
      </c>
      <c r="X78" s="21" t="str">
        <f>IF(Deployments!BK78="","",Deployments!BK78)</f>
        <v/>
      </c>
      <c r="Y78" s="21" t="str">
        <f>IF(Deployments!BB78="","",Deployments!BB78)</f>
        <v/>
      </c>
      <c r="Z78" s="21" t="str">
        <f>IF(Deployments!T78="","",Deployments!T78)</f>
        <v/>
      </c>
      <c r="AA78" s="21" t="str">
        <f>IF(Deployments!L78="","",Deployments!L78)</f>
        <v/>
      </c>
    </row>
    <row r="79" spans="1:27">
      <c r="A79" s="22"/>
      <c r="B79" s="22"/>
      <c r="C79" s="21" t="str">
        <f>IF(Deployments!H79="","",Deployments!H79)</f>
        <v>CFAM</v>
      </c>
      <c r="D79" s="21" t="str">
        <f>IF(Deployments!AH79="","",Deployments!AH79)</f>
        <v/>
      </c>
      <c r="E79" s="21" t="str">
        <f>IF(Deployments!I79="","",Deployments!I79)</f>
        <v/>
      </c>
      <c r="F79" s="21" t="str">
        <f>IF(Deployments!J79="","",Deployments!J79)</f>
        <v/>
      </c>
      <c r="G79" s="21" t="str">
        <f>IF(Deployments!K79="","",Deployments!K79)</f>
        <v/>
      </c>
      <c r="H79" s="21" t="str">
        <f>IF(Deployments!A79="","",Deployments!A79)</f>
        <v>Cybernet</v>
      </c>
      <c r="I79" s="21" t="str">
        <f>IF(Deployments!AI79="","",Deployments!AI79)</f>
        <v/>
      </c>
      <c r="J79" s="21" t="str">
        <f>IF(Deployments!AJ79="","",Deployments!AJ79)</f>
        <v/>
      </c>
      <c r="K79" s="21" t="str">
        <f>IF(Deployments!AD79="","",Deployments!AD79)</f>
        <v/>
      </c>
      <c r="L79" s="21" t="str">
        <f>IF(Deployments!M79="","",Deployments!M79)</f>
        <v/>
      </c>
      <c r="M79" s="22"/>
      <c r="N79" s="21" t="str">
        <f>IF(Deployments!N79="","",Deployments!N79)</f>
        <v>Yes</v>
      </c>
      <c r="O79" s="21" t="str">
        <f>IF(Deployments!O79="","",Deployments!O79)</f>
        <v>No</v>
      </c>
      <c r="P79" s="21" t="str">
        <f>IF(Deployments!P79="","",Deployments!P79)</f>
        <v>No</v>
      </c>
      <c r="Q79" s="22"/>
      <c r="R79" s="21" t="str">
        <f>IF(Deployments!AY79="","",Deployments!AY79)</f>
        <v/>
      </c>
      <c r="S79" s="21" t="str">
        <f>IF(Deployments!AX79="","",Deployments!AX79)</f>
        <v/>
      </c>
      <c r="T79" s="21" t="str">
        <f>IF(Deployments!AV79="","",Deployments!AV79)</f>
        <v/>
      </c>
      <c r="U79" s="21" t="str">
        <f>IF(Deployments!AW79="","",Deployments!AW79)</f>
        <v/>
      </c>
      <c r="V79" s="21" t="str">
        <f>IF(Deployments!BA79="","",Deployments!BA79)</f>
        <v/>
      </c>
      <c r="W79" s="21" t="str">
        <f>IF(Deployments!BC79="","",Deployments!BC79)</f>
        <v/>
      </c>
      <c r="X79" s="21" t="str">
        <f>IF(Deployments!BK79="","",Deployments!BK79)</f>
        <v/>
      </c>
      <c r="Y79" s="21" t="str">
        <f>IF(Deployments!BB79="","",Deployments!BB79)</f>
        <v/>
      </c>
      <c r="Z79" s="21" t="str">
        <f>IF(Deployments!T79="","",Deployments!T79)</f>
        <v/>
      </c>
      <c r="AA79" s="21" t="str">
        <f>IF(Deployments!L79="","",Deployments!L79)</f>
        <v/>
      </c>
    </row>
    <row r="80" spans="1:27">
      <c r="A80" s="22"/>
      <c r="B80" s="22"/>
      <c r="C80" s="21" t="str">
        <f>IF(Deployments!H80="","",Deployments!H80)</f>
        <v>CFAM</v>
      </c>
      <c r="D80" s="21" t="str">
        <f>IF(Deployments!AH80="","",Deployments!AH80)</f>
        <v/>
      </c>
      <c r="E80" s="21" t="str">
        <f>IF(Deployments!I80="","",Deployments!I80)</f>
        <v/>
      </c>
      <c r="F80" s="21" t="str">
        <f>IF(Deployments!J80="","",Deployments!J80)</f>
        <v/>
      </c>
      <c r="G80" s="21" t="str">
        <f>IF(Deployments!K80="","",Deployments!K80)</f>
        <v/>
      </c>
      <c r="H80" s="21" t="str">
        <f>IF(Deployments!A80="","",Deployments!A80)</f>
        <v>Cybernet</v>
      </c>
      <c r="I80" s="21" t="str">
        <f>IF(Deployments!AI80="","",Deployments!AI80)</f>
        <v/>
      </c>
      <c r="J80" s="21" t="str">
        <f>IF(Deployments!AJ80="","",Deployments!AJ80)</f>
        <v/>
      </c>
      <c r="K80" s="21" t="str">
        <f>IF(Deployments!AD80="","",Deployments!AD80)</f>
        <v/>
      </c>
      <c r="L80" s="21" t="str">
        <f>IF(Deployments!M80="","",Deployments!M80)</f>
        <v/>
      </c>
      <c r="M80" s="22"/>
      <c r="N80" s="21" t="str">
        <f>IF(Deployments!N80="","",Deployments!N80)</f>
        <v>Yes</v>
      </c>
      <c r="O80" s="21" t="str">
        <f>IF(Deployments!O80="","",Deployments!O80)</f>
        <v>No</v>
      </c>
      <c r="P80" s="21" t="str">
        <f>IF(Deployments!P80="","",Deployments!P80)</f>
        <v>No</v>
      </c>
      <c r="Q80" s="22"/>
      <c r="R80" s="21" t="str">
        <f>IF(Deployments!AY80="","",Deployments!AY80)</f>
        <v/>
      </c>
      <c r="S80" s="21" t="str">
        <f>IF(Deployments!AX80="","",Deployments!AX80)</f>
        <v/>
      </c>
      <c r="T80" s="21" t="str">
        <f>IF(Deployments!AV80="","",Deployments!AV80)</f>
        <v/>
      </c>
      <c r="U80" s="21" t="str">
        <f>IF(Deployments!AW80="","",Deployments!AW80)</f>
        <v/>
      </c>
      <c r="V80" s="21" t="str">
        <f>IF(Deployments!BA80="","",Deployments!BA80)</f>
        <v/>
      </c>
      <c r="W80" s="21" t="str">
        <f>IF(Deployments!BC80="","",Deployments!BC80)</f>
        <v/>
      </c>
      <c r="X80" s="21" t="str">
        <f>IF(Deployments!BK80="","",Deployments!BK80)</f>
        <v/>
      </c>
      <c r="Y80" s="21" t="str">
        <f>IF(Deployments!BB80="","",Deployments!BB80)</f>
        <v/>
      </c>
      <c r="Z80" s="21" t="str">
        <f>IF(Deployments!T80="","",Deployments!T80)</f>
        <v/>
      </c>
      <c r="AA80" s="21" t="str">
        <f>IF(Deployments!L80="","",Deployments!L80)</f>
        <v/>
      </c>
    </row>
    <row r="81" spans="1:27">
      <c r="A81" s="22"/>
      <c r="B81" s="22"/>
      <c r="C81" s="21" t="str">
        <f>IF(Deployments!H81="","",Deployments!H81)</f>
        <v>CFAM</v>
      </c>
      <c r="D81" s="21" t="str">
        <f>IF(Deployments!AH81="","",Deployments!AH81)</f>
        <v/>
      </c>
      <c r="E81" s="21" t="str">
        <f>IF(Deployments!I81="","",Deployments!I81)</f>
        <v/>
      </c>
      <c r="F81" s="21" t="str">
        <f>IF(Deployments!J81="","",Deployments!J81)</f>
        <v/>
      </c>
      <c r="G81" s="21" t="str">
        <f>IF(Deployments!K81="","",Deployments!K81)</f>
        <v/>
      </c>
      <c r="H81" s="21" t="str">
        <f>IF(Deployments!A81="","",Deployments!A81)</f>
        <v>Cybernet</v>
      </c>
      <c r="I81" s="21" t="str">
        <f>IF(Deployments!AI81="","",Deployments!AI81)</f>
        <v/>
      </c>
      <c r="J81" s="21" t="str">
        <f>IF(Deployments!AJ81="","",Deployments!AJ81)</f>
        <v/>
      </c>
      <c r="K81" s="21" t="str">
        <f>IF(Deployments!AD81="","",Deployments!AD81)</f>
        <v/>
      </c>
      <c r="L81" s="21" t="str">
        <f>IF(Deployments!M81="","",Deployments!M81)</f>
        <v/>
      </c>
      <c r="M81" s="22"/>
      <c r="N81" s="21" t="str">
        <f>IF(Deployments!N81="","",Deployments!N81)</f>
        <v>Yes</v>
      </c>
      <c r="O81" s="21" t="str">
        <f>IF(Deployments!O81="","",Deployments!O81)</f>
        <v>No</v>
      </c>
      <c r="P81" s="21" t="str">
        <f>IF(Deployments!P81="","",Deployments!P81)</f>
        <v>No</v>
      </c>
      <c r="Q81" s="22"/>
      <c r="R81" s="21" t="str">
        <f>IF(Deployments!AY81="","",Deployments!AY81)</f>
        <v/>
      </c>
      <c r="S81" s="21" t="str">
        <f>IF(Deployments!AX81="","",Deployments!AX81)</f>
        <v/>
      </c>
      <c r="T81" s="21" t="str">
        <f>IF(Deployments!AV81="","",Deployments!AV81)</f>
        <v/>
      </c>
      <c r="U81" s="21" t="str">
        <f>IF(Deployments!AW81="","",Deployments!AW81)</f>
        <v/>
      </c>
      <c r="V81" s="21" t="str">
        <f>IF(Deployments!BA81="","",Deployments!BA81)</f>
        <v/>
      </c>
      <c r="W81" s="21" t="str">
        <f>IF(Deployments!BC81="","",Deployments!BC81)</f>
        <v/>
      </c>
      <c r="X81" s="21" t="str">
        <f>IF(Deployments!BK81="","",Deployments!BK81)</f>
        <v/>
      </c>
      <c r="Y81" s="21" t="str">
        <f>IF(Deployments!BB81="","",Deployments!BB81)</f>
        <v/>
      </c>
      <c r="Z81" s="21" t="str">
        <f>IF(Deployments!T81="","",Deployments!T81)</f>
        <v/>
      </c>
      <c r="AA81" s="21" t="str">
        <f>IF(Deployments!L81="","",Deployments!L81)</f>
        <v/>
      </c>
    </row>
    <row r="82" spans="1:27">
      <c r="A82" s="22"/>
      <c r="B82" s="22"/>
      <c r="C82" s="21" t="str">
        <f>IF(Deployments!H82="","",Deployments!H82)</f>
        <v>CFAM</v>
      </c>
      <c r="D82" s="21" t="str">
        <f>IF(Deployments!AH82="","",Deployments!AH82)</f>
        <v/>
      </c>
      <c r="E82" s="21" t="str">
        <f>IF(Deployments!I82="","",Deployments!I82)</f>
        <v/>
      </c>
      <c r="F82" s="21" t="str">
        <f>IF(Deployments!J82="","",Deployments!J82)</f>
        <v/>
      </c>
      <c r="G82" s="21" t="str">
        <f>IF(Deployments!K82="","",Deployments!K82)</f>
        <v/>
      </c>
      <c r="H82" s="21" t="str">
        <f>IF(Deployments!A82="","",Deployments!A82)</f>
        <v>Cybernet</v>
      </c>
      <c r="I82" s="21" t="str">
        <f>IF(Deployments!AI82="","",Deployments!AI82)</f>
        <v/>
      </c>
      <c r="J82" s="21" t="str">
        <f>IF(Deployments!AJ82="","",Deployments!AJ82)</f>
        <v/>
      </c>
      <c r="K82" s="21" t="str">
        <f>IF(Deployments!AD82="","",Deployments!AD82)</f>
        <v/>
      </c>
      <c r="L82" s="21" t="str">
        <f>IF(Deployments!M82="","",Deployments!M82)</f>
        <v/>
      </c>
      <c r="M82" s="22"/>
      <c r="N82" s="21" t="str">
        <f>IF(Deployments!N82="","",Deployments!N82)</f>
        <v>Yes</v>
      </c>
      <c r="O82" s="21" t="str">
        <f>IF(Deployments!O82="","",Deployments!O82)</f>
        <v>No</v>
      </c>
      <c r="P82" s="21" t="str">
        <f>IF(Deployments!P82="","",Deployments!P82)</f>
        <v>No</v>
      </c>
      <c r="Q82" s="22"/>
      <c r="R82" s="21" t="str">
        <f>IF(Deployments!AY82="","",Deployments!AY82)</f>
        <v/>
      </c>
      <c r="S82" s="21" t="str">
        <f>IF(Deployments!AX82="","",Deployments!AX82)</f>
        <v/>
      </c>
      <c r="T82" s="21" t="str">
        <f>IF(Deployments!AV82="","",Deployments!AV82)</f>
        <v/>
      </c>
      <c r="U82" s="21" t="str">
        <f>IF(Deployments!AW82="","",Deployments!AW82)</f>
        <v/>
      </c>
      <c r="V82" s="21" t="str">
        <f>IF(Deployments!BA82="","",Deployments!BA82)</f>
        <v/>
      </c>
      <c r="W82" s="21" t="str">
        <f>IF(Deployments!BC82="","",Deployments!BC82)</f>
        <v/>
      </c>
      <c r="X82" s="21" t="str">
        <f>IF(Deployments!BK82="","",Deployments!BK82)</f>
        <v/>
      </c>
      <c r="Y82" s="21" t="str">
        <f>IF(Deployments!BB82="","",Deployments!BB82)</f>
        <v/>
      </c>
      <c r="Z82" s="21" t="str">
        <f>IF(Deployments!T82="","",Deployments!T82)</f>
        <v/>
      </c>
      <c r="AA82" s="21" t="str">
        <f>IF(Deployments!L82="","",Deployments!L82)</f>
        <v/>
      </c>
    </row>
    <row r="83" spans="1:27">
      <c r="A83" s="22"/>
      <c r="B83" s="22"/>
      <c r="C83" s="21" t="str">
        <f>IF(Deployments!H83="","",Deployments!H83)</f>
        <v>CFAM</v>
      </c>
      <c r="D83" s="21" t="str">
        <f>IF(Deployments!AH83="","",Deployments!AH83)</f>
        <v/>
      </c>
      <c r="E83" s="21" t="str">
        <f>IF(Deployments!I83="","",Deployments!I83)</f>
        <v/>
      </c>
      <c r="F83" s="21" t="str">
        <f>IF(Deployments!J83="","",Deployments!J83)</f>
        <v/>
      </c>
      <c r="G83" s="21" t="str">
        <f>IF(Deployments!K83="","",Deployments!K83)</f>
        <v/>
      </c>
      <c r="H83" s="21" t="str">
        <f>IF(Deployments!A83="","",Deployments!A83)</f>
        <v>Cybernet</v>
      </c>
      <c r="I83" s="21" t="str">
        <f>IF(Deployments!AI83="","",Deployments!AI83)</f>
        <v/>
      </c>
      <c r="J83" s="21" t="str">
        <f>IF(Deployments!AJ83="","",Deployments!AJ83)</f>
        <v/>
      </c>
      <c r="K83" s="21" t="str">
        <f>IF(Deployments!AD83="","",Deployments!AD83)</f>
        <v/>
      </c>
      <c r="L83" s="21" t="str">
        <f>IF(Deployments!M83="","",Deployments!M83)</f>
        <v/>
      </c>
      <c r="M83" s="22"/>
      <c r="N83" s="21" t="str">
        <f>IF(Deployments!N83="","",Deployments!N83)</f>
        <v>Yes</v>
      </c>
      <c r="O83" s="21" t="str">
        <f>IF(Deployments!O83="","",Deployments!O83)</f>
        <v>No</v>
      </c>
      <c r="P83" s="21" t="str">
        <f>IF(Deployments!P83="","",Deployments!P83)</f>
        <v>No</v>
      </c>
      <c r="Q83" s="22"/>
      <c r="R83" s="21" t="str">
        <f>IF(Deployments!AY83="","",Deployments!AY83)</f>
        <v/>
      </c>
      <c r="S83" s="21" t="str">
        <f>IF(Deployments!AX83="","",Deployments!AX83)</f>
        <v/>
      </c>
      <c r="T83" s="21" t="str">
        <f>IF(Deployments!AV83="","",Deployments!AV83)</f>
        <v/>
      </c>
      <c r="U83" s="21" t="str">
        <f>IF(Deployments!AW83="","",Deployments!AW83)</f>
        <v/>
      </c>
      <c r="V83" s="21" t="str">
        <f>IF(Deployments!BA83="","",Deployments!BA83)</f>
        <v/>
      </c>
      <c r="W83" s="21" t="str">
        <f>IF(Deployments!BC83="","",Deployments!BC83)</f>
        <v/>
      </c>
      <c r="X83" s="21" t="str">
        <f>IF(Deployments!BK83="","",Deployments!BK83)</f>
        <v/>
      </c>
      <c r="Y83" s="21" t="str">
        <f>IF(Deployments!BB83="","",Deployments!BB83)</f>
        <v/>
      </c>
      <c r="Z83" s="21" t="str">
        <f>IF(Deployments!T83="","",Deployments!T83)</f>
        <v/>
      </c>
      <c r="AA83" s="21" t="str">
        <f>IF(Deployments!L83="","",Deployments!L83)</f>
        <v/>
      </c>
    </row>
    <row r="84" spans="1:27">
      <c r="A84" s="22"/>
      <c r="B84" s="22"/>
      <c r="C84" s="21" t="str">
        <f>IF(Deployments!H84="","",Deployments!H84)</f>
        <v>CFAM</v>
      </c>
      <c r="D84" s="21" t="str">
        <f>IF(Deployments!AH84="","",Deployments!AH84)</f>
        <v/>
      </c>
      <c r="E84" s="21" t="str">
        <f>IF(Deployments!I84="","",Deployments!I84)</f>
        <v/>
      </c>
      <c r="F84" s="21" t="str">
        <f>IF(Deployments!J84="","",Deployments!J84)</f>
        <v/>
      </c>
      <c r="G84" s="21" t="str">
        <f>IF(Deployments!K84="","",Deployments!K84)</f>
        <v/>
      </c>
      <c r="H84" s="21" t="str">
        <f>IF(Deployments!A84="","",Deployments!A84)</f>
        <v>Cybernet</v>
      </c>
      <c r="I84" s="21" t="str">
        <f>IF(Deployments!AI84="","",Deployments!AI84)</f>
        <v/>
      </c>
      <c r="J84" s="21" t="str">
        <f>IF(Deployments!AJ84="","",Deployments!AJ84)</f>
        <v/>
      </c>
      <c r="K84" s="21" t="str">
        <f>IF(Deployments!AD84="","",Deployments!AD84)</f>
        <v/>
      </c>
      <c r="L84" s="21" t="str">
        <f>IF(Deployments!M84="","",Deployments!M84)</f>
        <v/>
      </c>
      <c r="M84" s="22"/>
      <c r="N84" s="21" t="str">
        <f>IF(Deployments!N84="","",Deployments!N84)</f>
        <v>Yes</v>
      </c>
      <c r="O84" s="21" t="str">
        <f>IF(Deployments!O84="","",Deployments!O84)</f>
        <v>No</v>
      </c>
      <c r="P84" s="21" t="str">
        <f>IF(Deployments!P84="","",Deployments!P84)</f>
        <v>No</v>
      </c>
      <c r="Q84" s="22"/>
      <c r="R84" s="21" t="str">
        <f>IF(Deployments!AY84="","",Deployments!AY84)</f>
        <v/>
      </c>
      <c r="S84" s="21" t="str">
        <f>IF(Deployments!AX84="","",Deployments!AX84)</f>
        <v/>
      </c>
      <c r="T84" s="21" t="str">
        <f>IF(Deployments!AV84="","",Deployments!AV84)</f>
        <v/>
      </c>
      <c r="U84" s="21" t="str">
        <f>IF(Deployments!AW84="","",Deployments!AW84)</f>
        <v/>
      </c>
      <c r="V84" s="21" t="str">
        <f>IF(Deployments!BA84="","",Deployments!BA84)</f>
        <v/>
      </c>
      <c r="W84" s="21" t="str">
        <f>IF(Deployments!BC84="","",Deployments!BC84)</f>
        <v/>
      </c>
      <c r="X84" s="21" t="str">
        <f>IF(Deployments!BK84="","",Deployments!BK84)</f>
        <v/>
      </c>
      <c r="Y84" s="21" t="str">
        <f>IF(Deployments!BB84="","",Deployments!BB84)</f>
        <v/>
      </c>
      <c r="Z84" s="21" t="str">
        <f>IF(Deployments!T84="","",Deployments!T84)</f>
        <v/>
      </c>
      <c r="AA84" s="21" t="str">
        <f>IF(Deployments!L84="","",Deployments!L84)</f>
        <v/>
      </c>
    </row>
    <row r="85" spans="1:27">
      <c r="A85" s="22"/>
      <c r="B85" s="22"/>
      <c r="C85" s="21" t="str">
        <f>IF(Deployments!H85="","",Deployments!H85)</f>
        <v>LIJ - CCMC</v>
      </c>
      <c r="D85" s="21" t="str">
        <f>IF(Deployments!AH85="","",Deployments!AH85)</f>
        <v/>
      </c>
      <c r="E85" s="21" t="str">
        <f>IF(Deployments!I85="","",Deployments!I85)</f>
        <v/>
      </c>
      <c r="F85" s="21" t="str">
        <f>IF(Deployments!J85="","",Deployments!J85)</f>
        <v/>
      </c>
      <c r="G85" s="21" t="str">
        <f>IF(Deployments!K85="","",Deployments!K85)</f>
        <v/>
      </c>
      <c r="H85" s="21" t="str">
        <f>IF(Deployments!A85="","",Deployments!A85)</f>
        <v>Cybernet</v>
      </c>
      <c r="I85" s="21" t="str">
        <f>IF(Deployments!AI85="","",Deployments!AI85)</f>
        <v/>
      </c>
      <c r="J85" s="21" t="str">
        <f>IF(Deployments!AJ85="","",Deployments!AJ85)</f>
        <v/>
      </c>
      <c r="K85" s="21" t="str">
        <f>IF(Deployments!AD85="","",Deployments!AD85)</f>
        <v/>
      </c>
      <c r="L85" s="21" t="str">
        <f>IF(Deployments!M85="","",Deployments!M85)</f>
        <v/>
      </c>
      <c r="M85" s="22"/>
      <c r="N85" s="21" t="str">
        <f>IF(Deployments!N85="","",Deployments!N85)</f>
        <v>Yes</v>
      </c>
      <c r="O85" s="21" t="str">
        <f>IF(Deployments!O85="","",Deployments!O85)</f>
        <v>No</v>
      </c>
      <c r="P85" s="21" t="str">
        <f>IF(Deployments!P85="","",Deployments!P85)</f>
        <v>No</v>
      </c>
      <c r="Q85" s="22"/>
      <c r="R85" s="21" t="str">
        <f>IF(Deployments!AY85="","",Deployments!AY85)</f>
        <v/>
      </c>
      <c r="S85" s="21" t="str">
        <f>IF(Deployments!AX85="","",Deployments!AX85)</f>
        <v/>
      </c>
      <c r="T85" s="21" t="str">
        <f>IF(Deployments!AV85="","",Deployments!AV85)</f>
        <v/>
      </c>
      <c r="U85" s="21" t="str">
        <f>IF(Deployments!AW85="","",Deployments!AW85)</f>
        <v/>
      </c>
      <c r="V85" s="21" t="str">
        <f>IF(Deployments!BA85="","",Deployments!BA85)</f>
        <v/>
      </c>
      <c r="W85" s="21" t="str">
        <f>IF(Deployments!BC85="","",Deployments!BC85)</f>
        <v/>
      </c>
      <c r="X85" s="21" t="str">
        <f>IF(Deployments!BK85="","",Deployments!BK85)</f>
        <v/>
      </c>
      <c r="Y85" s="21" t="str">
        <f>IF(Deployments!BB85="","",Deployments!BB85)</f>
        <v/>
      </c>
      <c r="Z85" s="21" t="str">
        <f>IF(Deployments!T85="","",Deployments!T85)</f>
        <v/>
      </c>
      <c r="AA85" s="21" t="str">
        <f>IF(Deployments!L85="","",Deployments!L85)</f>
        <v/>
      </c>
    </row>
    <row r="86" spans="1:27">
      <c r="A86" s="22"/>
      <c r="B86" s="22"/>
      <c r="C86" s="21" t="str">
        <f>IF(Deployments!H86="","",Deployments!H86)</f>
        <v>LIJ - CCMC</v>
      </c>
      <c r="D86" s="21" t="str">
        <f>IF(Deployments!AH86="","",Deployments!AH86)</f>
        <v/>
      </c>
      <c r="E86" s="21" t="str">
        <f>IF(Deployments!I86="","",Deployments!I86)</f>
        <v/>
      </c>
      <c r="F86" s="21" t="str">
        <f>IF(Deployments!J86="","",Deployments!J86)</f>
        <v/>
      </c>
      <c r="G86" s="21" t="str">
        <f>IF(Deployments!K86="","",Deployments!K86)</f>
        <v/>
      </c>
      <c r="H86" s="21" t="str">
        <f>IF(Deployments!A86="","",Deployments!A86)</f>
        <v>Cybernet</v>
      </c>
      <c r="I86" s="21" t="str">
        <f>IF(Deployments!AI86="","",Deployments!AI86)</f>
        <v/>
      </c>
      <c r="J86" s="21" t="str">
        <f>IF(Deployments!AJ86="","",Deployments!AJ86)</f>
        <v/>
      </c>
      <c r="K86" s="21" t="str">
        <f>IF(Deployments!AD86="","",Deployments!AD86)</f>
        <v/>
      </c>
      <c r="L86" s="21" t="str">
        <f>IF(Deployments!M86="","",Deployments!M86)</f>
        <v/>
      </c>
      <c r="M86" s="22"/>
      <c r="N86" s="21" t="str">
        <f>IF(Deployments!N86="","",Deployments!N86)</f>
        <v>Yes</v>
      </c>
      <c r="O86" s="21" t="str">
        <f>IF(Deployments!O86="","",Deployments!O86)</f>
        <v>No</v>
      </c>
      <c r="P86" s="21" t="str">
        <f>IF(Deployments!P86="","",Deployments!P86)</f>
        <v>No</v>
      </c>
      <c r="Q86" s="22"/>
      <c r="R86" s="21" t="str">
        <f>IF(Deployments!AY86="","",Deployments!AY86)</f>
        <v/>
      </c>
      <c r="S86" s="21" t="str">
        <f>IF(Deployments!AX86="","",Deployments!AX86)</f>
        <v/>
      </c>
      <c r="T86" s="21" t="str">
        <f>IF(Deployments!AV86="","",Deployments!AV86)</f>
        <v/>
      </c>
      <c r="U86" s="21" t="str">
        <f>IF(Deployments!AW86="","",Deployments!AW86)</f>
        <v/>
      </c>
      <c r="V86" s="21" t="str">
        <f>IF(Deployments!BA86="","",Deployments!BA86)</f>
        <v/>
      </c>
      <c r="W86" s="21" t="str">
        <f>IF(Deployments!BC86="","",Deployments!BC86)</f>
        <v/>
      </c>
      <c r="X86" s="21" t="str">
        <f>IF(Deployments!BK86="","",Deployments!BK86)</f>
        <v/>
      </c>
      <c r="Y86" s="21" t="str">
        <f>IF(Deployments!BB86="","",Deployments!BB86)</f>
        <v/>
      </c>
      <c r="Z86" s="21" t="str">
        <f>IF(Deployments!T86="","",Deployments!T86)</f>
        <v/>
      </c>
      <c r="AA86" s="21" t="str">
        <f>IF(Deployments!L86="","",Deployments!L86)</f>
        <v/>
      </c>
    </row>
    <row r="87" spans="1:27">
      <c r="A87" s="22"/>
      <c r="B87" s="22"/>
      <c r="C87" s="21" t="str">
        <f>IF(Deployments!H87="","",Deployments!H87)</f>
        <v>LIJ - CCMC</v>
      </c>
      <c r="D87" s="21" t="str">
        <f>IF(Deployments!AH87="","",Deployments!AH87)</f>
        <v/>
      </c>
      <c r="E87" s="21" t="str">
        <f>IF(Deployments!I87="","",Deployments!I87)</f>
        <v/>
      </c>
      <c r="F87" s="21" t="str">
        <f>IF(Deployments!J87="","",Deployments!J87)</f>
        <v/>
      </c>
      <c r="G87" s="21" t="str">
        <f>IF(Deployments!K87="","",Deployments!K87)</f>
        <v/>
      </c>
      <c r="H87" s="21" t="str">
        <f>IF(Deployments!A87="","",Deployments!A87)</f>
        <v>Cybernet</v>
      </c>
      <c r="I87" s="21" t="str">
        <f>IF(Deployments!AI87="","",Deployments!AI87)</f>
        <v/>
      </c>
      <c r="J87" s="21" t="str">
        <f>IF(Deployments!AJ87="","",Deployments!AJ87)</f>
        <v/>
      </c>
      <c r="K87" s="21" t="str">
        <f>IF(Deployments!AD87="","",Deployments!AD87)</f>
        <v/>
      </c>
      <c r="L87" s="21" t="str">
        <f>IF(Deployments!M87="","",Deployments!M87)</f>
        <v/>
      </c>
      <c r="M87" s="22"/>
      <c r="N87" s="21" t="str">
        <f>IF(Deployments!N87="","",Deployments!N87)</f>
        <v>Yes</v>
      </c>
      <c r="O87" s="21" t="str">
        <f>IF(Deployments!O87="","",Deployments!O87)</f>
        <v>No</v>
      </c>
      <c r="P87" s="21" t="str">
        <f>IF(Deployments!P87="","",Deployments!P87)</f>
        <v>No</v>
      </c>
      <c r="Q87" s="22"/>
      <c r="R87" s="21" t="str">
        <f>IF(Deployments!AY87="","",Deployments!AY87)</f>
        <v/>
      </c>
      <c r="S87" s="21" t="str">
        <f>IF(Deployments!AX87="","",Deployments!AX87)</f>
        <v/>
      </c>
      <c r="T87" s="21" t="str">
        <f>IF(Deployments!AV87="","",Deployments!AV87)</f>
        <v/>
      </c>
      <c r="U87" s="21" t="str">
        <f>IF(Deployments!AW87="","",Deployments!AW87)</f>
        <v/>
      </c>
      <c r="V87" s="21" t="str">
        <f>IF(Deployments!BA87="","",Deployments!BA87)</f>
        <v/>
      </c>
      <c r="W87" s="21" t="str">
        <f>IF(Deployments!BC87="","",Deployments!BC87)</f>
        <v/>
      </c>
      <c r="X87" s="21" t="str">
        <f>IF(Deployments!BK87="","",Deployments!BK87)</f>
        <v/>
      </c>
      <c r="Y87" s="21" t="str">
        <f>IF(Deployments!BB87="","",Deployments!BB87)</f>
        <v/>
      </c>
      <c r="Z87" s="21" t="str">
        <f>IF(Deployments!T87="","",Deployments!T87)</f>
        <v/>
      </c>
      <c r="AA87" s="21" t="str">
        <f>IF(Deployments!L87="","",Deployments!L87)</f>
        <v/>
      </c>
    </row>
    <row r="88" spans="1:27">
      <c r="A88" s="22"/>
      <c r="B88" s="22"/>
      <c r="C88" s="21" t="str">
        <f>IF(Deployments!H88="","",Deployments!H88)</f>
        <v>LIJ - CCMC</v>
      </c>
      <c r="D88" s="21" t="str">
        <f>IF(Deployments!AH88="","",Deployments!AH88)</f>
        <v/>
      </c>
      <c r="E88" s="21" t="str">
        <f>IF(Deployments!I88="","",Deployments!I88)</f>
        <v/>
      </c>
      <c r="F88" s="21" t="str">
        <f>IF(Deployments!J88="","",Deployments!J88)</f>
        <v/>
      </c>
      <c r="G88" s="21" t="str">
        <f>IF(Deployments!K88="","",Deployments!K88)</f>
        <v/>
      </c>
      <c r="H88" s="21" t="str">
        <f>IF(Deployments!A88="","",Deployments!A88)</f>
        <v>Cybernet</v>
      </c>
      <c r="I88" s="21" t="str">
        <f>IF(Deployments!AI88="","",Deployments!AI88)</f>
        <v/>
      </c>
      <c r="J88" s="21" t="str">
        <f>IF(Deployments!AJ88="","",Deployments!AJ88)</f>
        <v/>
      </c>
      <c r="K88" s="21" t="str">
        <f>IF(Deployments!AD88="","",Deployments!AD88)</f>
        <v/>
      </c>
      <c r="L88" s="21" t="str">
        <f>IF(Deployments!M88="","",Deployments!M88)</f>
        <v/>
      </c>
      <c r="M88" s="22"/>
      <c r="N88" s="21" t="str">
        <f>IF(Deployments!N88="","",Deployments!N88)</f>
        <v>Yes</v>
      </c>
      <c r="O88" s="21" t="str">
        <f>IF(Deployments!O88="","",Deployments!O88)</f>
        <v>No</v>
      </c>
      <c r="P88" s="21" t="str">
        <f>IF(Deployments!P88="","",Deployments!P88)</f>
        <v>No</v>
      </c>
      <c r="Q88" s="22"/>
      <c r="R88" s="21" t="str">
        <f>IF(Deployments!AY88="","",Deployments!AY88)</f>
        <v/>
      </c>
      <c r="S88" s="21" t="str">
        <f>IF(Deployments!AX88="","",Deployments!AX88)</f>
        <v/>
      </c>
      <c r="T88" s="21" t="str">
        <f>IF(Deployments!AV88="","",Deployments!AV88)</f>
        <v/>
      </c>
      <c r="U88" s="21" t="str">
        <f>IF(Deployments!AW88="","",Deployments!AW88)</f>
        <v/>
      </c>
      <c r="V88" s="21" t="str">
        <f>IF(Deployments!BA88="","",Deployments!BA88)</f>
        <v/>
      </c>
      <c r="W88" s="21" t="str">
        <f>IF(Deployments!BC88="","",Deployments!BC88)</f>
        <v/>
      </c>
      <c r="X88" s="21" t="str">
        <f>IF(Deployments!BK88="","",Deployments!BK88)</f>
        <v/>
      </c>
      <c r="Y88" s="21" t="str">
        <f>IF(Deployments!BB88="","",Deployments!BB88)</f>
        <v/>
      </c>
      <c r="Z88" s="21" t="str">
        <f>IF(Deployments!T88="","",Deployments!T88)</f>
        <v/>
      </c>
      <c r="AA88" s="21" t="str">
        <f>IF(Deployments!L88="","",Deployments!L88)</f>
        <v/>
      </c>
    </row>
    <row r="89" spans="1:27">
      <c r="A89" s="22"/>
      <c r="B89" s="22"/>
      <c r="C89" s="21" t="str">
        <f>IF(Deployments!H89="","",Deployments!H89)</f>
        <v>LIJ - CCMC</v>
      </c>
      <c r="D89" s="21" t="str">
        <f>IF(Deployments!AH89="","",Deployments!AH89)</f>
        <v/>
      </c>
      <c r="E89" s="21" t="str">
        <f>IF(Deployments!I89="","",Deployments!I89)</f>
        <v/>
      </c>
      <c r="F89" s="21" t="str">
        <f>IF(Deployments!J89="","",Deployments!J89)</f>
        <v/>
      </c>
      <c r="G89" s="21" t="str">
        <f>IF(Deployments!K89="","",Deployments!K89)</f>
        <v/>
      </c>
      <c r="H89" s="21" t="str">
        <f>IF(Deployments!A89="","",Deployments!A89)</f>
        <v>Cybernet</v>
      </c>
      <c r="I89" s="21" t="str">
        <f>IF(Deployments!AI89="","",Deployments!AI89)</f>
        <v/>
      </c>
      <c r="J89" s="21" t="str">
        <f>IF(Deployments!AJ89="","",Deployments!AJ89)</f>
        <v/>
      </c>
      <c r="K89" s="21" t="str">
        <f>IF(Deployments!AD89="","",Deployments!AD89)</f>
        <v/>
      </c>
      <c r="L89" s="21" t="str">
        <f>IF(Deployments!M89="","",Deployments!M89)</f>
        <v/>
      </c>
      <c r="M89" s="22"/>
      <c r="N89" s="21" t="str">
        <f>IF(Deployments!N89="","",Deployments!N89)</f>
        <v>Yes</v>
      </c>
      <c r="O89" s="21" t="str">
        <f>IF(Deployments!O89="","",Deployments!O89)</f>
        <v>No</v>
      </c>
      <c r="P89" s="21" t="str">
        <f>IF(Deployments!P89="","",Deployments!P89)</f>
        <v>No</v>
      </c>
      <c r="Q89" s="22"/>
      <c r="R89" s="21" t="str">
        <f>IF(Deployments!AY89="","",Deployments!AY89)</f>
        <v/>
      </c>
      <c r="S89" s="21" t="str">
        <f>IF(Deployments!AX89="","",Deployments!AX89)</f>
        <v/>
      </c>
      <c r="T89" s="21" t="str">
        <f>IF(Deployments!AV89="","",Deployments!AV89)</f>
        <v/>
      </c>
      <c r="U89" s="21" t="str">
        <f>IF(Deployments!AW89="","",Deployments!AW89)</f>
        <v/>
      </c>
      <c r="V89" s="21" t="str">
        <f>IF(Deployments!BA89="","",Deployments!BA89)</f>
        <v/>
      </c>
      <c r="W89" s="21" t="str">
        <f>IF(Deployments!BC89="","",Deployments!BC89)</f>
        <v/>
      </c>
      <c r="X89" s="21" t="str">
        <f>IF(Deployments!BK89="","",Deployments!BK89)</f>
        <v/>
      </c>
      <c r="Y89" s="21" t="str">
        <f>IF(Deployments!BB89="","",Deployments!BB89)</f>
        <v/>
      </c>
      <c r="Z89" s="21" t="str">
        <f>IF(Deployments!T89="","",Deployments!T89)</f>
        <v/>
      </c>
      <c r="AA89" s="21" t="str">
        <f>IF(Deployments!L89="","",Deployments!L89)</f>
        <v/>
      </c>
    </row>
    <row r="90" spans="1:27">
      <c r="A90" s="22"/>
      <c r="B90" s="22"/>
      <c r="C90" s="21" t="str">
        <f>IF(Deployments!H90="","",Deployments!H90)</f>
        <v>LIJ - Other</v>
      </c>
      <c r="D90" s="21" t="str">
        <f>IF(Deployments!AH90="","",Deployments!AH90)</f>
        <v/>
      </c>
      <c r="E90" s="21" t="str">
        <f>IF(Deployments!I90="","",Deployments!I90)</f>
        <v/>
      </c>
      <c r="F90" s="21" t="str">
        <f>IF(Deployments!J90="","",Deployments!J90)</f>
        <v/>
      </c>
      <c r="G90" s="21" t="str">
        <f>IF(Deployments!K90="","",Deployments!K90)</f>
        <v/>
      </c>
      <c r="H90" s="21" t="str">
        <f>IF(Deployments!A90="","",Deployments!A90)</f>
        <v>Cybernet</v>
      </c>
      <c r="I90" s="21" t="str">
        <f>IF(Deployments!AI90="","",Deployments!AI90)</f>
        <v/>
      </c>
      <c r="J90" s="21" t="str">
        <f>IF(Deployments!AJ90="","",Deployments!AJ90)</f>
        <v/>
      </c>
      <c r="K90" s="21" t="str">
        <f>IF(Deployments!AD90="","",Deployments!AD90)</f>
        <v/>
      </c>
      <c r="L90" s="21" t="str">
        <f>IF(Deployments!M90="","",Deployments!M90)</f>
        <v/>
      </c>
      <c r="M90" s="22"/>
      <c r="N90" s="21" t="str">
        <f>IF(Deployments!N90="","",Deployments!N90)</f>
        <v>Yes</v>
      </c>
      <c r="O90" s="21" t="str">
        <f>IF(Deployments!O90="","",Deployments!O90)</f>
        <v>No</v>
      </c>
      <c r="P90" s="21" t="str">
        <f>IF(Deployments!P90="","",Deployments!P90)</f>
        <v>No</v>
      </c>
      <c r="Q90" s="22"/>
      <c r="R90" s="21" t="str">
        <f>IF(Deployments!AY90="","",Deployments!AY90)</f>
        <v/>
      </c>
      <c r="S90" s="21" t="str">
        <f>IF(Deployments!AX90="","",Deployments!AX90)</f>
        <v/>
      </c>
      <c r="T90" s="21" t="str">
        <f>IF(Deployments!AV90="","",Deployments!AV90)</f>
        <v/>
      </c>
      <c r="U90" s="21" t="str">
        <f>IF(Deployments!AW90="","",Deployments!AW90)</f>
        <v/>
      </c>
      <c r="V90" s="21" t="str">
        <f>IF(Deployments!BA90="","",Deployments!BA90)</f>
        <v/>
      </c>
      <c r="W90" s="21" t="str">
        <f>IF(Deployments!BC90="","",Deployments!BC90)</f>
        <v/>
      </c>
      <c r="X90" s="21" t="str">
        <f>IF(Deployments!BK90="","",Deployments!BK90)</f>
        <v/>
      </c>
      <c r="Y90" s="21" t="str">
        <f>IF(Deployments!BB90="","",Deployments!BB90)</f>
        <v/>
      </c>
      <c r="Z90" s="21" t="str">
        <f>IF(Deployments!T90="","",Deployments!T90)</f>
        <v/>
      </c>
      <c r="AA90" s="21" t="str">
        <f>IF(Deployments!L90="","",Deployments!L90)</f>
        <v/>
      </c>
    </row>
    <row r="91" spans="1:27">
      <c r="A91" s="22"/>
      <c r="B91" s="22"/>
      <c r="C91" s="21" t="str">
        <f>IF(Deployments!H91="","",Deployments!H91)</f>
        <v>LIJ - Other</v>
      </c>
      <c r="D91" s="21" t="str">
        <f>IF(Deployments!AH91="","",Deployments!AH91)</f>
        <v/>
      </c>
      <c r="E91" s="21" t="str">
        <f>IF(Deployments!I91="","",Deployments!I91)</f>
        <v/>
      </c>
      <c r="F91" s="21" t="str">
        <f>IF(Deployments!J91="","",Deployments!J91)</f>
        <v/>
      </c>
      <c r="G91" s="21" t="str">
        <f>IF(Deployments!K91="","",Deployments!K91)</f>
        <v/>
      </c>
      <c r="H91" s="21" t="str">
        <f>IF(Deployments!A91="","",Deployments!A91)</f>
        <v>Cybernet</v>
      </c>
      <c r="I91" s="21" t="str">
        <f>IF(Deployments!AI91="","",Deployments!AI91)</f>
        <v/>
      </c>
      <c r="J91" s="21" t="str">
        <f>IF(Deployments!AJ91="","",Deployments!AJ91)</f>
        <v/>
      </c>
      <c r="K91" s="21" t="str">
        <f>IF(Deployments!AD91="","",Deployments!AD91)</f>
        <v/>
      </c>
      <c r="L91" s="21" t="str">
        <f>IF(Deployments!M91="","",Deployments!M91)</f>
        <v/>
      </c>
      <c r="M91" s="22"/>
      <c r="N91" s="21" t="str">
        <f>IF(Deployments!N91="","",Deployments!N91)</f>
        <v>Yes</v>
      </c>
      <c r="O91" s="21" t="str">
        <f>IF(Deployments!O91="","",Deployments!O91)</f>
        <v>No</v>
      </c>
      <c r="P91" s="21" t="str">
        <f>IF(Deployments!P91="","",Deployments!P91)</f>
        <v>No</v>
      </c>
      <c r="Q91" s="22"/>
      <c r="R91" s="21" t="str">
        <f>IF(Deployments!AY91="","",Deployments!AY91)</f>
        <v/>
      </c>
      <c r="S91" s="21" t="str">
        <f>IF(Deployments!AX91="","",Deployments!AX91)</f>
        <v/>
      </c>
      <c r="T91" s="21" t="str">
        <f>IF(Deployments!AV91="","",Deployments!AV91)</f>
        <v/>
      </c>
      <c r="U91" s="21" t="str">
        <f>IF(Deployments!AW91="","",Deployments!AW91)</f>
        <v/>
      </c>
      <c r="V91" s="21" t="str">
        <f>IF(Deployments!BA91="","",Deployments!BA91)</f>
        <v/>
      </c>
      <c r="W91" s="21" t="str">
        <f>IF(Deployments!BC91="","",Deployments!BC91)</f>
        <v/>
      </c>
      <c r="X91" s="21" t="str">
        <f>IF(Deployments!BK91="","",Deployments!BK91)</f>
        <v/>
      </c>
      <c r="Y91" s="21" t="str">
        <f>IF(Deployments!BB91="","",Deployments!BB91)</f>
        <v/>
      </c>
      <c r="Z91" s="21" t="str">
        <f>IF(Deployments!T91="","",Deployments!T91)</f>
        <v/>
      </c>
      <c r="AA91" s="21" t="str">
        <f>IF(Deployments!L91="","",Deployments!L91)</f>
        <v/>
      </c>
    </row>
    <row r="92" spans="1:27">
      <c r="A92" s="22"/>
      <c r="B92" s="22"/>
      <c r="C92" s="21" t="str">
        <f>IF(Deployments!H92="","",Deployments!H92)</f>
        <v>LIJ - Other</v>
      </c>
      <c r="D92" s="21" t="str">
        <f>IF(Deployments!AH92="","",Deployments!AH92)</f>
        <v/>
      </c>
      <c r="E92" s="21" t="str">
        <f>IF(Deployments!I92="","",Deployments!I92)</f>
        <v/>
      </c>
      <c r="F92" s="21" t="str">
        <f>IF(Deployments!J92="","",Deployments!J92)</f>
        <v/>
      </c>
      <c r="G92" s="21" t="str">
        <f>IF(Deployments!K92="","",Deployments!K92)</f>
        <v/>
      </c>
      <c r="H92" s="21" t="str">
        <f>IF(Deployments!A92="","",Deployments!A92)</f>
        <v>Cybernet</v>
      </c>
      <c r="I92" s="21" t="str">
        <f>IF(Deployments!AI92="","",Deployments!AI92)</f>
        <v/>
      </c>
      <c r="J92" s="21" t="str">
        <f>IF(Deployments!AJ92="","",Deployments!AJ92)</f>
        <v/>
      </c>
      <c r="K92" s="21" t="str">
        <f>IF(Deployments!AD92="","",Deployments!AD92)</f>
        <v/>
      </c>
      <c r="L92" s="21" t="str">
        <f>IF(Deployments!M92="","",Deployments!M92)</f>
        <v/>
      </c>
      <c r="M92" s="22"/>
      <c r="N92" s="21" t="str">
        <f>IF(Deployments!N92="","",Deployments!N92)</f>
        <v>Yes</v>
      </c>
      <c r="O92" s="21" t="str">
        <f>IF(Deployments!O92="","",Deployments!O92)</f>
        <v>No</v>
      </c>
      <c r="P92" s="21" t="str">
        <f>IF(Deployments!P92="","",Deployments!P92)</f>
        <v>No</v>
      </c>
      <c r="Q92" s="22"/>
      <c r="R92" s="21" t="str">
        <f>IF(Deployments!AY92="","",Deployments!AY92)</f>
        <v/>
      </c>
      <c r="S92" s="21" t="str">
        <f>IF(Deployments!AX92="","",Deployments!AX92)</f>
        <v/>
      </c>
      <c r="T92" s="21" t="str">
        <f>IF(Deployments!AV92="","",Deployments!AV92)</f>
        <v/>
      </c>
      <c r="U92" s="21" t="str">
        <f>IF(Deployments!AW92="","",Deployments!AW92)</f>
        <v/>
      </c>
      <c r="V92" s="21" t="str">
        <f>IF(Deployments!BA92="","",Deployments!BA92)</f>
        <v/>
      </c>
      <c r="W92" s="21" t="str">
        <f>IF(Deployments!BC92="","",Deployments!BC92)</f>
        <v/>
      </c>
      <c r="X92" s="21" t="str">
        <f>IF(Deployments!BK92="","",Deployments!BK92)</f>
        <v/>
      </c>
      <c r="Y92" s="21" t="str">
        <f>IF(Deployments!BB92="","",Deployments!BB92)</f>
        <v/>
      </c>
      <c r="Z92" s="21" t="str">
        <f>IF(Deployments!T92="","",Deployments!T92)</f>
        <v/>
      </c>
      <c r="AA92" s="21" t="str">
        <f>IF(Deployments!L92="","",Deployments!L92)</f>
        <v/>
      </c>
    </row>
    <row r="93" spans="1:27">
      <c r="A93" s="22"/>
      <c r="B93" s="22"/>
      <c r="C93" s="21" t="str">
        <f>IF(Deployments!H93="","",Deployments!H93)</f>
        <v>LIJ - Other</v>
      </c>
      <c r="D93" s="21" t="str">
        <f>IF(Deployments!AH93="","",Deployments!AH93)</f>
        <v/>
      </c>
      <c r="E93" s="21" t="str">
        <f>IF(Deployments!I93="","",Deployments!I93)</f>
        <v/>
      </c>
      <c r="F93" s="21" t="str">
        <f>IF(Deployments!J93="","",Deployments!J93)</f>
        <v/>
      </c>
      <c r="G93" s="21" t="str">
        <f>IF(Deployments!K93="","",Deployments!K93)</f>
        <v/>
      </c>
      <c r="H93" s="21" t="str">
        <f>IF(Deployments!A93="","",Deployments!A93)</f>
        <v>Cybernet</v>
      </c>
      <c r="I93" s="21" t="str">
        <f>IF(Deployments!AI93="","",Deployments!AI93)</f>
        <v/>
      </c>
      <c r="J93" s="21" t="str">
        <f>IF(Deployments!AJ93="","",Deployments!AJ93)</f>
        <v/>
      </c>
      <c r="K93" s="21" t="str">
        <f>IF(Deployments!AD93="","",Deployments!AD93)</f>
        <v/>
      </c>
      <c r="L93" s="21" t="str">
        <f>IF(Deployments!M93="","",Deployments!M93)</f>
        <v/>
      </c>
      <c r="M93" s="22"/>
      <c r="N93" s="21" t="str">
        <f>IF(Deployments!N93="","",Deployments!N93)</f>
        <v>Yes</v>
      </c>
      <c r="O93" s="21" t="str">
        <f>IF(Deployments!O93="","",Deployments!O93)</f>
        <v>No</v>
      </c>
      <c r="P93" s="21" t="str">
        <f>IF(Deployments!P93="","",Deployments!P93)</f>
        <v>No</v>
      </c>
      <c r="Q93" s="22"/>
      <c r="R93" s="21" t="str">
        <f>IF(Deployments!AY93="","",Deployments!AY93)</f>
        <v/>
      </c>
      <c r="S93" s="21" t="str">
        <f>IF(Deployments!AX93="","",Deployments!AX93)</f>
        <v/>
      </c>
      <c r="T93" s="21" t="str">
        <f>IF(Deployments!AV93="","",Deployments!AV93)</f>
        <v/>
      </c>
      <c r="U93" s="21" t="str">
        <f>IF(Deployments!AW93="","",Deployments!AW93)</f>
        <v/>
      </c>
      <c r="V93" s="21" t="str">
        <f>IF(Deployments!BA93="","",Deployments!BA93)</f>
        <v/>
      </c>
      <c r="W93" s="21" t="str">
        <f>IF(Deployments!BC93="","",Deployments!BC93)</f>
        <v/>
      </c>
      <c r="X93" s="21" t="str">
        <f>IF(Deployments!BK93="","",Deployments!BK93)</f>
        <v/>
      </c>
      <c r="Y93" s="21" t="str">
        <f>IF(Deployments!BB93="","",Deployments!BB93)</f>
        <v/>
      </c>
      <c r="Z93" s="21" t="str">
        <f>IF(Deployments!T93="","",Deployments!T93)</f>
        <v/>
      </c>
      <c r="AA93" s="21" t="str">
        <f>IF(Deployments!L93="","",Deployments!L93)</f>
        <v/>
      </c>
    </row>
    <row r="94" spans="1:27">
      <c r="A94" s="22"/>
      <c r="B94" s="22"/>
      <c r="C94" s="21" t="str">
        <f>IF(Deployments!H94="","",Deployments!H94)</f>
        <v>LIJ - Other</v>
      </c>
      <c r="D94" s="21" t="str">
        <f>IF(Deployments!AH94="","",Deployments!AH94)</f>
        <v/>
      </c>
      <c r="E94" s="21" t="str">
        <f>IF(Deployments!I94="","",Deployments!I94)</f>
        <v/>
      </c>
      <c r="F94" s="21" t="str">
        <f>IF(Deployments!J94="","",Deployments!J94)</f>
        <v/>
      </c>
      <c r="G94" s="21" t="str">
        <f>IF(Deployments!K94="","",Deployments!K94)</f>
        <v/>
      </c>
      <c r="H94" s="21" t="str">
        <f>IF(Deployments!A94="","",Deployments!A94)</f>
        <v>Cybernet</v>
      </c>
      <c r="I94" s="21" t="str">
        <f>IF(Deployments!AI94="","",Deployments!AI94)</f>
        <v/>
      </c>
      <c r="J94" s="21" t="str">
        <f>IF(Deployments!AJ94="","",Deployments!AJ94)</f>
        <v/>
      </c>
      <c r="K94" s="21" t="str">
        <f>IF(Deployments!AD94="","",Deployments!AD94)</f>
        <v/>
      </c>
      <c r="L94" s="21" t="str">
        <f>IF(Deployments!M94="","",Deployments!M94)</f>
        <v/>
      </c>
      <c r="M94" s="22"/>
      <c r="N94" s="21" t="str">
        <f>IF(Deployments!N94="","",Deployments!N94)</f>
        <v>Yes</v>
      </c>
      <c r="O94" s="21" t="str">
        <f>IF(Deployments!O94="","",Deployments!O94)</f>
        <v>No</v>
      </c>
      <c r="P94" s="21" t="str">
        <f>IF(Deployments!P94="","",Deployments!P94)</f>
        <v>No</v>
      </c>
      <c r="Q94" s="22"/>
      <c r="R94" s="21" t="str">
        <f>IF(Deployments!AY94="","",Deployments!AY94)</f>
        <v/>
      </c>
      <c r="S94" s="21" t="str">
        <f>IF(Deployments!AX94="","",Deployments!AX94)</f>
        <v/>
      </c>
      <c r="T94" s="21" t="str">
        <f>IF(Deployments!AV94="","",Deployments!AV94)</f>
        <v/>
      </c>
      <c r="U94" s="21" t="str">
        <f>IF(Deployments!AW94="","",Deployments!AW94)</f>
        <v/>
      </c>
      <c r="V94" s="21" t="str">
        <f>IF(Deployments!BA94="","",Deployments!BA94)</f>
        <v/>
      </c>
      <c r="W94" s="21" t="str">
        <f>IF(Deployments!BC94="","",Deployments!BC94)</f>
        <v/>
      </c>
      <c r="X94" s="21" t="str">
        <f>IF(Deployments!BK94="","",Deployments!BK94)</f>
        <v/>
      </c>
      <c r="Y94" s="21" t="str">
        <f>IF(Deployments!BB94="","",Deployments!BB94)</f>
        <v/>
      </c>
      <c r="Z94" s="21" t="str">
        <f>IF(Deployments!T94="","",Deployments!T94)</f>
        <v/>
      </c>
      <c r="AA94" s="21" t="str">
        <f>IF(Deployments!L94="","",Deployments!L94)</f>
        <v/>
      </c>
    </row>
    <row r="95" spans="1:27">
      <c r="A95" s="22"/>
      <c r="B95" s="22"/>
      <c r="C95" s="21" t="str">
        <f>IF(Deployments!H95="","",Deployments!H95)</f>
        <v>LIJ - Other</v>
      </c>
      <c r="D95" s="21" t="str">
        <f>IF(Deployments!AH95="","",Deployments!AH95)</f>
        <v/>
      </c>
      <c r="E95" s="21" t="str">
        <f>IF(Deployments!I95="","",Deployments!I95)</f>
        <v/>
      </c>
      <c r="F95" s="21" t="str">
        <f>IF(Deployments!J95="","",Deployments!J95)</f>
        <v/>
      </c>
      <c r="G95" s="21" t="str">
        <f>IF(Deployments!K95="","",Deployments!K95)</f>
        <v/>
      </c>
      <c r="H95" s="21" t="str">
        <f>IF(Deployments!A95="","",Deployments!A95)</f>
        <v>Cybernet</v>
      </c>
      <c r="I95" s="21" t="str">
        <f>IF(Deployments!AI95="","",Deployments!AI95)</f>
        <v/>
      </c>
      <c r="J95" s="21" t="str">
        <f>IF(Deployments!AJ95="","",Deployments!AJ95)</f>
        <v/>
      </c>
      <c r="K95" s="21" t="str">
        <f>IF(Deployments!AD95="","",Deployments!AD95)</f>
        <v/>
      </c>
      <c r="L95" s="21" t="str">
        <f>IF(Deployments!M95="","",Deployments!M95)</f>
        <v/>
      </c>
      <c r="M95" s="22"/>
      <c r="N95" s="21" t="str">
        <f>IF(Deployments!N95="","",Deployments!N95)</f>
        <v>Yes</v>
      </c>
      <c r="O95" s="21" t="str">
        <f>IF(Deployments!O95="","",Deployments!O95)</f>
        <v>No</v>
      </c>
      <c r="P95" s="21" t="str">
        <f>IF(Deployments!P95="","",Deployments!P95)</f>
        <v>No</v>
      </c>
      <c r="Q95" s="22"/>
      <c r="R95" s="21" t="str">
        <f>IF(Deployments!AY95="","",Deployments!AY95)</f>
        <v/>
      </c>
      <c r="S95" s="21" t="str">
        <f>IF(Deployments!AX95="","",Deployments!AX95)</f>
        <v/>
      </c>
      <c r="T95" s="21" t="str">
        <f>IF(Deployments!AV95="","",Deployments!AV95)</f>
        <v/>
      </c>
      <c r="U95" s="21" t="str">
        <f>IF(Deployments!AW95="","",Deployments!AW95)</f>
        <v/>
      </c>
      <c r="V95" s="21" t="str">
        <f>IF(Deployments!BA95="","",Deployments!BA95)</f>
        <v/>
      </c>
      <c r="W95" s="21" t="str">
        <f>IF(Deployments!BC95="","",Deployments!BC95)</f>
        <v/>
      </c>
      <c r="X95" s="21" t="str">
        <f>IF(Deployments!BK95="","",Deployments!BK95)</f>
        <v/>
      </c>
      <c r="Y95" s="21" t="str">
        <f>IF(Deployments!BB95="","",Deployments!BB95)</f>
        <v/>
      </c>
      <c r="Z95" s="21" t="str">
        <f>IF(Deployments!T95="","",Deployments!T95)</f>
        <v/>
      </c>
      <c r="AA95" s="21" t="str">
        <f>IF(Deployments!L95="","",Deployments!L95)</f>
        <v/>
      </c>
    </row>
    <row r="96" spans="1:27">
      <c r="A96" s="22"/>
      <c r="B96" s="22"/>
      <c r="C96" s="21" t="str">
        <f>IF(Deployments!H96="","",Deployments!H96)</f>
        <v>LIJ - Other</v>
      </c>
      <c r="D96" s="21" t="str">
        <f>IF(Deployments!AH96="","",Deployments!AH96)</f>
        <v/>
      </c>
      <c r="E96" s="21" t="str">
        <f>IF(Deployments!I96="","",Deployments!I96)</f>
        <v/>
      </c>
      <c r="F96" s="21" t="str">
        <f>IF(Deployments!J96="","",Deployments!J96)</f>
        <v/>
      </c>
      <c r="G96" s="21" t="str">
        <f>IF(Deployments!K96="","",Deployments!K96)</f>
        <v/>
      </c>
      <c r="H96" s="21" t="str">
        <f>IF(Deployments!A96="","",Deployments!A96)</f>
        <v>Cybernet</v>
      </c>
      <c r="I96" s="21" t="str">
        <f>IF(Deployments!AI96="","",Deployments!AI96)</f>
        <v/>
      </c>
      <c r="J96" s="21" t="str">
        <f>IF(Deployments!AJ96="","",Deployments!AJ96)</f>
        <v/>
      </c>
      <c r="K96" s="21" t="str">
        <f>IF(Deployments!AD96="","",Deployments!AD96)</f>
        <v/>
      </c>
      <c r="L96" s="21" t="str">
        <f>IF(Deployments!M96="","",Deployments!M96)</f>
        <v/>
      </c>
      <c r="M96" s="22"/>
      <c r="N96" s="21" t="str">
        <f>IF(Deployments!N96="","",Deployments!N96)</f>
        <v>Yes</v>
      </c>
      <c r="O96" s="21" t="str">
        <f>IF(Deployments!O96="","",Deployments!O96)</f>
        <v>No</v>
      </c>
      <c r="P96" s="21" t="str">
        <f>IF(Deployments!P96="","",Deployments!P96)</f>
        <v>No</v>
      </c>
      <c r="Q96" s="22"/>
      <c r="R96" s="21" t="str">
        <f>IF(Deployments!AY96="","",Deployments!AY96)</f>
        <v/>
      </c>
      <c r="S96" s="21" t="str">
        <f>IF(Deployments!AX96="","",Deployments!AX96)</f>
        <v/>
      </c>
      <c r="T96" s="21" t="str">
        <f>IF(Deployments!AV96="","",Deployments!AV96)</f>
        <v/>
      </c>
      <c r="U96" s="21" t="str">
        <f>IF(Deployments!AW96="","",Deployments!AW96)</f>
        <v/>
      </c>
      <c r="V96" s="21" t="str">
        <f>IF(Deployments!BA96="","",Deployments!BA96)</f>
        <v/>
      </c>
      <c r="W96" s="21" t="str">
        <f>IF(Deployments!BC96="","",Deployments!BC96)</f>
        <v/>
      </c>
      <c r="X96" s="21" t="str">
        <f>IF(Deployments!BK96="","",Deployments!BK96)</f>
        <v/>
      </c>
      <c r="Y96" s="21" t="str">
        <f>IF(Deployments!BB96="","",Deployments!BB96)</f>
        <v/>
      </c>
      <c r="Z96" s="21" t="str">
        <f>IF(Deployments!T96="","",Deployments!T96)</f>
        <v/>
      </c>
      <c r="AA96" s="21" t="str">
        <f>IF(Deployments!L96="","",Deployments!L96)</f>
        <v/>
      </c>
    </row>
    <row r="97" spans="1:27">
      <c r="A97" s="22"/>
      <c r="B97" s="22"/>
      <c r="C97" s="21" t="str">
        <f>IF(Deployments!H97="","",Deployments!H97)</f>
        <v>LIJ - Other</v>
      </c>
      <c r="D97" s="21" t="str">
        <f>IF(Deployments!AH97="","",Deployments!AH97)</f>
        <v/>
      </c>
      <c r="E97" s="21" t="str">
        <f>IF(Deployments!I97="","",Deployments!I97)</f>
        <v/>
      </c>
      <c r="F97" s="21" t="str">
        <f>IF(Deployments!J97="","",Deployments!J97)</f>
        <v/>
      </c>
      <c r="G97" s="21" t="str">
        <f>IF(Deployments!K97="","",Deployments!K97)</f>
        <v/>
      </c>
      <c r="H97" s="21" t="str">
        <f>IF(Deployments!A97="","",Deployments!A97)</f>
        <v>Cybernet</v>
      </c>
      <c r="I97" s="21" t="str">
        <f>IF(Deployments!AI97="","",Deployments!AI97)</f>
        <v/>
      </c>
      <c r="J97" s="21" t="str">
        <f>IF(Deployments!AJ97="","",Deployments!AJ97)</f>
        <v/>
      </c>
      <c r="K97" s="21" t="str">
        <f>IF(Deployments!AD97="","",Deployments!AD97)</f>
        <v/>
      </c>
      <c r="L97" s="21" t="str">
        <f>IF(Deployments!M97="","",Deployments!M97)</f>
        <v/>
      </c>
      <c r="M97" s="22"/>
      <c r="N97" s="21" t="str">
        <f>IF(Deployments!N97="","",Deployments!N97)</f>
        <v>Yes</v>
      </c>
      <c r="O97" s="21" t="str">
        <f>IF(Deployments!O97="","",Deployments!O97)</f>
        <v>No</v>
      </c>
      <c r="P97" s="21" t="str">
        <f>IF(Deployments!P97="","",Deployments!P97)</f>
        <v>No</v>
      </c>
      <c r="Q97" s="22"/>
      <c r="R97" s="21" t="str">
        <f>IF(Deployments!AY97="","",Deployments!AY97)</f>
        <v/>
      </c>
      <c r="S97" s="21" t="str">
        <f>IF(Deployments!AX97="","",Deployments!AX97)</f>
        <v/>
      </c>
      <c r="T97" s="21" t="str">
        <f>IF(Deployments!AV97="","",Deployments!AV97)</f>
        <v/>
      </c>
      <c r="U97" s="21" t="str">
        <f>IF(Deployments!AW97="","",Deployments!AW97)</f>
        <v/>
      </c>
      <c r="V97" s="21" t="str">
        <f>IF(Deployments!BA97="","",Deployments!BA97)</f>
        <v/>
      </c>
      <c r="W97" s="21" t="str">
        <f>IF(Deployments!BC97="","",Deployments!BC97)</f>
        <v/>
      </c>
      <c r="X97" s="21" t="str">
        <f>IF(Deployments!BK97="","",Deployments!BK97)</f>
        <v/>
      </c>
      <c r="Y97" s="21" t="str">
        <f>IF(Deployments!BB97="","",Deployments!BB97)</f>
        <v/>
      </c>
      <c r="Z97" s="21" t="str">
        <f>IF(Deployments!T97="","",Deployments!T97)</f>
        <v/>
      </c>
      <c r="AA97" s="21" t="str">
        <f>IF(Deployments!L97="","",Deployments!L97)</f>
        <v/>
      </c>
    </row>
    <row r="98" spans="1:27">
      <c r="A98" s="22"/>
      <c r="B98" s="22"/>
      <c r="C98" s="21" t="str">
        <f>IF(Deployments!H98="","",Deployments!H98)</f>
        <v>LIJ - Other</v>
      </c>
      <c r="D98" s="21" t="str">
        <f>IF(Deployments!AH98="","",Deployments!AH98)</f>
        <v/>
      </c>
      <c r="E98" s="21" t="str">
        <f>IF(Deployments!I98="","",Deployments!I98)</f>
        <v/>
      </c>
      <c r="F98" s="21" t="str">
        <f>IF(Deployments!J98="","",Deployments!J98)</f>
        <v/>
      </c>
      <c r="G98" s="21" t="str">
        <f>IF(Deployments!K98="","",Deployments!K98)</f>
        <v/>
      </c>
      <c r="H98" s="21" t="str">
        <f>IF(Deployments!A98="","",Deployments!A98)</f>
        <v>Cybernet</v>
      </c>
      <c r="I98" s="21" t="str">
        <f>IF(Deployments!AI98="","",Deployments!AI98)</f>
        <v/>
      </c>
      <c r="J98" s="21" t="str">
        <f>IF(Deployments!AJ98="","",Deployments!AJ98)</f>
        <v/>
      </c>
      <c r="K98" s="21" t="str">
        <f>IF(Deployments!AD98="","",Deployments!AD98)</f>
        <v/>
      </c>
      <c r="L98" s="21" t="str">
        <f>IF(Deployments!M98="","",Deployments!M98)</f>
        <v/>
      </c>
      <c r="M98" s="22"/>
      <c r="N98" s="21" t="str">
        <f>IF(Deployments!N98="","",Deployments!N98)</f>
        <v>Yes</v>
      </c>
      <c r="O98" s="21" t="str">
        <f>IF(Deployments!O98="","",Deployments!O98)</f>
        <v>No</v>
      </c>
      <c r="P98" s="21" t="str">
        <f>IF(Deployments!P98="","",Deployments!P98)</f>
        <v>No</v>
      </c>
      <c r="Q98" s="22"/>
      <c r="R98" s="21" t="str">
        <f>IF(Deployments!AY98="","",Deployments!AY98)</f>
        <v/>
      </c>
      <c r="S98" s="21" t="str">
        <f>IF(Deployments!AX98="","",Deployments!AX98)</f>
        <v/>
      </c>
      <c r="T98" s="21" t="str">
        <f>IF(Deployments!AV98="","",Deployments!AV98)</f>
        <v/>
      </c>
      <c r="U98" s="21" t="str">
        <f>IF(Deployments!AW98="","",Deployments!AW98)</f>
        <v/>
      </c>
      <c r="V98" s="21" t="str">
        <f>IF(Deployments!BA98="","",Deployments!BA98)</f>
        <v/>
      </c>
      <c r="W98" s="21" t="str">
        <f>IF(Deployments!BC98="","",Deployments!BC98)</f>
        <v/>
      </c>
      <c r="X98" s="21" t="str">
        <f>IF(Deployments!BK98="","",Deployments!BK98)</f>
        <v/>
      </c>
      <c r="Y98" s="21" t="str">
        <f>IF(Deployments!BB98="","",Deployments!BB98)</f>
        <v/>
      </c>
      <c r="Z98" s="21" t="str">
        <f>IF(Deployments!T98="","",Deployments!T98)</f>
        <v/>
      </c>
      <c r="AA98" s="21" t="str">
        <f>IF(Deployments!L98="","",Deployments!L98)</f>
        <v/>
      </c>
    </row>
    <row r="99" spans="1:27">
      <c r="A99" s="22"/>
      <c r="B99" s="22"/>
      <c r="C99" s="21" t="str">
        <f>IF(Deployments!H99="","",Deployments!H99)</f>
        <v>LIJ - Other</v>
      </c>
      <c r="D99" s="21" t="str">
        <f>IF(Deployments!AH99="","",Deployments!AH99)</f>
        <v/>
      </c>
      <c r="E99" s="21" t="str">
        <f>IF(Deployments!I99="","",Deployments!I99)</f>
        <v/>
      </c>
      <c r="F99" s="21" t="str">
        <f>IF(Deployments!J99="","",Deployments!J99)</f>
        <v/>
      </c>
      <c r="G99" s="21" t="str">
        <f>IF(Deployments!K99="","",Deployments!K99)</f>
        <v/>
      </c>
      <c r="H99" s="21" t="str">
        <f>IF(Deployments!A99="","",Deployments!A99)</f>
        <v>Cybernet</v>
      </c>
      <c r="I99" s="21" t="str">
        <f>IF(Deployments!AI99="","",Deployments!AI99)</f>
        <v/>
      </c>
      <c r="J99" s="21" t="str">
        <f>IF(Deployments!AJ99="","",Deployments!AJ99)</f>
        <v/>
      </c>
      <c r="K99" s="21" t="str">
        <f>IF(Deployments!AD99="","",Deployments!AD99)</f>
        <v/>
      </c>
      <c r="L99" s="21" t="str">
        <f>IF(Deployments!M99="","",Deployments!M99)</f>
        <v/>
      </c>
      <c r="M99" s="22"/>
      <c r="N99" s="21" t="str">
        <f>IF(Deployments!N99="","",Deployments!N99)</f>
        <v>Yes</v>
      </c>
      <c r="O99" s="21" t="str">
        <f>IF(Deployments!O99="","",Deployments!O99)</f>
        <v>No</v>
      </c>
      <c r="P99" s="21" t="str">
        <f>IF(Deployments!P99="","",Deployments!P99)</f>
        <v>No</v>
      </c>
      <c r="Q99" s="22"/>
      <c r="R99" s="21" t="str">
        <f>IF(Deployments!AY99="","",Deployments!AY99)</f>
        <v/>
      </c>
      <c r="S99" s="21" t="str">
        <f>IF(Deployments!AX99="","",Deployments!AX99)</f>
        <v/>
      </c>
      <c r="T99" s="21" t="str">
        <f>IF(Deployments!AV99="","",Deployments!AV99)</f>
        <v/>
      </c>
      <c r="U99" s="21" t="str">
        <f>IF(Deployments!AW99="","",Deployments!AW99)</f>
        <v/>
      </c>
      <c r="V99" s="21" t="str">
        <f>IF(Deployments!BA99="","",Deployments!BA99)</f>
        <v/>
      </c>
      <c r="W99" s="21" t="str">
        <f>IF(Deployments!BC99="","",Deployments!BC99)</f>
        <v/>
      </c>
      <c r="X99" s="21" t="str">
        <f>IF(Deployments!BK99="","",Deployments!BK99)</f>
        <v/>
      </c>
      <c r="Y99" s="21" t="str">
        <f>IF(Deployments!BB99="","",Deployments!BB99)</f>
        <v/>
      </c>
      <c r="Z99" s="21" t="str">
        <f>IF(Deployments!T99="","",Deployments!T99)</f>
        <v/>
      </c>
      <c r="AA99" s="21" t="str">
        <f>IF(Deployments!L99="","",Deployments!L99)</f>
        <v/>
      </c>
    </row>
    <row r="100" spans="1:27">
      <c r="A100" s="22"/>
      <c r="B100" s="22"/>
      <c r="C100" s="21" t="str">
        <f>IF(Deployments!H100="","",Deployments!H100)</f>
        <v>LIJ - Other</v>
      </c>
      <c r="D100" s="21" t="str">
        <f>IF(Deployments!AH100="","",Deployments!AH100)</f>
        <v/>
      </c>
      <c r="E100" s="21" t="str">
        <f>IF(Deployments!I100="","",Deployments!I100)</f>
        <v/>
      </c>
      <c r="F100" s="21" t="str">
        <f>IF(Deployments!J100="","",Deployments!J100)</f>
        <v/>
      </c>
      <c r="G100" s="21" t="str">
        <f>IF(Deployments!K100="","",Deployments!K100)</f>
        <v/>
      </c>
      <c r="H100" s="21" t="str">
        <f>IF(Deployments!A100="","",Deployments!A100)</f>
        <v>Cybernet</v>
      </c>
      <c r="I100" s="21" t="str">
        <f>IF(Deployments!AI100="","",Deployments!AI100)</f>
        <v/>
      </c>
      <c r="J100" s="21" t="str">
        <f>IF(Deployments!AJ100="","",Deployments!AJ100)</f>
        <v/>
      </c>
      <c r="K100" s="21" t="str">
        <f>IF(Deployments!AD100="","",Deployments!AD100)</f>
        <v/>
      </c>
      <c r="L100" s="21" t="str">
        <f>IF(Deployments!M100="","",Deployments!M100)</f>
        <v/>
      </c>
      <c r="M100" s="22"/>
      <c r="N100" s="21" t="str">
        <f>IF(Deployments!N100="","",Deployments!N100)</f>
        <v>Yes</v>
      </c>
      <c r="O100" s="21" t="str">
        <f>IF(Deployments!O100="","",Deployments!O100)</f>
        <v>No</v>
      </c>
      <c r="P100" s="21" t="str">
        <f>IF(Deployments!P100="","",Deployments!P100)</f>
        <v>No</v>
      </c>
      <c r="Q100" s="22"/>
      <c r="R100" s="21" t="str">
        <f>IF(Deployments!AY100="","",Deployments!AY100)</f>
        <v/>
      </c>
      <c r="S100" s="21" t="str">
        <f>IF(Deployments!AX100="","",Deployments!AX100)</f>
        <v/>
      </c>
      <c r="T100" s="21" t="str">
        <f>IF(Deployments!AV100="","",Deployments!AV100)</f>
        <v/>
      </c>
      <c r="U100" s="21" t="str">
        <f>IF(Deployments!AW100="","",Deployments!AW100)</f>
        <v/>
      </c>
      <c r="V100" s="21" t="str">
        <f>IF(Deployments!BA100="","",Deployments!BA100)</f>
        <v/>
      </c>
      <c r="W100" s="21" t="str">
        <f>IF(Deployments!BC100="","",Deployments!BC100)</f>
        <v/>
      </c>
      <c r="X100" s="21" t="str">
        <f>IF(Deployments!BK100="","",Deployments!BK100)</f>
        <v/>
      </c>
      <c r="Y100" s="21" t="str">
        <f>IF(Deployments!BB100="","",Deployments!BB100)</f>
        <v/>
      </c>
      <c r="Z100" s="21" t="str">
        <f>IF(Deployments!T100="","",Deployments!T100)</f>
        <v/>
      </c>
      <c r="AA100" s="21" t="str">
        <f>IF(Deployments!L100="","",Deployments!L100)</f>
        <v/>
      </c>
    </row>
    <row r="101" spans="1:27">
      <c r="A101" s="22"/>
      <c r="B101" s="22"/>
      <c r="C101" s="21" t="str">
        <f>IF(Deployments!H101="","",Deployments!H101)</f>
        <v>LIJ - Other</v>
      </c>
      <c r="D101" s="21" t="str">
        <f>IF(Deployments!AH101="","",Deployments!AH101)</f>
        <v/>
      </c>
      <c r="E101" s="21" t="str">
        <f>IF(Deployments!I101="","",Deployments!I101)</f>
        <v/>
      </c>
      <c r="F101" s="21" t="str">
        <f>IF(Deployments!J101="","",Deployments!J101)</f>
        <v/>
      </c>
      <c r="G101" s="21" t="str">
        <f>IF(Deployments!K101="","",Deployments!K101)</f>
        <v/>
      </c>
      <c r="H101" s="21" t="str">
        <f>IF(Deployments!A101="","",Deployments!A101)</f>
        <v>Cybernet</v>
      </c>
      <c r="I101" s="21" t="str">
        <f>IF(Deployments!AI101="","",Deployments!AI101)</f>
        <v/>
      </c>
      <c r="J101" s="21" t="str">
        <f>IF(Deployments!AJ101="","",Deployments!AJ101)</f>
        <v/>
      </c>
      <c r="K101" s="21" t="str">
        <f>IF(Deployments!AD101="","",Deployments!AD101)</f>
        <v/>
      </c>
      <c r="L101" s="21" t="str">
        <f>IF(Deployments!M101="","",Deployments!M101)</f>
        <v/>
      </c>
      <c r="M101" s="22"/>
      <c r="N101" s="21" t="str">
        <f>IF(Deployments!N101="","",Deployments!N101)</f>
        <v>Yes</v>
      </c>
      <c r="O101" s="21" t="str">
        <f>IF(Deployments!O101="","",Deployments!O101)</f>
        <v>No</v>
      </c>
      <c r="P101" s="21" t="str">
        <f>IF(Deployments!P101="","",Deployments!P101)</f>
        <v>No</v>
      </c>
      <c r="Q101" s="22"/>
      <c r="R101" s="21" t="str">
        <f>IF(Deployments!AY101="","",Deployments!AY101)</f>
        <v/>
      </c>
      <c r="S101" s="21" t="str">
        <f>IF(Deployments!AX101="","",Deployments!AX101)</f>
        <v/>
      </c>
      <c r="T101" s="21" t="str">
        <f>IF(Deployments!AV101="","",Deployments!AV101)</f>
        <v/>
      </c>
      <c r="U101" s="21" t="str">
        <f>IF(Deployments!AW101="","",Deployments!AW101)</f>
        <v/>
      </c>
      <c r="V101" s="21" t="str">
        <f>IF(Deployments!BA101="","",Deployments!BA101)</f>
        <v/>
      </c>
      <c r="W101" s="21" t="str">
        <f>IF(Deployments!BC101="","",Deployments!BC101)</f>
        <v/>
      </c>
      <c r="X101" s="21" t="str">
        <f>IF(Deployments!BK101="","",Deployments!BK101)</f>
        <v/>
      </c>
      <c r="Y101" s="21" t="str">
        <f>IF(Deployments!BB101="","",Deployments!BB101)</f>
        <v/>
      </c>
      <c r="Z101" s="21" t="str">
        <f>IF(Deployments!T101="","",Deployments!T101)</f>
        <v/>
      </c>
      <c r="AA101" s="21" t="str">
        <f>IF(Deployments!L101="","",Deployments!L101)</f>
        <v/>
      </c>
    </row>
    <row r="102" spans="1:27">
      <c r="A102" s="22"/>
      <c r="B102" s="22"/>
      <c r="C102" s="21" t="str">
        <f>IF(Deployments!H102="","",Deployments!H102)</f>
        <v>LIJ - Other</v>
      </c>
      <c r="D102" s="21" t="str">
        <f>IF(Deployments!AH102="","",Deployments!AH102)</f>
        <v/>
      </c>
      <c r="E102" s="21" t="str">
        <f>IF(Deployments!I102="","",Deployments!I102)</f>
        <v/>
      </c>
      <c r="F102" s="21" t="str">
        <f>IF(Deployments!J102="","",Deployments!J102)</f>
        <v/>
      </c>
      <c r="G102" s="21" t="str">
        <f>IF(Deployments!K102="","",Deployments!K102)</f>
        <v/>
      </c>
      <c r="H102" s="21" t="str">
        <f>IF(Deployments!A102="","",Deployments!A102)</f>
        <v>Cybernet</v>
      </c>
      <c r="I102" s="21" t="str">
        <f>IF(Deployments!AI102="","",Deployments!AI102)</f>
        <v/>
      </c>
      <c r="J102" s="21" t="str">
        <f>IF(Deployments!AJ102="","",Deployments!AJ102)</f>
        <v/>
      </c>
      <c r="K102" s="21" t="str">
        <f>IF(Deployments!AD102="","",Deployments!AD102)</f>
        <v/>
      </c>
      <c r="L102" s="21" t="str">
        <f>IF(Deployments!M102="","",Deployments!M102)</f>
        <v/>
      </c>
      <c r="M102" s="22"/>
      <c r="N102" s="21" t="str">
        <f>IF(Deployments!N102="","",Deployments!N102)</f>
        <v>Yes</v>
      </c>
      <c r="O102" s="21" t="str">
        <f>IF(Deployments!O102="","",Deployments!O102)</f>
        <v>No</v>
      </c>
      <c r="P102" s="21" t="str">
        <f>IF(Deployments!P102="","",Deployments!P102)</f>
        <v>No</v>
      </c>
      <c r="Q102" s="22"/>
      <c r="R102" s="21" t="str">
        <f>IF(Deployments!AY102="","",Deployments!AY102)</f>
        <v/>
      </c>
      <c r="S102" s="21" t="str">
        <f>IF(Deployments!AX102="","",Deployments!AX102)</f>
        <v/>
      </c>
      <c r="T102" s="21" t="str">
        <f>IF(Deployments!AV102="","",Deployments!AV102)</f>
        <v/>
      </c>
      <c r="U102" s="21" t="str">
        <f>IF(Deployments!AW102="","",Deployments!AW102)</f>
        <v/>
      </c>
      <c r="V102" s="21" t="str">
        <f>IF(Deployments!BA102="","",Deployments!BA102)</f>
        <v/>
      </c>
      <c r="W102" s="21" t="str">
        <f>IF(Deployments!BC102="","",Deployments!BC102)</f>
        <v/>
      </c>
      <c r="X102" s="21" t="str">
        <f>IF(Deployments!BK102="","",Deployments!BK102)</f>
        <v/>
      </c>
      <c r="Y102" s="21" t="str">
        <f>IF(Deployments!BB102="","",Deployments!BB102)</f>
        <v/>
      </c>
      <c r="Z102" s="21" t="str">
        <f>IF(Deployments!T102="","",Deployments!T102)</f>
        <v/>
      </c>
      <c r="AA102" s="21" t="str">
        <f>IF(Deployments!L102="","",Deployments!L102)</f>
        <v/>
      </c>
    </row>
    <row r="103" spans="1:27">
      <c r="A103" s="22"/>
      <c r="B103" s="22"/>
      <c r="C103" s="21" t="str">
        <f>IF(Deployments!H103="","",Deployments!H103)</f>
        <v>LIJ - Other</v>
      </c>
      <c r="D103" s="21" t="str">
        <f>IF(Deployments!AH103="","",Deployments!AH103)</f>
        <v/>
      </c>
      <c r="E103" s="21" t="str">
        <f>IF(Deployments!I103="","",Deployments!I103)</f>
        <v/>
      </c>
      <c r="F103" s="21" t="str">
        <f>IF(Deployments!J103="","",Deployments!J103)</f>
        <v/>
      </c>
      <c r="G103" s="21" t="str">
        <f>IF(Deployments!K103="","",Deployments!K103)</f>
        <v/>
      </c>
      <c r="H103" s="21" t="str">
        <f>IF(Deployments!A103="","",Deployments!A103)</f>
        <v>Cybernet</v>
      </c>
      <c r="I103" s="21" t="str">
        <f>IF(Deployments!AI103="","",Deployments!AI103)</f>
        <v/>
      </c>
      <c r="J103" s="21" t="str">
        <f>IF(Deployments!AJ103="","",Deployments!AJ103)</f>
        <v/>
      </c>
      <c r="K103" s="21" t="str">
        <f>IF(Deployments!AD103="","",Deployments!AD103)</f>
        <v/>
      </c>
      <c r="L103" s="21" t="str">
        <f>IF(Deployments!M103="","",Deployments!M103)</f>
        <v/>
      </c>
      <c r="M103" s="22"/>
      <c r="N103" s="21" t="str">
        <f>IF(Deployments!N103="","",Deployments!N103)</f>
        <v>Yes</v>
      </c>
      <c r="O103" s="21" t="str">
        <f>IF(Deployments!O103="","",Deployments!O103)</f>
        <v>No</v>
      </c>
      <c r="P103" s="21" t="str">
        <f>IF(Deployments!P103="","",Deployments!P103)</f>
        <v>No</v>
      </c>
      <c r="Q103" s="22"/>
      <c r="R103" s="21" t="str">
        <f>IF(Deployments!AY103="","",Deployments!AY103)</f>
        <v/>
      </c>
      <c r="S103" s="21" t="str">
        <f>IF(Deployments!AX103="","",Deployments!AX103)</f>
        <v/>
      </c>
      <c r="T103" s="21" t="str">
        <f>IF(Deployments!AV103="","",Deployments!AV103)</f>
        <v/>
      </c>
      <c r="U103" s="21" t="str">
        <f>IF(Deployments!AW103="","",Deployments!AW103)</f>
        <v/>
      </c>
      <c r="V103" s="21" t="str">
        <f>IF(Deployments!BA103="","",Deployments!BA103)</f>
        <v/>
      </c>
      <c r="W103" s="21" t="str">
        <f>IF(Deployments!BC103="","",Deployments!BC103)</f>
        <v/>
      </c>
      <c r="X103" s="21" t="str">
        <f>IF(Deployments!BK103="","",Deployments!BK103)</f>
        <v/>
      </c>
      <c r="Y103" s="21" t="str">
        <f>IF(Deployments!BB103="","",Deployments!BB103)</f>
        <v/>
      </c>
      <c r="Z103" s="21" t="str">
        <f>IF(Deployments!T103="","",Deployments!T103)</f>
        <v/>
      </c>
      <c r="AA103" s="21" t="str">
        <f>IF(Deployments!L103="","",Deployments!L103)</f>
        <v/>
      </c>
    </row>
    <row r="104" spans="1:27">
      <c r="A104" s="22"/>
      <c r="B104" s="22"/>
      <c r="C104" s="21" t="str">
        <f>IF(Deployments!H104="","",Deployments!H104)</f>
        <v>LIJ - Other</v>
      </c>
      <c r="D104" s="21" t="str">
        <f>IF(Deployments!AH104="","",Deployments!AH104)</f>
        <v/>
      </c>
      <c r="E104" s="21" t="str">
        <f>IF(Deployments!I104="","",Deployments!I104)</f>
        <v/>
      </c>
      <c r="F104" s="21" t="str">
        <f>IF(Deployments!J104="","",Deployments!J104)</f>
        <v/>
      </c>
      <c r="G104" s="21" t="str">
        <f>IF(Deployments!K104="","",Deployments!K104)</f>
        <v/>
      </c>
      <c r="H104" s="21" t="str">
        <f>IF(Deployments!A104="","",Deployments!A104)</f>
        <v>Cybernet</v>
      </c>
      <c r="I104" s="21" t="str">
        <f>IF(Deployments!AI104="","",Deployments!AI104)</f>
        <v/>
      </c>
      <c r="J104" s="21" t="str">
        <f>IF(Deployments!AJ104="","",Deployments!AJ104)</f>
        <v/>
      </c>
      <c r="K104" s="21" t="str">
        <f>IF(Deployments!AD104="","",Deployments!AD104)</f>
        <v/>
      </c>
      <c r="L104" s="21" t="str">
        <f>IF(Deployments!M104="","",Deployments!M104)</f>
        <v/>
      </c>
      <c r="M104" s="22"/>
      <c r="N104" s="21" t="str">
        <f>IF(Deployments!N104="","",Deployments!N104)</f>
        <v>Yes</v>
      </c>
      <c r="O104" s="21" t="str">
        <f>IF(Deployments!O104="","",Deployments!O104)</f>
        <v>No</v>
      </c>
      <c r="P104" s="21" t="str">
        <f>IF(Deployments!P104="","",Deployments!P104)</f>
        <v>No</v>
      </c>
      <c r="Q104" s="22"/>
      <c r="R104" s="21" t="str">
        <f>IF(Deployments!AY104="","",Deployments!AY104)</f>
        <v/>
      </c>
      <c r="S104" s="21" t="str">
        <f>IF(Deployments!AX104="","",Deployments!AX104)</f>
        <v/>
      </c>
      <c r="T104" s="21" t="str">
        <f>IF(Deployments!AV104="","",Deployments!AV104)</f>
        <v/>
      </c>
      <c r="U104" s="21" t="str">
        <f>IF(Deployments!AW104="","",Deployments!AW104)</f>
        <v/>
      </c>
      <c r="V104" s="21" t="str">
        <f>IF(Deployments!BA104="","",Deployments!BA104)</f>
        <v/>
      </c>
      <c r="W104" s="21" t="str">
        <f>IF(Deployments!BC104="","",Deployments!BC104)</f>
        <v/>
      </c>
      <c r="X104" s="21" t="str">
        <f>IF(Deployments!BK104="","",Deployments!BK104)</f>
        <v/>
      </c>
      <c r="Y104" s="21" t="str">
        <f>IF(Deployments!BB104="","",Deployments!BB104)</f>
        <v/>
      </c>
      <c r="Z104" s="21" t="str">
        <f>IF(Deployments!T104="","",Deployments!T104)</f>
        <v/>
      </c>
      <c r="AA104" s="21" t="str">
        <f>IF(Deployments!L104="","",Deployments!L104)</f>
        <v/>
      </c>
    </row>
    <row r="105" spans="1:27">
      <c r="A105" s="22"/>
      <c r="B105" s="22"/>
      <c r="C105" s="21" t="str">
        <f>IF(Deployments!H105="","",Deployments!H105)</f>
        <v>LIJ - Other</v>
      </c>
      <c r="D105" s="21" t="str">
        <f>IF(Deployments!AH105="","",Deployments!AH105)</f>
        <v/>
      </c>
      <c r="E105" s="21" t="str">
        <f>IF(Deployments!I105="","",Deployments!I105)</f>
        <v/>
      </c>
      <c r="F105" s="21" t="str">
        <f>IF(Deployments!J105="","",Deployments!J105)</f>
        <v/>
      </c>
      <c r="G105" s="21" t="str">
        <f>IF(Deployments!K105="","",Deployments!K105)</f>
        <v/>
      </c>
      <c r="H105" s="21" t="str">
        <f>IF(Deployments!A105="","",Deployments!A105)</f>
        <v>Cybernet</v>
      </c>
      <c r="I105" s="21" t="str">
        <f>IF(Deployments!AI105="","",Deployments!AI105)</f>
        <v/>
      </c>
      <c r="J105" s="21" t="str">
        <f>IF(Deployments!AJ105="","",Deployments!AJ105)</f>
        <v/>
      </c>
      <c r="K105" s="21" t="str">
        <f>IF(Deployments!AD105="","",Deployments!AD105)</f>
        <v/>
      </c>
      <c r="L105" s="21" t="str">
        <f>IF(Deployments!M105="","",Deployments!M105)</f>
        <v/>
      </c>
      <c r="M105" s="22"/>
      <c r="N105" s="21" t="str">
        <f>IF(Deployments!N105="","",Deployments!N105)</f>
        <v>Yes</v>
      </c>
      <c r="O105" s="21" t="str">
        <f>IF(Deployments!O105="","",Deployments!O105)</f>
        <v>No</v>
      </c>
      <c r="P105" s="21" t="str">
        <f>IF(Deployments!P105="","",Deployments!P105)</f>
        <v>No</v>
      </c>
      <c r="Q105" s="22"/>
      <c r="R105" s="21" t="str">
        <f>IF(Deployments!AY105="","",Deployments!AY105)</f>
        <v/>
      </c>
      <c r="S105" s="21" t="str">
        <f>IF(Deployments!AX105="","",Deployments!AX105)</f>
        <v/>
      </c>
      <c r="T105" s="21" t="str">
        <f>IF(Deployments!AV105="","",Deployments!AV105)</f>
        <v/>
      </c>
      <c r="U105" s="21" t="str">
        <f>IF(Deployments!AW105="","",Deployments!AW105)</f>
        <v/>
      </c>
      <c r="V105" s="21" t="str">
        <f>IF(Deployments!BA105="","",Deployments!BA105)</f>
        <v/>
      </c>
      <c r="W105" s="21" t="str">
        <f>IF(Deployments!BC105="","",Deployments!BC105)</f>
        <v/>
      </c>
      <c r="X105" s="21" t="str">
        <f>IF(Deployments!BK105="","",Deployments!BK105)</f>
        <v/>
      </c>
      <c r="Y105" s="21" t="str">
        <f>IF(Deployments!BB105="","",Deployments!BB105)</f>
        <v/>
      </c>
      <c r="Z105" s="21" t="str">
        <f>IF(Deployments!T105="","",Deployments!T105)</f>
        <v/>
      </c>
      <c r="AA105" s="21" t="str">
        <f>IF(Deployments!L105="","",Deployments!L105)</f>
        <v/>
      </c>
    </row>
    <row r="106" spans="1:27">
      <c r="A106" s="22"/>
      <c r="B106" s="22"/>
      <c r="C106" s="21" t="str">
        <f>IF(Deployments!H106="","",Deployments!H106)</f>
        <v>LIJ - Other</v>
      </c>
      <c r="D106" s="21" t="str">
        <f>IF(Deployments!AH106="","",Deployments!AH106)</f>
        <v/>
      </c>
      <c r="E106" s="21" t="str">
        <f>IF(Deployments!I106="","",Deployments!I106)</f>
        <v/>
      </c>
      <c r="F106" s="21" t="str">
        <f>IF(Deployments!J106="","",Deployments!J106)</f>
        <v/>
      </c>
      <c r="G106" s="21" t="str">
        <f>IF(Deployments!K106="","",Deployments!K106)</f>
        <v/>
      </c>
      <c r="H106" s="21" t="str">
        <f>IF(Deployments!A106="","",Deployments!A106)</f>
        <v>Cybernet</v>
      </c>
      <c r="I106" s="21" t="str">
        <f>IF(Deployments!AI106="","",Deployments!AI106)</f>
        <v/>
      </c>
      <c r="J106" s="21" t="str">
        <f>IF(Deployments!AJ106="","",Deployments!AJ106)</f>
        <v/>
      </c>
      <c r="K106" s="21" t="str">
        <f>IF(Deployments!AD106="","",Deployments!AD106)</f>
        <v/>
      </c>
      <c r="L106" s="21" t="str">
        <f>IF(Deployments!M106="","",Deployments!M106)</f>
        <v/>
      </c>
      <c r="M106" s="22"/>
      <c r="N106" s="21" t="str">
        <f>IF(Deployments!N106="","",Deployments!N106)</f>
        <v>Yes</v>
      </c>
      <c r="O106" s="21" t="str">
        <f>IF(Deployments!O106="","",Deployments!O106)</f>
        <v>No</v>
      </c>
      <c r="P106" s="21" t="str">
        <f>IF(Deployments!P106="","",Deployments!P106)</f>
        <v>No</v>
      </c>
      <c r="Q106" s="22"/>
      <c r="R106" s="21" t="str">
        <f>IF(Deployments!AY106="","",Deployments!AY106)</f>
        <v/>
      </c>
      <c r="S106" s="21" t="str">
        <f>IF(Deployments!AX106="","",Deployments!AX106)</f>
        <v/>
      </c>
      <c r="T106" s="21" t="str">
        <f>IF(Deployments!AV106="","",Deployments!AV106)</f>
        <v/>
      </c>
      <c r="U106" s="21" t="str">
        <f>IF(Deployments!AW106="","",Deployments!AW106)</f>
        <v/>
      </c>
      <c r="V106" s="21" t="str">
        <f>IF(Deployments!BA106="","",Deployments!BA106)</f>
        <v/>
      </c>
      <c r="W106" s="21" t="str">
        <f>IF(Deployments!BC106="","",Deployments!BC106)</f>
        <v/>
      </c>
      <c r="X106" s="21" t="str">
        <f>IF(Deployments!BK106="","",Deployments!BK106)</f>
        <v/>
      </c>
      <c r="Y106" s="21" t="str">
        <f>IF(Deployments!BB106="","",Deployments!BB106)</f>
        <v/>
      </c>
      <c r="Z106" s="21" t="str">
        <f>IF(Deployments!T106="","",Deployments!T106)</f>
        <v/>
      </c>
      <c r="AA106" s="21" t="str">
        <f>IF(Deployments!L106="","",Deployments!L106)</f>
        <v/>
      </c>
    </row>
    <row r="107" spans="1:27">
      <c r="A107" s="22"/>
      <c r="B107" s="22"/>
      <c r="C107" s="21" t="str">
        <f>IF(Deployments!H107="","",Deployments!H107)</f>
        <v>LIJ - Other</v>
      </c>
      <c r="D107" s="21" t="str">
        <f>IF(Deployments!AH107="","",Deployments!AH107)</f>
        <v/>
      </c>
      <c r="E107" s="21" t="str">
        <f>IF(Deployments!I107="","",Deployments!I107)</f>
        <v/>
      </c>
      <c r="F107" s="21" t="str">
        <f>IF(Deployments!J107="","",Deployments!J107)</f>
        <v/>
      </c>
      <c r="G107" s="21" t="str">
        <f>IF(Deployments!K107="","",Deployments!K107)</f>
        <v/>
      </c>
      <c r="H107" s="21" t="str">
        <f>IF(Deployments!A107="","",Deployments!A107)</f>
        <v>Cybernet</v>
      </c>
      <c r="I107" s="21" t="str">
        <f>IF(Deployments!AI107="","",Deployments!AI107)</f>
        <v/>
      </c>
      <c r="J107" s="21" t="str">
        <f>IF(Deployments!AJ107="","",Deployments!AJ107)</f>
        <v/>
      </c>
      <c r="K107" s="21" t="str">
        <f>IF(Deployments!AD107="","",Deployments!AD107)</f>
        <v/>
      </c>
      <c r="L107" s="21" t="str">
        <f>IF(Deployments!M107="","",Deployments!M107)</f>
        <v/>
      </c>
      <c r="M107" s="22"/>
      <c r="N107" s="21" t="str">
        <f>IF(Deployments!N107="","",Deployments!N107)</f>
        <v>Yes</v>
      </c>
      <c r="O107" s="21" t="str">
        <f>IF(Deployments!O107="","",Deployments!O107)</f>
        <v>No</v>
      </c>
      <c r="P107" s="21" t="str">
        <f>IF(Deployments!P107="","",Deployments!P107)</f>
        <v>No</v>
      </c>
      <c r="Q107" s="22"/>
      <c r="R107" s="21" t="str">
        <f>IF(Deployments!AY107="","",Deployments!AY107)</f>
        <v/>
      </c>
      <c r="S107" s="21" t="str">
        <f>IF(Deployments!AX107="","",Deployments!AX107)</f>
        <v/>
      </c>
      <c r="T107" s="21" t="str">
        <f>IF(Deployments!AV107="","",Deployments!AV107)</f>
        <v/>
      </c>
      <c r="U107" s="21" t="str">
        <f>IF(Deployments!AW107="","",Deployments!AW107)</f>
        <v/>
      </c>
      <c r="V107" s="21" t="str">
        <f>IF(Deployments!BA107="","",Deployments!BA107)</f>
        <v/>
      </c>
      <c r="W107" s="21" t="str">
        <f>IF(Deployments!BC107="","",Deployments!BC107)</f>
        <v/>
      </c>
      <c r="X107" s="21" t="str">
        <f>IF(Deployments!BK107="","",Deployments!BK107)</f>
        <v/>
      </c>
      <c r="Y107" s="21" t="str">
        <f>IF(Deployments!BB107="","",Deployments!BB107)</f>
        <v/>
      </c>
      <c r="Z107" s="21" t="str">
        <f>IF(Deployments!T107="","",Deployments!T107)</f>
        <v/>
      </c>
      <c r="AA107" s="21" t="str">
        <f>IF(Deployments!L107="","",Deployments!L107)</f>
        <v/>
      </c>
    </row>
    <row r="108" spans="1:27">
      <c r="A108" s="22"/>
      <c r="B108" s="22"/>
      <c r="C108" s="21" t="str">
        <f>IF(Deployments!H108="","",Deployments!H108)</f>
        <v>LIJ - Other</v>
      </c>
      <c r="D108" s="21" t="str">
        <f>IF(Deployments!AH108="","",Deployments!AH108)</f>
        <v/>
      </c>
      <c r="E108" s="21" t="str">
        <f>IF(Deployments!I108="","",Deployments!I108)</f>
        <v/>
      </c>
      <c r="F108" s="21" t="str">
        <f>IF(Deployments!J108="","",Deployments!J108)</f>
        <v/>
      </c>
      <c r="G108" s="21" t="str">
        <f>IF(Deployments!K108="","",Deployments!K108)</f>
        <v/>
      </c>
      <c r="H108" s="21" t="str">
        <f>IF(Deployments!A108="","",Deployments!A108)</f>
        <v>Cybernet</v>
      </c>
      <c r="I108" s="21" t="str">
        <f>IF(Deployments!AI108="","",Deployments!AI108)</f>
        <v/>
      </c>
      <c r="J108" s="21" t="str">
        <f>IF(Deployments!AJ108="","",Deployments!AJ108)</f>
        <v/>
      </c>
      <c r="K108" s="21" t="str">
        <f>IF(Deployments!AD108="","",Deployments!AD108)</f>
        <v/>
      </c>
      <c r="L108" s="21" t="str">
        <f>IF(Deployments!M108="","",Deployments!M108)</f>
        <v/>
      </c>
      <c r="M108" s="22"/>
      <c r="N108" s="21" t="str">
        <f>IF(Deployments!N108="","",Deployments!N108)</f>
        <v>Yes</v>
      </c>
      <c r="O108" s="21" t="str">
        <f>IF(Deployments!O108="","",Deployments!O108)</f>
        <v>No</v>
      </c>
      <c r="P108" s="21" t="str">
        <f>IF(Deployments!P108="","",Deployments!P108)</f>
        <v>No</v>
      </c>
      <c r="Q108" s="22"/>
      <c r="R108" s="21" t="str">
        <f>IF(Deployments!AY108="","",Deployments!AY108)</f>
        <v/>
      </c>
      <c r="S108" s="21" t="str">
        <f>IF(Deployments!AX108="","",Deployments!AX108)</f>
        <v/>
      </c>
      <c r="T108" s="21" t="str">
        <f>IF(Deployments!AV108="","",Deployments!AV108)</f>
        <v/>
      </c>
      <c r="U108" s="21" t="str">
        <f>IF(Deployments!AW108="","",Deployments!AW108)</f>
        <v/>
      </c>
      <c r="V108" s="21" t="str">
        <f>IF(Deployments!BA108="","",Deployments!BA108)</f>
        <v/>
      </c>
      <c r="W108" s="21" t="str">
        <f>IF(Deployments!BC108="","",Deployments!BC108)</f>
        <v/>
      </c>
      <c r="X108" s="21" t="str">
        <f>IF(Deployments!BK108="","",Deployments!BK108)</f>
        <v/>
      </c>
      <c r="Y108" s="21" t="str">
        <f>IF(Deployments!BB108="","",Deployments!BB108)</f>
        <v/>
      </c>
      <c r="Z108" s="21" t="str">
        <f>IF(Deployments!T108="","",Deployments!T108)</f>
        <v/>
      </c>
      <c r="AA108" s="21" t="str">
        <f>IF(Deployments!L108="","",Deployments!L108)</f>
        <v/>
      </c>
    </row>
    <row r="109" spans="1:27">
      <c r="A109" s="22"/>
      <c r="B109" s="22"/>
      <c r="C109" s="21" t="str">
        <f>IF(Deployments!H109="","",Deployments!H109)</f>
        <v>LIJ - Other</v>
      </c>
      <c r="D109" s="21" t="str">
        <f>IF(Deployments!AH109="","",Deployments!AH109)</f>
        <v/>
      </c>
      <c r="E109" s="21" t="str">
        <f>IF(Deployments!I109="","",Deployments!I109)</f>
        <v/>
      </c>
      <c r="F109" s="21" t="str">
        <f>IF(Deployments!J109="","",Deployments!J109)</f>
        <v/>
      </c>
      <c r="G109" s="21" t="str">
        <f>IF(Deployments!K109="","",Deployments!K109)</f>
        <v/>
      </c>
      <c r="H109" s="21" t="str">
        <f>IF(Deployments!A109="","",Deployments!A109)</f>
        <v>Cybernet</v>
      </c>
      <c r="I109" s="21" t="str">
        <f>IF(Deployments!AI109="","",Deployments!AI109)</f>
        <v/>
      </c>
      <c r="J109" s="21" t="str">
        <f>IF(Deployments!AJ109="","",Deployments!AJ109)</f>
        <v/>
      </c>
      <c r="K109" s="21" t="str">
        <f>IF(Deployments!AD109="","",Deployments!AD109)</f>
        <v/>
      </c>
      <c r="L109" s="21" t="str">
        <f>IF(Deployments!M109="","",Deployments!M109)</f>
        <v/>
      </c>
      <c r="M109" s="22"/>
      <c r="N109" s="21" t="str">
        <f>IF(Deployments!N109="","",Deployments!N109)</f>
        <v>Yes</v>
      </c>
      <c r="O109" s="21" t="str">
        <f>IF(Deployments!O109="","",Deployments!O109)</f>
        <v>No</v>
      </c>
      <c r="P109" s="21" t="str">
        <f>IF(Deployments!P109="","",Deployments!P109)</f>
        <v>No</v>
      </c>
      <c r="Q109" s="22"/>
      <c r="R109" s="21" t="str">
        <f>IF(Deployments!AY109="","",Deployments!AY109)</f>
        <v/>
      </c>
      <c r="S109" s="21" t="str">
        <f>IF(Deployments!AX109="","",Deployments!AX109)</f>
        <v/>
      </c>
      <c r="T109" s="21" t="str">
        <f>IF(Deployments!AV109="","",Deployments!AV109)</f>
        <v/>
      </c>
      <c r="U109" s="21" t="str">
        <f>IF(Deployments!AW109="","",Deployments!AW109)</f>
        <v/>
      </c>
      <c r="V109" s="21" t="str">
        <f>IF(Deployments!BA109="","",Deployments!BA109)</f>
        <v/>
      </c>
      <c r="W109" s="21" t="str">
        <f>IF(Deployments!BC109="","",Deployments!BC109)</f>
        <v/>
      </c>
      <c r="X109" s="21" t="str">
        <f>IF(Deployments!BK109="","",Deployments!BK109)</f>
        <v/>
      </c>
      <c r="Y109" s="21" t="str">
        <f>IF(Deployments!BB109="","",Deployments!BB109)</f>
        <v/>
      </c>
      <c r="Z109" s="21" t="str">
        <f>IF(Deployments!T109="","",Deployments!T109)</f>
        <v/>
      </c>
      <c r="AA109" s="21" t="str">
        <f>IF(Deployments!L109="","",Deployments!L109)</f>
        <v/>
      </c>
    </row>
    <row r="110" spans="1:27">
      <c r="A110" s="22"/>
      <c r="B110" s="22"/>
      <c r="C110" s="21" t="str">
        <f>IF(Deployments!H110="","",Deployments!H110)</f>
        <v>LIJ - OR</v>
      </c>
      <c r="D110" s="21" t="str">
        <f>IF(Deployments!AH110="","",Deployments!AH110)</f>
        <v/>
      </c>
      <c r="E110" s="21" t="str">
        <f>IF(Deployments!I110="","",Deployments!I110)</f>
        <v/>
      </c>
      <c r="F110" s="21" t="str">
        <f>IF(Deployments!J110="","",Deployments!J110)</f>
        <v/>
      </c>
      <c r="G110" s="21" t="str">
        <f>IF(Deployments!K110="","",Deployments!K110)</f>
        <v/>
      </c>
      <c r="H110" s="21" t="str">
        <f>IF(Deployments!A110="","",Deployments!A110)</f>
        <v>Cybernet</v>
      </c>
      <c r="I110" s="21" t="str">
        <f>IF(Deployments!AI110="","",Deployments!AI110)</f>
        <v/>
      </c>
      <c r="J110" s="21" t="str">
        <f>IF(Deployments!AJ110="","",Deployments!AJ110)</f>
        <v/>
      </c>
      <c r="K110" s="21" t="str">
        <f>IF(Deployments!AD110="","",Deployments!AD110)</f>
        <v/>
      </c>
      <c r="L110" s="21" t="str">
        <f>IF(Deployments!M110="","",Deployments!M110)</f>
        <v/>
      </c>
      <c r="M110" s="22"/>
      <c r="N110" s="21" t="str">
        <f>IF(Deployments!N110="","",Deployments!N110)</f>
        <v>Yes</v>
      </c>
      <c r="O110" s="21" t="str">
        <f>IF(Deployments!O110="","",Deployments!O110)</f>
        <v>No</v>
      </c>
      <c r="P110" s="21" t="str">
        <f>IF(Deployments!P110="","",Deployments!P110)</f>
        <v>No</v>
      </c>
      <c r="Q110" s="22"/>
      <c r="R110" s="21" t="str">
        <f>IF(Deployments!AY110="","",Deployments!AY110)</f>
        <v/>
      </c>
      <c r="S110" s="21" t="str">
        <f>IF(Deployments!AX110="","",Deployments!AX110)</f>
        <v/>
      </c>
      <c r="T110" s="21" t="str">
        <f>IF(Deployments!AV110="","",Deployments!AV110)</f>
        <v/>
      </c>
      <c r="U110" s="21" t="str">
        <f>IF(Deployments!AW110="","",Deployments!AW110)</f>
        <v/>
      </c>
      <c r="V110" s="21" t="str">
        <f>IF(Deployments!BA110="","",Deployments!BA110)</f>
        <v/>
      </c>
      <c r="W110" s="21" t="str">
        <f>IF(Deployments!BC110="","",Deployments!BC110)</f>
        <v/>
      </c>
      <c r="X110" s="21" t="str">
        <f>IF(Deployments!BK110="","",Deployments!BK110)</f>
        <v/>
      </c>
      <c r="Y110" s="21" t="str">
        <f>IF(Deployments!BB110="","",Deployments!BB110)</f>
        <v/>
      </c>
      <c r="Z110" s="21" t="str">
        <f>IF(Deployments!T110="","",Deployments!T110)</f>
        <v/>
      </c>
      <c r="AA110" s="21" t="str">
        <f>IF(Deployments!L110="","",Deployments!L110)</f>
        <v/>
      </c>
    </row>
    <row r="111" spans="1:27">
      <c r="A111" s="22"/>
      <c r="B111" s="22"/>
      <c r="C111" s="21" t="str">
        <f>IF(Deployments!H111="","",Deployments!H111)</f>
        <v>LIJ - OR</v>
      </c>
      <c r="D111" s="21" t="str">
        <f>IF(Deployments!AH111="","",Deployments!AH111)</f>
        <v/>
      </c>
      <c r="E111" s="21" t="str">
        <f>IF(Deployments!I111="","",Deployments!I111)</f>
        <v/>
      </c>
      <c r="F111" s="21" t="str">
        <f>IF(Deployments!J111="","",Deployments!J111)</f>
        <v/>
      </c>
      <c r="G111" s="21" t="str">
        <f>IF(Deployments!K111="","",Deployments!K111)</f>
        <v/>
      </c>
      <c r="H111" s="21" t="str">
        <f>IF(Deployments!A111="","",Deployments!A111)</f>
        <v>Cybernet</v>
      </c>
      <c r="I111" s="21" t="str">
        <f>IF(Deployments!AI111="","",Deployments!AI111)</f>
        <v/>
      </c>
      <c r="J111" s="21" t="str">
        <f>IF(Deployments!AJ111="","",Deployments!AJ111)</f>
        <v/>
      </c>
      <c r="K111" s="21" t="str">
        <f>IF(Deployments!AD111="","",Deployments!AD111)</f>
        <v/>
      </c>
      <c r="L111" s="21" t="str">
        <f>IF(Deployments!M111="","",Deployments!M111)</f>
        <v/>
      </c>
      <c r="M111" s="22"/>
      <c r="N111" s="21" t="str">
        <f>IF(Deployments!N111="","",Deployments!N111)</f>
        <v>Yes</v>
      </c>
      <c r="O111" s="21" t="str">
        <f>IF(Deployments!O111="","",Deployments!O111)</f>
        <v>No</v>
      </c>
      <c r="P111" s="21" t="str">
        <f>IF(Deployments!P111="","",Deployments!P111)</f>
        <v>No</v>
      </c>
      <c r="Q111" s="22"/>
      <c r="R111" s="21" t="str">
        <f>IF(Deployments!AY111="","",Deployments!AY111)</f>
        <v/>
      </c>
      <c r="S111" s="21" t="str">
        <f>IF(Deployments!AX111="","",Deployments!AX111)</f>
        <v/>
      </c>
      <c r="T111" s="21" t="str">
        <f>IF(Deployments!AV111="","",Deployments!AV111)</f>
        <v/>
      </c>
      <c r="U111" s="21" t="str">
        <f>IF(Deployments!AW111="","",Deployments!AW111)</f>
        <v/>
      </c>
      <c r="V111" s="21" t="str">
        <f>IF(Deployments!BA111="","",Deployments!BA111)</f>
        <v/>
      </c>
      <c r="W111" s="21" t="str">
        <f>IF(Deployments!BC111="","",Deployments!BC111)</f>
        <v/>
      </c>
      <c r="X111" s="21" t="str">
        <f>IF(Deployments!BK111="","",Deployments!BK111)</f>
        <v/>
      </c>
      <c r="Y111" s="21" t="str">
        <f>IF(Deployments!BB111="","",Deployments!BB111)</f>
        <v/>
      </c>
      <c r="Z111" s="21" t="str">
        <f>IF(Deployments!T111="","",Deployments!T111)</f>
        <v/>
      </c>
      <c r="AA111" s="21" t="str">
        <f>IF(Deployments!L111="","",Deployments!L111)</f>
        <v/>
      </c>
    </row>
    <row r="112" spans="1:27">
      <c r="A112" s="22"/>
      <c r="B112" s="22"/>
      <c r="C112" s="21" t="str">
        <f>IF(Deployments!H112="","",Deployments!H112)</f>
        <v>LIJ - OR</v>
      </c>
      <c r="D112" s="21" t="str">
        <f>IF(Deployments!AH112="","",Deployments!AH112)</f>
        <v/>
      </c>
      <c r="E112" s="21" t="str">
        <f>IF(Deployments!I112="","",Deployments!I112)</f>
        <v/>
      </c>
      <c r="F112" s="21" t="str">
        <f>IF(Deployments!J112="","",Deployments!J112)</f>
        <v/>
      </c>
      <c r="G112" s="21" t="str">
        <f>IF(Deployments!K112="","",Deployments!K112)</f>
        <v/>
      </c>
      <c r="H112" s="21" t="str">
        <f>IF(Deployments!A112="","",Deployments!A112)</f>
        <v>Cybernet</v>
      </c>
      <c r="I112" s="21" t="str">
        <f>IF(Deployments!AI112="","",Deployments!AI112)</f>
        <v/>
      </c>
      <c r="J112" s="21" t="str">
        <f>IF(Deployments!AJ112="","",Deployments!AJ112)</f>
        <v/>
      </c>
      <c r="K112" s="21" t="str">
        <f>IF(Deployments!AD112="","",Deployments!AD112)</f>
        <v/>
      </c>
      <c r="L112" s="21" t="str">
        <f>IF(Deployments!M112="","",Deployments!M112)</f>
        <v/>
      </c>
      <c r="M112" s="22"/>
      <c r="N112" s="21" t="str">
        <f>IF(Deployments!N112="","",Deployments!N112)</f>
        <v>Yes</v>
      </c>
      <c r="O112" s="21" t="str">
        <f>IF(Deployments!O112="","",Deployments!O112)</f>
        <v>No</v>
      </c>
      <c r="P112" s="21" t="str">
        <f>IF(Deployments!P112="","",Deployments!P112)</f>
        <v>No</v>
      </c>
      <c r="Q112" s="22"/>
      <c r="R112" s="21" t="str">
        <f>IF(Deployments!AY112="","",Deployments!AY112)</f>
        <v/>
      </c>
      <c r="S112" s="21" t="str">
        <f>IF(Deployments!AX112="","",Deployments!AX112)</f>
        <v/>
      </c>
      <c r="T112" s="21" t="str">
        <f>IF(Deployments!AV112="","",Deployments!AV112)</f>
        <v/>
      </c>
      <c r="U112" s="21" t="str">
        <f>IF(Deployments!AW112="","",Deployments!AW112)</f>
        <v/>
      </c>
      <c r="V112" s="21" t="str">
        <f>IF(Deployments!BA112="","",Deployments!BA112)</f>
        <v/>
      </c>
      <c r="W112" s="21" t="str">
        <f>IF(Deployments!BC112="","",Deployments!BC112)</f>
        <v/>
      </c>
      <c r="X112" s="21" t="str">
        <f>IF(Deployments!BK112="","",Deployments!BK112)</f>
        <v/>
      </c>
      <c r="Y112" s="21" t="str">
        <f>IF(Deployments!BB112="","",Deployments!BB112)</f>
        <v/>
      </c>
      <c r="Z112" s="21" t="str">
        <f>IF(Deployments!T112="","",Deployments!T112)</f>
        <v/>
      </c>
      <c r="AA112" s="21" t="str">
        <f>IF(Deployments!L112="","",Deployments!L112)</f>
        <v/>
      </c>
    </row>
    <row r="113" spans="1:27">
      <c r="A113" s="22"/>
      <c r="B113" s="22"/>
      <c r="C113" s="21" t="str">
        <f>IF(Deployments!H113="","",Deployments!H113)</f>
        <v>LIJ - OR</v>
      </c>
      <c r="D113" s="21" t="str">
        <f>IF(Deployments!AH113="","",Deployments!AH113)</f>
        <v/>
      </c>
      <c r="E113" s="21" t="str">
        <f>IF(Deployments!I113="","",Deployments!I113)</f>
        <v/>
      </c>
      <c r="F113" s="21" t="str">
        <f>IF(Deployments!J113="","",Deployments!J113)</f>
        <v/>
      </c>
      <c r="G113" s="21" t="str">
        <f>IF(Deployments!K113="","",Deployments!K113)</f>
        <v/>
      </c>
      <c r="H113" s="21" t="str">
        <f>IF(Deployments!A113="","",Deployments!A113)</f>
        <v>Cybernet</v>
      </c>
      <c r="I113" s="21" t="str">
        <f>IF(Deployments!AI113="","",Deployments!AI113)</f>
        <v/>
      </c>
      <c r="J113" s="21" t="str">
        <f>IF(Deployments!AJ113="","",Deployments!AJ113)</f>
        <v/>
      </c>
      <c r="K113" s="21" t="str">
        <f>IF(Deployments!AD113="","",Deployments!AD113)</f>
        <v/>
      </c>
      <c r="L113" s="21" t="str">
        <f>IF(Deployments!M113="","",Deployments!M113)</f>
        <v/>
      </c>
      <c r="M113" s="22"/>
      <c r="N113" s="21" t="str">
        <f>IF(Deployments!N113="","",Deployments!N113)</f>
        <v>Yes</v>
      </c>
      <c r="O113" s="21" t="str">
        <f>IF(Deployments!O113="","",Deployments!O113)</f>
        <v>No</v>
      </c>
      <c r="P113" s="21" t="str">
        <f>IF(Deployments!P113="","",Deployments!P113)</f>
        <v>No</v>
      </c>
      <c r="Q113" s="22"/>
      <c r="R113" s="21" t="str">
        <f>IF(Deployments!AY113="","",Deployments!AY113)</f>
        <v/>
      </c>
      <c r="S113" s="21" t="str">
        <f>IF(Deployments!AX113="","",Deployments!AX113)</f>
        <v/>
      </c>
      <c r="T113" s="21" t="str">
        <f>IF(Deployments!AV113="","",Deployments!AV113)</f>
        <v/>
      </c>
      <c r="U113" s="21" t="str">
        <f>IF(Deployments!AW113="","",Deployments!AW113)</f>
        <v/>
      </c>
      <c r="V113" s="21" t="str">
        <f>IF(Deployments!BA113="","",Deployments!BA113)</f>
        <v/>
      </c>
      <c r="W113" s="21" t="str">
        <f>IF(Deployments!BC113="","",Deployments!BC113)</f>
        <v/>
      </c>
      <c r="X113" s="21" t="str">
        <f>IF(Deployments!BK113="","",Deployments!BK113)</f>
        <v/>
      </c>
      <c r="Y113" s="21" t="str">
        <f>IF(Deployments!BB113="","",Deployments!BB113)</f>
        <v/>
      </c>
      <c r="Z113" s="21" t="str">
        <f>IF(Deployments!T113="","",Deployments!T113)</f>
        <v/>
      </c>
      <c r="AA113" s="21" t="str">
        <f>IF(Deployments!L113="","",Deployments!L113)</f>
        <v/>
      </c>
    </row>
    <row r="114" spans="1:27">
      <c r="A114" s="22"/>
      <c r="B114" s="22"/>
      <c r="C114" s="21" t="str">
        <f>IF(Deployments!H114="","",Deployments!H114)</f>
        <v>LIJ - OR</v>
      </c>
      <c r="D114" s="21" t="str">
        <f>IF(Deployments!AH114="","",Deployments!AH114)</f>
        <v/>
      </c>
      <c r="E114" s="21" t="str">
        <f>IF(Deployments!I114="","",Deployments!I114)</f>
        <v/>
      </c>
      <c r="F114" s="21" t="str">
        <f>IF(Deployments!J114="","",Deployments!J114)</f>
        <v/>
      </c>
      <c r="G114" s="21" t="str">
        <f>IF(Deployments!K114="","",Deployments!K114)</f>
        <v/>
      </c>
      <c r="H114" s="21" t="str">
        <f>IF(Deployments!A114="","",Deployments!A114)</f>
        <v>Cybernet</v>
      </c>
      <c r="I114" s="21" t="str">
        <f>IF(Deployments!AI114="","",Deployments!AI114)</f>
        <v/>
      </c>
      <c r="J114" s="21" t="str">
        <f>IF(Deployments!AJ114="","",Deployments!AJ114)</f>
        <v/>
      </c>
      <c r="K114" s="21" t="str">
        <f>IF(Deployments!AD114="","",Deployments!AD114)</f>
        <v/>
      </c>
      <c r="L114" s="21" t="str">
        <f>IF(Deployments!M114="","",Deployments!M114)</f>
        <v/>
      </c>
      <c r="M114" s="22"/>
      <c r="N114" s="21" t="str">
        <f>IF(Deployments!N114="","",Deployments!N114)</f>
        <v>Yes</v>
      </c>
      <c r="O114" s="21" t="str">
        <f>IF(Deployments!O114="","",Deployments!O114)</f>
        <v>No</v>
      </c>
      <c r="P114" s="21" t="str">
        <f>IF(Deployments!P114="","",Deployments!P114)</f>
        <v>No</v>
      </c>
      <c r="Q114" s="22"/>
      <c r="R114" s="21" t="str">
        <f>IF(Deployments!AY114="","",Deployments!AY114)</f>
        <v/>
      </c>
      <c r="S114" s="21" t="str">
        <f>IF(Deployments!AX114="","",Deployments!AX114)</f>
        <v/>
      </c>
      <c r="T114" s="21" t="str">
        <f>IF(Deployments!AV114="","",Deployments!AV114)</f>
        <v/>
      </c>
      <c r="U114" s="21" t="str">
        <f>IF(Deployments!AW114="","",Deployments!AW114)</f>
        <v/>
      </c>
      <c r="V114" s="21" t="str">
        <f>IF(Deployments!BA114="","",Deployments!BA114)</f>
        <v/>
      </c>
      <c r="W114" s="21" t="str">
        <f>IF(Deployments!BC114="","",Deployments!BC114)</f>
        <v/>
      </c>
      <c r="X114" s="21" t="str">
        <f>IF(Deployments!BK114="","",Deployments!BK114)</f>
        <v/>
      </c>
      <c r="Y114" s="21" t="str">
        <f>IF(Deployments!BB114="","",Deployments!BB114)</f>
        <v/>
      </c>
      <c r="Z114" s="21" t="str">
        <f>IF(Deployments!T114="","",Deployments!T114)</f>
        <v/>
      </c>
      <c r="AA114" s="21" t="str">
        <f>IF(Deployments!L114="","",Deployments!L114)</f>
        <v/>
      </c>
    </row>
    <row r="115" spans="1:27">
      <c r="A115" s="22"/>
      <c r="B115" s="22"/>
      <c r="C115" s="21" t="str">
        <f>IF(Deployments!H115="","",Deployments!H115)</f>
        <v>LIJ - OR</v>
      </c>
      <c r="D115" s="21" t="str">
        <f>IF(Deployments!AH115="","",Deployments!AH115)</f>
        <v/>
      </c>
      <c r="E115" s="21" t="str">
        <f>IF(Deployments!I115="","",Deployments!I115)</f>
        <v/>
      </c>
      <c r="F115" s="21" t="str">
        <f>IF(Deployments!J115="","",Deployments!J115)</f>
        <v/>
      </c>
      <c r="G115" s="21" t="str">
        <f>IF(Deployments!K115="","",Deployments!K115)</f>
        <v/>
      </c>
      <c r="H115" s="21" t="str">
        <f>IF(Deployments!A115="","",Deployments!A115)</f>
        <v>Cybernet</v>
      </c>
      <c r="I115" s="21" t="str">
        <f>IF(Deployments!AI115="","",Deployments!AI115)</f>
        <v/>
      </c>
      <c r="J115" s="21" t="str">
        <f>IF(Deployments!AJ115="","",Deployments!AJ115)</f>
        <v/>
      </c>
      <c r="K115" s="21" t="str">
        <f>IF(Deployments!AD115="","",Deployments!AD115)</f>
        <v/>
      </c>
      <c r="L115" s="21" t="str">
        <f>IF(Deployments!M115="","",Deployments!M115)</f>
        <v/>
      </c>
      <c r="M115" s="22"/>
      <c r="N115" s="21" t="str">
        <f>IF(Deployments!N115="","",Deployments!N115)</f>
        <v>Yes</v>
      </c>
      <c r="O115" s="21" t="str">
        <f>IF(Deployments!O115="","",Deployments!O115)</f>
        <v>No</v>
      </c>
      <c r="P115" s="21" t="str">
        <f>IF(Deployments!P115="","",Deployments!P115)</f>
        <v>No</v>
      </c>
      <c r="Q115" s="22"/>
      <c r="R115" s="21" t="str">
        <f>IF(Deployments!AY115="","",Deployments!AY115)</f>
        <v/>
      </c>
      <c r="S115" s="21" t="str">
        <f>IF(Deployments!AX115="","",Deployments!AX115)</f>
        <v/>
      </c>
      <c r="T115" s="21" t="str">
        <f>IF(Deployments!AV115="","",Deployments!AV115)</f>
        <v/>
      </c>
      <c r="U115" s="21" t="str">
        <f>IF(Deployments!AW115="","",Deployments!AW115)</f>
        <v/>
      </c>
      <c r="V115" s="21" t="str">
        <f>IF(Deployments!BA115="","",Deployments!BA115)</f>
        <v/>
      </c>
      <c r="W115" s="21" t="str">
        <f>IF(Deployments!BC115="","",Deployments!BC115)</f>
        <v/>
      </c>
      <c r="X115" s="21" t="str">
        <f>IF(Deployments!BK115="","",Deployments!BK115)</f>
        <v/>
      </c>
      <c r="Y115" s="21" t="str">
        <f>IF(Deployments!BB115="","",Deployments!BB115)</f>
        <v/>
      </c>
      <c r="Z115" s="21" t="str">
        <f>IF(Deployments!T115="","",Deployments!T115)</f>
        <v/>
      </c>
      <c r="AA115" s="21" t="str">
        <f>IF(Deployments!L115="","",Deployments!L115)</f>
        <v/>
      </c>
    </row>
    <row r="116" spans="1:27">
      <c r="A116" s="22"/>
      <c r="B116" s="22"/>
      <c r="C116" s="21" t="str">
        <f>IF(Deployments!H116="","",Deployments!H116)</f>
        <v>LIJ - OR</v>
      </c>
      <c r="D116" s="21" t="str">
        <f>IF(Deployments!AH116="","",Deployments!AH116)</f>
        <v/>
      </c>
      <c r="E116" s="21" t="str">
        <f>IF(Deployments!I116="","",Deployments!I116)</f>
        <v/>
      </c>
      <c r="F116" s="21" t="str">
        <f>IF(Deployments!J116="","",Deployments!J116)</f>
        <v/>
      </c>
      <c r="G116" s="21" t="str">
        <f>IF(Deployments!K116="","",Deployments!K116)</f>
        <v/>
      </c>
      <c r="H116" s="21" t="str">
        <f>IF(Deployments!A116="","",Deployments!A116)</f>
        <v>Cybernet</v>
      </c>
      <c r="I116" s="21" t="str">
        <f>IF(Deployments!AI116="","",Deployments!AI116)</f>
        <v/>
      </c>
      <c r="J116" s="21" t="str">
        <f>IF(Deployments!AJ116="","",Deployments!AJ116)</f>
        <v/>
      </c>
      <c r="K116" s="21" t="str">
        <f>IF(Deployments!AD116="","",Deployments!AD116)</f>
        <v/>
      </c>
      <c r="L116" s="21" t="str">
        <f>IF(Deployments!M116="","",Deployments!M116)</f>
        <v/>
      </c>
      <c r="M116" s="22"/>
      <c r="N116" s="21" t="str">
        <f>IF(Deployments!N116="","",Deployments!N116)</f>
        <v>Yes</v>
      </c>
      <c r="O116" s="21" t="str">
        <f>IF(Deployments!O116="","",Deployments!O116)</f>
        <v>No</v>
      </c>
      <c r="P116" s="21" t="str">
        <f>IF(Deployments!P116="","",Deployments!P116)</f>
        <v>No</v>
      </c>
      <c r="Q116" s="22"/>
      <c r="R116" s="21" t="str">
        <f>IF(Deployments!AY116="","",Deployments!AY116)</f>
        <v/>
      </c>
      <c r="S116" s="21" t="str">
        <f>IF(Deployments!AX116="","",Deployments!AX116)</f>
        <v/>
      </c>
      <c r="T116" s="21" t="str">
        <f>IF(Deployments!AV116="","",Deployments!AV116)</f>
        <v/>
      </c>
      <c r="U116" s="21" t="str">
        <f>IF(Deployments!AW116="","",Deployments!AW116)</f>
        <v/>
      </c>
      <c r="V116" s="21" t="str">
        <f>IF(Deployments!BA116="","",Deployments!BA116)</f>
        <v/>
      </c>
      <c r="W116" s="21" t="str">
        <f>IF(Deployments!BC116="","",Deployments!BC116)</f>
        <v/>
      </c>
      <c r="X116" s="21" t="str">
        <f>IF(Deployments!BK116="","",Deployments!BK116)</f>
        <v/>
      </c>
      <c r="Y116" s="21" t="str">
        <f>IF(Deployments!BB116="","",Deployments!BB116)</f>
        <v/>
      </c>
      <c r="Z116" s="21" t="str">
        <f>IF(Deployments!T116="","",Deployments!T116)</f>
        <v/>
      </c>
      <c r="AA116" s="21" t="str">
        <f>IF(Deployments!L116="","",Deployments!L116)</f>
        <v/>
      </c>
    </row>
    <row r="117" spans="1:27">
      <c r="A117" s="22"/>
      <c r="B117" s="22"/>
      <c r="C117" s="21" t="str">
        <f>IF(Deployments!H117="","",Deployments!H117)</f>
        <v>LIJ - OR</v>
      </c>
      <c r="D117" s="21" t="str">
        <f>IF(Deployments!AH117="","",Deployments!AH117)</f>
        <v/>
      </c>
      <c r="E117" s="21" t="str">
        <f>IF(Deployments!I117="","",Deployments!I117)</f>
        <v/>
      </c>
      <c r="F117" s="21" t="str">
        <f>IF(Deployments!J117="","",Deployments!J117)</f>
        <v/>
      </c>
      <c r="G117" s="21" t="str">
        <f>IF(Deployments!K117="","",Deployments!K117)</f>
        <v/>
      </c>
      <c r="H117" s="21" t="str">
        <f>IF(Deployments!A117="","",Deployments!A117)</f>
        <v>Cybernet</v>
      </c>
      <c r="I117" s="21" t="str">
        <f>IF(Deployments!AI117="","",Deployments!AI117)</f>
        <v/>
      </c>
      <c r="J117" s="21" t="str">
        <f>IF(Deployments!AJ117="","",Deployments!AJ117)</f>
        <v/>
      </c>
      <c r="K117" s="21" t="str">
        <f>IF(Deployments!AD117="","",Deployments!AD117)</f>
        <v/>
      </c>
      <c r="L117" s="21" t="str">
        <f>IF(Deployments!M117="","",Deployments!M117)</f>
        <v/>
      </c>
      <c r="M117" s="22"/>
      <c r="N117" s="21" t="str">
        <f>IF(Deployments!N117="","",Deployments!N117)</f>
        <v>Yes</v>
      </c>
      <c r="O117" s="21" t="str">
        <f>IF(Deployments!O117="","",Deployments!O117)</f>
        <v>No</v>
      </c>
      <c r="P117" s="21" t="str">
        <f>IF(Deployments!P117="","",Deployments!P117)</f>
        <v>No</v>
      </c>
      <c r="Q117" s="22"/>
      <c r="R117" s="21" t="str">
        <f>IF(Deployments!AY117="","",Deployments!AY117)</f>
        <v/>
      </c>
      <c r="S117" s="21" t="str">
        <f>IF(Deployments!AX117="","",Deployments!AX117)</f>
        <v/>
      </c>
      <c r="T117" s="21" t="str">
        <f>IF(Deployments!AV117="","",Deployments!AV117)</f>
        <v/>
      </c>
      <c r="U117" s="21" t="str">
        <f>IF(Deployments!AW117="","",Deployments!AW117)</f>
        <v/>
      </c>
      <c r="V117" s="21" t="str">
        <f>IF(Deployments!BA117="","",Deployments!BA117)</f>
        <v/>
      </c>
      <c r="W117" s="21" t="str">
        <f>IF(Deployments!BC117="","",Deployments!BC117)</f>
        <v/>
      </c>
      <c r="X117" s="21" t="str">
        <f>IF(Deployments!BK117="","",Deployments!BK117)</f>
        <v/>
      </c>
      <c r="Y117" s="21" t="str">
        <f>IF(Deployments!BB117="","",Deployments!BB117)</f>
        <v/>
      </c>
      <c r="Z117" s="21" t="str">
        <f>IF(Deployments!T117="","",Deployments!T117)</f>
        <v/>
      </c>
      <c r="AA117" s="21" t="str">
        <f>IF(Deployments!L117="","",Deployments!L117)</f>
        <v/>
      </c>
    </row>
    <row r="118" spans="1:27">
      <c r="A118" s="22"/>
      <c r="B118" s="22"/>
      <c r="C118" s="21" t="str">
        <f>IF(Deployments!H118="","",Deployments!H118)</f>
        <v>LIJ - OR</v>
      </c>
      <c r="D118" s="21" t="str">
        <f>IF(Deployments!AH118="","",Deployments!AH118)</f>
        <v/>
      </c>
      <c r="E118" s="21" t="str">
        <f>IF(Deployments!I118="","",Deployments!I118)</f>
        <v/>
      </c>
      <c r="F118" s="21" t="str">
        <f>IF(Deployments!J118="","",Deployments!J118)</f>
        <v/>
      </c>
      <c r="G118" s="21" t="str">
        <f>IF(Deployments!K118="","",Deployments!K118)</f>
        <v/>
      </c>
      <c r="H118" s="21" t="str">
        <f>IF(Deployments!A118="","",Deployments!A118)</f>
        <v>Cybernet</v>
      </c>
      <c r="I118" s="21" t="str">
        <f>IF(Deployments!AI118="","",Deployments!AI118)</f>
        <v/>
      </c>
      <c r="J118" s="21" t="str">
        <f>IF(Deployments!AJ118="","",Deployments!AJ118)</f>
        <v/>
      </c>
      <c r="K118" s="21" t="str">
        <f>IF(Deployments!AD118="","",Deployments!AD118)</f>
        <v/>
      </c>
      <c r="L118" s="21" t="str">
        <f>IF(Deployments!M118="","",Deployments!M118)</f>
        <v/>
      </c>
      <c r="M118" s="22"/>
      <c r="N118" s="21" t="str">
        <f>IF(Deployments!N118="","",Deployments!N118)</f>
        <v>Yes</v>
      </c>
      <c r="O118" s="21" t="str">
        <f>IF(Deployments!O118="","",Deployments!O118)</f>
        <v>No</v>
      </c>
      <c r="P118" s="21" t="str">
        <f>IF(Deployments!P118="","",Deployments!P118)</f>
        <v>No</v>
      </c>
      <c r="Q118" s="22"/>
      <c r="R118" s="21" t="str">
        <f>IF(Deployments!AY118="","",Deployments!AY118)</f>
        <v/>
      </c>
      <c r="S118" s="21" t="str">
        <f>IF(Deployments!AX118="","",Deployments!AX118)</f>
        <v/>
      </c>
      <c r="T118" s="21" t="str">
        <f>IF(Deployments!AV118="","",Deployments!AV118)</f>
        <v/>
      </c>
      <c r="U118" s="21" t="str">
        <f>IF(Deployments!AW118="","",Deployments!AW118)</f>
        <v/>
      </c>
      <c r="V118" s="21" t="str">
        <f>IF(Deployments!BA118="","",Deployments!BA118)</f>
        <v/>
      </c>
      <c r="W118" s="21" t="str">
        <f>IF(Deployments!BC118="","",Deployments!BC118)</f>
        <v/>
      </c>
      <c r="X118" s="21" t="str">
        <f>IF(Deployments!BK118="","",Deployments!BK118)</f>
        <v/>
      </c>
      <c r="Y118" s="21" t="str">
        <f>IF(Deployments!BB118="","",Deployments!BB118)</f>
        <v/>
      </c>
      <c r="Z118" s="21" t="str">
        <f>IF(Deployments!T118="","",Deployments!T118)</f>
        <v/>
      </c>
      <c r="AA118" s="21" t="str">
        <f>IF(Deployments!L118="","",Deployments!L118)</f>
        <v/>
      </c>
    </row>
    <row r="119" spans="1:27">
      <c r="A119" s="22"/>
      <c r="B119" s="22"/>
      <c r="C119" s="21" t="str">
        <f>IF(Deployments!H119="","",Deployments!H119)</f>
        <v>LIJ - OR</v>
      </c>
      <c r="D119" s="21" t="str">
        <f>IF(Deployments!AH119="","",Deployments!AH119)</f>
        <v/>
      </c>
      <c r="E119" s="21" t="str">
        <f>IF(Deployments!I119="","",Deployments!I119)</f>
        <v/>
      </c>
      <c r="F119" s="21" t="str">
        <f>IF(Deployments!J119="","",Deployments!J119)</f>
        <v/>
      </c>
      <c r="G119" s="21" t="str">
        <f>IF(Deployments!K119="","",Deployments!K119)</f>
        <v/>
      </c>
      <c r="H119" s="21" t="str">
        <f>IF(Deployments!A119="","",Deployments!A119)</f>
        <v>Cybernet</v>
      </c>
      <c r="I119" s="21" t="str">
        <f>IF(Deployments!AI119="","",Deployments!AI119)</f>
        <v/>
      </c>
      <c r="J119" s="21" t="str">
        <f>IF(Deployments!AJ119="","",Deployments!AJ119)</f>
        <v/>
      </c>
      <c r="K119" s="21" t="str">
        <f>IF(Deployments!AD119="","",Deployments!AD119)</f>
        <v/>
      </c>
      <c r="L119" s="21" t="str">
        <f>IF(Deployments!M119="","",Deployments!M119)</f>
        <v/>
      </c>
      <c r="M119" s="22"/>
      <c r="N119" s="21" t="str">
        <f>IF(Deployments!N119="","",Deployments!N119)</f>
        <v>Yes</v>
      </c>
      <c r="O119" s="21" t="str">
        <f>IF(Deployments!O119="","",Deployments!O119)</f>
        <v>No</v>
      </c>
      <c r="P119" s="21" t="str">
        <f>IF(Deployments!P119="","",Deployments!P119)</f>
        <v>No</v>
      </c>
      <c r="Q119" s="22"/>
      <c r="R119" s="21" t="str">
        <f>IF(Deployments!AY119="","",Deployments!AY119)</f>
        <v/>
      </c>
      <c r="S119" s="21" t="str">
        <f>IF(Deployments!AX119="","",Deployments!AX119)</f>
        <v/>
      </c>
      <c r="T119" s="21" t="str">
        <f>IF(Deployments!AV119="","",Deployments!AV119)</f>
        <v/>
      </c>
      <c r="U119" s="21" t="str">
        <f>IF(Deployments!AW119="","",Deployments!AW119)</f>
        <v/>
      </c>
      <c r="V119" s="21" t="str">
        <f>IF(Deployments!BA119="","",Deployments!BA119)</f>
        <v/>
      </c>
      <c r="W119" s="21" t="str">
        <f>IF(Deployments!BC119="","",Deployments!BC119)</f>
        <v/>
      </c>
      <c r="X119" s="21" t="str">
        <f>IF(Deployments!BK119="","",Deployments!BK119)</f>
        <v/>
      </c>
      <c r="Y119" s="21" t="str">
        <f>IF(Deployments!BB119="","",Deployments!BB119)</f>
        <v/>
      </c>
      <c r="Z119" s="21" t="str">
        <f>IF(Deployments!T119="","",Deployments!T119)</f>
        <v/>
      </c>
      <c r="AA119" s="21" t="str">
        <f>IF(Deployments!L119="","",Deployments!L119)</f>
        <v/>
      </c>
    </row>
    <row r="120" spans="1:27">
      <c r="A120" s="22"/>
      <c r="B120" s="22"/>
      <c r="C120" s="21" t="str">
        <f>IF(Deployments!H120="","",Deployments!H120)</f>
        <v>LIJ - OR</v>
      </c>
      <c r="D120" s="21" t="str">
        <f>IF(Deployments!AH120="","",Deployments!AH120)</f>
        <v/>
      </c>
      <c r="E120" s="21" t="str">
        <f>IF(Deployments!I120="","",Deployments!I120)</f>
        <v/>
      </c>
      <c r="F120" s="21" t="str">
        <f>IF(Deployments!J120="","",Deployments!J120)</f>
        <v/>
      </c>
      <c r="G120" s="21" t="str">
        <f>IF(Deployments!K120="","",Deployments!K120)</f>
        <v/>
      </c>
      <c r="H120" s="21" t="str">
        <f>IF(Deployments!A120="","",Deployments!A120)</f>
        <v>Cybernet</v>
      </c>
      <c r="I120" s="21" t="str">
        <f>IF(Deployments!AI120="","",Deployments!AI120)</f>
        <v/>
      </c>
      <c r="J120" s="21" t="str">
        <f>IF(Deployments!AJ120="","",Deployments!AJ120)</f>
        <v/>
      </c>
      <c r="K120" s="21" t="str">
        <f>IF(Deployments!AD120="","",Deployments!AD120)</f>
        <v/>
      </c>
      <c r="L120" s="21" t="str">
        <f>IF(Deployments!M120="","",Deployments!M120)</f>
        <v/>
      </c>
      <c r="M120" s="22"/>
      <c r="N120" s="21" t="str">
        <f>IF(Deployments!N120="","",Deployments!N120)</f>
        <v>Yes</v>
      </c>
      <c r="O120" s="21" t="str">
        <f>IF(Deployments!O120="","",Deployments!O120)</f>
        <v>No</v>
      </c>
      <c r="P120" s="21" t="str">
        <f>IF(Deployments!P120="","",Deployments!P120)</f>
        <v>No</v>
      </c>
      <c r="Q120" s="22"/>
      <c r="R120" s="21" t="str">
        <f>IF(Deployments!AY120="","",Deployments!AY120)</f>
        <v/>
      </c>
      <c r="S120" s="21" t="str">
        <f>IF(Deployments!AX120="","",Deployments!AX120)</f>
        <v/>
      </c>
      <c r="T120" s="21" t="str">
        <f>IF(Deployments!AV120="","",Deployments!AV120)</f>
        <v/>
      </c>
      <c r="U120" s="21" t="str">
        <f>IF(Deployments!AW120="","",Deployments!AW120)</f>
        <v/>
      </c>
      <c r="V120" s="21" t="str">
        <f>IF(Deployments!BA120="","",Deployments!BA120)</f>
        <v/>
      </c>
      <c r="W120" s="21" t="str">
        <f>IF(Deployments!BC120="","",Deployments!BC120)</f>
        <v/>
      </c>
      <c r="X120" s="21" t="str">
        <f>IF(Deployments!BK120="","",Deployments!BK120)</f>
        <v/>
      </c>
      <c r="Y120" s="21" t="str">
        <f>IF(Deployments!BB120="","",Deployments!BB120)</f>
        <v/>
      </c>
      <c r="Z120" s="21" t="str">
        <f>IF(Deployments!T120="","",Deployments!T120)</f>
        <v/>
      </c>
      <c r="AA120" s="21" t="str">
        <f>IF(Deployments!L120="","",Deployments!L120)</f>
        <v/>
      </c>
    </row>
    <row r="121" spans="1:27">
      <c r="A121" s="22"/>
      <c r="B121" s="22"/>
      <c r="C121" s="21" t="str">
        <f>IF(Deployments!H121="","",Deployments!H121)</f>
        <v>LIJ - OR</v>
      </c>
      <c r="D121" s="21" t="str">
        <f>IF(Deployments!AH121="","",Deployments!AH121)</f>
        <v/>
      </c>
      <c r="E121" s="21" t="str">
        <f>IF(Deployments!I121="","",Deployments!I121)</f>
        <v/>
      </c>
      <c r="F121" s="21" t="str">
        <f>IF(Deployments!J121="","",Deployments!J121)</f>
        <v/>
      </c>
      <c r="G121" s="21" t="str">
        <f>IF(Deployments!K121="","",Deployments!K121)</f>
        <v/>
      </c>
      <c r="H121" s="21" t="str">
        <f>IF(Deployments!A121="","",Deployments!A121)</f>
        <v>Cybernet</v>
      </c>
      <c r="I121" s="21" t="str">
        <f>IF(Deployments!AI121="","",Deployments!AI121)</f>
        <v/>
      </c>
      <c r="J121" s="21" t="str">
        <f>IF(Deployments!AJ121="","",Deployments!AJ121)</f>
        <v/>
      </c>
      <c r="K121" s="21" t="str">
        <f>IF(Deployments!AD121="","",Deployments!AD121)</f>
        <v/>
      </c>
      <c r="L121" s="21" t="str">
        <f>IF(Deployments!M121="","",Deployments!M121)</f>
        <v/>
      </c>
      <c r="M121" s="22"/>
      <c r="N121" s="21" t="str">
        <f>IF(Deployments!N121="","",Deployments!N121)</f>
        <v>Yes</v>
      </c>
      <c r="O121" s="21" t="str">
        <f>IF(Deployments!O121="","",Deployments!O121)</f>
        <v>No</v>
      </c>
      <c r="P121" s="21" t="str">
        <f>IF(Deployments!P121="","",Deployments!P121)</f>
        <v>No</v>
      </c>
      <c r="Q121" s="22"/>
      <c r="R121" s="21" t="str">
        <f>IF(Deployments!AY121="","",Deployments!AY121)</f>
        <v/>
      </c>
      <c r="S121" s="21" t="str">
        <f>IF(Deployments!AX121="","",Deployments!AX121)</f>
        <v/>
      </c>
      <c r="T121" s="21" t="str">
        <f>IF(Deployments!AV121="","",Deployments!AV121)</f>
        <v/>
      </c>
      <c r="U121" s="21" t="str">
        <f>IF(Deployments!AW121="","",Deployments!AW121)</f>
        <v/>
      </c>
      <c r="V121" s="21" t="str">
        <f>IF(Deployments!BA121="","",Deployments!BA121)</f>
        <v/>
      </c>
      <c r="W121" s="21" t="str">
        <f>IF(Deployments!BC121="","",Deployments!BC121)</f>
        <v/>
      </c>
      <c r="X121" s="21" t="str">
        <f>IF(Deployments!BK121="","",Deployments!BK121)</f>
        <v/>
      </c>
      <c r="Y121" s="21" t="str">
        <f>IF(Deployments!BB121="","",Deployments!BB121)</f>
        <v/>
      </c>
      <c r="Z121" s="21" t="str">
        <f>IF(Deployments!T121="","",Deployments!T121)</f>
        <v/>
      </c>
      <c r="AA121" s="21" t="str">
        <f>IF(Deployments!L121="","",Deployments!L121)</f>
        <v/>
      </c>
    </row>
    <row r="122" spans="1:27">
      <c r="A122" s="22"/>
      <c r="B122" s="22"/>
      <c r="C122" s="21" t="str">
        <f>IF(Deployments!H122="","",Deployments!H122)</f>
        <v>LIJ - OR</v>
      </c>
      <c r="D122" s="21" t="str">
        <f>IF(Deployments!AH122="","",Deployments!AH122)</f>
        <v/>
      </c>
      <c r="E122" s="21" t="str">
        <f>IF(Deployments!I122="","",Deployments!I122)</f>
        <v/>
      </c>
      <c r="F122" s="21" t="str">
        <f>IF(Deployments!J122="","",Deployments!J122)</f>
        <v/>
      </c>
      <c r="G122" s="21" t="str">
        <f>IF(Deployments!K122="","",Deployments!K122)</f>
        <v/>
      </c>
      <c r="H122" s="21" t="str">
        <f>IF(Deployments!A122="","",Deployments!A122)</f>
        <v>Cybernet</v>
      </c>
      <c r="I122" s="21" t="str">
        <f>IF(Deployments!AI122="","",Deployments!AI122)</f>
        <v/>
      </c>
      <c r="J122" s="21" t="str">
        <f>IF(Deployments!AJ122="","",Deployments!AJ122)</f>
        <v/>
      </c>
      <c r="K122" s="21" t="str">
        <f>IF(Deployments!AD122="","",Deployments!AD122)</f>
        <v/>
      </c>
      <c r="L122" s="21" t="str">
        <f>IF(Deployments!M122="","",Deployments!M122)</f>
        <v/>
      </c>
      <c r="M122" s="22"/>
      <c r="N122" s="21" t="str">
        <f>IF(Deployments!N122="","",Deployments!N122)</f>
        <v>Yes</v>
      </c>
      <c r="O122" s="21" t="str">
        <f>IF(Deployments!O122="","",Deployments!O122)</f>
        <v>No</v>
      </c>
      <c r="P122" s="21" t="str">
        <f>IF(Deployments!P122="","",Deployments!P122)</f>
        <v>No</v>
      </c>
      <c r="Q122" s="22"/>
      <c r="R122" s="21" t="str">
        <f>IF(Deployments!AY122="","",Deployments!AY122)</f>
        <v/>
      </c>
      <c r="S122" s="21" t="str">
        <f>IF(Deployments!AX122="","",Deployments!AX122)</f>
        <v/>
      </c>
      <c r="T122" s="21" t="str">
        <f>IF(Deployments!AV122="","",Deployments!AV122)</f>
        <v/>
      </c>
      <c r="U122" s="21" t="str">
        <f>IF(Deployments!AW122="","",Deployments!AW122)</f>
        <v/>
      </c>
      <c r="V122" s="21" t="str">
        <f>IF(Deployments!BA122="","",Deployments!BA122)</f>
        <v/>
      </c>
      <c r="W122" s="21" t="str">
        <f>IF(Deployments!BC122="","",Deployments!BC122)</f>
        <v/>
      </c>
      <c r="X122" s="21" t="str">
        <f>IF(Deployments!BK122="","",Deployments!BK122)</f>
        <v/>
      </c>
      <c r="Y122" s="21" t="str">
        <f>IF(Deployments!BB122="","",Deployments!BB122)</f>
        <v/>
      </c>
      <c r="Z122" s="21" t="str">
        <f>IF(Deployments!T122="","",Deployments!T122)</f>
        <v/>
      </c>
      <c r="AA122" s="21" t="str">
        <f>IF(Deployments!L122="","",Deployments!L122)</f>
        <v/>
      </c>
    </row>
    <row r="123" spans="1:27">
      <c r="A123" s="22"/>
      <c r="B123" s="22"/>
      <c r="C123" s="21" t="str">
        <f>IF(Deployments!H123="","",Deployments!H123)</f>
        <v>LIJ - OR</v>
      </c>
      <c r="D123" s="21" t="str">
        <f>IF(Deployments!AH123="","",Deployments!AH123)</f>
        <v/>
      </c>
      <c r="E123" s="21" t="str">
        <f>IF(Deployments!I123="","",Deployments!I123)</f>
        <v/>
      </c>
      <c r="F123" s="21" t="str">
        <f>IF(Deployments!J123="","",Deployments!J123)</f>
        <v/>
      </c>
      <c r="G123" s="21" t="str">
        <f>IF(Deployments!K123="","",Deployments!K123)</f>
        <v/>
      </c>
      <c r="H123" s="21" t="str">
        <f>IF(Deployments!A123="","",Deployments!A123)</f>
        <v>Cybernet</v>
      </c>
      <c r="I123" s="21" t="str">
        <f>IF(Deployments!AI123="","",Deployments!AI123)</f>
        <v/>
      </c>
      <c r="J123" s="21" t="str">
        <f>IF(Deployments!AJ123="","",Deployments!AJ123)</f>
        <v/>
      </c>
      <c r="K123" s="21" t="str">
        <f>IF(Deployments!AD123="","",Deployments!AD123)</f>
        <v/>
      </c>
      <c r="L123" s="21" t="str">
        <f>IF(Deployments!M123="","",Deployments!M123)</f>
        <v/>
      </c>
      <c r="M123" s="22"/>
      <c r="N123" s="21" t="str">
        <f>IF(Deployments!N123="","",Deployments!N123)</f>
        <v>Yes</v>
      </c>
      <c r="O123" s="21" t="str">
        <f>IF(Deployments!O123="","",Deployments!O123)</f>
        <v>No</v>
      </c>
      <c r="P123" s="21" t="str">
        <f>IF(Deployments!P123="","",Deployments!P123)</f>
        <v>No</v>
      </c>
      <c r="Q123" s="22"/>
      <c r="R123" s="21" t="str">
        <f>IF(Deployments!AY123="","",Deployments!AY123)</f>
        <v/>
      </c>
      <c r="S123" s="21" t="str">
        <f>IF(Deployments!AX123="","",Deployments!AX123)</f>
        <v/>
      </c>
      <c r="T123" s="21" t="str">
        <f>IF(Deployments!AV123="","",Deployments!AV123)</f>
        <v/>
      </c>
      <c r="U123" s="21" t="str">
        <f>IF(Deployments!AW123="","",Deployments!AW123)</f>
        <v/>
      </c>
      <c r="V123" s="21" t="str">
        <f>IF(Deployments!BA123="","",Deployments!BA123)</f>
        <v/>
      </c>
      <c r="W123" s="21" t="str">
        <f>IF(Deployments!BC123="","",Deployments!BC123)</f>
        <v/>
      </c>
      <c r="X123" s="21" t="str">
        <f>IF(Deployments!BK123="","",Deployments!BK123)</f>
        <v/>
      </c>
      <c r="Y123" s="21" t="str">
        <f>IF(Deployments!BB123="","",Deployments!BB123)</f>
        <v/>
      </c>
      <c r="Z123" s="21" t="str">
        <f>IF(Deployments!T123="","",Deployments!T123)</f>
        <v/>
      </c>
      <c r="AA123" s="21" t="str">
        <f>IF(Deployments!L123="","",Deployments!L123)</f>
        <v/>
      </c>
    </row>
    <row r="124" spans="1:27">
      <c r="A124" s="22"/>
      <c r="B124" s="22"/>
      <c r="C124" s="21" t="str">
        <f>IF(Deployments!H124="","",Deployments!H124)</f>
        <v>LIJ - OR</v>
      </c>
      <c r="D124" s="21" t="str">
        <f>IF(Deployments!AH124="","",Deployments!AH124)</f>
        <v/>
      </c>
      <c r="E124" s="21" t="str">
        <f>IF(Deployments!I124="","",Deployments!I124)</f>
        <v/>
      </c>
      <c r="F124" s="21" t="str">
        <f>IF(Deployments!J124="","",Deployments!J124)</f>
        <v/>
      </c>
      <c r="G124" s="21" t="str">
        <f>IF(Deployments!K124="","",Deployments!K124)</f>
        <v/>
      </c>
      <c r="H124" s="21" t="str">
        <f>IF(Deployments!A124="","",Deployments!A124)</f>
        <v>Cybernet</v>
      </c>
      <c r="I124" s="21" t="str">
        <f>IF(Deployments!AI124="","",Deployments!AI124)</f>
        <v/>
      </c>
      <c r="J124" s="21" t="str">
        <f>IF(Deployments!AJ124="","",Deployments!AJ124)</f>
        <v/>
      </c>
      <c r="K124" s="21" t="str">
        <f>IF(Deployments!AD124="","",Deployments!AD124)</f>
        <v/>
      </c>
      <c r="L124" s="21" t="str">
        <f>IF(Deployments!M124="","",Deployments!M124)</f>
        <v/>
      </c>
      <c r="M124" s="22"/>
      <c r="N124" s="21" t="str">
        <f>IF(Deployments!N124="","",Deployments!N124)</f>
        <v>Yes</v>
      </c>
      <c r="O124" s="21" t="str">
        <f>IF(Deployments!O124="","",Deployments!O124)</f>
        <v>No</v>
      </c>
      <c r="P124" s="21" t="str">
        <f>IF(Deployments!P124="","",Deployments!P124)</f>
        <v>No</v>
      </c>
      <c r="Q124" s="22"/>
      <c r="R124" s="21" t="str">
        <f>IF(Deployments!AY124="","",Deployments!AY124)</f>
        <v/>
      </c>
      <c r="S124" s="21" t="str">
        <f>IF(Deployments!AX124="","",Deployments!AX124)</f>
        <v/>
      </c>
      <c r="T124" s="21" t="str">
        <f>IF(Deployments!AV124="","",Deployments!AV124)</f>
        <v/>
      </c>
      <c r="U124" s="21" t="str">
        <f>IF(Deployments!AW124="","",Deployments!AW124)</f>
        <v/>
      </c>
      <c r="V124" s="21" t="str">
        <f>IF(Deployments!BA124="","",Deployments!BA124)</f>
        <v/>
      </c>
      <c r="W124" s="21" t="str">
        <f>IF(Deployments!BC124="","",Deployments!BC124)</f>
        <v/>
      </c>
      <c r="X124" s="21" t="str">
        <f>IF(Deployments!BK124="","",Deployments!BK124)</f>
        <v/>
      </c>
      <c r="Y124" s="21" t="str">
        <f>IF(Deployments!BB124="","",Deployments!BB124)</f>
        <v/>
      </c>
      <c r="Z124" s="21" t="str">
        <f>IF(Deployments!T124="","",Deployments!T124)</f>
        <v/>
      </c>
      <c r="AA124" s="21" t="str">
        <f>IF(Deployments!L124="","",Deployments!L124)</f>
        <v/>
      </c>
    </row>
    <row r="125" spans="1:27">
      <c r="A125" s="22"/>
      <c r="B125" s="22"/>
      <c r="C125" s="21" t="str">
        <f>IF(Deployments!H125="","",Deployments!H125)</f>
        <v>LIJ - OR</v>
      </c>
      <c r="D125" s="21" t="str">
        <f>IF(Deployments!AH125="","",Deployments!AH125)</f>
        <v/>
      </c>
      <c r="E125" s="21" t="str">
        <f>IF(Deployments!I125="","",Deployments!I125)</f>
        <v/>
      </c>
      <c r="F125" s="21" t="str">
        <f>IF(Deployments!J125="","",Deployments!J125)</f>
        <v/>
      </c>
      <c r="G125" s="21" t="str">
        <f>IF(Deployments!K125="","",Deployments!K125)</f>
        <v/>
      </c>
      <c r="H125" s="21" t="str">
        <f>IF(Deployments!A125="","",Deployments!A125)</f>
        <v>Cybernet</v>
      </c>
      <c r="I125" s="21" t="str">
        <f>IF(Deployments!AI125="","",Deployments!AI125)</f>
        <v/>
      </c>
      <c r="J125" s="21" t="str">
        <f>IF(Deployments!AJ125="","",Deployments!AJ125)</f>
        <v/>
      </c>
      <c r="K125" s="21" t="str">
        <f>IF(Deployments!AD125="","",Deployments!AD125)</f>
        <v/>
      </c>
      <c r="L125" s="21" t="str">
        <f>IF(Deployments!M125="","",Deployments!M125)</f>
        <v/>
      </c>
      <c r="M125" s="22"/>
      <c r="N125" s="21" t="str">
        <f>IF(Deployments!N125="","",Deployments!N125)</f>
        <v>Yes</v>
      </c>
      <c r="O125" s="21" t="str">
        <f>IF(Deployments!O125="","",Deployments!O125)</f>
        <v>No</v>
      </c>
      <c r="P125" s="21" t="str">
        <f>IF(Deployments!P125="","",Deployments!P125)</f>
        <v>No</v>
      </c>
      <c r="Q125" s="22"/>
      <c r="R125" s="21" t="str">
        <f>IF(Deployments!AY125="","",Deployments!AY125)</f>
        <v/>
      </c>
      <c r="S125" s="21" t="str">
        <f>IF(Deployments!AX125="","",Deployments!AX125)</f>
        <v/>
      </c>
      <c r="T125" s="21" t="str">
        <f>IF(Deployments!AV125="","",Deployments!AV125)</f>
        <v/>
      </c>
      <c r="U125" s="21" t="str">
        <f>IF(Deployments!AW125="","",Deployments!AW125)</f>
        <v/>
      </c>
      <c r="V125" s="21" t="str">
        <f>IF(Deployments!BA125="","",Deployments!BA125)</f>
        <v/>
      </c>
      <c r="W125" s="21" t="str">
        <f>IF(Deployments!BC125="","",Deployments!BC125)</f>
        <v/>
      </c>
      <c r="X125" s="21" t="str">
        <f>IF(Deployments!BK125="","",Deployments!BK125)</f>
        <v/>
      </c>
      <c r="Y125" s="21" t="str">
        <f>IF(Deployments!BB125="","",Deployments!BB125)</f>
        <v/>
      </c>
      <c r="Z125" s="21" t="str">
        <f>IF(Deployments!T125="","",Deployments!T125)</f>
        <v/>
      </c>
      <c r="AA125" s="21" t="str">
        <f>IF(Deployments!L125="","",Deployments!L125)</f>
        <v/>
      </c>
    </row>
    <row r="126" spans="1:27">
      <c r="A126" s="22"/>
      <c r="B126" s="22"/>
      <c r="C126" s="21" t="str">
        <f>IF(Deployments!H126="","",Deployments!H126)</f>
        <v>LIJ - OR</v>
      </c>
      <c r="D126" s="21" t="str">
        <f>IF(Deployments!AH126="","",Deployments!AH126)</f>
        <v/>
      </c>
      <c r="E126" s="21" t="str">
        <f>IF(Deployments!I126="","",Deployments!I126)</f>
        <v/>
      </c>
      <c r="F126" s="21" t="str">
        <f>IF(Deployments!J126="","",Deployments!J126)</f>
        <v/>
      </c>
      <c r="G126" s="21" t="str">
        <f>IF(Deployments!K126="","",Deployments!K126)</f>
        <v/>
      </c>
      <c r="H126" s="21" t="str">
        <f>IF(Deployments!A126="","",Deployments!A126)</f>
        <v>Cybernet</v>
      </c>
      <c r="I126" s="21" t="str">
        <f>IF(Deployments!AI126="","",Deployments!AI126)</f>
        <v/>
      </c>
      <c r="J126" s="21" t="str">
        <f>IF(Deployments!AJ126="","",Deployments!AJ126)</f>
        <v/>
      </c>
      <c r="K126" s="21" t="str">
        <f>IF(Deployments!AD126="","",Deployments!AD126)</f>
        <v/>
      </c>
      <c r="L126" s="21" t="str">
        <f>IF(Deployments!M126="","",Deployments!M126)</f>
        <v/>
      </c>
      <c r="M126" s="22"/>
      <c r="N126" s="21" t="str">
        <f>IF(Deployments!N126="","",Deployments!N126)</f>
        <v>Yes</v>
      </c>
      <c r="O126" s="21" t="str">
        <f>IF(Deployments!O126="","",Deployments!O126)</f>
        <v>No</v>
      </c>
      <c r="P126" s="21" t="str">
        <f>IF(Deployments!P126="","",Deployments!P126)</f>
        <v>No</v>
      </c>
      <c r="Q126" s="22"/>
      <c r="R126" s="21" t="str">
        <f>IF(Deployments!AY126="","",Deployments!AY126)</f>
        <v/>
      </c>
      <c r="S126" s="21" t="str">
        <f>IF(Deployments!AX126="","",Deployments!AX126)</f>
        <v/>
      </c>
      <c r="T126" s="21" t="str">
        <f>IF(Deployments!AV126="","",Deployments!AV126)</f>
        <v/>
      </c>
      <c r="U126" s="21" t="str">
        <f>IF(Deployments!AW126="","",Deployments!AW126)</f>
        <v/>
      </c>
      <c r="V126" s="21" t="str">
        <f>IF(Deployments!BA126="","",Deployments!BA126)</f>
        <v/>
      </c>
      <c r="W126" s="21" t="str">
        <f>IF(Deployments!BC126="","",Deployments!BC126)</f>
        <v/>
      </c>
      <c r="X126" s="21" t="str">
        <f>IF(Deployments!BK126="","",Deployments!BK126)</f>
        <v/>
      </c>
      <c r="Y126" s="21" t="str">
        <f>IF(Deployments!BB126="","",Deployments!BB126)</f>
        <v/>
      </c>
      <c r="Z126" s="21" t="str">
        <f>IF(Deployments!T126="","",Deployments!T126)</f>
        <v/>
      </c>
      <c r="AA126" s="21" t="str">
        <f>IF(Deployments!L126="","",Deployments!L126)</f>
        <v/>
      </c>
    </row>
    <row r="127" spans="1:27">
      <c r="A127" s="22"/>
      <c r="B127" s="22"/>
      <c r="C127" s="21" t="str">
        <f>IF(Deployments!H127="","",Deployments!H127)</f>
        <v>LIJ - OR</v>
      </c>
      <c r="D127" s="21" t="str">
        <f>IF(Deployments!AH127="","",Deployments!AH127)</f>
        <v/>
      </c>
      <c r="E127" s="21" t="str">
        <f>IF(Deployments!I127="","",Deployments!I127)</f>
        <v/>
      </c>
      <c r="F127" s="21" t="str">
        <f>IF(Deployments!J127="","",Deployments!J127)</f>
        <v/>
      </c>
      <c r="G127" s="21" t="str">
        <f>IF(Deployments!K127="","",Deployments!K127)</f>
        <v/>
      </c>
      <c r="H127" s="21" t="str">
        <f>IF(Deployments!A127="","",Deployments!A127)</f>
        <v>Cybernet</v>
      </c>
      <c r="I127" s="21" t="str">
        <f>IF(Deployments!AI127="","",Deployments!AI127)</f>
        <v/>
      </c>
      <c r="J127" s="21" t="str">
        <f>IF(Deployments!AJ127="","",Deployments!AJ127)</f>
        <v/>
      </c>
      <c r="K127" s="21" t="str">
        <f>IF(Deployments!AD127="","",Deployments!AD127)</f>
        <v/>
      </c>
      <c r="L127" s="21" t="str">
        <f>IF(Deployments!M127="","",Deployments!M127)</f>
        <v/>
      </c>
      <c r="M127" s="22"/>
      <c r="N127" s="21" t="str">
        <f>IF(Deployments!N127="","",Deployments!N127)</f>
        <v>Yes</v>
      </c>
      <c r="O127" s="21" t="str">
        <f>IF(Deployments!O127="","",Deployments!O127)</f>
        <v>No</v>
      </c>
      <c r="P127" s="21" t="str">
        <f>IF(Deployments!P127="","",Deployments!P127)</f>
        <v>No</v>
      </c>
      <c r="Q127" s="22"/>
      <c r="R127" s="21" t="str">
        <f>IF(Deployments!AY127="","",Deployments!AY127)</f>
        <v/>
      </c>
      <c r="S127" s="21" t="str">
        <f>IF(Deployments!AX127="","",Deployments!AX127)</f>
        <v/>
      </c>
      <c r="T127" s="21" t="str">
        <f>IF(Deployments!AV127="","",Deployments!AV127)</f>
        <v/>
      </c>
      <c r="U127" s="21" t="str">
        <f>IF(Deployments!AW127="","",Deployments!AW127)</f>
        <v/>
      </c>
      <c r="V127" s="21" t="str">
        <f>IF(Deployments!BA127="","",Deployments!BA127)</f>
        <v/>
      </c>
      <c r="W127" s="21" t="str">
        <f>IF(Deployments!BC127="","",Deployments!BC127)</f>
        <v/>
      </c>
      <c r="X127" s="21" t="str">
        <f>IF(Deployments!BK127="","",Deployments!BK127)</f>
        <v/>
      </c>
      <c r="Y127" s="21" t="str">
        <f>IF(Deployments!BB127="","",Deployments!BB127)</f>
        <v/>
      </c>
      <c r="Z127" s="21" t="str">
        <f>IF(Deployments!T127="","",Deployments!T127)</f>
        <v/>
      </c>
      <c r="AA127" s="21" t="str">
        <f>IF(Deployments!L127="","",Deployments!L127)</f>
        <v/>
      </c>
    </row>
    <row r="128" spans="1:27">
      <c r="A128" s="22"/>
      <c r="B128" s="22"/>
      <c r="C128" s="21" t="str">
        <f>IF(Deployments!H128="","",Deployments!H128)</f>
        <v>LIJ - OR</v>
      </c>
      <c r="D128" s="21" t="str">
        <f>IF(Deployments!AH128="","",Deployments!AH128)</f>
        <v/>
      </c>
      <c r="E128" s="21" t="str">
        <f>IF(Deployments!I128="","",Deployments!I128)</f>
        <v/>
      </c>
      <c r="F128" s="21" t="str">
        <f>IF(Deployments!J128="","",Deployments!J128)</f>
        <v/>
      </c>
      <c r="G128" s="21" t="str">
        <f>IF(Deployments!K128="","",Deployments!K128)</f>
        <v/>
      </c>
      <c r="H128" s="21" t="str">
        <f>IF(Deployments!A128="","",Deployments!A128)</f>
        <v>Cybernet</v>
      </c>
      <c r="I128" s="21" t="str">
        <f>IF(Deployments!AI128="","",Deployments!AI128)</f>
        <v/>
      </c>
      <c r="J128" s="21" t="str">
        <f>IF(Deployments!AJ128="","",Deployments!AJ128)</f>
        <v/>
      </c>
      <c r="K128" s="21" t="str">
        <f>IF(Deployments!AD128="","",Deployments!AD128)</f>
        <v/>
      </c>
      <c r="L128" s="21" t="str">
        <f>IF(Deployments!M128="","",Deployments!M128)</f>
        <v/>
      </c>
      <c r="M128" s="22"/>
      <c r="N128" s="21" t="str">
        <f>IF(Deployments!N128="","",Deployments!N128)</f>
        <v>Yes</v>
      </c>
      <c r="O128" s="21" t="str">
        <f>IF(Deployments!O128="","",Deployments!O128)</f>
        <v>No</v>
      </c>
      <c r="P128" s="21" t="str">
        <f>IF(Deployments!P128="","",Deployments!P128)</f>
        <v>No</v>
      </c>
      <c r="Q128" s="22"/>
      <c r="R128" s="21" t="str">
        <f>IF(Deployments!AY128="","",Deployments!AY128)</f>
        <v/>
      </c>
      <c r="S128" s="21" t="str">
        <f>IF(Deployments!AX128="","",Deployments!AX128)</f>
        <v/>
      </c>
      <c r="T128" s="21" t="str">
        <f>IF(Deployments!AV128="","",Deployments!AV128)</f>
        <v/>
      </c>
      <c r="U128" s="21" t="str">
        <f>IF(Deployments!AW128="","",Deployments!AW128)</f>
        <v/>
      </c>
      <c r="V128" s="21" t="str">
        <f>IF(Deployments!BA128="","",Deployments!BA128)</f>
        <v/>
      </c>
      <c r="W128" s="21" t="str">
        <f>IF(Deployments!BC128="","",Deployments!BC128)</f>
        <v/>
      </c>
      <c r="X128" s="21" t="str">
        <f>IF(Deployments!BK128="","",Deployments!BK128)</f>
        <v/>
      </c>
      <c r="Y128" s="21" t="str">
        <f>IF(Deployments!BB128="","",Deployments!BB128)</f>
        <v/>
      </c>
      <c r="Z128" s="21" t="str">
        <f>IF(Deployments!T128="","",Deployments!T128)</f>
        <v/>
      </c>
      <c r="AA128" s="21" t="str">
        <f>IF(Deployments!L128="","",Deployments!L128)</f>
        <v/>
      </c>
    </row>
    <row r="129" spans="1:27">
      <c r="A129" s="22"/>
      <c r="B129" s="22"/>
      <c r="C129" s="21" t="str">
        <f>IF(Deployments!H129="","",Deployments!H129)</f>
        <v>LIJ - OR</v>
      </c>
      <c r="D129" s="21" t="str">
        <f>IF(Deployments!AH129="","",Deployments!AH129)</f>
        <v/>
      </c>
      <c r="E129" s="21" t="str">
        <f>IF(Deployments!I129="","",Deployments!I129)</f>
        <v/>
      </c>
      <c r="F129" s="21" t="str">
        <f>IF(Deployments!J129="","",Deployments!J129)</f>
        <v/>
      </c>
      <c r="G129" s="21" t="str">
        <f>IF(Deployments!K129="","",Deployments!K129)</f>
        <v/>
      </c>
      <c r="H129" s="21" t="str">
        <f>IF(Deployments!A129="","",Deployments!A129)</f>
        <v>Cybernet</v>
      </c>
      <c r="I129" s="21" t="str">
        <f>IF(Deployments!AI129="","",Deployments!AI129)</f>
        <v/>
      </c>
      <c r="J129" s="21" t="str">
        <f>IF(Deployments!AJ129="","",Deployments!AJ129)</f>
        <v/>
      </c>
      <c r="K129" s="21" t="str">
        <f>IF(Deployments!AD129="","",Deployments!AD129)</f>
        <v/>
      </c>
      <c r="L129" s="21" t="str">
        <f>IF(Deployments!M129="","",Deployments!M129)</f>
        <v/>
      </c>
      <c r="M129" s="22"/>
      <c r="N129" s="21" t="str">
        <f>IF(Deployments!N129="","",Deployments!N129)</f>
        <v>Yes</v>
      </c>
      <c r="O129" s="21" t="str">
        <f>IF(Deployments!O129="","",Deployments!O129)</f>
        <v>No</v>
      </c>
      <c r="P129" s="21" t="str">
        <f>IF(Deployments!P129="","",Deployments!P129)</f>
        <v>No</v>
      </c>
      <c r="Q129" s="22"/>
      <c r="R129" s="21" t="str">
        <f>IF(Deployments!AY129="","",Deployments!AY129)</f>
        <v/>
      </c>
      <c r="S129" s="21" t="str">
        <f>IF(Deployments!AX129="","",Deployments!AX129)</f>
        <v/>
      </c>
      <c r="T129" s="21" t="str">
        <f>IF(Deployments!AV129="","",Deployments!AV129)</f>
        <v/>
      </c>
      <c r="U129" s="21" t="str">
        <f>IF(Deployments!AW129="","",Deployments!AW129)</f>
        <v/>
      </c>
      <c r="V129" s="21" t="str">
        <f>IF(Deployments!BA129="","",Deployments!BA129)</f>
        <v/>
      </c>
      <c r="W129" s="21" t="str">
        <f>IF(Deployments!BC129="","",Deployments!BC129)</f>
        <v/>
      </c>
      <c r="X129" s="21" t="str">
        <f>IF(Deployments!BK129="","",Deployments!BK129)</f>
        <v/>
      </c>
      <c r="Y129" s="21" t="str">
        <f>IF(Deployments!BB129="","",Deployments!BB129)</f>
        <v/>
      </c>
      <c r="Z129" s="21" t="str">
        <f>IF(Deployments!T129="","",Deployments!T129)</f>
        <v/>
      </c>
      <c r="AA129" s="21" t="str">
        <f>IF(Deployments!L129="","",Deployments!L129)</f>
        <v/>
      </c>
    </row>
    <row r="130" spans="1:27">
      <c r="A130" s="22"/>
      <c r="B130" s="22"/>
      <c r="C130" s="21" t="str">
        <f>IF(Deployments!H130="","",Deployments!H130)</f>
        <v>LIJ - OR</v>
      </c>
      <c r="D130" s="21" t="str">
        <f>IF(Deployments!AH130="","",Deployments!AH130)</f>
        <v/>
      </c>
      <c r="E130" s="21" t="str">
        <f>IF(Deployments!I130="","",Deployments!I130)</f>
        <v/>
      </c>
      <c r="F130" s="21" t="str">
        <f>IF(Deployments!J130="","",Deployments!J130)</f>
        <v/>
      </c>
      <c r="G130" s="21" t="str">
        <f>IF(Deployments!K130="","",Deployments!K130)</f>
        <v/>
      </c>
      <c r="H130" s="21" t="str">
        <f>IF(Deployments!A130="","",Deployments!A130)</f>
        <v>Cybernet</v>
      </c>
      <c r="I130" s="21" t="str">
        <f>IF(Deployments!AI130="","",Deployments!AI130)</f>
        <v/>
      </c>
      <c r="J130" s="21" t="str">
        <f>IF(Deployments!AJ130="","",Deployments!AJ130)</f>
        <v/>
      </c>
      <c r="K130" s="21" t="str">
        <f>IF(Deployments!AD130="","",Deployments!AD130)</f>
        <v/>
      </c>
      <c r="L130" s="21" t="str">
        <f>IF(Deployments!M130="","",Deployments!M130)</f>
        <v/>
      </c>
      <c r="M130" s="22"/>
      <c r="N130" s="21" t="str">
        <f>IF(Deployments!N130="","",Deployments!N130)</f>
        <v>Yes</v>
      </c>
      <c r="O130" s="21" t="str">
        <f>IF(Deployments!O130="","",Deployments!O130)</f>
        <v>No</v>
      </c>
      <c r="P130" s="21" t="str">
        <f>IF(Deployments!P130="","",Deployments!P130)</f>
        <v>No</v>
      </c>
      <c r="Q130" s="22"/>
      <c r="R130" s="21" t="str">
        <f>IF(Deployments!AY130="","",Deployments!AY130)</f>
        <v/>
      </c>
      <c r="S130" s="21" t="str">
        <f>IF(Deployments!AX130="","",Deployments!AX130)</f>
        <v/>
      </c>
      <c r="T130" s="21" t="str">
        <f>IF(Deployments!AV130="","",Deployments!AV130)</f>
        <v/>
      </c>
      <c r="U130" s="21" t="str">
        <f>IF(Deployments!AW130="","",Deployments!AW130)</f>
        <v/>
      </c>
      <c r="V130" s="21" t="str">
        <f>IF(Deployments!BA130="","",Deployments!BA130)</f>
        <v/>
      </c>
      <c r="W130" s="21" t="str">
        <f>IF(Deployments!BC130="","",Deployments!BC130)</f>
        <v/>
      </c>
      <c r="X130" s="21" t="str">
        <f>IF(Deployments!BK130="","",Deployments!BK130)</f>
        <v/>
      </c>
      <c r="Y130" s="21" t="str">
        <f>IF(Deployments!BB130="","",Deployments!BB130)</f>
        <v/>
      </c>
      <c r="Z130" s="21" t="str">
        <f>IF(Deployments!T130="","",Deployments!T130)</f>
        <v/>
      </c>
      <c r="AA130" s="21" t="str">
        <f>IF(Deployments!L130="","",Deployments!L130)</f>
        <v/>
      </c>
    </row>
    <row r="131" spans="1:27">
      <c r="A131" s="22"/>
      <c r="B131" s="22"/>
      <c r="C131" s="21" t="str">
        <f>IF(Deployments!H131="","",Deployments!H131)</f>
        <v>LIJ - OR</v>
      </c>
      <c r="D131" s="21" t="str">
        <f>IF(Deployments!AH131="","",Deployments!AH131)</f>
        <v/>
      </c>
      <c r="E131" s="21" t="str">
        <f>IF(Deployments!I131="","",Deployments!I131)</f>
        <v/>
      </c>
      <c r="F131" s="21" t="str">
        <f>IF(Deployments!J131="","",Deployments!J131)</f>
        <v/>
      </c>
      <c r="G131" s="21" t="str">
        <f>IF(Deployments!K131="","",Deployments!K131)</f>
        <v/>
      </c>
      <c r="H131" s="21" t="str">
        <f>IF(Deployments!A131="","",Deployments!A131)</f>
        <v>Cybernet</v>
      </c>
      <c r="I131" s="21" t="str">
        <f>IF(Deployments!AI131="","",Deployments!AI131)</f>
        <v/>
      </c>
      <c r="J131" s="21" t="str">
        <f>IF(Deployments!AJ131="","",Deployments!AJ131)</f>
        <v/>
      </c>
      <c r="K131" s="21" t="str">
        <f>IF(Deployments!AD131="","",Deployments!AD131)</f>
        <v/>
      </c>
      <c r="L131" s="21" t="str">
        <f>IF(Deployments!M131="","",Deployments!M131)</f>
        <v/>
      </c>
      <c r="M131" s="22"/>
      <c r="N131" s="21" t="str">
        <f>IF(Deployments!N131="","",Deployments!N131)</f>
        <v>Yes</v>
      </c>
      <c r="O131" s="21" t="str">
        <f>IF(Deployments!O131="","",Deployments!O131)</f>
        <v>No</v>
      </c>
      <c r="P131" s="21" t="str">
        <f>IF(Deployments!P131="","",Deployments!P131)</f>
        <v>No</v>
      </c>
      <c r="Q131" s="22"/>
      <c r="R131" s="21" t="str">
        <f>IF(Deployments!AY131="","",Deployments!AY131)</f>
        <v/>
      </c>
      <c r="S131" s="21" t="str">
        <f>IF(Deployments!AX131="","",Deployments!AX131)</f>
        <v/>
      </c>
      <c r="T131" s="21" t="str">
        <f>IF(Deployments!AV131="","",Deployments!AV131)</f>
        <v/>
      </c>
      <c r="U131" s="21" t="str">
        <f>IF(Deployments!AW131="","",Deployments!AW131)</f>
        <v/>
      </c>
      <c r="V131" s="21" t="str">
        <f>IF(Deployments!BA131="","",Deployments!BA131)</f>
        <v/>
      </c>
      <c r="W131" s="21" t="str">
        <f>IF(Deployments!BC131="","",Deployments!BC131)</f>
        <v/>
      </c>
      <c r="X131" s="21" t="str">
        <f>IF(Deployments!BK131="","",Deployments!BK131)</f>
        <v/>
      </c>
      <c r="Y131" s="21" t="str">
        <f>IF(Deployments!BB131="","",Deployments!BB131)</f>
        <v/>
      </c>
      <c r="Z131" s="21" t="str">
        <f>IF(Deployments!T131="","",Deployments!T131)</f>
        <v/>
      </c>
      <c r="AA131" s="21" t="str">
        <f>IF(Deployments!L131="","",Deployments!L131)</f>
        <v/>
      </c>
    </row>
    <row r="132" spans="1:27">
      <c r="A132" s="22"/>
      <c r="B132" s="22"/>
      <c r="C132" s="21" t="str">
        <f>IF(Deployments!H132="","",Deployments!H132)</f>
        <v>LIJ - OR</v>
      </c>
      <c r="D132" s="21" t="str">
        <f>IF(Deployments!AH132="","",Deployments!AH132)</f>
        <v/>
      </c>
      <c r="E132" s="21" t="str">
        <f>IF(Deployments!I132="","",Deployments!I132)</f>
        <v/>
      </c>
      <c r="F132" s="21" t="str">
        <f>IF(Deployments!J132="","",Deployments!J132)</f>
        <v/>
      </c>
      <c r="G132" s="21" t="str">
        <f>IF(Deployments!K132="","",Deployments!K132)</f>
        <v/>
      </c>
      <c r="H132" s="21" t="str">
        <f>IF(Deployments!A132="","",Deployments!A132)</f>
        <v>Cybernet</v>
      </c>
      <c r="I132" s="21" t="str">
        <f>IF(Deployments!AI132="","",Deployments!AI132)</f>
        <v/>
      </c>
      <c r="J132" s="21" t="str">
        <f>IF(Deployments!AJ132="","",Deployments!AJ132)</f>
        <v/>
      </c>
      <c r="K132" s="21" t="str">
        <f>IF(Deployments!AD132="","",Deployments!AD132)</f>
        <v/>
      </c>
      <c r="L132" s="21" t="str">
        <f>IF(Deployments!M132="","",Deployments!M132)</f>
        <v/>
      </c>
      <c r="M132" s="22"/>
      <c r="N132" s="21" t="str">
        <f>IF(Deployments!N132="","",Deployments!N132)</f>
        <v>Yes</v>
      </c>
      <c r="O132" s="21" t="str">
        <f>IF(Deployments!O132="","",Deployments!O132)</f>
        <v>No</v>
      </c>
      <c r="P132" s="21" t="str">
        <f>IF(Deployments!P132="","",Deployments!P132)</f>
        <v>No</v>
      </c>
      <c r="Q132" s="22"/>
      <c r="R132" s="21" t="str">
        <f>IF(Deployments!AY132="","",Deployments!AY132)</f>
        <v/>
      </c>
      <c r="S132" s="21" t="str">
        <f>IF(Deployments!AX132="","",Deployments!AX132)</f>
        <v/>
      </c>
      <c r="T132" s="21" t="str">
        <f>IF(Deployments!AV132="","",Deployments!AV132)</f>
        <v/>
      </c>
      <c r="U132" s="21" t="str">
        <f>IF(Deployments!AW132="","",Deployments!AW132)</f>
        <v/>
      </c>
      <c r="V132" s="21" t="str">
        <f>IF(Deployments!BA132="","",Deployments!BA132)</f>
        <v/>
      </c>
      <c r="W132" s="21" t="str">
        <f>IF(Deployments!BC132="","",Deployments!BC132)</f>
        <v/>
      </c>
      <c r="X132" s="21" t="str">
        <f>IF(Deployments!BK132="","",Deployments!BK132)</f>
        <v/>
      </c>
      <c r="Y132" s="21" t="str">
        <f>IF(Deployments!BB132="","",Deployments!BB132)</f>
        <v/>
      </c>
      <c r="Z132" s="21" t="str">
        <f>IF(Deployments!T132="","",Deployments!T132)</f>
        <v/>
      </c>
      <c r="AA132" s="21" t="str">
        <f>IF(Deployments!L132="","",Deployments!L132)</f>
        <v/>
      </c>
    </row>
    <row r="133" spans="1:27">
      <c r="A133" s="22"/>
      <c r="B133" s="22"/>
      <c r="C133" s="21" t="str">
        <f>IF(Deployments!H133="","",Deployments!H133)</f>
        <v>LIJ - OR</v>
      </c>
      <c r="D133" s="21" t="str">
        <f>IF(Deployments!AH133="","",Deployments!AH133)</f>
        <v/>
      </c>
      <c r="E133" s="21" t="str">
        <f>IF(Deployments!I133="","",Deployments!I133)</f>
        <v/>
      </c>
      <c r="F133" s="21" t="str">
        <f>IF(Deployments!J133="","",Deployments!J133)</f>
        <v/>
      </c>
      <c r="G133" s="21" t="str">
        <f>IF(Deployments!K133="","",Deployments!K133)</f>
        <v/>
      </c>
      <c r="H133" s="21" t="str">
        <f>IF(Deployments!A133="","",Deployments!A133)</f>
        <v>Cybernet</v>
      </c>
      <c r="I133" s="21" t="str">
        <f>IF(Deployments!AI133="","",Deployments!AI133)</f>
        <v/>
      </c>
      <c r="J133" s="21" t="str">
        <f>IF(Deployments!AJ133="","",Deployments!AJ133)</f>
        <v/>
      </c>
      <c r="K133" s="21" t="str">
        <f>IF(Deployments!AD133="","",Deployments!AD133)</f>
        <v/>
      </c>
      <c r="L133" s="21" t="str">
        <f>IF(Deployments!M133="","",Deployments!M133)</f>
        <v/>
      </c>
      <c r="M133" s="22"/>
      <c r="N133" s="21" t="str">
        <f>IF(Deployments!N133="","",Deployments!N133)</f>
        <v>Yes</v>
      </c>
      <c r="O133" s="21" t="str">
        <f>IF(Deployments!O133="","",Deployments!O133)</f>
        <v>No</v>
      </c>
      <c r="P133" s="21" t="str">
        <f>IF(Deployments!P133="","",Deployments!P133)</f>
        <v>No</v>
      </c>
      <c r="Q133" s="22"/>
      <c r="R133" s="21" t="str">
        <f>IF(Deployments!AY133="","",Deployments!AY133)</f>
        <v/>
      </c>
      <c r="S133" s="21" t="str">
        <f>IF(Deployments!AX133="","",Deployments!AX133)</f>
        <v/>
      </c>
      <c r="T133" s="21" t="str">
        <f>IF(Deployments!AV133="","",Deployments!AV133)</f>
        <v/>
      </c>
      <c r="U133" s="21" t="str">
        <f>IF(Deployments!AW133="","",Deployments!AW133)</f>
        <v/>
      </c>
      <c r="V133" s="21" t="str">
        <f>IF(Deployments!BA133="","",Deployments!BA133)</f>
        <v/>
      </c>
      <c r="W133" s="21" t="str">
        <f>IF(Deployments!BC133="","",Deployments!BC133)</f>
        <v/>
      </c>
      <c r="X133" s="21" t="str">
        <f>IF(Deployments!BK133="","",Deployments!BK133)</f>
        <v/>
      </c>
      <c r="Y133" s="21" t="str">
        <f>IF(Deployments!BB133="","",Deployments!BB133)</f>
        <v/>
      </c>
      <c r="Z133" s="21" t="str">
        <f>IF(Deployments!T133="","",Deployments!T133)</f>
        <v/>
      </c>
      <c r="AA133" s="21" t="str">
        <f>IF(Deployments!L133="","",Deployments!L133)</f>
        <v/>
      </c>
    </row>
    <row r="134" spans="1:27">
      <c r="A134" s="22"/>
      <c r="B134" s="22"/>
      <c r="C134" s="21" t="str">
        <f>IF(Deployments!H134="","",Deployments!H134)</f>
        <v>LIJ - OR</v>
      </c>
      <c r="D134" s="21" t="str">
        <f>IF(Deployments!AH134="","",Deployments!AH134)</f>
        <v/>
      </c>
      <c r="E134" s="21" t="str">
        <f>IF(Deployments!I134="","",Deployments!I134)</f>
        <v/>
      </c>
      <c r="F134" s="21" t="str">
        <f>IF(Deployments!J134="","",Deployments!J134)</f>
        <v/>
      </c>
      <c r="G134" s="21" t="str">
        <f>IF(Deployments!K134="","",Deployments!K134)</f>
        <v/>
      </c>
      <c r="H134" s="21" t="str">
        <f>IF(Deployments!A134="","",Deployments!A134)</f>
        <v>Cybernet</v>
      </c>
      <c r="I134" s="21" t="str">
        <f>IF(Deployments!AI134="","",Deployments!AI134)</f>
        <v/>
      </c>
      <c r="J134" s="21" t="str">
        <f>IF(Deployments!AJ134="","",Deployments!AJ134)</f>
        <v/>
      </c>
      <c r="K134" s="21" t="str">
        <f>IF(Deployments!AD134="","",Deployments!AD134)</f>
        <v/>
      </c>
      <c r="L134" s="21" t="str">
        <f>IF(Deployments!M134="","",Deployments!M134)</f>
        <v/>
      </c>
      <c r="M134" s="22"/>
      <c r="N134" s="21" t="str">
        <f>IF(Deployments!N134="","",Deployments!N134)</f>
        <v>Yes</v>
      </c>
      <c r="O134" s="21" t="str">
        <f>IF(Deployments!O134="","",Deployments!O134)</f>
        <v>No</v>
      </c>
      <c r="P134" s="21" t="str">
        <f>IF(Deployments!P134="","",Deployments!P134)</f>
        <v>No</v>
      </c>
      <c r="Q134" s="22"/>
      <c r="R134" s="21" t="str">
        <f>IF(Deployments!AY134="","",Deployments!AY134)</f>
        <v/>
      </c>
      <c r="S134" s="21" t="str">
        <f>IF(Deployments!AX134="","",Deployments!AX134)</f>
        <v/>
      </c>
      <c r="T134" s="21" t="str">
        <f>IF(Deployments!AV134="","",Deployments!AV134)</f>
        <v/>
      </c>
      <c r="U134" s="21" t="str">
        <f>IF(Deployments!AW134="","",Deployments!AW134)</f>
        <v/>
      </c>
      <c r="V134" s="21" t="str">
        <f>IF(Deployments!BA134="","",Deployments!BA134)</f>
        <v/>
      </c>
      <c r="W134" s="21" t="str">
        <f>IF(Deployments!BC134="","",Deployments!BC134)</f>
        <v/>
      </c>
      <c r="X134" s="21" t="str">
        <f>IF(Deployments!BK134="","",Deployments!BK134)</f>
        <v/>
      </c>
      <c r="Y134" s="21" t="str">
        <f>IF(Deployments!BB134="","",Deployments!BB134)</f>
        <v/>
      </c>
      <c r="Z134" s="21" t="str">
        <f>IF(Deployments!T134="","",Deployments!T134)</f>
        <v/>
      </c>
      <c r="AA134" s="21" t="str">
        <f>IF(Deployments!L134="","",Deployments!L134)</f>
        <v/>
      </c>
    </row>
    <row r="135" spans="1:27">
      <c r="A135" s="22"/>
      <c r="B135" s="22"/>
      <c r="C135" s="21" t="str">
        <f>IF(Deployments!H135="","",Deployments!H135)</f>
        <v>LIJ - OR</v>
      </c>
      <c r="D135" s="21" t="str">
        <f>IF(Deployments!AH135="","",Deployments!AH135)</f>
        <v/>
      </c>
      <c r="E135" s="21" t="str">
        <f>IF(Deployments!I135="","",Deployments!I135)</f>
        <v/>
      </c>
      <c r="F135" s="21" t="str">
        <f>IF(Deployments!J135="","",Deployments!J135)</f>
        <v/>
      </c>
      <c r="G135" s="21" t="str">
        <f>IF(Deployments!K135="","",Deployments!K135)</f>
        <v/>
      </c>
      <c r="H135" s="21" t="str">
        <f>IF(Deployments!A135="","",Deployments!A135)</f>
        <v>Cybernet</v>
      </c>
      <c r="I135" s="21" t="str">
        <f>IF(Deployments!AI135="","",Deployments!AI135)</f>
        <v/>
      </c>
      <c r="J135" s="21" t="str">
        <f>IF(Deployments!AJ135="","",Deployments!AJ135)</f>
        <v/>
      </c>
      <c r="K135" s="21" t="str">
        <f>IF(Deployments!AD135="","",Deployments!AD135)</f>
        <v/>
      </c>
      <c r="L135" s="21" t="str">
        <f>IF(Deployments!M135="","",Deployments!M135)</f>
        <v/>
      </c>
      <c r="M135" s="22"/>
      <c r="N135" s="21" t="str">
        <f>IF(Deployments!N135="","",Deployments!N135)</f>
        <v>Yes</v>
      </c>
      <c r="O135" s="21" t="str">
        <f>IF(Deployments!O135="","",Deployments!O135)</f>
        <v>No</v>
      </c>
      <c r="P135" s="21" t="str">
        <f>IF(Deployments!P135="","",Deployments!P135)</f>
        <v>No</v>
      </c>
      <c r="Q135" s="22"/>
      <c r="R135" s="21" t="str">
        <f>IF(Deployments!AY135="","",Deployments!AY135)</f>
        <v/>
      </c>
      <c r="S135" s="21" t="str">
        <f>IF(Deployments!AX135="","",Deployments!AX135)</f>
        <v/>
      </c>
      <c r="T135" s="21" t="str">
        <f>IF(Deployments!AV135="","",Deployments!AV135)</f>
        <v/>
      </c>
      <c r="U135" s="21" t="str">
        <f>IF(Deployments!AW135="","",Deployments!AW135)</f>
        <v/>
      </c>
      <c r="V135" s="21" t="str">
        <f>IF(Deployments!BA135="","",Deployments!BA135)</f>
        <v/>
      </c>
      <c r="W135" s="21" t="str">
        <f>IF(Deployments!BC135="","",Deployments!BC135)</f>
        <v/>
      </c>
      <c r="X135" s="21" t="str">
        <f>IF(Deployments!BK135="","",Deployments!BK135)</f>
        <v/>
      </c>
      <c r="Y135" s="21" t="str">
        <f>IF(Deployments!BB135="","",Deployments!BB135)</f>
        <v/>
      </c>
      <c r="Z135" s="21" t="str">
        <f>IF(Deployments!T135="","",Deployments!T135)</f>
        <v/>
      </c>
      <c r="AA135" s="21" t="str">
        <f>IF(Deployments!L135="","",Deployments!L135)</f>
        <v/>
      </c>
    </row>
    <row r="136" spans="1:27">
      <c r="A136" s="22"/>
      <c r="B136" s="22"/>
      <c r="C136" s="21" t="str">
        <f>IF(Deployments!H136="","",Deployments!H136)</f>
        <v>LIJ - OR</v>
      </c>
      <c r="D136" s="21" t="str">
        <f>IF(Deployments!AH136="","",Deployments!AH136)</f>
        <v/>
      </c>
      <c r="E136" s="21" t="str">
        <f>IF(Deployments!I136="","",Deployments!I136)</f>
        <v/>
      </c>
      <c r="F136" s="21" t="str">
        <f>IF(Deployments!J136="","",Deployments!J136)</f>
        <v/>
      </c>
      <c r="G136" s="21" t="str">
        <f>IF(Deployments!K136="","",Deployments!K136)</f>
        <v/>
      </c>
      <c r="H136" s="21" t="str">
        <f>IF(Deployments!A136="","",Deployments!A136)</f>
        <v>Cybernet</v>
      </c>
      <c r="I136" s="21" t="str">
        <f>IF(Deployments!AI136="","",Deployments!AI136)</f>
        <v/>
      </c>
      <c r="J136" s="21" t="str">
        <f>IF(Deployments!AJ136="","",Deployments!AJ136)</f>
        <v/>
      </c>
      <c r="K136" s="21" t="str">
        <f>IF(Deployments!AD136="","",Deployments!AD136)</f>
        <v/>
      </c>
      <c r="L136" s="21" t="str">
        <f>IF(Deployments!M136="","",Deployments!M136)</f>
        <v/>
      </c>
      <c r="M136" s="22"/>
      <c r="N136" s="21" t="str">
        <f>IF(Deployments!N136="","",Deployments!N136)</f>
        <v>Yes</v>
      </c>
      <c r="O136" s="21" t="str">
        <f>IF(Deployments!O136="","",Deployments!O136)</f>
        <v>No</v>
      </c>
      <c r="P136" s="21" t="str">
        <f>IF(Deployments!P136="","",Deployments!P136)</f>
        <v>No</v>
      </c>
      <c r="Q136" s="22"/>
      <c r="R136" s="21" t="str">
        <f>IF(Deployments!AY136="","",Deployments!AY136)</f>
        <v/>
      </c>
      <c r="S136" s="21" t="str">
        <f>IF(Deployments!AX136="","",Deployments!AX136)</f>
        <v/>
      </c>
      <c r="T136" s="21" t="str">
        <f>IF(Deployments!AV136="","",Deployments!AV136)</f>
        <v/>
      </c>
      <c r="U136" s="21" t="str">
        <f>IF(Deployments!AW136="","",Deployments!AW136)</f>
        <v/>
      </c>
      <c r="V136" s="21" t="str">
        <f>IF(Deployments!BA136="","",Deployments!BA136)</f>
        <v/>
      </c>
      <c r="W136" s="21" t="str">
        <f>IF(Deployments!BC136="","",Deployments!BC136)</f>
        <v/>
      </c>
      <c r="X136" s="21" t="str">
        <f>IF(Deployments!BK136="","",Deployments!BK136)</f>
        <v/>
      </c>
      <c r="Y136" s="21" t="str">
        <f>IF(Deployments!BB136="","",Deployments!BB136)</f>
        <v/>
      </c>
      <c r="Z136" s="21" t="str">
        <f>IF(Deployments!T136="","",Deployments!T136)</f>
        <v/>
      </c>
      <c r="AA136" s="21" t="str">
        <f>IF(Deployments!L136="","",Deployments!L136)</f>
        <v/>
      </c>
    </row>
    <row r="137" spans="1:27">
      <c r="A137" s="22"/>
      <c r="B137" s="22"/>
      <c r="C137" s="21" t="str">
        <f>IF(Deployments!H137="","",Deployments!H137)</f>
        <v>LIJ - OR</v>
      </c>
      <c r="D137" s="21" t="str">
        <f>IF(Deployments!AH137="","",Deployments!AH137)</f>
        <v/>
      </c>
      <c r="E137" s="21" t="str">
        <f>IF(Deployments!I137="","",Deployments!I137)</f>
        <v/>
      </c>
      <c r="F137" s="21" t="str">
        <f>IF(Deployments!J137="","",Deployments!J137)</f>
        <v/>
      </c>
      <c r="G137" s="21" t="str">
        <f>IF(Deployments!K137="","",Deployments!K137)</f>
        <v/>
      </c>
      <c r="H137" s="21" t="str">
        <f>IF(Deployments!A137="","",Deployments!A137)</f>
        <v>Cybernet</v>
      </c>
      <c r="I137" s="21" t="str">
        <f>IF(Deployments!AI137="","",Deployments!AI137)</f>
        <v/>
      </c>
      <c r="J137" s="21" t="str">
        <f>IF(Deployments!AJ137="","",Deployments!AJ137)</f>
        <v/>
      </c>
      <c r="K137" s="21" t="str">
        <f>IF(Deployments!AD137="","",Deployments!AD137)</f>
        <v/>
      </c>
      <c r="L137" s="21" t="str">
        <f>IF(Deployments!M137="","",Deployments!M137)</f>
        <v/>
      </c>
      <c r="M137" s="22"/>
      <c r="N137" s="21" t="str">
        <f>IF(Deployments!N137="","",Deployments!N137)</f>
        <v>Yes</v>
      </c>
      <c r="O137" s="21" t="str">
        <f>IF(Deployments!O137="","",Deployments!O137)</f>
        <v>No</v>
      </c>
      <c r="P137" s="21" t="str">
        <f>IF(Deployments!P137="","",Deployments!P137)</f>
        <v>No</v>
      </c>
      <c r="Q137" s="22"/>
      <c r="R137" s="21" t="str">
        <f>IF(Deployments!AY137="","",Deployments!AY137)</f>
        <v/>
      </c>
      <c r="S137" s="21" t="str">
        <f>IF(Deployments!AX137="","",Deployments!AX137)</f>
        <v/>
      </c>
      <c r="T137" s="21" t="str">
        <f>IF(Deployments!AV137="","",Deployments!AV137)</f>
        <v/>
      </c>
      <c r="U137" s="21" t="str">
        <f>IF(Deployments!AW137="","",Deployments!AW137)</f>
        <v/>
      </c>
      <c r="V137" s="21" t="str">
        <f>IF(Deployments!BA137="","",Deployments!BA137)</f>
        <v/>
      </c>
      <c r="W137" s="21" t="str">
        <f>IF(Deployments!BC137="","",Deployments!BC137)</f>
        <v/>
      </c>
      <c r="X137" s="21" t="str">
        <f>IF(Deployments!BK137="","",Deployments!BK137)</f>
        <v/>
      </c>
      <c r="Y137" s="21" t="str">
        <f>IF(Deployments!BB137="","",Deployments!BB137)</f>
        <v/>
      </c>
      <c r="Z137" s="21" t="str">
        <f>IF(Deployments!T137="","",Deployments!T137)</f>
        <v/>
      </c>
      <c r="AA137" s="21" t="str">
        <f>IF(Deployments!L137="","",Deployments!L137)</f>
        <v/>
      </c>
    </row>
    <row r="138" spans="1:27" ht="45">
      <c r="A138" s="22"/>
      <c r="B138" s="22"/>
      <c r="C138" s="21" t="str">
        <f>IF(Deployments!H139="","",Deployments!H139)</f>
        <v>LIJVS</v>
      </c>
      <c r="D138" s="21" t="str">
        <f>IF(Deployments!AH139="","",Deployments!AH139)</f>
        <v>Endoscopy Suite</v>
      </c>
      <c r="E138" s="21" t="str">
        <f>IF(Deployments!I139="","",Deployments!I139)</f>
        <v>1-C-2</v>
      </c>
      <c r="F138" s="21" t="str">
        <f>IF(Deployments!J139="","",Deployments!J139)</f>
        <v/>
      </c>
      <c r="G138" s="21" t="str">
        <f>IF(Deployments!K139="","",Deployments!K139)</f>
        <v/>
      </c>
      <c r="H138" s="21" t="str">
        <f>IF(Deployments!A139="","",Deployments!A139)</f>
        <v>Peripherals</v>
      </c>
      <c r="I138" s="21" t="str">
        <f>IF(Deployments!AI139="","",Deployments!AI139)</f>
        <v>Mindray A5 - EJ-57023077</v>
      </c>
      <c r="J138" s="21" t="str">
        <f>IF(Deployments!AJ139="","",Deployments!AJ139)</f>
        <v/>
      </c>
      <c r="K138" s="21" t="str">
        <f>IF(Deployments!AD139="","",Deployments!AD139)</f>
        <v>Anesthesia Machine</v>
      </c>
      <c r="L138" s="21" t="str">
        <f>IF(Deployments!M139="","",Deployments!M139)</f>
        <v/>
      </c>
      <c r="M138" s="22"/>
      <c r="N138" s="21" t="str">
        <f>IF(Deployments!N139="","",Deployments!N139)</f>
        <v/>
      </c>
      <c r="O138" s="21" t="str">
        <f>IF(Deployments!O139="","",Deployments!O139)</f>
        <v/>
      </c>
      <c r="P138" s="21" t="str">
        <f>IF(Deployments!P139="","",Deployments!P139)</f>
        <v/>
      </c>
      <c r="Q138" s="22"/>
      <c r="R138" s="21" t="str">
        <f>IF(Deployments!AY139="","",Deployments!AY139)</f>
        <v/>
      </c>
      <c r="S138" s="21" t="str">
        <f>IF(Deployments!AX139="","",Deployments!AX139)</f>
        <v/>
      </c>
      <c r="T138" s="21" t="str">
        <f>IF(Deployments!AV139="","",Deployments!AV139)</f>
        <v/>
      </c>
      <c r="U138" s="21" t="str">
        <f>IF(Deployments!AW139="","",Deployments!AW139)</f>
        <v/>
      </c>
      <c r="V138" s="21" t="str">
        <f>IF(Deployments!BA139="","",Deployments!BA139)</f>
        <v>Yes</v>
      </c>
      <c r="W138" s="21" t="str">
        <f>IF(Deployments!BC139="","",Deployments!BC139)</f>
        <v/>
      </c>
      <c r="X138" s="21" t="str">
        <f>IF(Deployments!BK139="","",Deployments!BK139)</f>
        <v>Power Cable, Battery, Firmware Download, Device ID, Epic Beans Relay</v>
      </c>
      <c r="Y138" s="21" t="str">
        <f>IF(Deployments!BB139="","",Deployments!BB139)</f>
        <v>ran AL</v>
      </c>
      <c r="Z138" s="21" t="str">
        <f>IF(Deployments!T139="","",Deployments!T139)</f>
        <v/>
      </c>
      <c r="AA138" s="21" t="str">
        <f>IF(Deployments!L139="","",Deployments!L139)</f>
        <v/>
      </c>
    </row>
    <row r="139" spans="1:27" ht="45">
      <c r="A139" s="22"/>
      <c r="B139" s="22"/>
      <c r="C139" s="21" t="str">
        <f>IF(Deployments!H140="","",Deployments!H140)</f>
        <v>LIJVS</v>
      </c>
      <c r="D139" s="21" t="str">
        <f>IF(Deployments!AH140="","",Deployments!AH140)</f>
        <v>OR</v>
      </c>
      <c r="E139" s="21" t="str">
        <f>IF(Deployments!I140="","",Deployments!I140)</f>
        <v>OR 7</v>
      </c>
      <c r="F139" s="21" t="str">
        <f>IF(Deployments!J140="","",Deployments!J140)</f>
        <v/>
      </c>
      <c r="G139" s="21" t="str">
        <f>IF(Deployments!K140="","",Deployments!K140)</f>
        <v/>
      </c>
      <c r="H139" s="21" t="str">
        <f>IF(Deployments!A140="","",Deployments!A140)</f>
        <v>Peripherals</v>
      </c>
      <c r="I139" s="21" t="str">
        <f>IF(Deployments!AI140="","",Deployments!AI140)</f>
        <v>Drager Apollo</v>
      </c>
      <c r="J139" s="21" t="str">
        <f>IF(Deployments!AJ140="","",Deployments!AJ140)</f>
        <v/>
      </c>
      <c r="K139" s="21" t="str">
        <f>IF(Deployments!AD140="","",Deployments!AD140)</f>
        <v>Anesthesia Machine</v>
      </c>
      <c r="L139" s="21" t="str">
        <f>IF(Deployments!M140="","",Deployments!M140)</f>
        <v/>
      </c>
      <c r="M139" s="22"/>
      <c r="N139" s="21" t="str">
        <f>IF(Deployments!N140="","",Deployments!N140)</f>
        <v/>
      </c>
      <c r="O139" s="21" t="str">
        <f>IF(Deployments!O140="","",Deployments!O140)</f>
        <v/>
      </c>
      <c r="P139" s="21" t="str">
        <f>IF(Deployments!P140="","",Deployments!P140)</f>
        <v/>
      </c>
      <c r="Q139" s="22"/>
      <c r="R139" s="21" t="str">
        <f>IF(Deployments!AY140="","",Deployments!AY140)</f>
        <v/>
      </c>
      <c r="S139" s="21" t="str">
        <f>IF(Deployments!AX140="","",Deployments!AX140)</f>
        <v/>
      </c>
      <c r="T139" s="21" t="str">
        <f>IF(Deployments!AV140="","",Deployments!AV140)</f>
        <v/>
      </c>
      <c r="U139" s="21" t="str">
        <f>IF(Deployments!AW140="","",Deployments!AW140)</f>
        <v/>
      </c>
      <c r="V139" s="21" t="str">
        <f>IF(Deployments!BA140="","",Deployments!BA140)</f>
        <v>Yes</v>
      </c>
      <c r="W139" s="21" t="str">
        <f>IF(Deployments!BC140="","",Deployments!BC140)</f>
        <v/>
      </c>
      <c r="X139" s="21" t="str">
        <f>IF(Deployments!BK140="","",Deployments!BK140)</f>
        <v>Power Cable, Battery, Firmware Download, Device ID, Epic Beans Relay</v>
      </c>
      <c r="Y139" s="21" t="str">
        <f>IF(Deployments!BB140="","",Deployments!BB140)</f>
        <v>ran AL</v>
      </c>
      <c r="Z139" s="21" t="str">
        <f>IF(Deployments!T140="","",Deployments!T140)</f>
        <v/>
      </c>
      <c r="AA139" s="21" t="str">
        <f>IF(Deployments!L140="","",Deployments!L140)</f>
        <v/>
      </c>
    </row>
    <row r="140" spans="1:27" ht="45">
      <c r="A140" s="22"/>
      <c r="B140" s="22"/>
      <c r="C140" s="21" t="str">
        <f>IF(Deployments!H141="","",Deployments!H141)</f>
        <v>LIJVS</v>
      </c>
      <c r="D140" s="21" t="str">
        <f>IF(Deployments!AH141="","",Deployments!AH141)</f>
        <v>OR</v>
      </c>
      <c r="E140" s="21" t="str">
        <f>IF(Deployments!I141="","",Deployments!I141)</f>
        <v>OR 1</v>
      </c>
      <c r="F140" s="21" t="str">
        <f>IF(Deployments!J141="","",Deployments!J141)</f>
        <v/>
      </c>
      <c r="G140" s="21" t="str">
        <f>IF(Deployments!K141="","",Deployments!K141)</f>
        <v/>
      </c>
      <c r="H140" s="21" t="str">
        <f>IF(Deployments!A141="","",Deployments!A141)</f>
        <v>Peripherals</v>
      </c>
      <c r="I140" s="21" t="str">
        <f>IF(Deployments!AI141="","",Deployments!AI141)</f>
        <v>Drager Apollo</v>
      </c>
      <c r="J140" s="21" t="str">
        <f>IF(Deployments!AJ141="","",Deployments!AJ141)</f>
        <v/>
      </c>
      <c r="K140" s="21" t="str">
        <f>IF(Deployments!AD141="","",Deployments!AD141)</f>
        <v>Anesthesia Machine</v>
      </c>
      <c r="L140" s="21" t="str">
        <f>IF(Deployments!M141="","",Deployments!M141)</f>
        <v/>
      </c>
      <c r="M140" s="22"/>
      <c r="N140" s="21" t="str">
        <f>IF(Deployments!N141="","",Deployments!N141)</f>
        <v/>
      </c>
      <c r="O140" s="21" t="str">
        <f>IF(Deployments!O141="","",Deployments!O141)</f>
        <v/>
      </c>
      <c r="P140" s="21" t="str">
        <f>IF(Deployments!P141="","",Deployments!P141)</f>
        <v/>
      </c>
      <c r="Q140" s="22"/>
      <c r="R140" s="21" t="str">
        <f>IF(Deployments!AY141="","",Deployments!AY141)</f>
        <v/>
      </c>
      <c r="S140" s="21" t="str">
        <f>IF(Deployments!AX141="","",Deployments!AX141)</f>
        <v/>
      </c>
      <c r="T140" s="21" t="str">
        <f>IF(Deployments!AV141="","",Deployments!AV141)</f>
        <v/>
      </c>
      <c r="U140" s="21" t="str">
        <f>IF(Deployments!AW141="","",Deployments!AW141)</f>
        <v/>
      </c>
      <c r="V140" s="21" t="str">
        <f>IF(Deployments!BA141="","",Deployments!BA141)</f>
        <v>Yes</v>
      </c>
      <c r="W140" s="21" t="str">
        <f>IF(Deployments!BC141="","",Deployments!BC141)</f>
        <v/>
      </c>
      <c r="X140" s="21" t="str">
        <f>IF(Deployments!BK141="","",Deployments!BK141)</f>
        <v>Power Cable, Battery, Firmware Download, Device ID, Epic Beans Relay</v>
      </c>
      <c r="Y140" s="21" t="str">
        <f>IF(Deployments!BB141="","",Deployments!BB141)</f>
        <v>ALREADY HAD A BADGE SCANNER INSTALLED / RAN AL</v>
      </c>
      <c r="Z140" s="21" t="str">
        <f>IF(Deployments!T141="","",Deployments!T141)</f>
        <v/>
      </c>
      <c r="AA140" s="21" t="str">
        <f>IF(Deployments!L141="","",Deployments!L141)</f>
        <v/>
      </c>
    </row>
    <row r="141" spans="1:27" ht="75">
      <c r="A141" s="22"/>
      <c r="B141" s="22"/>
      <c r="C141" s="21" t="str">
        <f>IF(Deployments!H142="","",Deployments!H142)</f>
        <v>LIJVS</v>
      </c>
      <c r="D141" s="21" t="str">
        <f>IF(Deployments!AH142="","",Deployments!AH142)</f>
        <v>OR</v>
      </c>
      <c r="E141" s="21" t="str">
        <f>IF(Deployments!I142="","",Deployments!I142)</f>
        <v>OR 2</v>
      </c>
      <c r="F141" s="21" t="str">
        <f>IF(Deployments!J142="","",Deployments!J142)</f>
        <v/>
      </c>
      <c r="G141" s="21" t="str">
        <f>IF(Deployments!K142="","",Deployments!K142)</f>
        <v/>
      </c>
      <c r="H141" s="21" t="str">
        <f>IF(Deployments!A142="","",Deployments!A142)</f>
        <v>Peripherals</v>
      </c>
      <c r="I141" s="21" t="str">
        <f>IF(Deployments!AI142="","",Deployments!AI142)</f>
        <v>Drager Atlan</v>
      </c>
      <c r="J141" s="21" t="str">
        <f>IF(Deployments!AJ142="","",Deployments!AJ142)</f>
        <v/>
      </c>
      <c r="K141" s="21" t="str">
        <f>IF(Deployments!AD142="","",Deployments!AD142)</f>
        <v>Anesthesia Machine</v>
      </c>
      <c r="L141" s="21" t="str">
        <f>IF(Deployments!M142="","",Deployments!M142)</f>
        <v/>
      </c>
      <c r="M141" s="22"/>
      <c r="N141" s="21" t="str">
        <f>IF(Deployments!N142="","",Deployments!N142)</f>
        <v/>
      </c>
      <c r="O141" s="21" t="str">
        <f>IF(Deployments!O142="","",Deployments!O142)</f>
        <v/>
      </c>
      <c r="P141" s="21" t="str">
        <f>IF(Deployments!P142="","",Deployments!P142)</f>
        <v/>
      </c>
      <c r="Q141" s="22"/>
      <c r="R141" s="21" t="str">
        <f>IF(Deployments!AY142="","",Deployments!AY142)</f>
        <v/>
      </c>
      <c r="S141" s="21" t="str">
        <f>IF(Deployments!AX142="","",Deployments!AX142)</f>
        <v/>
      </c>
      <c r="T141" s="21" t="str">
        <f>IF(Deployments!AV142="","",Deployments!AV142)</f>
        <v/>
      </c>
      <c r="U141" s="21" t="str">
        <f>IF(Deployments!AW142="","",Deployments!AW142)</f>
        <v/>
      </c>
      <c r="V141" s="21" t="str">
        <f>IF(Deployments!BA142="","",Deployments!BA142)</f>
        <v>Yes</v>
      </c>
      <c r="W141" s="21" t="str">
        <f>IF(Deployments!BC142="","",Deployments!BC142)</f>
        <v/>
      </c>
      <c r="X141" s="21" t="str">
        <f>IF(Deployments!BK142="","",Deployments!BK142)</f>
        <v>Power Cable, Battery, Firmware Download, Device ID, Epic Beans Relay</v>
      </c>
      <c r="Y141" s="21" t="str">
        <f>IF(Deployments!BB142="","",Deployments!BB142)</f>
        <v>ALREADY HAD A BADGE SCANNER INSTALLED / imprivata installed, so cant run  AL / DIDNT PROGRAM SCANNER</v>
      </c>
      <c r="Z141" s="21" t="str">
        <f>IF(Deployments!T142="","",Deployments!T142)</f>
        <v/>
      </c>
      <c r="AA141" s="21" t="str">
        <f>IF(Deployments!L142="","",Deployments!L142)</f>
        <v/>
      </c>
    </row>
    <row r="142" spans="1:27" ht="45">
      <c r="A142" s="22"/>
      <c r="B142" s="22"/>
      <c r="C142" s="21" t="str">
        <f>IF(Deployments!H143="","",Deployments!H143)</f>
        <v>LIJVS</v>
      </c>
      <c r="D142" s="21" t="str">
        <f>IF(Deployments!AH143="","",Deployments!AH143)</f>
        <v>OR</v>
      </c>
      <c r="E142" s="21" t="str">
        <f>IF(Deployments!I143="","",Deployments!I143)</f>
        <v>OR 5</v>
      </c>
      <c r="F142" s="21" t="str">
        <f>IF(Deployments!J143="","",Deployments!J143)</f>
        <v/>
      </c>
      <c r="G142" s="21" t="str">
        <f>IF(Deployments!K143="","",Deployments!K143)</f>
        <v/>
      </c>
      <c r="H142" s="21" t="str">
        <f>IF(Deployments!A143="","",Deployments!A143)</f>
        <v>Peripherals</v>
      </c>
      <c r="I142" s="21" t="str">
        <f>IF(Deployments!AI143="","",Deployments!AI143)</f>
        <v>Drager Atlan</v>
      </c>
      <c r="J142" s="21" t="str">
        <f>IF(Deployments!AJ143="","",Deployments!AJ143)</f>
        <v/>
      </c>
      <c r="K142" s="21" t="str">
        <f>IF(Deployments!AD143="","",Deployments!AD143)</f>
        <v>Anesthesia Machine</v>
      </c>
      <c r="L142" s="21" t="str">
        <f>IF(Deployments!M143="","",Deployments!M143)</f>
        <v/>
      </c>
      <c r="M142" s="22"/>
      <c r="N142" s="21" t="str">
        <f>IF(Deployments!N143="","",Deployments!N143)</f>
        <v/>
      </c>
      <c r="O142" s="21" t="str">
        <f>IF(Deployments!O143="","",Deployments!O143)</f>
        <v/>
      </c>
      <c r="P142" s="21" t="str">
        <f>IF(Deployments!P143="","",Deployments!P143)</f>
        <v/>
      </c>
      <c r="Q142" s="22"/>
      <c r="R142" s="21" t="str">
        <f>IF(Deployments!AY143="","",Deployments!AY143)</f>
        <v/>
      </c>
      <c r="S142" s="21" t="str">
        <f>IF(Deployments!AX143="","",Deployments!AX143)</f>
        <v/>
      </c>
      <c r="T142" s="21" t="str">
        <f>IF(Deployments!AV143="","",Deployments!AV143)</f>
        <v/>
      </c>
      <c r="U142" s="21" t="str">
        <f>IF(Deployments!AW143="","",Deployments!AW143)</f>
        <v/>
      </c>
      <c r="V142" s="21" t="str">
        <f>IF(Deployments!BA143="","",Deployments!BA143)</f>
        <v>Yes</v>
      </c>
      <c r="W142" s="21" t="str">
        <f>IF(Deployments!BC143="","",Deployments!BC143)</f>
        <v/>
      </c>
      <c r="X142" s="21" t="str">
        <f>IF(Deployments!BK143="","",Deployments!BK143)</f>
        <v>Power Cable, Battery, Firmware Download, Device ID, Epic Beans Relay</v>
      </c>
      <c r="Y142" s="21" t="str">
        <f>IF(Deployments!BB143="","",Deployments!BB143)</f>
        <v>RAN AL / DIDNT PROGRAM SCANNER</v>
      </c>
      <c r="Z142" s="21" t="str">
        <f>IF(Deployments!T143="","",Deployments!T143)</f>
        <v/>
      </c>
      <c r="AA142" s="21" t="str">
        <f>IF(Deployments!L143="","",Deployments!L143)</f>
        <v/>
      </c>
    </row>
    <row r="143" spans="1:27" ht="45">
      <c r="A143" s="22"/>
      <c r="B143" s="22"/>
      <c r="C143" s="21" t="str">
        <f>IF(Deployments!H144="","",Deployments!H144)</f>
        <v>LIJVS</v>
      </c>
      <c r="D143" s="21" t="str">
        <f>IF(Deployments!AH144="","",Deployments!AH144)</f>
        <v>OR</v>
      </c>
      <c r="E143" s="21" t="str">
        <f>IF(Deployments!I144="","",Deployments!I144)</f>
        <v>OR 6</v>
      </c>
      <c r="F143" s="21" t="str">
        <f>IF(Deployments!J144="","",Deployments!J144)</f>
        <v/>
      </c>
      <c r="G143" s="21" t="str">
        <f>IF(Deployments!K144="","",Deployments!K144)</f>
        <v/>
      </c>
      <c r="H143" s="21" t="str">
        <f>IF(Deployments!A144="","",Deployments!A144)</f>
        <v>Peripherals</v>
      </c>
      <c r="I143" s="21" t="str">
        <f>IF(Deployments!AI144="","",Deployments!AI144)</f>
        <v>MINDRAY A5</v>
      </c>
      <c r="J143" s="21" t="str">
        <f>IF(Deployments!AJ144="","",Deployments!AJ144)</f>
        <v/>
      </c>
      <c r="K143" s="21" t="str">
        <f>IF(Deployments!AD144="","",Deployments!AD144)</f>
        <v>Anesthesia Machine</v>
      </c>
      <c r="L143" s="21" t="str">
        <f>IF(Deployments!M144="","",Deployments!M144)</f>
        <v/>
      </c>
      <c r="M143" s="22"/>
      <c r="N143" s="21" t="str">
        <f>IF(Deployments!N144="","",Deployments!N144)</f>
        <v/>
      </c>
      <c r="O143" s="21" t="str">
        <f>IF(Deployments!O144="","",Deployments!O144)</f>
        <v/>
      </c>
      <c r="P143" s="21" t="str">
        <f>IF(Deployments!P144="","",Deployments!P144)</f>
        <v/>
      </c>
      <c r="Q143" s="22"/>
      <c r="R143" s="21" t="str">
        <f>IF(Deployments!AY144="","",Deployments!AY144)</f>
        <v/>
      </c>
      <c r="S143" s="21" t="str">
        <f>IF(Deployments!AX144="","",Deployments!AX144)</f>
        <v/>
      </c>
      <c r="T143" s="21" t="str">
        <f>IF(Deployments!AV144="","",Deployments!AV144)</f>
        <v/>
      </c>
      <c r="U143" s="21" t="str">
        <f>IF(Deployments!AW144="","",Deployments!AW144)</f>
        <v/>
      </c>
      <c r="V143" s="21" t="str">
        <f>IF(Deployments!BA144="","",Deployments!BA144)</f>
        <v>Yes</v>
      </c>
      <c r="W143" s="21" t="str">
        <f>IF(Deployments!BC144="","",Deployments!BC144)</f>
        <v/>
      </c>
      <c r="X143" s="21" t="str">
        <f>IF(Deployments!BK144="","",Deployments!BK144)</f>
        <v>Power Cable, Battery, Firmware Download, Device ID, Epic Beans Relay</v>
      </c>
      <c r="Y143" s="21" t="str">
        <f>IF(Deployments!BB144="","",Deployments!BB144)</f>
        <v>ALREADY HAS BADGE SCANNER / SCANNER PROGRAMMED / RAN AL</v>
      </c>
      <c r="Z143" s="21" t="str">
        <f>IF(Deployments!T144="","",Deployments!T144)</f>
        <v/>
      </c>
      <c r="AA143" s="21" t="str">
        <f>IF(Deployments!L144="","",Deployments!L144)</f>
        <v/>
      </c>
    </row>
    <row r="144" spans="1:27" ht="45">
      <c r="A144" s="22"/>
      <c r="B144" s="22"/>
      <c r="C144" s="21" t="str">
        <f>IF(Deployments!H145="","",Deployments!H145)</f>
        <v>LIJVS</v>
      </c>
      <c r="D144" s="21" t="str">
        <f>IF(Deployments!AH145="","",Deployments!AH145)</f>
        <v>OR</v>
      </c>
      <c r="E144" s="21" t="str">
        <f>IF(Deployments!I145="","",Deployments!I145)</f>
        <v>OR 3</v>
      </c>
      <c r="F144" s="21" t="str">
        <f>IF(Deployments!J145="","",Deployments!J145)</f>
        <v/>
      </c>
      <c r="G144" s="21" t="str">
        <f>IF(Deployments!K145="","",Deployments!K145)</f>
        <v/>
      </c>
      <c r="H144" s="21" t="str">
        <f>IF(Deployments!A145="","",Deployments!A145)</f>
        <v>Peripherals</v>
      </c>
      <c r="I144" s="21" t="str">
        <f>IF(Deployments!AI145="","",Deployments!AI145)</f>
        <v>Drager Apollo</v>
      </c>
      <c r="J144" s="21" t="str">
        <f>IF(Deployments!AJ145="","",Deployments!AJ145)</f>
        <v/>
      </c>
      <c r="K144" s="21" t="str">
        <f>IF(Deployments!AD145="","",Deployments!AD145)</f>
        <v>Anesthesia Machine</v>
      </c>
      <c r="L144" s="21" t="str">
        <f>IF(Deployments!M145="","",Deployments!M145)</f>
        <v/>
      </c>
      <c r="M144" s="22"/>
      <c r="N144" s="21" t="str">
        <f>IF(Deployments!N145="","",Deployments!N145)</f>
        <v/>
      </c>
      <c r="O144" s="21" t="str">
        <f>IF(Deployments!O145="","",Deployments!O145)</f>
        <v/>
      </c>
      <c r="P144" s="21" t="str">
        <f>IF(Deployments!P145="","",Deployments!P145)</f>
        <v/>
      </c>
      <c r="Q144" s="22"/>
      <c r="R144" s="21" t="str">
        <f>IF(Deployments!AY145="","",Deployments!AY145)</f>
        <v/>
      </c>
      <c r="S144" s="21" t="str">
        <f>IF(Deployments!AX145="","",Deployments!AX145)</f>
        <v/>
      </c>
      <c r="T144" s="21" t="str">
        <f>IF(Deployments!AV145="","",Deployments!AV145)</f>
        <v/>
      </c>
      <c r="U144" s="21" t="str">
        <f>IF(Deployments!AW145="","",Deployments!AW145)</f>
        <v/>
      </c>
      <c r="V144" s="21" t="str">
        <f>IF(Deployments!BA145="","",Deployments!BA145)</f>
        <v>Yes</v>
      </c>
      <c r="W144" s="21" t="str">
        <f>IF(Deployments!BC145="","",Deployments!BC145)</f>
        <v/>
      </c>
      <c r="X144" s="21" t="str">
        <f>IF(Deployments!BK145="","",Deployments!BK145)</f>
        <v>Power Cable, Battery, Firmware Download, Device ID, Epic Beans Relay</v>
      </c>
      <c r="Y144" s="21" t="str">
        <f>IF(Deployments!BB145="","",Deployments!BB145)</f>
        <v>RAN AL / DIDNT PROGRAM SCANNER</v>
      </c>
      <c r="Z144" s="21" t="str">
        <f>IF(Deployments!T145="","",Deployments!T145)</f>
        <v/>
      </c>
      <c r="AA144" s="21" t="str">
        <f>IF(Deployments!L145="","",Deployments!L145)</f>
        <v/>
      </c>
    </row>
    <row r="145" spans="1:27" ht="30">
      <c r="A145" s="22"/>
      <c r="B145" s="22"/>
      <c r="C145" s="21" t="str">
        <f>IF(Deployments!H146="","",Deployments!H146)</f>
        <v>LIJVS</v>
      </c>
      <c r="D145" s="21" t="str">
        <f>IF(Deployments!AH146="","",Deployments!AH146)</f>
        <v/>
      </c>
      <c r="E145" s="21" t="str">
        <f>IF(Deployments!I146="","",Deployments!I146)</f>
        <v/>
      </c>
      <c r="F145" s="21" t="str">
        <f>IF(Deployments!J146="","",Deployments!J146)</f>
        <v/>
      </c>
      <c r="G145" s="21" t="str">
        <f>IF(Deployments!K146="","",Deployments!K146)</f>
        <v/>
      </c>
      <c r="H145" s="21" t="str">
        <f>IF(Deployments!A146="","",Deployments!A146)</f>
        <v>Peripherals</v>
      </c>
      <c r="I145" s="21" t="str">
        <f>IF(Deployments!AI146="","",Deployments!AI146)</f>
        <v/>
      </c>
      <c r="J145" s="21" t="str">
        <f>IF(Deployments!AJ146="","",Deployments!AJ146)</f>
        <v/>
      </c>
      <c r="K145" s="21" t="str">
        <f>IF(Deployments!AD146="","",Deployments!AD146)</f>
        <v>Anesthesia Machine</v>
      </c>
      <c r="L145" s="21" t="str">
        <f>IF(Deployments!M146="","",Deployments!M146)</f>
        <v/>
      </c>
      <c r="M145" s="22"/>
      <c r="N145" s="21" t="str">
        <f>IF(Deployments!N146="","",Deployments!N146)</f>
        <v/>
      </c>
      <c r="O145" s="21" t="str">
        <f>IF(Deployments!O146="","",Deployments!O146)</f>
        <v/>
      </c>
      <c r="P145" s="21" t="str">
        <f>IF(Deployments!P146="","",Deployments!P146)</f>
        <v/>
      </c>
      <c r="Q145" s="22"/>
      <c r="R145" s="21" t="str">
        <f>IF(Deployments!AY146="","",Deployments!AY146)</f>
        <v/>
      </c>
      <c r="S145" s="21" t="str">
        <f>IF(Deployments!AX146="","",Deployments!AX146)</f>
        <v/>
      </c>
      <c r="T145" s="21" t="str">
        <f>IF(Deployments!AV146="","",Deployments!AV146)</f>
        <v/>
      </c>
      <c r="U145" s="21" t="str">
        <f>IF(Deployments!AW146="","",Deployments!AW146)</f>
        <v/>
      </c>
      <c r="V145" s="21" t="str">
        <f>IF(Deployments!BA146="","",Deployments!BA146)</f>
        <v>Yes</v>
      </c>
      <c r="W145" s="21" t="str">
        <f>IF(Deployments!BC146="","",Deployments!BC146)</f>
        <v/>
      </c>
      <c r="X145" s="21" t="str">
        <f>IF(Deployments!BK146="","",Deployments!BK146)</f>
        <v/>
      </c>
      <c r="Y145" s="21" t="str">
        <f>IF(Deployments!BB146="","",Deployments!BB146)</f>
        <v/>
      </c>
      <c r="Z145" s="21" t="str">
        <f>IF(Deployments!T146="","",Deployments!T146)</f>
        <v/>
      </c>
      <c r="AA145" s="21" t="str">
        <f>IF(Deployments!L146="","",Deployments!L146)</f>
        <v/>
      </c>
    </row>
    <row r="146" spans="1:27" ht="30">
      <c r="A146" s="22"/>
      <c r="B146" s="22"/>
      <c r="C146" s="21" t="str">
        <f>IF(Deployments!H147="","",Deployments!H147)</f>
        <v>LIJVS</v>
      </c>
      <c r="D146" s="21" t="str">
        <f>IF(Deployments!AH147="","",Deployments!AH147)</f>
        <v/>
      </c>
      <c r="E146" s="21" t="str">
        <f>IF(Deployments!I147="","",Deployments!I147)</f>
        <v/>
      </c>
      <c r="F146" s="21" t="str">
        <f>IF(Deployments!J147="","",Deployments!J147)</f>
        <v/>
      </c>
      <c r="G146" s="21" t="str">
        <f>IF(Deployments!K147="","",Deployments!K147)</f>
        <v/>
      </c>
      <c r="H146" s="21" t="str">
        <f>IF(Deployments!A147="","",Deployments!A147)</f>
        <v>Peripherals</v>
      </c>
      <c r="I146" s="21" t="str">
        <f>IF(Deployments!AI147="","",Deployments!AI147)</f>
        <v/>
      </c>
      <c r="J146" s="21" t="str">
        <f>IF(Deployments!AJ147="","",Deployments!AJ147)</f>
        <v/>
      </c>
      <c r="K146" s="21" t="str">
        <f>IF(Deployments!AD147="","",Deployments!AD147)</f>
        <v>Anesthesia Machine</v>
      </c>
      <c r="L146" s="21" t="str">
        <f>IF(Deployments!M147="","",Deployments!M147)</f>
        <v/>
      </c>
      <c r="M146" s="22"/>
      <c r="N146" s="21" t="str">
        <f>IF(Deployments!N147="","",Deployments!N147)</f>
        <v/>
      </c>
      <c r="O146" s="21" t="str">
        <f>IF(Deployments!O147="","",Deployments!O147)</f>
        <v/>
      </c>
      <c r="P146" s="21" t="str">
        <f>IF(Deployments!P147="","",Deployments!P147)</f>
        <v/>
      </c>
      <c r="Q146" s="22"/>
      <c r="R146" s="21" t="str">
        <f>IF(Deployments!AY147="","",Deployments!AY147)</f>
        <v/>
      </c>
      <c r="S146" s="21" t="str">
        <f>IF(Deployments!AX147="","",Deployments!AX147)</f>
        <v/>
      </c>
      <c r="T146" s="21" t="str">
        <f>IF(Deployments!AV147="","",Deployments!AV147)</f>
        <v/>
      </c>
      <c r="U146" s="21" t="str">
        <f>IF(Deployments!AW147="","",Deployments!AW147)</f>
        <v/>
      </c>
      <c r="V146" s="21" t="str">
        <f>IF(Deployments!BA147="","",Deployments!BA147)</f>
        <v>Yes</v>
      </c>
      <c r="W146" s="21" t="str">
        <f>IF(Deployments!BC147="","",Deployments!BC147)</f>
        <v/>
      </c>
      <c r="X146" s="21" t="str">
        <f>IF(Deployments!BK147="","",Deployments!BK147)</f>
        <v/>
      </c>
      <c r="Y146" s="21" t="str">
        <f>IF(Deployments!BB147="","",Deployments!BB147)</f>
        <v/>
      </c>
      <c r="Z146" s="21" t="str">
        <f>IF(Deployments!T147="","",Deployments!T147)</f>
        <v/>
      </c>
      <c r="AA146" s="21" t="str">
        <f>IF(Deployments!L147="","",Deployments!L147)</f>
        <v/>
      </c>
    </row>
    <row r="147" spans="1:27" ht="30">
      <c r="A147" s="22"/>
      <c r="B147" s="22"/>
      <c r="C147" s="21" t="str">
        <f>IF(Deployments!H148="","",Deployments!H148)</f>
        <v>LIJVS</v>
      </c>
      <c r="D147" s="21" t="str">
        <f>IF(Deployments!AH148="","",Deployments!AH148)</f>
        <v/>
      </c>
      <c r="E147" s="21" t="str">
        <f>IF(Deployments!I148="","",Deployments!I148)</f>
        <v/>
      </c>
      <c r="F147" s="21" t="str">
        <f>IF(Deployments!J148="","",Deployments!J148)</f>
        <v/>
      </c>
      <c r="G147" s="21" t="str">
        <f>IF(Deployments!K148="","",Deployments!K148)</f>
        <v/>
      </c>
      <c r="H147" s="21" t="str">
        <f>IF(Deployments!A148="","",Deployments!A148)</f>
        <v>Peripherals</v>
      </c>
      <c r="I147" s="21" t="str">
        <f>IF(Deployments!AI148="","",Deployments!AI148)</f>
        <v/>
      </c>
      <c r="J147" s="21" t="str">
        <f>IF(Deployments!AJ148="","",Deployments!AJ148)</f>
        <v/>
      </c>
      <c r="K147" s="21" t="str">
        <f>IF(Deployments!AD148="","",Deployments!AD148)</f>
        <v>Anesthesia Machine</v>
      </c>
      <c r="L147" s="21" t="str">
        <f>IF(Deployments!M148="","",Deployments!M148)</f>
        <v/>
      </c>
      <c r="M147" s="22"/>
      <c r="N147" s="21" t="str">
        <f>IF(Deployments!N148="","",Deployments!N148)</f>
        <v/>
      </c>
      <c r="O147" s="21" t="str">
        <f>IF(Deployments!O148="","",Deployments!O148)</f>
        <v/>
      </c>
      <c r="P147" s="21" t="str">
        <f>IF(Deployments!P148="","",Deployments!P148)</f>
        <v/>
      </c>
      <c r="Q147" s="22"/>
      <c r="R147" s="21" t="str">
        <f>IF(Deployments!AY148="","",Deployments!AY148)</f>
        <v/>
      </c>
      <c r="S147" s="21" t="str">
        <f>IF(Deployments!AX148="","",Deployments!AX148)</f>
        <v/>
      </c>
      <c r="T147" s="21" t="str">
        <f>IF(Deployments!AV148="","",Deployments!AV148)</f>
        <v/>
      </c>
      <c r="U147" s="21" t="str">
        <f>IF(Deployments!AW148="","",Deployments!AW148)</f>
        <v/>
      </c>
      <c r="V147" s="21" t="str">
        <f>IF(Deployments!BA148="","",Deployments!BA148)</f>
        <v>Yes</v>
      </c>
      <c r="W147" s="21" t="str">
        <f>IF(Deployments!BC148="","",Deployments!BC148)</f>
        <v/>
      </c>
      <c r="X147" s="21" t="str">
        <f>IF(Deployments!BK148="","",Deployments!BK148)</f>
        <v/>
      </c>
      <c r="Y147" s="21" t="str">
        <f>IF(Deployments!BB148="","",Deployments!BB148)</f>
        <v/>
      </c>
      <c r="Z147" s="21" t="str">
        <f>IF(Deployments!T148="","",Deployments!T148)</f>
        <v/>
      </c>
      <c r="AA147" s="21" t="str">
        <f>IF(Deployments!L148="","",Deployments!L148)</f>
        <v/>
      </c>
    </row>
    <row r="148" spans="1:27">
      <c r="A148" s="22"/>
      <c r="B148" s="22"/>
      <c r="C148" s="21" t="str">
        <f>IF(Deployments!H149="","",Deployments!H149)</f>
        <v/>
      </c>
      <c r="D148" s="21" t="str">
        <f>IF(Deployments!AH149="","",Deployments!AH149)</f>
        <v/>
      </c>
      <c r="E148" s="21" t="str">
        <f>IF(Deployments!I149="","",Deployments!I149)</f>
        <v/>
      </c>
      <c r="F148" s="21" t="str">
        <f>IF(Deployments!J149="","",Deployments!J149)</f>
        <v/>
      </c>
      <c r="G148" s="21" t="str">
        <f>IF(Deployments!K149="","",Deployments!K149)</f>
        <v/>
      </c>
      <c r="H148" s="21" t="str">
        <f>IF(Deployments!A149="","",Deployments!A149)</f>
        <v/>
      </c>
      <c r="I148" s="21" t="str">
        <f>IF(Deployments!AI149="","",Deployments!AI149)</f>
        <v/>
      </c>
      <c r="J148" s="21" t="str">
        <f>IF(Deployments!AJ149="","",Deployments!AJ149)</f>
        <v/>
      </c>
      <c r="K148" s="21" t="str">
        <f>IF(Deployments!AD149="","",Deployments!AD149)</f>
        <v/>
      </c>
      <c r="L148" s="21" t="str">
        <f>IF(Deployments!M149="","",Deployments!M149)</f>
        <v/>
      </c>
      <c r="M148" s="22"/>
      <c r="N148" s="21" t="str">
        <f>IF(Deployments!N149="","",Deployments!N149)</f>
        <v/>
      </c>
      <c r="O148" s="21" t="str">
        <f>IF(Deployments!O149="","",Deployments!O149)</f>
        <v/>
      </c>
      <c r="P148" s="21" t="str">
        <f>IF(Deployments!P149="","",Deployments!P149)</f>
        <v/>
      </c>
      <c r="Q148" s="22"/>
      <c r="R148" s="21" t="str">
        <f>IF(Deployments!AY149="","",Deployments!AY149)</f>
        <v/>
      </c>
      <c r="S148" s="21" t="str">
        <f>IF(Deployments!AX149="","",Deployments!AX149)</f>
        <v/>
      </c>
      <c r="T148" s="21" t="str">
        <f>IF(Deployments!AV149="","",Deployments!AV149)</f>
        <v/>
      </c>
      <c r="U148" s="21" t="str">
        <f>IF(Deployments!AW149="","",Deployments!AW149)</f>
        <v/>
      </c>
      <c r="V148" s="21" t="str">
        <f>IF(Deployments!BA149="","",Deployments!BA149)</f>
        <v/>
      </c>
      <c r="W148" s="21" t="str">
        <f>IF(Deployments!BC149="","",Deployments!BC149)</f>
        <v/>
      </c>
      <c r="X148" s="21" t="str">
        <f>IF(Deployments!BK149="","",Deployments!BK149)</f>
        <v/>
      </c>
      <c r="Y148" s="21" t="str">
        <f>IF(Deployments!BB149="","",Deployments!BB149)</f>
        <v/>
      </c>
      <c r="Z148" s="21" t="str">
        <f>IF(Deployments!T149="","",Deployments!T149)</f>
        <v/>
      </c>
      <c r="AA148" s="21" t="str">
        <f>IF(Deployments!L149="","",Deployments!L149)</f>
        <v/>
      </c>
    </row>
    <row r="149" spans="1:27">
      <c r="A149" s="22"/>
      <c r="B149" s="22"/>
      <c r="C149" s="21" t="str">
        <f>IF(Deployments!H150="","",Deployments!H150)</f>
        <v/>
      </c>
      <c r="D149" s="21" t="str">
        <f>IF(Deployments!AH150="","",Deployments!AH150)</f>
        <v/>
      </c>
      <c r="E149" s="21" t="str">
        <f>IF(Deployments!I150="","",Deployments!I150)</f>
        <v/>
      </c>
      <c r="F149" s="21" t="str">
        <f>IF(Deployments!J150="","",Deployments!J150)</f>
        <v/>
      </c>
      <c r="G149" s="21" t="str">
        <f>IF(Deployments!K150="","",Deployments!K150)</f>
        <v/>
      </c>
      <c r="H149" s="21" t="str">
        <f>IF(Deployments!A150="","",Deployments!A150)</f>
        <v/>
      </c>
      <c r="I149" s="21" t="str">
        <f>IF(Deployments!AI150="","",Deployments!AI150)</f>
        <v/>
      </c>
      <c r="J149" s="21" t="str">
        <f>IF(Deployments!AJ150="","",Deployments!AJ150)</f>
        <v/>
      </c>
      <c r="K149" s="21" t="str">
        <f>IF(Deployments!AD150="","",Deployments!AD150)</f>
        <v/>
      </c>
      <c r="L149" s="21" t="str">
        <f>IF(Deployments!M150="","",Deployments!M150)</f>
        <v/>
      </c>
      <c r="M149" s="22"/>
      <c r="N149" s="21" t="str">
        <f>IF(Deployments!N150="","",Deployments!N150)</f>
        <v/>
      </c>
      <c r="O149" s="21" t="str">
        <f>IF(Deployments!O150="","",Deployments!O150)</f>
        <v/>
      </c>
      <c r="P149" s="21" t="str">
        <f>IF(Deployments!P150="","",Deployments!P150)</f>
        <v/>
      </c>
      <c r="Q149" s="22"/>
      <c r="R149" s="21" t="str">
        <f>IF(Deployments!AY150="","",Deployments!AY150)</f>
        <v/>
      </c>
      <c r="S149" s="21" t="str">
        <f>IF(Deployments!AX150="","",Deployments!AX150)</f>
        <v/>
      </c>
      <c r="T149" s="21" t="str">
        <f>IF(Deployments!AV150="","",Deployments!AV150)</f>
        <v/>
      </c>
      <c r="U149" s="21" t="str">
        <f>IF(Deployments!AW150="","",Deployments!AW150)</f>
        <v/>
      </c>
      <c r="V149" s="21" t="str">
        <f>IF(Deployments!BA150="","",Deployments!BA150)</f>
        <v/>
      </c>
      <c r="W149" s="21" t="str">
        <f>IF(Deployments!BC150="","",Deployments!BC150)</f>
        <v/>
      </c>
      <c r="X149" s="21" t="str">
        <f>IF(Deployments!BK150="","",Deployments!BK150)</f>
        <v/>
      </c>
      <c r="Y149" s="21" t="str">
        <f>IF(Deployments!BB150="","",Deployments!BB150)</f>
        <v/>
      </c>
      <c r="Z149" s="21" t="str">
        <f>IF(Deployments!T150="","",Deployments!T150)</f>
        <v/>
      </c>
      <c r="AA149" s="21" t="str">
        <f>IF(Deployments!L150="","",Deployments!L150)</f>
        <v/>
      </c>
    </row>
    <row r="150" spans="1:27">
      <c r="A150" s="22"/>
      <c r="B150" s="22"/>
      <c r="C150" s="21" t="str">
        <f>IF(Deployments!H151="","",Deployments!H151)</f>
        <v/>
      </c>
      <c r="D150" s="21" t="str">
        <f>IF(Deployments!AH151="","",Deployments!AH151)</f>
        <v/>
      </c>
      <c r="E150" s="21" t="str">
        <f>IF(Deployments!I151="","",Deployments!I151)</f>
        <v/>
      </c>
      <c r="F150" s="21" t="str">
        <f>IF(Deployments!J151="","",Deployments!J151)</f>
        <v/>
      </c>
      <c r="G150" s="21" t="str">
        <f>IF(Deployments!K151="","",Deployments!K151)</f>
        <v/>
      </c>
      <c r="H150" s="21" t="str">
        <f>IF(Deployments!A151="","",Deployments!A151)</f>
        <v/>
      </c>
      <c r="I150" s="21" t="str">
        <f>IF(Deployments!AI151="","",Deployments!AI151)</f>
        <v/>
      </c>
      <c r="J150" s="21" t="str">
        <f>IF(Deployments!AJ151="","",Deployments!AJ151)</f>
        <v/>
      </c>
      <c r="K150" s="21" t="str">
        <f>IF(Deployments!AD151="","",Deployments!AD151)</f>
        <v/>
      </c>
      <c r="L150" s="21" t="str">
        <f>IF(Deployments!M151="","",Deployments!M151)</f>
        <v/>
      </c>
      <c r="M150" s="22"/>
      <c r="N150" s="21" t="str">
        <f>IF(Deployments!N151="","",Deployments!N151)</f>
        <v/>
      </c>
      <c r="O150" s="21" t="str">
        <f>IF(Deployments!O151="","",Deployments!O151)</f>
        <v/>
      </c>
      <c r="P150" s="21" t="str">
        <f>IF(Deployments!P151="","",Deployments!P151)</f>
        <v/>
      </c>
      <c r="Q150" s="22"/>
      <c r="R150" s="21" t="str">
        <f>IF(Deployments!AY151="","",Deployments!AY151)</f>
        <v/>
      </c>
      <c r="S150" s="21" t="str">
        <f>IF(Deployments!AX151="","",Deployments!AX151)</f>
        <v/>
      </c>
      <c r="T150" s="21" t="str">
        <f>IF(Deployments!AV151="","",Deployments!AV151)</f>
        <v/>
      </c>
      <c r="U150" s="21" t="str">
        <f>IF(Deployments!AW151="","",Deployments!AW151)</f>
        <v/>
      </c>
      <c r="V150" s="21" t="str">
        <f>IF(Deployments!BA151="","",Deployments!BA151)</f>
        <v/>
      </c>
      <c r="W150" s="21" t="str">
        <f>IF(Deployments!BC151="","",Deployments!BC151)</f>
        <v/>
      </c>
      <c r="X150" s="21" t="str">
        <f>IF(Deployments!BK151="","",Deployments!BK151)</f>
        <v/>
      </c>
      <c r="Y150" s="21" t="str">
        <f>IF(Deployments!BB151="","",Deployments!BB151)</f>
        <v/>
      </c>
      <c r="Z150" s="21" t="str">
        <f>IF(Deployments!T151="","",Deployments!T151)</f>
        <v/>
      </c>
      <c r="AA150" s="21" t="str">
        <f>IF(Deployments!L151="","",Deployments!L151)</f>
        <v/>
      </c>
    </row>
    <row r="151" spans="1:27">
      <c r="A151" s="22"/>
      <c r="B151" s="22"/>
      <c r="C151" s="21" t="str">
        <f>IF(Deployments!H152="","",Deployments!H152)</f>
        <v/>
      </c>
      <c r="D151" s="21" t="str">
        <f>IF(Deployments!AH152="","",Deployments!AH152)</f>
        <v/>
      </c>
      <c r="E151" s="21" t="str">
        <f>IF(Deployments!I152="","",Deployments!I152)</f>
        <v/>
      </c>
      <c r="F151" s="21" t="str">
        <f>IF(Deployments!J152="","",Deployments!J152)</f>
        <v/>
      </c>
      <c r="G151" s="21" t="str">
        <f>IF(Deployments!K152="","",Deployments!K152)</f>
        <v/>
      </c>
      <c r="H151" s="21" t="str">
        <f>IF(Deployments!A152="","",Deployments!A152)</f>
        <v/>
      </c>
      <c r="I151" s="21" t="str">
        <f>IF(Deployments!AI152="","",Deployments!AI152)</f>
        <v/>
      </c>
      <c r="J151" s="21" t="str">
        <f>IF(Deployments!AJ152="","",Deployments!AJ152)</f>
        <v/>
      </c>
      <c r="K151" s="21" t="str">
        <f>IF(Deployments!AD152="","",Deployments!AD152)</f>
        <v/>
      </c>
      <c r="L151" s="21" t="str">
        <f>IF(Deployments!M152="","",Deployments!M152)</f>
        <v/>
      </c>
      <c r="M151" s="22"/>
      <c r="N151" s="21" t="str">
        <f>IF(Deployments!N152="","",Deployments!N152)</f>
        <v/>
      </c>
      <c r="O151" s="21" t="str">
        <f>IF(Deployments!O152="","",Deployments!O152)</f>
        <v/>
      </c>
      <c r="P151" s="21" t="str">
        <f>IF(Deployments!P152="","",Deployments!P152)</f>
        <v/>
      </c>
      <c r="Q151" s="22"/>
      <c r="R151" s="21" t="str">
        <f>IF(Deployments!AY152="","",Deployments!AY152)</f>
        <v/>
      </c>
      <c r="S151" s="21" t="str">
        <f>IF(Deployments!AX152="","",Deployments!AX152)</f>
        <v/>
      </c>
      <c r="T151" s="21" t="str">
        <f>IF(Deployments!AV152="","",Deployments!AV152)</f>
        <v/>
      </c>
      <c r="U151" s="21" t="str">
        <f>IF(Deployments!AW152="","",Deployments!AW152)</f>
        <v/>
      </c>
      <c r="V151" s="21" t="str">
        <f>IF(Deployments!BA152="","",Deployments!BA152)</f>
        <v/>
      </c>
      <c r="W151" s="21" t="str">
        <f>IF(Deployments!BC152="","",Deployments!BC152)</f>
        <v/>
      </c>
      <c r="X151" s="21" t="str">
        <f>IF(Deployments!BK152="","",Deployments!BK152)</f>
        <v/>
      </c>
      <c r="Y151" s="21" t="str">
        <f>IF(Deployments!BB152="","",Deployments!BB152)</f>
        <v/>
      </c>
      <c r="Z151" s="21" t="str">
        <f>IF(Deployments!T152="","",Deployments!T152)</f>
        <v/>
      </c>
      <c r="AA151" s="21" t="str">
        <f>IF(Deployments!L152="","",Deployments!L152)</f>
        <v/>
      </c>
    </row>
    <row r="152" spans="1:27">
      <c r="A152" s="22"/>
      <c r="B152" s="22"/>
      <c r="C152" s="21" t="str">
        <f>IF(Deployments!H153="","",Deployments!H153)</f>
        <v/>
      </c>
      <c r="D152" s="21" t="str">
        <f>IF(Deployments!AH153="","",Deployments!AH153)</f>
        <v/>
      </c>
      <c r="E152" s="21" t="str">
        <f>IF(Deployments!I153="","",Deployments!I153)</f>
        <v/>
      </c>
      <c r="F152" s="21" t="str">
        <f>IF(Deployments!J153="","",Deployments!J153)</f>
        <v/>
      </c>
      <c r="G152" s="21" t="str">
        <f>IF(Deployments!K153="","",Deployments!K153)</f>
        <v/>
      </c>
      <c r="H152" s="21" t="str">
        <f>IF(Deployments!A153="","",Deployments!A153)</f>
        <v/>
      </c>
      <c r="I152" s="21" t="str">
        <f>IF(Deployments!AI153="","",Deployments!AI153)</f>
        <v/>
      </c>
      <c r="J152" s="21" t="str">
        <f>IF(Deployments!AJ153="","",Deployments!AJ153)</f>
        <v/>
      </c>
      <c r="K152" s="21" t="str">
        <f>IF(Deployments!AD153="","",Deployments!AD153)</f>
        <v/>
      </c>
      <c r="L152" s="21" t="str">
        <f>IF(Deployments!M153="","",Deployments!M153)</f>
        <v/>
      </c>
      <c r="M152" s="22"/>
      <c r="N152" s="21" t="str">
        <f>IF(Deployments!N153="","",Deployments!N153)</f>
        <v/>
      </c>
      <c r="O152" s="21" t="str">
        <f>IF(Deployments!O153="","",Deployments!O153)</f>
        <v/>
      </c>
      <c r="P152" s="21" t="str">
        <f>IF(Deployments!P153="","",Deployments!P153)</f>
        <v/>
      </c>
      <c r="Q152" s="22"/>
      <c r="R152" s="21" t="str">
        <f>IF(Deployments!AY153="","",Deployments!AY153)</f>
        <v/>
      </c>
      <c r="S152" s="21" t="str">
        <f>IF(Deployments!AX153="","",Deployments!AX153)</f>
        <v/>
      </c>
      <c r="T152" s="21" t="str">
        <f>IF(Deployments!AV153="","",Deployments!AV153)</f>
        <v/>
      </c>
      <c r="U152" s="21" t="str">
        <f>IF(Deployments!AW153="","",Deployments!AW153)</f>
        <v/>
      </c>
      <c r="V152" s="21" t="str">
        <f>IF(Deployments!BA153="","",Deployments!BA153)</f>
        <v/>
      </c>
      <c r="W152" s="21" t="str">
        <f>IF(Deployments!BC153="","",Deployments!BC153)</f>
        <v/>
      </c>
      <c r="X152" s="21" t="str">
        <f>IF(Deployments!BK153="","",Deployments!BK153)</f>
        <v/>
      </c>
      <c r="Y152" s="21" t="str">
        <f>IF(Deployments!BB153="","",Deployments!BB153)</f>
        <v/>
      </c>
      <c r="Z152" s="21" t="str">
        <f>IF(Deployments!T153="","",Deployments!T153)</f>
        <v/>
      </c>
      <c r="AA152" s="21" t="str">
        <f>IF(Deployments!L153="","",Deployments!L153)</f>
        <v/>
      </c>
    </row>
    <row r="153" spans="1:27">
      <c r="A153" s="22"/>
      <c r="B153" s="22"/>
      <c r="C153" s="21" t="str">
        <f>IF(Deployments!H154="","",Deployments!H154)</f>
        <v/>
      </c>
      <c r="D153" s="21" t="str">
        <f>IF(Deployments!AH154="","",Deployments!AH154)</f>
        <v/>
      </c>
      <c r="E153" s="21" t="str">
        <f>IF(Deployments!I154="","",Deployments!I154)</f>
        <v/>
      </c>
      <c r="F153" s="21" t="str">
        <f>IF(Deployments!J154="","",Deployments!J154)</f>
        <v/>
      </c>
      <c r="G153" s="21" t="str">
        <f>IF(Deployments!K154="","",Deployments!K154)</f>
        <v/>
      </c>
      <c r="H153" s="21" t="str">
        <f>IF(Deployments!A154="","",Deployments!A154)</f>
        <v/>
      </c>
      <c r="I153" s="21" t="str">
        <f>IF(Deployments!AI154="","",Deployments!AI154)</f>
        <v/>
      </c>
      <c r="J153" s="21" t="str">
        <f>IF(Deployments!AJ154="","",Deployments!AJ154)</f>
        <v/>
      </c>
      <c r="K153" s="21" t="str">
        <f>IF(Deployments!AD154="","",Deployments!AD154)</f>
        <v/>
      </c>
      <c r="L153" s="21" t="str">
        <f>IF(Deployments!M154="","",Deployments!M154)</f>
        <v/>
      </c>
      <c r="M153" s="22"/>
      <c r="N153" s="21" t="str">
        <f>IF(Deployments!N154="","",Deployments!N154)</f>
        <v/>
      </c>
      <c r="O153" s="21" t="str">
        <f>IF(Deployments!O154="","",Deployments!O154)</f>
        <v/>
      </c>
      <c r="P153" s="21" t="str">
        <f>IF(Deployments!P154="","",Deployments!P154)</f>
        <v/>
      </c>
      <c r="Q153" s="22"/>
      <c r="R153" s="21" t="str">
        <f>IF(Deployments!AY154="","",Deployments!AY154)</f>
        <v/>
      </c>
      <c r="S153" s="21" t="str">
        <f>IF(Deployments!AX154="","",Deployments!AX154)</f>
        <v/>
      </c>
      <c r="T153" s="21" t="str">
        <f>IF(Deployments!AV154="","",Deployments!AV154)</f>
        <v/>
      </c>
      <c r="U153" s="21" t="str">
        <f>IF(Deployments!AW154="","",Deployments!AW154)</f>
        <v/>
      </c>
      <c r="V153" s="21" t="str">
        <f>IF(Deployments!BA154="","",Deployments!BA154)</f>
        <v/>
      </c>
      <c r="W153" s="21" t="str">
        <f>IF(Deployments!BC154="","",Deployments!BC154)</f>
        <v/>
      </c>
      <c r="X153" s="21" t="str">
        <f>IF(Deployments!BK154="","",Deployments!BK154)</f>
        <v/>
      </c>
      <c r="Y153" s="21" t="str">
        <f>IF(Deployments!BB154="","",Deployments!BB154)</f>
        <v/>
      </c>
      <c r="Z153" s="21" t="str">
        <f>IF(Deployments!T154="","",Deployments!T154)</f>
        <v/>
      </c>
      <c r="AA153" s="21" t="str">
        <f>IF(Deployments!L154="","",Deployments!L154)</f>
        <v/>
      </c>
    </row>
    <row r="154" spans="1:27">
      <c r="A154" s="22"/>
      <c r="B154" s="22"/>
      <c r="C154" s="21" t="str">
        <f>IF(Deployments!H155="","",Deployments!H155)</f>
        <v/>
      </c>
      <c r="D154" s="21" t="str">
        <f>IF(Deployments!AH155="","",Deployments!AH155)</f>
        <v/>
      </c>
      <c r="E154" s="21" t="str">
        <f>IF(Deployments!I155="","",Deployments!I155)</f>
        <v/>
      </c>
      <c r="F154" s="21" t="str">
        <f>IF(Deployments!J155="","",Deployments!J155)</f>
        <v/>
      </c>
      <c r="G154" s="21" t="str">
        <f>IF(Deployments!K155="","",Deployments!K155)</f>
        <v/>
      </c>
      <c r="H154" s="21" t="str">
        <f>IF(Deployments!A155="","",Deployments!A155)</f>
        <v/>
      </c>
      <c r="I154" s="21" t="str">
        <f>IF(Deployments!AI155="","",Deployments!AI155)</f>
        <v/>
      </c>
      <c r="J154" s="21" t="str">
        <f>IF(Deployments!AJ155="","",Deployments!AJ155)</f>
        <v/>
      </c>
      <c r="K154" s="21" t="str">
        <f>IF(Deployments!AD155="","",Deployments!AD155)</f>
        <v/>
      </c>
      <c r="L154" s="21" t="str">
        <f>IF(Deployments!M155="","",Deployments!M155)</f>
        <v/>
      </c>
      <c r="M154" s="22"/>
      <c r="N154" s="21" t="str">
        <f>IF(Deployments!N155="","",Deployments!N155)</f>
        <v/>
      </c>
      <c r="O154" s="21" t="str">
        <f>IF(Deployments!O155="","",Deployments!O155)</f>
        <v/>
      </c>
      <c r="P154" s="21" t="str">
        <f>IF(Deployments!P155="","",Deployments!P155)</f>
        <v/>
      </c>
      <c r="Q154" s="22"/>
      <c r="R154" s="21" t="str">
        <f>IF(Deployments!AY155="","",Deployments!AY155)</f>
        <v/>
      </c>
      <c r="S154" s="21" t="str">
        <f>IF(Deployments!AX155="","",Deployments!AX155)</f>
        <v/>
      </c>
      <c r="T154" s="21" t="str">
        <f>IF(Deployments!AV155="","",Deployments!AV155)</f>
        <v/>
      </c>
      <c r="U154" s="21" t="str">
        <f>IF(Deployments!AW155="","",Deployments!AW155)</f>
        <v/>
      </c>
      <c r="V154" s="21" t="str">
        <f>IF(Deployments!BA155="","",Deployments!BA155)</f>
        <v/>
      </c>
      <c r="W154" s="21" t="str">
        <f>IF(Deployments!BC155="","",Deployments!BC155)</f>
        <v/>
      </c>
      <c r="X154" s="21" t="str">
        <f>IF(Deployments!BK155="","",Deployments!BK155)</f>
        <v/>
      </c>
      <c r="Y154" s="21" t="str">
        <f>IF(Deployments!BB155="","",Deployments!BB155)</f>
        <v/>
      </c>
      <c r="Z154" s="21" t="str">
        <f>IF(Deployments!T155="","",Deployments!T155)</f>
        <v/>
      </c>
      <c r="AA154" s="21" t="str">
        <f>IF(Deployments!L155="","",Deployments!L155)</f>
        <v/>
      </c>
    </row>
    <row r="155" spans="1:27">
      <c r="A155" s="22"/>
      <c r="B155" s="22"/>
      <c r="C155" s="21" t="str">
        <f>IF(Deployments!H156="","",Deployments!H156)</f>
        <v/>
      </c>
      <c r="D155" s="21" t="str">
        <f>IF(Deployments!AH156="","",Deployments!AH156)</f>
        <v/>
      </c>
      <c r="E155" s="21" t="str">
        <f>IF(Deployments!I156="","",Deployments!I156)</f>
        <v/>
      </c>
      <c r="F155" s="21" t="str">
        <f>IF(Deployments!J156="","",Deployments!J156)</f>
        <v/>
      </c>
      <c r="G155" s="21" t="str">
        <f>IF(Deployments!K156="","",Deployments!K156)</f>
        <v/>
      </c>
      <c r="H155" s="21" t="str">
        <f>IF(Deployments!A156="","",Deployments!A156)</f>
        <v/>
      </c>
      <c r="I155" s="21" t="str">
        <f>IF(Deployments!AI156="","",Deployments!AI156)</f>
        <v/>
      </c>
      <c r="J155" s="21" t="str">
        <f>IF(Deployments!AJ156="","",Deployments!AJ156)</f>
        <v/>
      </c>
      <c r="K155" s="21" t="str">
        <f>IF(Deployments!AD156="","",Deployments!AD156)</f>
        <v/>
      </c>
      <c r="L155" s="21" t="str">
        <f>IF(Deployments!M156="","",Deployments!M156)</f>
        <v/>
      </c>
      <c r="M155" s="22"/>
      <c r="N155" s="21" t="str">
        <f>IF(Deployments!N156="","",Deployments!N156)</f>
        <v/>
      </c>
      <c r="O155" s="21" t="str">
        <f>IF(Deployments!O156="","",Deployments!O156)</f>
        <v/>
      </c>
      <c r="P155" s="21" t="str">
        <f>IF(Deployments!P156="","",Deployments!P156)</f>
        <v/>
      </c>
      <c r="Q155" s="22"/>
      <c r="R155" s="21" t="str">
        <f>IF(Deployments!AY156="","",Deployments!AY156)</f>
        <v/>
      </c>
      <c r="S155" s="21" t="str">
        <f>IF(Deployments!AX156="","",Deployments!AX156)</f>
        <v/>
      </c>
      <c r="T155" s="21" t="str">
        <f>IF(Deployments!AV156="","",Deployments!AV156)</f>
        <v/>
      </c>
      <c r="U155" s="21" t="str">
        <f>IF(Deployments!AW156="","",Deployments!AW156)</f>
        <v/>
      </c>
      <c r="V155" s="21" t="str">
        <f>IF(Deployments!BA156="","",Deployments!BA156)</f>
        <v/>
      </c>
      <c r="W155" s="21" t="str">
        <f>IF(Deployments!BC156="","",Deployments!BC156)</f>
        <v/>
      </c>
      <c r="X155" s="21" t="str">
        <f>IF(Deployments!BK156="","",Deployments!BK156)</f>
        <v/>
      </c>
      <c r="Y155" s="21" t="str">
        <f>IF(Deployments!BB156="","",Deployments!BB156)</f>
        <v/>
      </c>
      <c r="Z155" s="21" t="str">
        <f>IF(Deployments!T156="","",Deployments!T156)</f>
        <v/>
      </c>
      <c r="AA155" s="21" t="str">
        <f>IF(Deployments!L156="","",Deployments!L156)</f>
        <v/>
      </c>
    </row>
    <row r="156" spans="1:27">
      <c r="A156" s="22"/>
      <c r="B156" s="22"/>
      <c r="C156" s="21" t="str">
        <f>IF(Deployments!H157="","",Deployments!H157)</f>
        <v/>
      </c>
      <c r="D156" s="21" t="str">
        <f>IF(Deployments!AH157="","",Deployments!AH157)</f>
        <v/>
      </c>
      <c r="E156" s="21" t="str">
        <f>IF(Deployments!I157="","",Deployments!I157)</f>
        <v/>
      </c>
      <c r="F156" s="21" t="str">
        <f>IF(Deployments!J157="","",Deployments!J157)</f>
        <v/>
      </c>
      <c r="G156" s="21" t="str">
        <f>IF(Deployments!K157="","",Deployments!K157)</f>
        <v/>
      </c>
      <c r="H156" s="21" t="str">
        <f>IF(Deployments!A157="","",Deployments!A157)</f>
        <v/>
      </c>
      <c r="I156" s="21" t="str">
        <f>IF(Deployments!AI157="","",Deployments!AI157)</f>
        <v/>
      </c>
      <c r="J156" s="21" t="str">
        <f>IF(Deployments!AJ157="","",Deployments!AJ157)</f>
        <v/>
      </c>
      <c r="K156" s="21" t="str">
        <f>IF(Deployments!AD157="","",Deployments!AD157)</f>
        <v/>
      </c>
      <c r="L156" s="21" t="str">
        <f>IF(Deployments!M157="","",Deployments!M157)</f>
        <v/>
      </c>
      <c r="M156" s="22"/>
      <c r="N156" s="21" t="str">
        <f>IF(Deployments!N157="","",Deployments!N157)</f>
        <v/>
      </c>
      <c r="O156" s="21" t="str">
        <f>IF(Deployments!O157="","",Deployments!O157)</f>
        <v/>
      </c>
      <c r="P156" s="21" t="str">
        <f>IF(Deployments!P157="","",Deployments!P157)</f>
        <v/>
      </c>
      <c r="Q156" s="22"/>
      <c r="R156" s="21" t="str">
        <f>IF(Deployments!AY157="","",Deployments!AY157)</f>
        <v/>
      </c>
      <c r="S156" s="21" t="str">
        <f>IF(Deployments!AX157="","",Deployments!AX157)</f>
        <v/>
      </c>
      <c r="T156" s="21" t="str">
        <f>IF(Deployments!AV157="","",Deployments!AV157)</f>
        <v/>
      </c>
      <c r="U156" s="21" t="str">
        <f>IF(Deployments!AW157="","",Deployments!AW157)</f>
        <v/>
      </c>
      <c r="V156" s="21" t="str">
        <f>IF(Deployments!BA157="","",Deployments!BA157)</f>
        <v/>
      </c>
      <c r="W156" s="21" t="str">
        <f>IF(Deployments!BC157="","",Deployments!BC157)</f>
        <v/>
      </c>
      <c r="X156" s="21" t="str">
        <f>IF(Deployments!BK157="","",Deployments!BK157)</f>
        <v/>
      </c>
      <c r="Y156" s="21" t="str">
        <f>IF(Deployments!BB157="","",Deployments!BB157)</f>
        <v/>
      </c>
      <c r="Z156" s="21" t="str">
        <f>IF(Deployments!T157="","",Deployments!T157)</f>
        <v/>
      </c>
      <c r="AA156" s="21" t="str">
        <f>IF(Deployments!L157="","",Deployments!L157)</f>
        <v/>
      </c>
    </row>
    <row r="157" spans="1:27">
      <c r="A157" s="22"/>
      <c r="B157" s="22"/>
      <c r="C157" s="21" t="str">
        <f>IF(Deployments!H158="","",Deployments!H158)</f>
        <v/>
      </c>
      <c r="D157" s="21" t="str">
        <f>IF(Deployments!AH158="","",Deployments!AH158)</f>
        <v/>
      </c>
      <c r="E157" s="21" t="str">
        <f>IF(Deployments!I158="","",Deployments!I158)</f>
        <v/>
      </c>
      <c r="F157" s="21" t="str">
        <f>IF(Deployments!J158="","",Deployments!J158)</f>
        <v/>
      </c>
      <c r="G157" s="21" t="str">
        <f>IF(Deployments!K158="","",Deployments!K158)</f>
        <v/>
      </c>
      <c r="H157" s="21" t="str">
        <f>IF(Deployments!A158="","",Deployments!A158)</f>
        <v/>
      </c>
      <c r="I157" s="21" t="str">
        <f>IF(Deployments!AI158="","",Deployments!AI158)</f>
        <v/>
      </c>
      <c r="J157" s="21" t="str">
        <f>IF(Deployments!AJ158="","",Deployments!AJ158)</f>
        <v/>
      </c>
      <c r="K157" s="21" t="str">
        <f>IF(Deployments!AD158="","",Deployments!AD158)</f>
        <v/>
      </c>
      <c r="L157" s="21" t="str">
        <f>IF(Deployments!M158="","",Deployments!M158)</f>
        <v/>
      </c>
      <c r="M157" s="22"/>
      <c r="N157" s="21" t="str">
        <f>IF(Deployments!N158="","",Deployments!N158)</f>
        <v/>
      </c>
      <c r="O157" s="21" t="str">
        <f>IF(Deployments!O158="","",Deployments!O158)</f>
        <v/>
      </c>
      <c r="P157" s="21" t="str">
        <f>IF(Deployments!P158="","",Deployments!P158)</f>
        <v/>
      </c>
      <c r="Q157" s="22"/>
      <c r="R157" s="21" t="str">
        <f>IF(Deployments!AY158="","",Deployments!AY158)</f>
        <v/>
      </c>
      <c r="S157" s="21" t="str">
        <f>IF(Deployments!AX158="","",Deployments!AX158)</f>
        <v/>
      </c>
      <c r="T157" s="21" t="str">
        <f>IF(Deployments!AV158="","",Deployments!AV158)</f>
        <v/>
      </c>
      <c r="U157" s="21" t="str">
        <f>IF(Deployments!AW158="","",Deployments!AW158)</f>
        <v/>
      </c>
      <c r="V157" s="21" t="str">
        <f>IF(Deployments!BA158="","",Deployments!BA158)</f>
        <v/>
      </c>
      <c r="W157" s="21" t="str">
        <f>IF(Deployments!BC158="","",Deployments!BC158)</f>
        <v/>
      </c>
      <c r="X157" s="21" t="str">
        <f>IF(Deployments!BK158="","",Deployments!BK158)</f>
        <v/>
      </c>
      <c r="Y157" s="21" t="str">
        <f>IF(Deployments!BB158="","",Deployments!BB158)</f>
        <v/>
      </c>
      <c r="Z157" s="21" t="str">
        <f>IF(Deployments!T158="","",Deployments!T158)</f>
        <v/>
      </c>
      <c r="AA157" s="21" t="str">
        <f>IF(Deployments!L158="","",Deployments!L158)</f>
        <v/>
      </c>
    </row>
    <row r="158" spans="1:27">
      <c r="A158" s="22"/>
      <c r="B158" s="22"/>
      <c r="C158" s="21" t="str">
        <f>IF(Deployments!H159="","",Deployments!H159)</f>
        <v/>
      </c>
      <c r="D158" s="21" t="str">
        <f>IF(Deployments!AH159="","",Deployments!AH159)</f>
        <v/>
      </c>
      <c r="E158" s="21" t="str">
        <f>IF(Deployments!I159="","",Deployments!I159)</f>
        <v/>
      </c>
      <c r="F158" s="21" t="str">
        <f>IF(Deployments!J159="","",Deployments!J159)</f>
        <v/>
      </c>
      <c r="G158" s="21" t="str">
        <f>IF(Deployments!K159="","",Deployments!K159)</f>
        <v/>
      </c>
      <c r="H158" s="21" t="str">
        <f>IF(Deployments!A159="","",Deployments!A159)</f>
        <v/>
      </c>
      <c r="I158" s="21" t="str">
        <f>IF(Deployments!AI159="","",Deployments!AI159)</f>
        <v/>
      </c>
      <c r="J158" s="21" t="str">
        <f>IF(Deployments!AJ159="","",Deployments!AJ159)</f>
        <v/>
      </c>
      <c r="K158" s="21" t="str">
        <f>IF(Deployments!AD159="","",Deployments!AD159)</f>
        <v/>
      </c>
      <c r="L158" s="21" t="str">
        <f>IF(Deployments!M159="","",Deployments!M159)</f>
        <v/>
      </c>
      <c r="M158" s="22"/>
      <c r="N158" s="21" t="str">
        <f>IF(Deployments!N159="","",Deployments!N159)</f>
        <v/>
      </c>
      <c r="O158" s="21" t="str">
        <f>IF(Deployments!O159="","",Deployments!O159)</f>
        <v/>
      </c>
      <c r="P158" s="21" t="str">
        <f>IF(Deployments!P159="","",Deployments!P159)</f>
        <v/>
      </c>
      <c r="Q158" s="22"/>
      <c r="R158" s="21" t="str">
        <f>IF(Deployments!AY159="","",Deployments!AY159)</f>
        <v/>
      </c>
      <c r="S158" s="21" t="str">
        <f>IF(Deployments!AX159="","",Deployments!AX159)</f>
        <v/>
      </c>
      <c r="T158" s="21" t="str">
        <f>IF(Deployments!AV159="","",Deployments!AV159)</f>
        <v/>
      </c>
      <c r="U158" s="21" t="str">
        <f>IF(Deployments!AW159="","",Deployments!AW159)</f>
        <v/>
      </c>
      <c r="V158" s="21" t="str">
        <f>IF(Deployments!BA159="","",Deployments!BA159)</f>
        <v/>
      </c>
      <c r="W158" s="21" t="str">
        <f>IF(Deployments!BC159="","",Deployments!BC159)</f>
        <v/>
      </c>
      <c r="X158" s="21" t="str">
        <f>IF(Deployments!BK159="","",Deployments!BK159)</f>
        <v/>
      </c>
      <c r="Y158" s="21" t="str">
        <f>IF(Deployments!BB159="","",Deployments!BB159)</f>
        <v/>
      </c>
      <c r="Z158" s="21" t="str">
        <f>IF(Deployments!T159="","",Deployments!T159)</f>
        <v/>
      </c>
      <c r="AA158" s="21" t="str">
        <f>IF(Deployments!L159="","",Deployments!L159)</f>
        <v/>
      </c>
    </row>
    <row r="159" spans="1:27">
      <c r="A159" s="22"/>
      <c r="B159" s="22"/>
      <c r="C159" s="21" t="str">
        <f>IF(Deployments!H160="","",Deployments!H160)</f>
        <v/>
      </c>
      <c r="D159" s="21" t="str">
        <f>IF(Deployments!AH160="","",Deployments!AH160)</f>
        <v/>
      </c>
      <c r="E159" s="21" t="str">
        <f>IF(Deployments!I160="","",Deployments!I160)</f>
        <v/>
      </c>
      <c r="F159" s="21" t="str">
        <f>IF(Deployments!J160="","",Deployments!J160)</f>
        <v/>
      </c>
      <c r="G159" s="21" t="str">
        <f>IF(Deployments!K160="","",Deployments!K160)</f>
        <v/>
      </c>
      <c r="H159" s="21" t="str">
        <f>IF(Deployments!A160="","",Deployments!A160)</f>
        <v/>
      </c>
      <c r="I159" s="21" t="str">
        <f>IF(Deployments!AI160="","",Deployments!AI160)</f>
        <v/>
      </c>
      <c r="J159" s="21" t="str">
        <f>IF(Deployments!AJ160="","",Deployments!AJ160)</f>
        <v/>
      </c>
      <c r="K159" s="21" t="str">
        <f>IF(Deployments!AD160="","",Deployments!AD160)</f>
        <v/>
      </c>
      <c r="L159" s="21" t="str">
        <f>IF(Deployments!M160="","",Deployments!M160)</f>
        <v/>
      </c>
      <c r="M159" s="22"/>
      <c r="N159" s="21" t="str">
        <f>IF(Deployments!N160="","",Deployments!N160)</f>
        <v/>
      </c>
      <c r="O159" s="21" t="str">
        <f>IF(Deployments!O160="","",Deployments!O160)</f>
        <v/>
      </c>
      <c r="P159" s="21" t="str">
        <f>IF(Deployments!P160="","",Deployments!P160)</f>
        <v/>
      </c>
      <c r="Q159" s="22"/>
      <c r="R159" s="21" t="str">
        <f>IF(Deployments!AY160="","",Deployments!AY160)</f>
        <v/>
      </c>
      <c r="S159" s="21" t="str">
        <f>IF(Deployments!AX160="","",Deployments!AX160)</f>
        <v/>
      </c>
      <c r="T159" s="21" t="str">
        <f>IF(Deployments!AV160="","",Deployments!AV160)</f>
        <v/>
      </c>
      <c r="U159" s="21" t="str">
        <f>IF(Deployments!AW160="","",Deployments!AW160)</f>
        <v/>
      </c>
      <c r="V159" s="21" t="str">
        <f>IF(Deployments!BA160="","",Deployments!BA160)</f>
        <v/>
      </c>
      <c r="W159" s="21" t="str">
        <f>IF(Deployments!BC160="","",Deployments!BC160)</f>
        <v/>
      </c>
      <c r="X159" s="21" t="str">
        <f>IF(Deployments!BK160="","",Deployments!BK160)</f>
        <v/>
      </c>
      <c r="Y159" s="21" t="str">
        <f>IF(Deployments!BB160="","",Deployments!BB160)</f>
        <v/>
      </c>
      <c r="Z159" s="21" t="str">
        <f>IF(Deployments!T160="","",Deployments!T160)</f>
        <v/>
      </c>
      <c r="AA159" s="21" t="str">
        <f>IF(Deployments!L160="","",Deployments!L160)</f>
        <v/>
      </c>
    </row>
    <row r="160" spans="1:27">
      <c r="A160" s="22"/>
      <c r="B160" s="22"/>
      <c r="C160" s="21" t="str">
        <f>IF(Deployments!H161="","",Deployments!H161)</f>
        <v/>
      </c>
      <c r="D160" s="21" t="str">
        <f>IF(Deployments!AH161="","",Deployments!AH161)</f>
        <v/>
      </c>
      <c r="E160" s="21" t="str">
        <f>IF(Deployments!I161="","",Deployments!I161)</f>
        <v/>
      </c>
      <c r="F160" s="21" t="str">
        <f>IF(Deployments!J161="","",Deployments!J161)</f>
        <v/>
      </c>
      <c r="G160" s="21" t="str">
        <f>IF(Deployments!K161="","",Deployments!K161)</f>
        <v/>
      </c>
      <c r="H160" s="21" t="str">
        <f>IF(Deployments!A161="","",Deployments!A161)</f>
        <v/>
      </c>
      <c r="I160" s="21" t="str">
        <f>IF(Deployments!AI161="","",Deployments!AI161)</f>
        <v/>
      </c>
      <c r="J160" s="21" t="str">
        <f>IF(Deployments!AJ161="","",Deployments!AJ161)</f>
        <v/>
      </c>
      <c r="K160" s="21" t="str">
        <f>IF(Deployments!AD161="","",Deployments!AD161)</f>
        <v/>
      </c>
      <c r="L160" s="21" t="str">
        <f>IF(Deployments!M161="","",Deployments!M161)</f>
        <v/>
      </c>
      <c r="M160" s="22"/>
      <c r="N160" s="21" t="str">
        <f>IF(Deployments!N161="","",Deployments!N161)</f>
        <v/>
      </c>
      <c r="O160" s="21" t="str">
        <f>IF(Deployments!O161="","",Deployments!O161)</f>
        <v/>
      </c>
      <c r="P160" s="21" t="str">
        <f>IF(Deployments!P161="","",Deployments!P161)</f>
        <v/>
      </c>
      <c r="Q160" s="22"/>
      <c r="R160" s="21" t="str">
        <f>IF(Deployments!AY161="","",Deployments!AY161)</f>
        <v/>
      </c>
      <c r="S160" s="21" t="str">
        <f>IF(Deployments!AX161="","",Deployments!AX161)</f>
        <v/>
      </c>
      <c r="T160" s="21" t="str">
        <f>IF(Deployments!AV161="","",Deployments!AV161)</f>
        <v/>
      </c>
      <c r="U160" s="21" t="str">
        <f>IF(Deployments!AW161="","",Deployments!AW161)</f>
        <v/>
      </c>
      <c r="V160" s="21" t="str">
        <f>IF(Deployments!BA161="","",Deployments!BA161)</f>
        <v/>
      </c>
      <c r="W160" s="21" t="str">
        <f>IF(Deployments!BC161="","",Deployments!BC161)</f>
        <v/>
      </c>
      <c r="X160" s="21" t="str">
        <f>IF(Deployments!BK161="","",Deployments!BK161)</f>
        <v/>
      </c>
      <c r="Y160" s="21" t="str">
        <f>IF(Deployments!BB161="","",Deployments!BB161)</f>
        <v/>
      </c>
      <c r="Z160" s="21" t="str">
        <f>IF(Deployments!T161="","",Deployments!T161)</f>
        <v/>
      </c>
      <c r="AA160" s="21" t="str">
        <f>IF(Deployments!L161="","",Deployments!L161)</f>
        <v/>
      </c>
    </row>
    <row r="161" spans="1:27">
      <c r="A161" s="22"/>
      <c r="B161" s="22"/>
      <c r="C161" s="21" t="str">
        <f>IF(Deployments!H162="","",Deployments!H162)</f>
        <v/>
      </c>
      <c r="D161" s="21" t="str">
        <f>IF(Deployments!AH162="","",Deployments!AH162)</f>
        <v/>
      </c>
      <c r="E161" s="21" t="str">
        <f>IF(Deployments!I162="","",Deployments!I162)</f>
        <v/>
      </c>
      <c r="F161" s="21" t="str">
        <f>IF(Deployments!J162="","",Deployments!J162)</f>
        <v/>
      </c>
      <c r="G161" s="21" t="str">
        <f>IF(Deployments!K162="","",Deployments!K162)</f>
        <v/>
      </c>
      <c r="H161" s="21" t="str">
        <f>IF(Deployments!A162="","",Deployments!A162)</f>
        <v/>
      </c>
      <c r="I161" s="21" t="str">
        <f>IF(Deployments!AI162="","",Deployments!AI162)</f>
        <v/>
      </c>
      <c r="J161" s="21" t="str">
        <f>IF(Deployments!AJ162="","",Deployments!AJ162)</f>
        <v/>
      </c>
      <c r="K161" s="21" t="str">
        <f>IF(Deployments!AD162="","",Deployments!AD162)</f>
        <v/>
      </c>
      <c r="L161" s="21" t="str">
        <f>IF(Deployments!M162="","",Deployments!M162)</f>
        <v/>
      </c>
      <c r="M161" s="22"/>
      <c r="N161" s="21" t="str">
        <f>IF(Deployments!N162="","",Deployments!N162)</f>
        <v/>
      </c>
      <c r="O161" s="21" t="str">
        <f>IF(Deployments!O162="","",Deployments!O162)</f>
        <v/>
      </c>
      <c r="P161" s="21" t="str">
        <f>IF(Deployments!P162="","",Deployments!P162)</f>
        <v/>
      </c>
      <c r="Q161" s="22"/>
      <c r="R161" s="21" t="str">
        <f>IF(Deployments!AY162="","",Deployments!AY162)</f>
        <v/>
      </c>
      <c r="S161" s="21" t="str">
        <f>IF(Deployments!AX162="","",Deployments!AX162)</f>
        <v/>
      </c>
      <c r="T161" s="21" t="str">
        <f>IF(Deployments!AV162="","",Deployments!AV162)</f>
        <v/>
      </c>
      <c r="U161" s="21" t="str">
        <f>IF(Deployments!AW162="","",Deployments!AW162)</f>
        <v/>
      </c>
      <c r="V161" s="21" t="str">
        <f>IF(Deployments!BA162="","",Deployments!BA162)</f>
        <v/>
      </c>
      <c r="W161" s="21" t="str">
        <f>IF(Deployments!BC162="","",Deployments!BC162)</f>
        <v/>
      </c>
      <c r="X161" s="21" t="str">
        <f>IF(Deployments!BK162="","",Deployments!BK162)</f>
        <v/>
      </c>
      <c r="Y161" s="21" t="str">
        <f>IF(Deployments!BB162="","",Deployments!BB162)</f>
        <v/>
      </c>
      <c r="Z161" s="21" t="str">
        <f>IF(Deployments!T162="","",Deployments!T162)</f>
        <v/>
      </c>
      <c r="AA161" s="21" t="str">
        <f>IF(Deployments!L162="","",Deployments!L162)</f>
        <v/>
      </c>
    </row>
    <row r="162" spans="1:27">
      <c r="A162" s="22"/>
      <c r="B162" s="22"/>
      <c r="C162" s="21" t="str">
        <f>IF(Deployments!H163="","",Deployments!H163)</f>
        <v/>
      </c>
      <c r="D162" s="21" t="str">
        <f>IF(Deployments!AH163="","",Deployments!AH163)</f>
        <v/>
      </c>
      <c r="E162" s="21" t="str">
        <f>IF(Deployments!I163="","",Deployments!I163)</f>
        <v/>
      </c>
      <c r="F162" s="21" t="str">
        <f>IF(Deployments!J163="","",Deployments!J163)</f>
        <v/>
      </c>
      <c r="G162" s="21" t="str">
        <f>IF(Deployments!K163="","",Deployments!K163)</f>
        <v/>
      </c>
      <c r="H162" s="21" t="str">
        <f>IF(Deployments!A163="","",Deployments!A163)</f>
        <v/>
      </c>
      <c r="I162" s="21" t="str">
        <f>IF(Deployments!AI163="","",Deployments!AI163)</f>
        <v/>
      </c>
      <c r="J162" s="21" t="str">
        <f>IF(Deployments!AJ163="","",Deployments!AJ163)</f>
        <v/>
      </c>
      <c r="K162" s="21" t="str">
        <f>IF(Deployments!AD163="","",Deployments!AD163)</f>
        <v/>
      </c>
      <c r="L162" s="21" t="str">
        <f>IF(Deployments!M163="","",Deployments!M163)</f>
        <v/>
      </c>
      <c r="M162" s="22"/>
      <c r="N162" s="21" t="str">
        <f>IF(Deployments!N163="","",Deployments!N163)</f>
        <v/>
      </c>
      <c r="O162" s="21" t="str">
        <f>IF(Deployments!O163="","",Deployments!O163)</f>
        <v/>
      </c>
      <c r="P162" s="21" t="str">
        <f>IF(Deployments!P163="","",Deployments!P163)</f>
        <v/>
      </c>
      <c r="Q162" s="22"/>
      <c r="R162" s="21" t="str">
        <f>IF(Deployments!AY163="","",Deployments!AY163)</f>
        <v/>
      </c>
      <c r="S162" s="21" t="str">
        <f>IF(Deployments!AX163="","",Deployments!AX163)</f>
        <v/>
      </c>
      <c r="T162" s="21" t="str">
        <f>IF(Deployments!AV163="","",Deployments!AV163)</f>
        <v/>
      </c>
      <c r="U162" s="21" t="str">
        <f>IF(Deployments!AW163="","",Deployments!AW163)</f>
        <v/>
      </c>
      <c r="V162" s="21" t="str">
        <f>IF(Deployments!BA163="","",Deployments!BA163)</f>
        <v/>
      </c>
      <c r="W162" s="21" t="str">
        <f>IF(Deployments!BC163="","",Deployments!BC163)</f>
        <v/>
      </c>
      <c r="X162" s="21" t="str">
        <f>IF(Deployments!BK163="","",Deployments!BK163)</f>
        <v/>
      </c>
      <c r="Y162" s="21" t="str">
        <f>IF(Deployments!BB163="","",Deployments!BB163)</f>
        <v/>
      </c>
      <c r="Z162" s="21" t="str">
        <f>IF(Deployments!T163="","",Deployments!T163)</f>
        <v/>
      </c>
      <c r="AA162" s="21" t="str">
        <f>IF(Deployments!L163="","",Deployments!L163)</f>
        <v/>
      </c>
    </row>
    <row r="163" spans="1:27">
      <c r="A163" s="22"/>
      <c r="B163" s="22"/>
      <c r="C163" s="21" t="str">
        <f>IF(Deployments!H164="","",Deployments!H164)</f>
        <v/>
      </c>
      <c r="D163" s="21" t="str">
        <f>IF(Deployments!AH164="","",Deployments!AH164)</f>
        <v/>
      </c>
      <c r="E163" s="21" t="str">
        <f>IF(Deployments!I164="","",Deployments!I164)</f>
        <v/>
      </c>
      <c r="F163" s="21" t="str">
        <f>IF(Deployments!J164="","",Deployments!J164)</f>
        <v/>
      </c>
      <c r="G163" s="21" t="str">
        <f>IF(Deployments!K164="","",Deployments!K164)</f>
        <v/>
      </c>
      <c r="H163" s="21" t="str">
        <f>IF(Deployments!A164="","",Deployments!A164)</f>
        <v/>
      </c>
      <c r="I163" s="21" t="str">
        <f>IF(Deployments!AI164="","",Deployments!AI164)</f>
        <v/>
      </c>
      <c r="J163" s="21" t="str">
        <f>IF(Deployments!AJ164="","",Deployments!AJ164)</f>
        <v/>
      </c>
      <c r="K163" s="21" t="str">
        <f>IF(Deployments!AD164="","",Deployments!AD164)</f>
        <v/>
      </c>
      <c r="L163" s="21" t="str">
        <f>IF(Deployments!M164="","",Deployments!M164)</f>
        <v/>
      </c>
      <c r="M163" s="22"/>
      <c r="N163" s="21" t="str">
        <f>IF(Deployments!N164="","",Deployments!N164)</f>
        <v/>
      </c>
      <c r="O163" s="21" t="str">
        <f>IF(Deployments!O164="","",Deployments!O164)</f>
        <v/>
      </c>
      <c r="P163" s="21" t="str">
        <f>IF(Deployments!P164="","",Deployments!P164)</f>
        <v/>
      </c>
      <c r="Q163" s="22"/>
      <c r="R163" s="21" t="str">
        <f>IF(Deployments!AY164="","",Deployments!AY164)</f>
        <v/>
      </c>
      <c r="S163" s="21" t="str">
        <f>IF(Deployments!AX164="","",Deployments!AX164)</f>
        <v/>
      </c>
      <c r="T163" s="21" t="str">
        <f>IF(Deployments!AV164="","",Deployments!AV164)</f>
        <v/>
      </c>
      <c r="U163" s="21" t="str">
        <f>IF(Deployments!AW164="","",Deployments!AW164)</f>
        <v/>
      </c>
      <c r="V163" s="21" t="str">
        <f>IF(Deployments!BA164="","",Deployments!BA164)</f>
        <v/>
      </c>
      <c r="W163" s="21" t="str">
        <f>IF(Deployments!BC164="","",Deployments!BC164)</f>
        <v/>
      </c>
      <c r="X163" s="21" t="str">
        <f>IF(Deployments!BK164="","",Deployments!BK164)</f>
        <v/>
      </c>
      <c r="Y163" s="21" t="str">
        <f>IF(Deployments!BB164="","",Deployments!BB164)</f>
        <v/>
      </c>
      <c r="Z163" s="21" t="str">
        <f>IF(Deployments!T164="","",Deployments!T164)</f>
        <v/>
      </c>
      <c r="AA163" s="21" t="str">
        <f>IF(Deployments!L164="","",Deployments!L164)</f>
        <v/>
      </c>
    </row>
    <row r="164" spans="1:27">
      <c r="A164" s="22"/>
      <c r="B164" s="22"/>
      <c r="C164" s="21" t="str">
        <f>IF(Deployments!H165="","",Deployments!H165)</f>
        <v/>
      </c>
      <c r="D164" s="21" t="str">
        <f>IF(Deployments!AH165="","",Deployments!AH165)</f>
        <v/>
      </c>
      <c r="E164" s="21" t="str">
        <f>IF(Deployments!I165="","",Deployments!I165)</f>
        <v/>
      </c>
      <c r="F164" s="21" t="str">
        <f>IF(Deployments!J165="","",Deployments!J165)</f>
        <v/>
      </c>
      <c r="G164" s="21" t="str">
        <f>IF(Deployments!K165="","",Deployments!K165)</f>
        <v/>
      </c>
      <c r="H164" s="21" t="str">
        <f>IF(Deployments!A165="","",Deployments!A165)</f>
        <v/>
      </c>
      <c r="I164" s="21" t="str">
        <f>IF(Deployments!AI165="","",Deployments!AI165)</f>
        <v/>
      </c>
      <c r="J164" s="21" t="str">
        <f>IF(Deployments!AJ165="","",Deployments!AJ165)</f>
        <v/>
      </c>
      <c r="K164" s="21" t="str">
        <f>IF(Deployments!AD165="","",Deployments!AD165)</f>
        <v/>
      </c>
      <c r="L164" s="21" t="str">
        <f>IF(Deployments!M165="","",Deployments!M165)</f>
        <v/>
      </c>
      <c r="M164" s="22"/>
      <c r="N164" s="21" t="str">
        <f>IF(Deployments!N165="","",Deployments!N165)</f>
        <v/>
      </c>
      <c r="O164" s="21" t="str">
        <f>IF(Deployments!O165="","",Deployments!O165)</f>
        <v/>
      </c>
      <c r="P164" s="21" t="str">
        <f>IF(Deployments!P165="","",Deployments!P165)</f>
        <v/>
      </c>
      <c r="Q164" s="22"/>
      <c r="R164" s="21" t="str">
        <f>IF(Deployments!AY165="","",Deployments!AY165)</f>
        <v/>
      </c>
      <c r="S164" s="21" t="str">
        <f>IF(Deployments!AX165="","",Deployments!AX165)</f>
        <v/>
      </c>
      <c r="T164" s="21" t="str">
        <f>IF(Deployments!AV165="","",Deployments!AV165)</f>
        <v/>
      </c>
      <c r="U164" s="21" t="str">
        <f>IF(Deployments!AW165="","",Deployments!AW165)</f>
        <v/>
      </c>
      <c r="V164" s="21" t="str">
        <f>IF(Deployments!BA165="","",Deployments!BA165)</f>
        <v/>
      </c>
      <c r="W164" s="21" t="str">
        <f>IF(Deployments!BC165="","",Deployments!BC165)</f>
        <v/>
      </c>
      <c r="X164" s="21" t="str">
        <f>IF(Deployments!BK165="","",Deployments!BK165)</f>
        <v/>
      </c>
      <c r="Y164" s="21" t="str">
        <f>IF(Deployments!BB165="","",Deployments!BB165)</f>
        <v/>
      </c>
      <c r="Z164" s="21" t="str">
        <f>IF(Deployments!T165="","",Deployments!T165)</f>
        <v/>
      </c>
      <c r="AA164" s="21" t="str">
        <f>IF(Deployments!L165="","",Deployments!L165)</f>
        <v/>
      </c>
    </row>
    <row r="165" spans="1:27">
      <c r="A165" s="22"/>
      <c r="B165" s="22"/>
      <c r="C165" s="21" t="str">
        <f>IF(Deployments!H166="","",Deployments!H166)</f>
        <v/>
      </c>
      <c r="D165" s="21" t="str">
        <f>IF(Deployments!AH166="","",Deployments!AH166)</f>
        <v/>
      </c>
      <c r="E165" s="21" t="str">
        <f>IF(Deployments!I166="","",Deployments!I166)</f>
        <v/>
      </c>
      <c r="F165" s="21" t="str">
        <f>IF(Deployments!J166="","",Deployments!J166)</f>
        <v/>
      </c>
      <c r="G165" s="21" t="str">
        <f>IF(Deployments!K166="","",Deployments!K166)</f>
        <v/>
      </c>
      <c r="H165" s="21" t="str">
        <f>IF(Deployments!A166="","",Deployments!A166)</f>
        <v/>
      </c>
      <c r="I165" s="21" t="str">
        <f>IF(Deployments!AI166="","",Deployments!AI166)</f>
        <v/>
      </c>
      <c r="J165" s="21" t="str">
        <f>IF(Deployments!AJ166="","",Deployments!AJ166)</f>
        <v/>
      </c>
      <c r="K165" s="21" t="str">
        <f>IF(Deployments!AD166="","",Deployments!AD166)</f>
        <v/>
      </c>
      <c r="L165" s="21" t="str">
        <f>IF(Deployments!M166="","",Deployments!M166)</f>
        <v/>
      </c>
      <c r="M165" s="22"/>
      <c r="N165" s="21" t="str">
        <f>IF(Deployments!N166="","",Deployments!N166)</f>
        <v/>
      </c>
      <c r="O165" s="21" t="str">
        <f>IF(Deployments!O166="","",Deployments!O166)</f>
        <v/>
      </c>
      <c r="P165" s="21" t="str">
        <f>IF(Deployments!P166="","",Deployments!P166)</f>
        <v/>
      </c>
      <c r="Q165" s="22"/>
      <c r="R165" s="21" t="str">
        <f>IF(Deployments!AY166="","",Deployments!AY166)</f>
        <v/>
      </c>
      <c r="S165" s="21" t="str">
        <f>IF(Deployments!AX166="","",Deployments!AX166)</f>
        <v/>
      </c>
      <c r="T165" s="21" t="str">
        <f>IF(Deployments!AV166="","",Deployments!AV166)</f>
        <v/>
      </c>
      <c r="U165" s="21" t="str">
        <f>IF(Deployments!AW166="","",Deployments!AW166)</f>
        <v/>
      </c>
      <c r="V165" s="21" t="str">
        <f>IF(Deployments!BA166="","",Deployments!BA166)</f>
        <v/>
      </c>
      <c r="W165" s="21" t="str">
        <f>IF(Deployments!BC166="","",Deployments!BC166)</f>
        <v/>
      </c>
      <c r="X165" s="21" t="str">
        <f>IF(Deployments!BK166="","",Deployments!BK166)</f>
        <v/>
      </c>
      <c r="Y165" s="21" t="str">
        <f>IF(Deployments!BB166="","",Deployments!BB166)</f>
        <v/>
      </c>
      <c r="Z165" s="21" t="str">
        <f>IF(Deployments!T166="","",Deployments!T166)</f>
        <v/>
      </c>
      <c r="AA165" s="21" t="str">
        <f>IF(Deployments!L166="","",Deployments!L166)</f>
        <v/>
      </c>
    </row>
    <row r="166" spans="1:27">
      <c r="A166" s="22"/>
      <c r="B166" s="22"/>
      <c r="C166" s="21" t="str">
        <f>IF(Deployments!H167="","",Deployments!H167)</f>
        <v/>
      </c>
      <c r="D166" s="21" t="str">
        <f>IF(Deployments!AH167="","",Deployments!AH167)</f>
        <v/>
      </c>
      <c r="E166" s="21" t="str">
        <f>IF(Deployments!I167="","",Deployments!I167)</f>
        <v/>
      </c>
      <c r="F166" s="21" t="str">
        <f>IF(Deployments!J167="","",Deployments!J167)</f>
        <v/>
      </c>
      <c r="G166" s="21" t="str">
        <f>IF(Deployments!K167="","",Deployments!K167)</f>
        <v/>
      </c>
      <c r="H166" s="21" t="str">
        <f>IF(Deployments!A167="","",Deployments!A167)</f>
        <v/>
      </c>
      <c r="I166" s="21" t="str">
        <f>IF(Deployments!AI167="","",Deployments!AI167)</f>
        <v/>
      </c>
      <c r="J166" s="21" t="str">
        <f>IF(Deployments!AJ167="","",Deployments!AJ167)</f>
        <v/>
      </c>
      <c r="K166" s="21" t="str">
        <f>IF(Deployments!AD167="","",Deployments!AD167)</f>
        <v/>
      </c>
      <c r="L166" s="21" t="str">
        <f>IF(Deployments!M167="","",Deployments!M167)</f>
        <v/>
      </c>
      <c r="M166" s="22"/>
      <c r="N166" s="21" t="str">
        <f>IF(Deployments!N167="","",Deployments!N167)</f>
        <v/>
      </c>
      <c r="O166" s="21" t="str">
        <f>IF(Deployments!O167="","",Deployments!O167)</f>
        <v/>
      </c>
      <c r="P166" s="21" t="str">
        <f>IF(Deployments!P167="","",Deployments!P167)</f>
        <v/>
      </c>
      <c r="Q166" s="22"/>
      <c r="R166" s="21" t="str">
        <f>IF(Deployments!AY167="","",Deployments!AY167)</f>
        <v/>
      </c>
      <c r="S166" s="21" t="str">
        <f>IF(Deployments!AX167="","",Deployments!AX167)</f>
        <v/>
      </c>
      <c r="T166" s="21" t="str">
        <f>IF(Deployments!AV167="","",Deployments!AV167)</f>
        <v/>
      </c>
      <c r="U166" s="21" t="str">
        <f>IF(Deployments!AW167="","",Deployments!AW167)</f>
        <v/>
      </c>
      <c r="V166" s="21" t="str">
        <f>IF(Deployments!BA167="","",Deployments!BA167)</f>
        <v/>
      </c>
      <c r="W166" s="21" t="str">
        <f>IF(Deployments!BC167="","",Deployments!BC167)</f>
        <v/>
      </c>
      <c r="X166" s="21" t="str">
        <f>IF(Deployments!BK167="","",Deployments!BK167)</f>
        <v/>
      </c>
      <c r="Y166" s="21" t="str">
        <f>IF(Deployments!BB167="","",Deployments!BB167)</f>
        <v/>
      </c>
      <c r="Z166" s="21" t="str">
        <f>IF(Deployments!T167="","",Deployments!T167)</f>
        <v/>
      </c>
      <c r="AA166" s="21" t="str">
        <f>IF(Deployments!L167="","",Deployments!L167)</f>
        <v/>
      </c>
    </row>
    <row r="167" spans="1:27">
      <c r="A167" s="22"/>
      <c r="B167" s="22"/>
      <c r="C167" s="21" t="str">
        <f>IF(Deployments!H168="","",Deployments!H168)</f>
        <v/>
      </c>
      <c r="D167" s="21" t="str">
        <f>IF(Deployments!AH168="","",Deployments!AH168)</f>
        <v/>
      </c>
      <c r="E167" s="21" t="str">
        <f>IF(Deployments!I168="","",Deployments!I168)</f>
        <v/>
      </c>
      <c r="F167" s="21" t="str">
        <f>IF(Deployments!J168="","",Deployments!J168)</f>
        <v/>
      </c>
      <c r="G167" s="21" t="str">
        <f>IF(Deployments!K168="","",Deployments!K168)</f>
        <v/>
      </c>
      <c r="H167" s="21" t="str">
        <f>IF(Deployments!A168="","",Deployments!A168)</f>
        <v/>
      </c>
      <c r="I167" s="21" t="str">
        <f>IF(Deployments!AI168="","",Deployments!AI168)</f>
        <v/>
      </c>
      <c r="J167" s="21" t="str">
        <f>IF(Deployments!AJ168="","",Deployments!AJ168)</f>
        <v/>
      </c>
      <c r="K167" s="21" t="str">
        <f>IF(Deployments!AD168="","",Deployments!AD168)</f>
        <v/>
      </c>
      <c r="L167" s="21" t="str">
        <f>IF(Deployments!M168="","",Deployments!M168)</f>
        <v/>
      </c>
      <c r="M167" s="22"/>
      <c r="N167" s="21" t="str">
        <f>IF(Deployments!N168="","",Deployments!N168)</f>
        <v/>
      </c>
      <c r="O167" s="21" t="str">
        <f>IF(Deployments!O168="","",Deployments!O168)</f>
        <v/>
      </c>
      <c r="P167" s="21" t="str">
        <f>IF(Deployments!P168="","",Deployments!P168)</f>
        <v/>
      </c>
      <c r="Q167" s="22"/>
      <c r="R167" s="21" t="str">
        <f>IF(Deployments!AY168="","",Deployments!AY168)</f>
        <v/>
      </c>
      <c r="S167" s="21" t="str">
        <f>IF(Deployments!AX168="","",Deployments!AX168)</f>
        <v/>
      </c>
      <c r="T167" s="21" t="str">
        <f>IF(Deployments!AV168="","",Deployments!AV168)</f>
        <v/>
      </c>
      <c r="U167" s="21" t="str">
        <f>IF(Deployments!AW168="","",Deployments!AW168)</f>
        <v/>
      </c>
      <c r="V167" s="21" t="str">
        <f>IF(Deployments!BA168="","",Deployments!BA168)</f>
        <v/>
      </c>
      <c r="W167" s="21" t="str">
        <f>IF(Deployments!BC168="","",Deployments!BC168)</f>
        <v/>
      </c>
      <c r="X167" s="21" t="str">
        <f>IF(Deployments!BK168="","",Deployments!BK168)</f>
        <v/>
      </c>
      <c r="Y167" s="21" t="str">
        <f>IF(Deployments!BB168="","",Deployments!BB168)</f>
        <v/>
      </c>
      <c r="Z167" s="21" t="str">
        <f>IF(Deployments!T168="","",Deployments!T168)</f>
        <v/>
      </c>
      <c r="AA167" s="21" t="str">
        <f>IF(Deployments!L168="","",Deployments!L168)</f>
        <v/>
      </c>
    </row>
    <row r="168" spans="1:27">
      <c r="A168" s="22"/>
      <c r="B168" s="22"/>
      <c r="C168" s="21" t="str">
        <f>IF(Deployments!H169="","",Deployments!H169)</f>
        <v/>
      </c>
      <c r="D168" s="21" t="str">
        <f>IF(Deployments!AH169="","",Deployments!AH169)</f>
        <v/>
      </c>
      <c r="E168" s="21" t="str">
        <f>IF(Deployments!I169="","",Deployments!I169)</f>
        <v/>
      </c>
      <c r="F168" s="21" t="str">
        <f>IF(Deployments!J169="","",Deployments!J169)</f>
        <v/>
      </c>
      <c r="G168" s="21" t="str">
        <f>IF(Deployments!K169="","",Deployments!K169)</f>
        <v/>
      </c>
      <c r="H168" s="21" t="str">
        <f>IF(Deployments!A169="","",Deployments!A169)</f>
        <v/>
      </c>
      <c r="I168" s="21" t="str">
        <f>IF(Deployments!AI169="","",Deployments!AI169)</f>
        <v/>
      </c>
      <c r="J168" s="21" t="str">
        <f>IF(Deployments!AJ169="","",Deployments!AJ169)</f>
        <v/>
      </c>
      <c r="K168" s="21" t="str">
        <f>IF(Deployments!AD169="","",Deployments!AD169)</f>
        <v/>
      </c>
      <c r="L168" s="21" t="str">
        <f>IF(Deployments!M169="","",Deployments!M169)</f>
        <v/>
      </c>
      <c r="M168" s="22"/>
      <c r="N168" s="21" t="str">
        <f>IF(Deployments!N169="","",Deployments!N169)</f>
        <v/>
      </c>
      <c r="O168" s="21" t="str">
        <f>IF(Deployments!O169="","",Deployments!O169)</f>
        <v/>
      </c>
      <c r="P168" s="21" t="str">
        <f>IF(Deployments!P169="","",Deployments!P169)</f>
        <v/>
      </c>
      <c r="Q168" s="22"/>
      <c r="R168" s="21" t="str">
        <f>IF(Deployments!AY169="","",Deployments!AY169)</f>
        <v/>
      </c>
      <c r="S168" s="21" t="str">
        <f>IF(Deployments!AX169="","",Deployments!AX169)</f>
        <v/>
      </c>
      <c r="T168" s="21" t="str">
        <f>IF(Deployments!AV169="","",Deployments!AV169)</f>
        <v/>
      </c>
      <c r="U168" s="21" t="str">
        <f>IF(Deployments!AW169="","",Deployments!AW169)</f>
        <v/>
      </c>
      <c r="V168" s="21" t="str">
        <f>IF(Deployments!BA169="","",Deployments!BA169)</f>
        <v/>
      </c>
      <c r="W168" s="21" t="str">
        <f>IF(Deployments!BC169="","",Deployments!BC169)</f>
        <v/>
      </c>
      <c r="X168" s="21" t="str">
        <f>IF(Deployments!BK169="","",Deployments!BK169)</f>
        <v/>
      </c>
      <c r="Y168" s="21" t="str">
        <f>IF(Deployments!BB169="","",Deployments!BB169)</f>
        <v/>
      </c>
      <c r="Z168" s="21" t="str">
        <f>IF(Deployments!T169="","",Deployments!T169)</f>
        <v/>
      </c>
      <c r="AA168" s="21" t="str">
        <f>IF(Deployments!L169="","",Deployments!L169)</f>
        <v/>
      </c>
    </row>
    <row r="169" spans="1:27">
      <c r="A169" s="22"/>
      <c r="B169" s="22"/>
      <c r="C169" s="21" t="str">
        <f>IF(Deployments!H170="","",Deployments!H170)</f>
        <v/>
      </c>
      <c r="D169" s="21" t="str">
        <f>IF(Deployments!AH170="","",Deployments!AH170)</f>
        <v/>
      </c>
      <c r="E169" s="21" t="str">
        <f>IF(Deployments!I170="","",Deployments!I170)</f>
        <v/>
      </c>
      <c r="F169" s="21" t="str">
        <f>IF(Deployments!J170="","",Deployments!J170)</f>
        <v/>
      </c>
      <c r="G169" s="21" t="str">
        <f>IF(Deployments!K170="","",Deployments!K170)</f>
        <v/>
      </c>
      <c r="H169" s="21" t="str">
        <f>IF(Deployments!A170="","",Deployments!A170)</f>
        <v/>
      </c>
      <c r="I169" s="21" t="str">
        <f>IF(Deployments!AI170="","",Deployments!AI170)</f>
        <v/>
      </c>
      <c r="J169" s="21" t="str">
        <f>IF(Deployments!AJ170="","",Deployments!AJ170)</f>
        <v/>
      </c>
      <c r="K169" s="21" t="str">
        <f>IF(Deployments!AD170="","",Deployments!AD170)</f>
        <v/>
      </c>
      <c r="L169" s="21" t="str">
        <f>IF(Deployments!M170="","",Deployments!M170)</f>
        <v/>
      </c>
      <c r="M169" s="22"/>
      <c r="N169" s="21" t="str">
        <f>IF(Deployments!N170="","",Deployments!N170)</f>
        <v/>
      </c>
      <c r="O169" s="21" t="str">
        <f>IF(Deployments!O170="","",Deployments!O170)</f>
        <v/>
      </c>
      <c r="P169" s="21" t="str">
        <f>IF(Deployments!P170="","",Deployments!P170)</f>
        <v/>
      </c>
      <c r="Q169" s="22"/>
      <c r="R169" s="21" t="str">
        <f>IF(Deployments!AY170="","",Deployments!AY170)</f>
        <v/>
      </c>
      <c r="S169" s="21" t="str">
        <f>IF(Deployments!AX170="","",Deployments!AX170)</f>
        <v/>
      </c>
      <c r="T169" s="21" t="str">
        <f>IF(Deployments!AV170="","",Deployments!AV170)</f>
        <v/>
      </c>
      <c r="U169" s="21" t="str">
        <f>IF(Deployments!AW170="","",Deployments!AW170)</f>
        <v/>
      </c>
      <c r="V169" s="21" t="str">
        <f>IF(Deployments!BA170="","",Deployments!BA170)</f>
        <v/>
      </c>
      <c r="W169" s="21" t="str">
        <f>IF(Deployments!BC170="","",Deployments!BC170)</f>
        <v/>
      </c>
      <c r="X169" s="21" t="str">
        <f>IF(Deployments!BK170="","",Deployments!BK170)</f>
        <v/>
      </c>
      <c r="Y169" s="21" t="str">
        <f>IF(Deployments!BB170="","",Deployments!BB170)</f>
        <v/>
      </c>
      <c r="Z169" s="21" t="str">
        <f>IF(Deployments!T170="","",Deployments!T170)</f>
        <v/>
      </c>
      <c r="AA169" s="21" t="str">
        <f>IF(Deployments!L170="","",Deployments!L170)</f>
        <v/>
      </c>
    </row>
    <row r="170" spans="1:27">
      <c r="A170" s="22"/>
      <c r="B170" s="22"/>
      <c r="C170" s="21" t="str">
        <f>IF(Deployments!H171="","",Deployments!H171)</f>
        <v/>
      </c>
      <c r="D170" s="21" t="str">
        <f>IF(Deployments!AH171="","",Deployments!AH171)</f>
        <v/>
      </c>
      <c r="E170" s="21" t="str">
        <f>IF(Deployments!I171="","",Deployments!I171)</f>
        <v/>
      </c>
      <c r="F170" s="21" t="str">
        <f>IF(Deployments!J171="","",Deployments!J171)</f>
        <v/>
      </c>
      <c r="G170" s="21" t="str">
        <f>IF(Deployments!K171="","",Deployments!K171)</f>
        <v/>
      </c>
      <c r="H170" s="21" t="str">
        <f>IF(Deployments!A171="","",Deployments!A171)</f>
        <v/>
      </c>
      <c r="I170" s="21" t="str">
        <f>IF(Deployments!AI171="","",Deployments!AI171)</f>
        <v/>
      </c>
      <c r="J170" s="21" t="str">
        <f>IF(Deployments!AJ171="","",Deployments!AJ171)</f>
        <v/>
      </c>
      <c r="K170" s="21" t="str">
        <f>IF(Deployments!AD171="","",Deployments!AD171)</f>
        <v/>
      </c>
      <c r="L170" s="21" t="str">
        <f>IF(Deployments!M171="","",Deployments!M171)</f>
        <v/>
      </c>
      <c r="M170" s="22"/>
      <c r="N170" s="21" t="str">
        <f>IF(Deployments!N171="","",Deployments!N171)</f>
        <v/>
      </c>
      <c r="O170" s="21" t="str">
        <f>IF(Deployments!O171="","",Deployments!O171)</f>
        <v/>
      </c>
      <c r="P170" s="21" t="str">
        <f>IF(Deployments!P171="","",Deployments!P171)</f>
        <v/>
      </c>
      <c r="Q170" s="22"/>
      <c r="R170" s="21" t="str">
        <f>IF(Deployments!AY171="","",Deployments!AY171)</f>
        <v/>
      </c>
      <c r="S170" s="21" t="str">
        <f>IF(Deployments!AX171="","",Deployments!AX171)</f>
        <v/>
      </c>
      <c r="T170" s="21" t="str">
        <f>IF(Deployments!AV171="","",Deployments!AV171)</f>
        <v/>
      </c>
      <c r="U170" s="21" t="str">
        <f>IF(Deployments!AW171="","",Deployments!AW171)</f>
        <v/>
      </c>
      <c r="V170" s="21" t="str">
        <f>IF(Deployments!BA171="","",Deployments!BA171)</f>
        <v/>
      </c>
      <c r="W170" s="21" t="str">
        <f>IF(Deployments!BC171="","",Deployments!BC171)</f>
        <v/>
      </c>
      <c r="X170" s="21" t="str">
        <f>IF(Deployments!BK171="","",Deployments!BK171)</f>
        <v/>
      </c>
      <c r="Y170" s="21" t="str">
        <f>IF(Deployments!BB171="","",Deployments!BB171)</f>
        <v/>
      </c>
      <c r="Z170" s="21" t="str">
        <f>IF(Deployments!T171="","",Deployments!T171)</f>
        <v/>
      </c>
      <c r="AA170" s="21" t="str">
        <f>IF(Deployments!L171="","",Deployments!L171)</f>
        <v/>
      </c>
    </row>
    <row r="171" spans="1:27">
      <c r="A171" s="22"/>
      <c r="B171" s="22"/>
      <c r="C171" s="21" t="str">
        <f>IF(Deployments!H172="","",Deployments!H172)</f>
        <v/>
      </c>
      <c r="D171" s="21" t="str">
        <f>IF(Deployments!AH172="","",Deployments!AH172)</f>
        <v/>
      </c>
      <c r="E171" s="21" t="str">
        <f>IF(Deployments!I172="","",Deployments!I172)</f>
        <v/>
      </c>
      <c r="F171" s="21" t="str">
        <f>IF(Deployments!J172="","",Deployments!J172)</f>
        <v/>
      </c>
      <c r="G171" s="21" t="str">
        <f>IF(Deployments!K172="","",Deployments!K172)</f>
        <v/>
      </c>
      <c r="H171" s="21" t="str">
        <f>IF(Deployments!A172="","",Deployments!A172)</f>
        <v/>
      </c>
      <c r="I171" s="21" t="str">
        <f>IF(Deployments!AI172="","",Deployments!AI172)</f>
        <v/>
      </c>
      <c r="J171" s="21" t="str">
        <f>IF(Deployments!AJ172="","",Deployments!AJ172)</f>
        <v/>
      </c>
      <c r="K171" s="21" t="str">
        <f>IF(Deployments!AD172="","",Deployments!AD172)</f>
        <v/>
      </c>
      <c r="L171" s="21" t="str">
        <f>IF(Deployments!M172="","",Deployments!M172)</f>
        <v/>
      </c>
      <c r="M171" s="22"/>
      <c r="N171" s="21" t="str">
        <f>IF(Deployments!N172="","",Deployments!N172)</f>
        <v/>
      </c>
      <c r="O171" s="21" t="str">
        <f>IF(Deployments!O172="","",Deployments!O172)</f>
        <v/>
      </c>
      <c r="P171" s="21" t="str">
        <f>IF(Deployments!P172="","",Deployments!P172)</f>
        <v/>
      </c>
      <c r="Q171" s="22"/>
      <c r="R171" s="21" t="str">
        <f>IF(Deployments!AY172="","",Deployments!AY172)</f>
        <v/>
      </c>
      <c r="S171" s="21" t="str">
        <f>IF(Deployments!AX172="","",Deployments!AX172)</f>
        <v/>
      </c>
      <c r="T171" s="21" t="str">
        <f>IF(Deployments!AV172="","",Deployments!AV172)</f>
        <v/>
      </c>
      <c r="U171" s="21" t="str">
        <f>IF(Deployments!AW172="","",Deployments!AW172)</f>
        <v/>
      </c>
      <c r="V171" s="21" t="str">
        <f>IF(Deployments!BA172="","",Deployments!BA172)</f>
        <v/>
      </c>
      <c r="W171" s="21" t="str">
        <f>IF(Deployments!BC172="","",Deployments!BC172)</f>
        <v/>
      </c>
      <c r="X171" s="21" t="str">
        <f>IF(Deployments!BK172="","",Deployments!BK172)</f>
        <v/>
      </c>
      <c r="Y171" s="21" t="str">
        <f>IF(Deployments!BB172="","",Deployments!BB172)</f>
        <v/>
      </c>
      <c r="Z171" s="21" t="str">
        <f>IF(Deployments!T172="","",Deployments!T172)</f>
        <v/>
      </c>
      <c r="AA171" s="21" t="str">
        <f>IF(Deployments!L172="","",Deployments!L172)</f>
        <v/>
      </c>
    </row>
    <row r="172" spans="1:27">
      <c r="A172" s="22"/>
      <c r="B172" s="22"/>
      <c r="C172" s="21" t="str">
        <f>IF(Deployments!H173="","",Deployments!H173)</f>
        <v/>
      </c>
      <c r="D172" s="21" t="str">
        <f>IF(Deployments!AH173="","",Deployments!AH173)</f>
        <v/>
      </c>
      <c r="E172" s="21" t="str">
        <f>IF(Deployments!I173="","",Deployments!I173)</f>
        <v/>
      </c>
      <c r="F172" s="21" t="str">
        <f>IF(Deployments!J173="","",Deployments!J173)</f>
        <v/>
      </c>
      <c r="G172" s="21" t="str">
        <f>IF(Deployments!K173="","",Deployments!K173)</f>
        <v/>
      </c>
      <c r="H172" s="21" t="str">
        <f>IF(Deployments!A173="","",Deployments!A173)</f>
        <v/>
      </c>
      <c r="I172" s="21" t="str">
        <f>IF(Deployments!AI173="","",Deployments!AI173)</f>
        <v/>
      </c>
      <c r="J172" s="21" t="str">
        <f>IF(Deployments!AJ173="","",Deployments!AJ173)</f>
        <v/>
      </c>
      <c r="K172" s="21" t="str">
        <f>IF(Deployments!AD173="","",Deployments!AD173)</f>
        <v/>
      </c>
      <c r="L172" s="21" t="str">
        <f>IF(Deployments!M173="","",Deployments!M173)</f>
        <v/>
      </c>
      <c r="M172" s="22"/>
      <c r="N172" s="21" t="str">
        <f>IF(Deployments!N173="","",Deployments!N173)</f>
        <v/>
      </c>
      <c r="O172" s="21" t="str">
        <f>IF(Deployments!O173="","",Deployments!O173)</f>
        <v/>
      </c>
      <c r="P172" s="21" t="str">
        <f>IF(Deployments!P173="","",Deployments!P173)</f>
        <v/>
      </c>
      <c r="Q172" s="22"/>
      <c r="R172" s="21" t="str">
        <f>IF(Deployments!AY173="","",Deployments!AY173)</f>
        <v/>
      </c>
      <c r="S172" s="21" t="str">
        <f>IF(Deployments!AX173="","",Deployments!AX173)</f>
        <v/>
      </c>
      <c r="T172" s="21" t="str">
        <f>IF(Deployments!AV173="","",Deployments!AV173)</f>
        <v/>
      </c>
      <c r="U172" s="21" t="str">
        <f>IF(Deployments!AW173="","",Deployments!AW173)</f>
        <v/>
      </c>
      <c r="V172" s="21" t="str">
        <f>IF(Deployments!BA173="","",Deployments!BA173)</f>
        <v/>
      </c>
      <c r="W172" s="21" t="str">
        <f>IF(Deployments!BC173="","",Deployments!BC173)</f>
        <v/>
      </c>
      <c r="X172" s="21" t="str">
        <f>IF(Deployments!BK173="","",Deployments!BK173)</f>
        <v/>
      </c>
      <c r="Y172" s="21" t="str">
        <f>IF(Deployments!BB173="","",Deployments!BB173)</f>
        <v/>
      </c>
      <c r="Z172" s="21" t="str">
        <f>IF(Deployments!T173="","",Deployments!T173)</f>
        <v/>
      </c>
      <c r="AA172" s="21" t="str">
        <f>IF(Deployments!L173="","",Deployments!L173)</f>
        <v/>
      </c>
    </row>
    <row r="173" spans="1:27">
      <c r="A173" s="22"/>
      <c r="B173" s="22"/>
      <c r="C173" s="21" t="str">
        <f>IF(Deployments!H174="","",Deployments!H174)</f>
        <v/>
      </c>
      <c r="D173" s="21" t="str">
        <f>IF(Deployments!AH174="","",Deployments!AH174)</f>
        <v/>
      </c>
      <c r="E173" s="21" t="str">
        <f>IF(Deployments!I174="","",Deployments!I174)</f>
        <v/>
      </c>
      <c r="F173" s="21" t="str">
        <f>IF(Deployments!J174="","",Deployments!J174)</f>
        <v/>
      </c>
      <c r="G173" s="21" t="str">
        <f>IF(Deployments!K174="","",Deployments!K174)</f>
        <v/>
      </c>
      <c r="H173" s="21" t="str">
        <f>IF(Deployments!A174="","",Deployments!A174)</f>
        <v/>
      </c>
      <c r="I173" s="21" t="str">
        <f>IF(Deployments!AI174="","",Deployments!AI174)</f>
        <v/>
      </c>
      <c r="J173" s="21" t="str">
        <f>IF(Deployments!AJ174="","",Deployments!AJ174)</f>
        <v/>
      </c>
      <c r="K173" s="21" t="str">
        <f>IF(Deployments!AD174="","",Deployments!AD174)</f>
        <v/>
      </c>
      <c r="L173" s="21" t="str">
        <f>IF(Deployments!M174="","",Deployments!M174)</f>
        <v/>
      </c>
      <c r="M173" s="22"/>
      <c r="N173" s="21" t="str">
        <f>IF(Deployments!N174="","",Deployments!N174)</f>
        <v/>
      </c>
      <c r="O173" s="21" t="str">
        <f>IF(Deployments!O174="","",Deployments!O174)</f>
        <v/>
      </c>
      <c r="P173" s="21" t="str">
        <f>IF(Deployments!P174="","",Deployments!P174)</f>
        <v/>
      </c>
      <c r="Q173" s="22"/>
      <c r="R173" s="21" t="str">
        <f>IF(Deployments!AY174="","",Deployments!AY174)</f>
        <v/>
      </c>
      <c r="S173" s="21" t="str">
        <f>IF(Deployments!AX174="","",Deployments!AX174)</f>
        <v/>
      </c>
      <c r="T173" s="21" t="str">
        <f>IF(Deployments!AV174="","",Deployments!AV174)</f>
        <v/>
      </c>
      <c r="U173" s="21" t="str">
        <f>IF(Deployments!AW174="","",Deployments!AW174)</f>
        <v/>
      </c>
      <c r="V173" s="21" t="str">
        <f>IF(Deployments!BA174="","",Deployments!BA174)</f>
        <v/>
      </c>
      <c r="W173" s="21" t="str">
        <f>IF(Deployments!BC174="","",Deployments!BC174)</f>
        <v/>
      </c>
      <c r="X173" s="21" t="str">
        <f>IF(Deployments!BK174="","",Deployments!BK174)</f>
        <v/>
      </c>
      <c r="Y173" s="21" t="str">
        <f>IF(Deployments!BB174="","",Deployments!BB174)</f>
        <v/>
      </c>
      <c r="Z173" s="21" t="str">
        <f>IF(Deployments!T174="","",Deployments!T174)</f>
        <v/>
      </c>
      <c r="AA173" s="21" t="str">
        <f>IF(Deployments!L174="","",Deployments!L174)</f>
        <v/>
      </c>
    </row>
    <row r="174" spans="1:27">
      <c r="A174" s="22"/>
      <c r="B174" s="22"/>
      <c r="C174" s="21" t="str">
        <f>IF(Deployments!H175="","",Deployments!H175)</f>
        <v/>
      </c>
      <c r="D174" s="21" t="str">
        <f>IF(Deployments!AH175="","",Deployments!AH175)</f>
        <v/>
      </c>
      <c r="E174" s="21" t="str">
        <f>IF(Deployments!I175="","",Deployments!I175)</f>
        <v/>
      </c>
      <c r="F174" s="21" t="str">
        <f>IF(Deployments!J175="","",Deployments!J175)</f>
        <v/>
      </c>
      <c r="G174" s="21" t="str">
        <f>IF(Deployments!K175="","",Deployments!K175)</f>
        <v/>
      </c>
      <c r="H174" s="21" t="str">
        <f>IF(Deployments!A175="","",Deployments!A175)</f>
        <v/>
      </c>
      <c r="I174" s="21" t="str">
        <f>IF(Deployments!AI175="","",Deployments!AI175)</f>
        <v/>
      </c>
      <c r="J174" s="21" t="str">
        <f>IF(Deployments!AJ175="","",Deployments!AJ175)</f>
        <v/>
      </c>
      <c r="K174" s="21" t="str">
        <f>IF(Deployments!AD175="","",Deployments!AD175)</f>
        <v/>
      </c>
      <c r="L174" s="21" t="str">
        <f>IF(Deployments!M175="","",Deployments!M175)</f>
        <v/>
      </c>
      <c r="M174" s="22"/>
      <c r="N174" s="21" t="str">
        <f>IF(Deployments!N175="","",Deployments!N175)</f>
        <v/>
      </c>
      <c r="O174" s="21" t="str">
        <f>IF(Deployments!O175="","",Deployments!O175)</f>
        <v/>
      </c>
      <c r="P174" s="21" t="str">
        <f>IF(Deployments!P175="","",Deployments!P175)</f>
        <v/>
      </c>
      <c r="Q174" s="22"/>
      <c r="R174" s="21" t="str">
        <f>IF(Deployments!AY175="","",Deployments!AY175)</f>
        <v/>
      </c>
      <c r="S174" s="21" t="str">
        <f>IF(Deployments!AX175="","",Deployments!AX175)</f>
        <v/>
      </c>
      <c r="T174" s="21" t="str">
        <f>IF(Deployments!AV175="","",Deployments!AV175)</f>
        <v/>
      </c>
      <c r="U174" s="21" t="str">
        <f>IF(Deployments!AW175="","",Deployments!AW175)</f>
        <v/>
      </c>
      <c r="V174" s="21" t="str">
        <f>IF(Deployments!BA175="","",Deployments!BA175)</f>
        <v/>
      </c>
      <c r="W174" s="21" t="str">
        <f>IF(Deployments!BC175="","",Deployments!BC175)</f>
        <v/>
      </c>
      <c r="X174" s="21" t="str">
        <f>IF(Deployments!BK175="","",Deployments!BK175)</f>
        <v/>
      </c>
      <c r="Y174" s="21" t="str">
        <f>IF(Deployments!BB175="","",Deployments!BB175)</f>
        <v/>
      </c>
      <c r="Z174" s="21" t="str">
        <f>IF(Deployments!T175="","",Deployments!T175)</f>
        <v/>
      </c>
      <c r="AA174" s="21" t="str">
        <f>IF(Deployments!L175="","",Deployments!L175)</f>
        <v/>
      </c>
    </row>
    <row r="175" spans="1:27">
      <c r="A175" s="22"/>
      <c r="B175" s="22"/>
      <c r="C175" s="21" t="str">
        <f>IF(Deployments!H176="","",Deployments!H176)</f>
        <v/>
      </c>
      <c r="D175" s="21" t="str">
        <f>IF(Deployments!AH176="","",Deployments!AH176)</f>
        <v/>
      </c>
      <c r="E175" s="21" t="str">
        <f>IF(Deployments!I176="","",Deployments!I176)</f>
        <v/>
      </c>
      <c r="F175" s="21" t="str">
        <f>IF(Deployments!J176="","",Deployments!J176)</f>
        <v/>
      </c>
      <c r="G175" s="21" t="str">
        <f>IF(Deployments!K176="","",Deployments!K176)</f>
        <v/>
      </c>
      <c r="H175" s="21" t="str">
        <f>IF(Deployments!A176="","",Deployments!A176)</f>
        <v/>
      </c>
      <c r="I175" s="21" t="str">
        <f>IF(Deployments!AI176="","",Deployments!AI176)</f>
        <v/>
      </c>
      <c r="J175" s="21" t="str">
        <f>IF(Deployments!AJ176="","",Deployments!AJ176)</f>
        <v/>
      </c>
      <c r="K175" s="21" t="str">
        <f>IF(Deployments!AD176="","",Deployments!AD176)</f>
        <v/>
      </c>
      <c r="L175" s="21" t="str">
        <f>IF(Deployments!M176="","",Deployments!M176)</f>
        <v/>
      </c>
      <c r="M175" s="22"/>
      <c r="N175" s="21" t="str">
        <f>IF(Deployments!N176="","",Deployments!N176)</f>
        <v/>
      </c>
      <c r="O175" s="21" t="str">
        <f>IF(Deployments!O176="","",Deployments!O176)</f>
        <v/>
      </c>
      <c r="P175" s="21" t="str">
        <f>IF(Deployments!P176="","",Deployments!P176)</f>
        <v/>
      </c>
      <c r="Q175" s="22"/>
      <c r="R175" s="21" t="str">
        <f>IF(Deployments!AY176="","",Deployments!AY176)</f>
        <v/>
      </c>
      <c r="S175" s="21" t="str">
        <f>IF(Deployments!AX176="","",Deployments!AX176)</f>
        <v/>
      </c>
      <c r="T175" s="21" t="str">
        <f>IF(Deployments!AV176="","",Deployments!AV176)</f>
        <v/>
      </c>
      <c r="U175" s="21" t="str">
        <f>IF(Deployments!AW176="","",Deployments!AW176)</f>
        <v/>
      </c>
      <c r="V175" s="21" t="str">
        <f>IF(Deployments!BA176="","",Deployments!BA176)</f>
        <v/>
      </c>
      <c r="W175" s="21" t="str">
        <f>IF(Deployments!BC176="","",Deployments!BC176)</f>
        <v/>
      </c>
      <c r="X175" s="21" t="str">
        <f>IF(Deployments!BK176="","",Deployments!BK176)</f>
        <v/>
      </c>
      <c r="Y175" s="21" t="str">
        <f>IF(Deployments!BB176="","",Deployments!BB176)</f>
        <v/>
      </c>
      <c r="Z175" s="21" t="str">
        <f>IF(Deployments!T176="","",Deployments!T176)</f>
        <v/>
      </c>
      <c r="AA175" s="21" t="str">
        <f>IF(Deployments!L176="","",Deployments!L176)</f>
        <v/>
      </c>
    </row>
    <row r="176" spans="1:27">
      <c r="A176" s="22"/>
      <c r="B176" s="22"/>
      <c r="C176" s="21" t="str">
        <f>IF(Deployments!H177="","",Deployments!H177)</f>
        <v/>
      </c>
      <c r="D176" s="21" t="str">
        <f>IF(Deployments!AH177="","",Deployments!AH177)</f>
        <v/>
      </c>
      <c r="E176" s="21" t="str">
        <f>IF(Deployments!I177="","",Deployments!I177)</f>
        <v/>
      </c>
      <c r="F176" s="21" t="str">
        <f>IF(Deployments!J177="","",Deployments!J177)</f>
        <v/>
      </c>
      <c r="G176" s="21" t="str">
        <f>IF(Deployments!K177="","",Deployments!K177)</f>
        <v/>
      </c>
      <c r="H176" s="21" t="str">
        <f>IF(Deployments!A177="","",Deployments!A177)</f>
        <v/>
      </c>
      <c r="I176" s="21" t="str">
        <f>IF(Deployments!AI177="","",Deployments!AI177)</f>
        <v/>
      </c>
      <c r="J176" s="21" t="str">
        <f>IF(Deployments!AJ177="","",Deployments!AJ177)</f>
        <v/>
      </c>
      <c r="K176" s="21" t="str">
        <f>IF(Deployments!AD177="","",Deployments!AD177)</f>
        <v/>
      </c>
      <c r="L176" s="21" t="str">
        <f>IF(Deployments!M177="","",Deployments!M177)</f>
        <v/>
      </c>
      <c r="M176" s="22"/>
      <c r="N176" s="21" t="str">
        <f>IF(Deployments!N177="","",Deployments!N177)</f>
        <v/>
      </c>
      <c r="O176" s="21" t="str">
        <f>IF(Deployments!O177="","",Deployments!O177)</f>
        <v/>
      </c>
      <c r="P176" s="21" t="str">
        <f>IF(Deployments!P177="","",Deployments!P177)</f>
        <v/>
      </c>
      <c r="Q176" s="22"/>
      <c r="R176" s="21" t="str">
        <f>IF(Deployments!AY177="","",Deployments!AY177)</f>
        <v/>
      </c>
      <c r="S176" s="21" t="str">
        <f>IF(Deployments!AX177="","",Deployments!AX177)</f>
        <v/>
      </c>
      <c r="T176" s="21" t="str">
        <f>IF(Deployments!AV177="","",Deployments!AV177)</f>
        <v/>
      </c>
      <c r="U176" s="21" t="str">
        <f>IF(Deployments!AW177="","",Deployments!AW177)</f>
        <v/>
      </c>
      <c r="V176" s="21" t="str">
        <f>IF(Deployments!BA177="","",Deployments!BA177)</f>
        <v/>
      </c>
      <c r="W176" s="21" t="str">
        <f>IF(Deployments!BC177="","",Deployments!BC177)</f>
        <v/>
      </c>
      <c r="X176" s="21" t="str">
        <f>IF(Deployments!BK177="","",Deployments!BK177)</f>
        <v/>
      </c>
      <c r="Y176" s="21" t="str">
        <f>IF(Deployments!BB177="","",Deployments!BB177)</f>
        <v/>
      </c>
      <c r="Z176" s="21" t="str">
        <f>IF(Deployments!T177="","",Deployments!T177)</f>
        <v/>
      </c>
      <c r="AA176" s="21" t="str">
        <f>IF(Deployments!L177="","",Deployments!L177)</f>
        <v/>
      </c>
    </row>
    <row r="177" spans="1:27">
      <c r="A177" s="22"/>
      <c r="B177" s="22"/>
      <c r="C177" s="21" t="str">
        <f>IF(Deployments!H178="","",Deployments!H178)</f>
        <v/>
      </c>
      <c r="D177" s="21" t="str">
        <f>IF(Deployments!AH178="","",Deployments!AH178)</f>
        <v/>
      </c>
      <c r="E177" s="21" t="str">
        <f>IF(Deployments!I178="","",Deployments!I178)</f>
        <v/>
      </c>
      <c r="F177" s="21" t="str">
        <f>IF(Deployments!J178="","",Deployments!J178)</f>
        <v/>
      </c>
      <c r="G177" s="21" t="str">
        <f>IF(Deployments!K178="","",Deployments!K178)</f>
        <v/>
      </c>
      <c r="H177" s="21" t="str">
        <f>IF(Deployments!A178="","",Deployments!A178)</f>
        <v/>
      </c>
      <c r="I177" s="21" t="str">
        <f>IF(Deployments!AI178="","",Deployments!AI178)</f>
        <v/>
      </c>
      <c r="J177" s="21" t="str">
        <f>IF(Deployments!AJ178="","",Deployments!AJ178)</f>
        <v/>
      </c>
      <c r="K177" s="21" t="str">
        <f>IF(Deployments!AD178="","",Deployments!AD178)</f>
        <v/>
      </c>
      <c r="L177" s="21" t="str">
        <f>IF(Deployments!M178="","",Deployments!M178)</f>
        <v/>
      </c>
      <c r="M177" s="22"/>
      <c r="N177" s="21" t="str">
        <f>IF(Deployments!N178="","",Deployments!N178)</f>
        <v/>
      </c>
      <c r="O177" s="21" t="str">
        <f>IF(Deployments!O178="","",Deployments!O178)</f>
        <v/>
      </c>
      <c r="P177" s="21" t="str">
        <f>IF(Deployments!P178="","",Deployments!P178)</f>
        <v/>
      </c>
      <c r="Q177" s="22"/>
      <c r="R177" s="21" t="str">
        <f>IF(Deployments!AY178="","",Deployments!AY178)</f>
        <v/>
      </c>
      <c r="S177" s="21" t="str">
        <f>IF(Deployments!AX178="","",Deployments!AX178)</f>
        <v/>
      </c>
      <c r="T177" s="21" t="str">
        <f>IF(Deployments!AV178="","",Deployments!AV178)</f>
        <v/>
      </c>
      <c r="U177" s="21" t="str">
        <f>IF(Deployments!AW178="","",Deployments!AW178)</f>
        <v/>
      </c>
      <c r="V177" s="21" t="str">
        <f>IF(Deployments!BA178="","",Deployments!BA178)</f>
        <v/>
      </c>
      <c r="W177" s="21" t="str">
        <f>IF(Deployments!BC178="","",Deployments!BC178)</f>
        <v/>
      </c>
      <c r="X177" s="21" t="str">
        <f>IF(Deployments!BK178="","",Deployments!BK178)</f>
        <v/>
      </c>
      <c r="Y177" s="21" t="str">
        <f>IF(Deployments!BB178="","",Deployments!BB178)</f>
        <v/>
      </c>
      <c r="Z177" s="21" t="str">
        <f>IF(Deployments!T178="","",Deployments!T178)</f>
        <v/>
      </c>
      <c r="AA177" s="21" t="str">
        <f>IF(Deployments!L178="","",Deployments!L178)</f>
        <v/>
      </c>
    </row>
    <row r="178" spans="1:27">
      <c r="A178" s="22"/>
      <c r="B178" s="22"/>
      <c r="C178" s="21" t="str">
        <f>IF(Deployments!H179="","",Deployments!H179)</f>
        <v/>
      </c>
      <c r="D178" s="21" t="str">
        <f>IF(Deployments!AH179="","",Deployments!AH179)</f>
        <v/>
      </c>
      <c r="E178" s="21" t="str">
        <f>IF(Deployments!I179="","",Deployments!I179)</f>
        <v/>
      </c>
      <c r="F178" s="21" t="str">
        <f>IF(Deployments!J179="","",Deployments!J179)</f>
        <v/>
      </c>
      <c r="G178" s="21" t="str">
        <f>IF(Deployments!K179="","",Deployments!K179)</f>
        <v/>
      </c>
      <c r="H178" s="21" t="str">
        <f>IF(Deployments!A179="","",Deployments!A179)</f>
        <v/>
      </c>
      <c r="I178" s="21" t="str">
        <f>IF(Deployments!AI179="","",Deployments!AI179)</f>
        <v/>
      </c>
      <c r="J178" s="21" t="str">
        <f>IF(Deployments!AJ179="","",Deployments!AJ179)</f>
        <v/>
      </c>
      <c r="K178" s="21" t="str">
        <f>IF(Deployments!AD179="","",Deployments!AD179)</f>
        <v/>
      </c>
      <c r="L178" s="21" t="str">
        <f>IF(Deployments!M179="","",Deployments!M179)</f>
        <v/>
      </c>
      <c r="M178" s="22"/>
      <c r="N178" s="21" t="str">
        <f>IF(Deployments!N179="","",Deployments!N179)</f>
        <v/>
      </c>
      <c r="O178" s="21" t="str">
        <f>IF(Deployments!O179="","",Deployments!O179)</f>
        <v/>
      </c>
      <c r="P178" s="21" t="str">
        <f>IF(Deployments!P179="","",Deployments!P179)</f>
        <v/>
      </c>
      <c r="Q178" s="22"/>
      <c r="R178" s="21" t="str">
        <f>IF(Deployments!AY179="","",Deployments!AY179)</f>
        <v/>
      </c>
      <c r="S178" s="21" t="str">
        <f>IF(Deployments!AX179="","",Deployments!AX179)</f>
        <v/>
      </c>
      <c r="T178" s="21" t="str">
        <f>IF(Deployments!AV179="","",Deployments!AV179)</f>
        <v/>
      </c>
      <c r="U178" s="21" t="str">
        <f>IF(Deployments!AW179="","",Deployments!AW179)</f>
        <v/>
      </c>
      <c r="V178" s="21" t="str">
        <f>IF(Deployments!BA179="","",Deployments!BA179)</f>
        <v/>
      </c>
      <c r="W178" s="21" t="str">
        <f>IF(Deployments!BC179="","",Deployments!BC179)</f>
        <v/>
      </c>
      <c r="X178" s="21" t="str">
        <f>IF(Deployments!BK179="","",Deployments!BK179)</f>
        <v/>
      </c>
      <c r="Y178" s="21" t="str">
        <f>IF(Deployments!BB179="","",Deployments!BB179)</f>
        <v/>
      </c>
      <c r="Z178" s="21" t="str">
        <f>IF(Deployments!T179="","",Deployments!T179)</f>
        <v/>
      </c>
      <c r="AA178" s="21" t="str">
        <f>IF(Deployments!L179="","",Deployments!L179)</f>
        <v/>
      </c>
    </row>
    <row r="179" spans="1:27">
      <c r="A179" s="22"/>
      <c r="B179" s="22"/>
      <c r="C179" s="21" t="str">
        <f>IF(Deployments!H180="","",Deployments!H180)</f>
        <v/>
      </c>
      <c r="D179" s="21" t="str">
        <f>IF(Deployments!AH180="","",Deployments!AH180)</f>
        <v/>
      </c>
      <c r="E179" s="21" t="str">
        <f>IF(Deployments!I180="","",Deployments!I180)</f>
        <v/>
      </c>
      <c r="F179" s="21" t="str">
        <f>IF(Deployments!J180="","",Deployments!J180)</f>
        <v/>
      </c>
      <c r="G179" s="21" t="str">
        <f>IF(Deployments!K180="","",Deployments!K180)</f>
        <v/>
      </c>
      <c r="H179" s="21" t="str">
        <f>IF(Deployments!A180="","",Deployments!A180)</f>
        <v/>
      </c>
      <c r="I179" s="21" t="str">
        <f>IF(Deployments!AI180="","",Deployments!AI180)</f>
        <v/>
      </c>
      <c r="J179" s="21" t="str">
        <f>IF(Deployments!AJ180="","",Deployments!AJ180)</f>
        <v/>
      </c>
      <c r="K179" s="21" t="str">
        <f>IF(Deployments!AD180="","",Deployments!AD180)</f>
        <v/>
      </c>
      <c r="L179" s="21" t="str">
        <f>IF(Deployments!M180="","",Deployments!M180)</f>
        <v/>
      </c>
      <c r="M179" s="22"/>
      <c r="N179" s="21" t="str">
        <f>IF(Deployments!N180="","",Deployments!N180)</f>
        <v/>
      </c>
      <c r="O179" s="21" t="str">
        <f>IF(Deployments!O180="","",Deployments!O180)</f>
        <v/>
      </c>
      <c r="P179" s="21" t="str">
        <f>IF(Deployments!P180="","",Deployments!P180)</f>
        <v/>
      </c>
      <c r="Q179" s="22"/>
      <c r="R179" s="21" t="str">
        <f>IF(Deployments!AY180="","",Deployments!AY180)</f>
        <v/>
      </c>
      <c r="S179" s="21" t="str">
        <f>IF(Deployments!AX180="","",Deployments!AX180)</f>
        <v/>
      </c>
      <c r="T179" s="21" t="str">
        <f>IF(Deployments!AV180="","",Deployments!AV180)</f>
        <v/>
      </c>
      <c r="U179" s="21" t="str">
        <f>IF(Deployments!AW180="","",Deployments!AW180)</f>
        <v/>
      </c>
      <c r="V179" s="21" t="str">
        <f>IF(Deployments!BA180="","",Deployments!BA180)</f>
        <v/>
      </c>
      <c r="W179" s="21" t="str">
        <f>IF(Deployments!BC180="","",Deployments!BC180)</f>
        <v/>
      </c>
      <c r="X179" s="21" t="str">
        <f>IF(Deployments!BK180="","",Deployments!BK180)</f>
        <v/>
      </c>
      <c r="Y179" s="21" t="str">
        <f>IF(Deployments!BB180="","",Deployments!BB180)</f>
        <v/>
      </c>
      <c r="Z179" s="21" t="str">
        <f>IF(Deployments!T180="","",Deployments!T180)</f>
        <v/>
      </c>
      <c r="AA179" s="21" t="str">
        <f>IF(Deployments!L180="","",Deployments!L180)</f>
        <v/>
      </c>
    </row>
    <row r="180" spans="1:27">
      <c r="A180" s="22"/>
      <c r="B180" s="22"/>
      <c r="C180" s="21" t="str">
        <f>IF(Deployments!H181="","",Deployments!H181)</f>
        <v/>
      </c>
      <c r="D180" s="21" t="str">
        <f>IF(Deployments!AH181="","",Deployments!AH181)</f>
        <v/>
      </c>
      <c r="E180" s="21" t="str">
        <f>IF(Deployments!I181="","",Deployments!I181)</f>
        <v/>
      </c>
      <c r="F180" s="21" t="str">
        <f>IF(Deployments!J181="","",Deployments!J181)</f>
        <v/>
      </c>
      <c r="G180" s="21" t="str">
        <f>IF(Deployments!K181="","",Deployments!K181)</f>
        <v/>
      </c>
      <c r="H180" s="21" t="str">
        <f>IF(Deployments!A181="","",Deployments!A181)</f>
        <v/>
      </c>
      <c r="I180" s="21" t="str">
        <f>IF(Deployments!AI181="","",Deployments!AI181)</f>
        <v/>
      </c>
      <c r="J180" s="21" t="str">
        <f>IF(Deployments!AJ181="","",Deployments!AJ181)</f>
        <v/>
      </c>
      <c r="K180" s="21" t="str">
        <f>IF(Deployments!AD181="","",Deployments!AD181)</f>
        <v/>
      </c>
      <c r="L180" s="21" t="str">
        <f>IF(Deployments!M181="","",Deployments!M181)</f>
        <v/>
      </c>
      <c r="M180" s="22"/>
      <c r="N180" s="21" t="str">
        <f>IF(Deployments!N181="","",Deployments!N181)</f>
        <v/>
      </c>
      <c r="O180" s="21" t="str">
        <f>IF(Deployments!O181="","",Deployments!O181)</f>
        <v/>
      </c>
      <c r="P180" s="21" t="str">
        <f>IF(Deployments!P181="","",Deployments!P181)</f>
        <v/>
      </c>
      <c r="Q180" s="22"/>
      <c r="R180" s="21" t="str">
        <f>IF(Deployments!AY181="","",Deployments!AY181)</f>
        <v/>
      </c>
      <c r="S180" s="21" t="str">
        <f>IF(Deployments!AX181="","",Deployments!AX181)</f>
        <v/>
      </c>
      <c r="T180" s="21" t="str">
        <f>IF(Deployments!AV181="","",Deployments!AV181)</f>
        <v/>
      </c>
      <c r="U180" s="21" t="str">
        <f>IF(Deployments!AW181="","",Deployments!AW181)</f>
        <v/>
      </c>
      <c r="V180" s="21" t="str">
        <f>IF(Deployments!BA181="","",Deployments!BA181)</f>
        <v/>
      </c>
      <c r="W180" s="21" t="str">
        <f>IF(Deployments!BC181="","",Deployments!BC181)</f>
        <v/>
      </c>
      <c r="X180" s="21" t="str">
        <f>IF(Deployments!BK181="","",Deployments!BK181)</f>
        <v/>
      </c>
      <c r="Y180" s="21" t="str">
        <f>IF(Deployments!BB181="","",Deployments!BB181)</f>
        <v/>
      </c>
      <c r="Z180" s="21" t="str">
        <f>IF(Deployments!T181="","",Deployments!T181)</f>
        <v/>
      </c>
      <c r="AA180" s="21" t="str">
        <f>IF(Deployments!L181="","",Deployments!L181)</f>
        <v/>
      </c>
    </row>
    <row r="181" spans="1:27">
      <c r="A181" s="22"/>
      <c r="B181" s="22"/>
      <c r="C181" s="21" t="str">
        <f>IF(Deployments!H182="","",Deployments!H182)</f>
        <v/>
      </c>
      <c r="D181" s="21" t="str">
        <f>IF(Deployments!AH182="","",Deployments!AH182)</f>
        <v/>
      </c>
      <c r="E181" s="21" t="str">
        <f>IF(Deployments!I182="","",Deployments!I182)</f>
        <v/>
      </c>
      <c r="F181" s="21" t="str">
        <f>IF(Deployments!J182="","",Deployments!J182)</f>
        <v/>
      </c>
      <c r="G181" s="21" t="str">
        <f>IF(Deployments!K182="","",Deployments!K182)</f>
        <v/>
      </c>
      <c r="H181" s="21" t="str">
        <f>IF(Deployments!A182="","",Deployments!A182)</f>
        <v/>
      </c>
      <c r="I181" s="21" t="str">
        <f>IF(Deployments!AI182="","",Deployments!AI182)</f>
        <v/>
      </c>
      <c r="J181" s="21" t="str">
        <f>IF(Deployments!AJ182="","",Deployments!AJ182)</f>
        <v/>
      </c>
      <c r="K181" s="21" t="str">
        <f>IF(Deployments!AD182="","",Deployments!AD182)</f>
        <v/>
      </c>
      <c r="L181" s="21" t="str">
        <f>IF(Deployments!M182="","",Deployments!M182)</f>
        <v/>
      </c>
      <c r="M181" s="22"/>
      <c r="N181" s="21" t="str">
        <f>IF(Deployments!N182="","",Deployments!N182)</f>
        <v/>
      </c>
      <c r="O181" s="21" t="str">
        <f>IF(Deployments!O182="","",Deployments!O182)</f>
        <v/>
      </c>
      <c r="P181" s="21" t="str">
        <f>IF(Deployments!P182="","",Deployments!P182)</f>
        <v/>
      </c>
      <c r="Q181" s="22"/>
      <c r="R181" s="21" t="str">
        <f>IF(Deployments!AY182="","",Deployments!AY182)</f>
        <v/>
      </c>
      <c r="S181" s="21" t="str">
        <f>IF(Deployments!AX182="","",Deployments!AX182)</f>
        <v/>
      </c>
      <c r="T181" s="21" t="str">
        <f>IF(Deployments!AV182="","",Deployments!AV182)</f>
        <v/>
      </c>
      <c r="U181" s="21" t="str">
        <f>IF(Deployments!AW182="","",Deployments!AW182)</f>
        <v/>
      </c>
      <c r="V181" s="21" t="str">
        <f>IF(Deployments!BA182="","",Deployments!BA182)</f>
        <v/>
      </c>
      <c r="W181" s="21" t="str">
        <f>IF(Deployments!BC182="","",Deployments!BC182)</f>
        <v/>
      </c>
      <c r="X181" s="21" t="str">
        <f>IF(Deployments!BK182="","",Deployments!BK182)</f>
        <v/>
      </c>
      <c r="Y181" s="21" t="str">
        <f>IF(Deployments!BB182="","",Deployments!BB182)</f>
        <v/>
      </c>
      <c r="Z181" s="21" t="str">
        <f>IF(Deployments!T182="","",Deployments!T182)</f>
        <v/>
      </c>
      <c r="AA181" s="21" t="str">
        <f>IF(Deployments!L182="","",Deployments!L182)</f>
        <v/>
      </c>
    </row>
    <row r="182" spans="1:27">
      <c r="A182" s="22"/>
      <c r="B182" s="22"/>
      <c r="C182" s="21" t="str">
        <f>IF(Deployments!H183="","",Deployments!H183)</f>
        <v/>
      </c>
      <c r="D182" s="21" t="str">
        <f>IF(Deployments!AH183="","",Deployments!AH183)</f>
        <v/>
      </c>
      <c r="E182" s="21" t="str">
        <f>IF(Deployments!I183="","",Deployments!I183)</f>
        <v/>
      </c>
      <c r="F182" s="21" t="str">
        <f>IF(Deployments!J183="","",Deployments!J183)</f>
        <v/>
      </c>
      <c r="G182" s="21" t="str">
        <f>IF(Deployments!K183="","",Deployments!K183)</f>
        <v/>
      </c>
      <c r="H182" s="21" t="str">
        <f>IF(Deployments!A183="","",Deployments!A183)</f>
        <v/>
      </c>
      <c r="I182" s="21" t="str">
        <f>IF(Deployments!AI183="","",Deployments!AI183)</f>
        <v/>
      </c>
      <c r="J182" s="21" t="str">
        <f>IF(Deployments!AJ183="","",Deployments!AJ183)</f>
        <v/>
      </c>
      <c r="K182" s="21" t="str">
        <f>IF(Deployments!AD183="","",Deployments!AD183)</f>
        <v/>
      </c>
      <c r="L182" s="21" t="str">
        <f>IF(Deployments!M183="","",Deployments!M183)</f>
        <v/>
      </c>
      <c r="M182" s="22"/>
      <c r="N182" s="21" t="str">
        <f>IF(Deployments!N183="","",Deployments!N183)</f>
        <v/>
      </c>
      <c r="O182" s="21" t="str">
        <f>IF(Deployments!O183="","",Deployments!O183)</f>
        <v/>
      </c>
      <c r="P182" s="21" t="str">
        <f>IF(Deployments!P183="","",Deployments!P183)</f>
        <v/>
      </c>
      <c r="Q182" s="22"/>
      <c r="R182" s="21" t="str">
        <f>IF(Deployments!AY183="","",Deployments!AY183)</f>
        <v/>
      </c>
      <c r="S182" s="21" t="str">
        <f>IF(Deployments!AX183="","",Deployments!AX183)</f>
        <v/>
      </c>
      <c r="T182" s="21" t="str">
        <f>IF(Deployments!AV183="","",Deployments!AV183)</f>
        <v/>
      </c>
      <c r="U182" s="21" t="str">
        <f>IF(Deployments!AW183="","",Deployments!AW183)</f>
        <v/>
      </c>
      <c r="V182" s="21" t="str">
        <f>IF(Deployments!BA183="","",Deployments!BA183)</f>
        <v/>
      </c>
      <c r="W182" s="21" t="str">
        <f>IF(Deployments!BC183="","",Deployments!BC183)</f>
        <v/>
      </c>
      <c r="X182" s="21" t="str">
        <f>IF(Deployments!BK183="","",Deployments!BK183)</f>
        <v/>
      </c>
      <c r="Y182" s="21" t="str">
        <f>IF(Deployments!BB183="","",Deployments!BB183)</f>
        <v/>
      </c>
      <c r="Z182" s="21" t="str">
        <f>IF(Deployments!T183="","",Deployments!T183)</f>
        <v/>
      </c>
      <c r="AA182" s="21" t="str">
        <f>IF(Deployments!L183="","",Deployments!L183)</f>
        <v/>
      </c>
    </row>
    <row r="183" spans="1:27">
      <c r="A183" s="22"/>
      <c r="B183" s="22"/>
      <c r="C183" s="21" t="str">
        <f>IF(Deployments!H184="","",Deployments!H184)</f>
        <v/>
      </c>
      <c r="D183" s="21" t="str">
        <f>IF(Deployments!AH184="","",Deployments!AH184)</f>
        <v/>
      </c>
      <c r="E183" s="21" t="str">
        <f>IF(Deployments!I184="","",Deployments!I184)</f>
        <v/>
      </c>
      <c r="F183" s="21" t="str">
        <f>IF(Deployments!J184="","",Deployments!J184)</f>
        <v/>
      </c>
      <c r="G183" s="21" t="str">
        <f>IF(Deployments!K184="","",Deployments!K184)</f>
        <v/>
      </c>
      <c r="H183" s="21" t="str">
        <f>IF(Deployments!A184="","",Deployments!A184)</f>
        <v/>
      </c>
      <c r="I183" s="21" t="str">
        <f>IF(Deployments!AI184="","",Deployments!AI184)</f>
        <v/>
      </c>
      <c r="J183" s="21" t="str">
        <f>IF(Deployments!AJ184="","",Deployments!AJ184)</f>
        <v/>
      </c>
      <c r="K183" s="21" t="str">
        <f>IF(Deployments!AD184="","",Deployments!AD184)</f>
        <v/>
      </c>
      <c r="L183" s="21" t="str">
        <f>IF(Deployments!M184="","",Deployments!M184)</f>
        <v/>
      </c>
      <c r="M183" s="22"/>
      <c r="N183" s="21" t="str">
        <f>IF(Deployments!N184="","",Deployments!N184)</f>
        <v/>
      </c>
      <c r="O183" s="21" t="str">
        <f>IF(Deployments!O184="","",Deployments!O184)</f>
        <v/>
      </c>
      <c r="P183" s="21" t="str">
        <f>IF(Deployments!P184="","",Deployments!P184)</f>
        <v/>
      </c>
      <c r="Q183" s="22"/>
      <c r="R183" s="21" t="str">
        <f>IF(Deployments!AY184="","",Deployments!AY184)</f>
        <v/>
      </c>
      <c r="S183" s="21" t="str">
        <f>IF(Deployments!AX184="","",Deployments!AX184)</f>
        <v/>
      </c>
      <c r="T183" s="21" t="str">
        <f>IF(Deployments!AV184="","",Deployments!AV184)</f>
        <v/>
      </c>
      <c r="U183" s="21" t="str">
        <f>IF(Deployments!AW184="","",Deployments!AW184)</f>
        <v/>
      </c>
      <c r="V183" s="21" t="str">
        <f>IF(Deployments!BA184="","",Deployments!BA184)</f>
        <v/>
      </c>
      <c r="W183" s="21" t="str">
        <f>IF(Deployments!BC184="","",Deployments!BC184)</f>
        <v/>
      </c>
      <c r="X183" s="21" t="str">
        <f>IF(Deployments!BK184="","",Deployments!BK184)</f>
        <v/>
      </c>
      <c r="Y183" s="21" t="str">
        <f>IF(Deployments!BB184="","",Deployments!BB184)</f>
        <v/>
      </c>
      <c r="Z183" s="21" t="str">
        <f>IF(Deployments!T184="","",Deployments!T184)</f>
        <v/>
      </c>
      <c r="AA183" s="21" t="str">
        <f>IF(Deployments!L184="","",Deployments!L184)</f>
        <v/>
      </c>
    </row>
    <row r="184" spans="1:27">
      <c r="A184" s="22"/>
      <c r="B184" s="22"/>
      <c r="C184" s="21" t="str">
        <f>IF(Deployments!H185="","",Deployments!H185)</f>
        <v/>
      </c>
      <c r="D184" s="21" t="str">
        <f>IF(Deployments!AH185="","",Deployments!AH185)</f>
        <v/>
      </c>
      <c r="E184" s="21" t="str">
        <f>IF(Deployments!I185="","",Deployments!I185)</f>
        <v/>
      </c>
      <c r="F184" s="21" t="str">
        <f>IF(Deployments!J185="","",Deployments!J185)</f>
        <v/>
      </c>
      <c r="G184" s="21" t="str">
        <f>IF(Deployments!K185="","",Deployments!K185)</f>
        <v/>
      </c>
      <c r="H184" s="21" t="str">
        <f>IF(Deployments!A185="","",Deployments!A185)</f>
        <v/>
      </c>
      <c r="I184" s="21" t="str">
        <f>IF(Deployments!AI185="","",Deployments!AI185)</f>
        <v/>
      </c>
      <c r="J184" s="21" t="str">
        <f>IF(Deployments!AJ185="","",Deployments!AJ185)</f>
        <v/>
      </c>
      <c r="K184" s="21" t="str">
        <f>IF(Deployments!AD185="","",Deployments!AD185)</f>
        <v/>
      </c>
      <c r="L184" s="21" t="str">
        <f>IF(Deployments!M185="","",Deployments!M185)</f>
        <v/>
      </c>
      <c r="M184" s="22"/>
      <c r="N184" s="21" t="str">
        <f>IF(Deployments!N185="","",Deployments!N185)</f>
        <v/>
      </c>
      <c r="O184" s="21" t="str">
        <f>IF(Deployments!O185="","",Deployments!O185)</f>
        <v/>
      </c>
      <c r="P184" s="21" t="str">
        <f>IF(Deployments!P185="","",Deployments!P185)</f>
        <v/>
      </c>
      <c r="Q184" s="22"/>
      <c r="R184" s="21" t="str">
        <f>IF(Deployments!AY185="","",Deployments!AY185)</f>
        <v/>
      </c>
      <c r="S184" s="21" t="str">
        <f>IF(Deployments!AX185="","",Deployments!AX185)</f>
        <v/>
      </c>
      <c r="T184" s="21" t="str">
        <f>IF(Deployments!AV185="","",Deployments!AV185)</f>
        <v/>
      </c>
      <c r="U184" s="21" t="str">
        <f>IF(Deployments!AW185="","",Deployments!AW185)</f>
        <v/>
      </c>
      <c r="V184" s="21" t="str">
        <f>IF(Deployments!BA185="","",Deployments!BA185)</f>
        <v/>
      </c>
      <c r="W184" s="21" t="str">
        <f>IF(Deployments!BC185="","",Deployments!BC185)</f>
        <v/>
      </c>
      <c r="X184" s="21" t="str">
        <f>IF(Deployments!BK185="","",Deployments!BK185)</f>
        <v/>
      </c>
      <c r="Y184" s="21" t="str">
        <f>IF(Deployments!BB185="","",Deployments!BB185)</f>
        <v/>
      </c>
      <c r="Z184" s="21" t="str">
        <f>IF(Deployments!T185="","",Deployments!T185)</f>
        <v/>
      </c>
      <c r="AA184" s="21" t="str">
        <f>IF(Deployments!L185="","",Deployments!L185)</f>
        <v/>
      </c>
    </row>
    <row r="185" spans="1:27">
      <c r="A185" s="22"/>
      <c r="B185" s="22"/>
      <c r="C185" s="21" t="str">
        <f>IF(Deployments!H186="","",Deployments!H186)</f>
        <v/>
      </c>
      <c r="D185" s="21" t="str">
        <f>IF(Deployments!AH186="","",Deployments!AH186)</f>
        <v/>
      </c>
      <c r="E185" s="21" t="str">
        <f>IF(Deployments!I186="","",Deployments!I186)</f>
        <v/>
      </c>
      <c r="F185" s="21" t="str">
        <f>IF(Deployments!J186="","",Deployments!J186)</f>
        <v/>
      </c>
      <c r="G185" s="21" t="str">
        <f>IF(Deployments!K186="","",Deployments!K186)</f>
        <v/>
      </c>
      <c r="H185" s="21" t="str">
        <f>IF(Deployments!A186="","",Deployments!A186)</f>
        <v/>
      </c>
      <c r="I185" s="21" t="str">
        <f>IF(Deployments!AI186="","",Deployments!AI186)</f>
        <v/>
      </c>
      <c r="J185" s="21" t="str">
        <f>IF(Deployments!AJ186="","",Deployments!AJ186)</f>
        <v/>
      </c>
      <c r="K185" s="21" t="str">
        <f>IF(Deployments!AD186="","",Deployments!AD186)</f>
        <v/>
      </c>
      <c r="L185" s="21" t="str">
        <f>IF(Deployments!M186="","",Deployments!M186)</f>
        <v/>
      </c>
      <c r="M185" s="22"/>
      <c r="N185" s="21" t="str">
        <f>IF(Deployments!N186="","",Deployments!N186)</f>
        <v/>
      </c>
      <c r="O185" s="21" t="str">
        <f>IF(Deployments!O186="","",Deployments!O186)</f>
        <v/>
      </c>
      <c r="P185" s="21" t="str">
        <f>IF(Deployments!P186="","",Deployments!P186)</f>
        <v/>
      </c>
      <c r="Q185" s="22"/>
      <c r="R185" s="21" t="str">
        <f>IF(Deployments!AY186="","",Deployments!AY186)</f>
        <v/>
      </c>
      <c r="S185" s="21" t="str">
        <f>IF(Deployments!AX186="","",Deployments!AX186)</f>
        <v/>
      </c>
      <c r="T185" s="21" t="str">
        <f>IF(Deployments!AV186="","",Deployments!AV186)</f>
        <v/>
      </c>
      <c r="U185" s="21" t="str">
        <f>IF(Deployments!AW186="","",Deployments!AW186)</f>
        <v/>
      </c>
      <c r="V185" s="21" t="str">
        <f>IF(Deployments!BA186="","",Deployments!BA186)</f>
        <v/>
      </c>
      <c r="W185" s="21" t="str">
        <f>IF(Deployments!BC186="","",Deployments!BC186)</f>
        <v/>
      </c>
      <c r="X185" s="21" t="str">
        <f>IF(Deployments!BK186="","",Deployments!BK186)</f>
        <v/>
      </c>
      <c r="Y185" s="21" t="str">
        <f>IF(Deployments!BB186="","",Deployments!BB186)</f>
        <v/>
      </c>
      <c r="Z185" s="21" t="str">
        <f>IF(Deployments!T186="","",Deployments!T186)</f>
        <v/>
      </c>
      <c r="AA185" s="21" t="str">
        <f>IF(Deployments!L186="","",Deployments!L186)</f>
        <v/>
      </c>
    </row>
    <row r="186" spans="1:27">
      <c r="A186" s="22"/>
      <c r="B186" s="22"/>
      <c r="C186" s="21" t="str">
        <f>IF(Deployments!H187="","",Deployments!H187)</f>
        <v/>
      </c>
      <c r="D186" s="21" t="str">
        <f>IF(Deployments!AH187="","",Deployments!AH187)</f>
        <v/>
      </c>
      <c r="E186" s="21" t="str">
        <f>IF(Deployments!I187="","",Deployments!I187)</f>
        <v/>
      </c>
      <c r="F186" s="21" t="str">
        <f>IF(Deployments!J187="","",Deployments!J187)</f>
        <v/>
      </c>
      <c r="G186" s="21" t="str">
        <f>IF(Deployments!K187="","",Deployments!K187)</f>
        <v/>
      </c>
      <c r="H186" s="21" t="str">
        <f>IF(Deployments!A187="","",Deployments!A187)</f>
        <v/>
      </c>
      <c r="I186" s="21" t="str">
        <f>IF(Deployments!AI187="","",Deployments!AI187)</f>
        <v/>
      </c>
      <c r="J186" s="21" t="str">
        <f>IF(Deployments!AJ187="","",Deployments!AJ187)</f>
        <v/>
      </c>
      <c r="K186" s="21" t="str">
        <f>IF(Deployments!AD187="","",Deployments!AD187)</f>
        <v/>
      </c>
      <c r="L186" s="21" t="str">
        <f>IF(Deployments!M187="","",Deployments!M187)</f>
        <v/>
      </c>
      <c r="M186" s="22"/>
      <c r="N186" s="21" t="str">
        <f>IF(Deployments!N187="","",Deployments!N187)</f>
        <v/>
      </c>
      <c r="O186" s="21" t="str">
        <f>IF(Deployments!O187="","",Deployments!O187)</f>
        <v/>
      </c>
      <c r="P186" s="21" t="str">
        <f>IF(Deployments!P187="","",Deployments!P187)</f>
        <v/>
      </c>
      <c r="Q186" s="22"/>
      <c r="R186" s="21" t="str">
        <f>IF(Deployments!AY187="","",Deployments!AY187)</f>
        <v/>
      </c>
      <c r="S186" s="21" t="str">
        <f>IF(Deployments!AX187="","",Deployments!AX187)</f>
        <v/>
      </c>
      <c r="T186" s="21" t="str">
        <f>IF(Deployments!AV187="","",Deployments!AV187)</f>
        <v/>
      </c>
      <c r="U186" s="21" t="str">
        <f>IF(Deployments!AW187="","",Deployments!AW187)</f>
        <v/>
      </c>
      <c r="V186" s="21" t="str">
        <f>IF(Deployments!BA187="","",Deployments!BA187)</f>
        <v/>
      </c>
      <c r="W186" s="21" t="str">
        <f>IF(Deployments!BC187="","",Deployments!BC187)</f>
        <v/>
      </c>
      <c r="X186" s="21" t="str">
        <f>IF(Deployments!BK187="","",Deployments!BK187)</f>
        <v/>
      </c>
      <c r="Y186" s="21" t="str">
        <f>IF(Deployments!BB187="","",Deployments!BB187)</f>
        <v/>
      </c>
      <c r="Z186" s="21" t="str">
        <f>IF(Deployments!T187="","",Deployments!T187)</f>
        <v/>
      </c>
      <c r="AA186" s="21" t="str">
        <f>IF(Deployments!L187="","",Deployments!L187)</f>
        <v/>
      </c>
    </row>
    <row r="187" spans="1:27">
      <c r="A187" s="22"/>
      <c r="B187" s="22"/>
      <c r="C187" s="21" t="str">
        <f>IF(Deployments!H188="","",Deployments!H188)</f>
        <v/>
      </c>
      <c r="D187" s="21" t="str">
        <f>IF(Deployments!AH188="","",Deployments!AH188)</f>
        <v/>
      </c>
      <c r="E187" s="21" t="str">
        <f>IF(Deployments!I188="","",Deployments!I188)</f>
        <v/>
      </c>
      <c r="F187" s="21" t="str">
        <f>IF(Deployments!J188="","",Deployments!J188)</f>
        <v/>
      </c>
      <c r="G187" s="21" t="str">
        <f>IF(Deployments!K188="","",Deployments!K188)</f>
        <v/>
      </c>
      <c r="H187" s="21" t="str">
        <f>IF(Deployments!A188="","",Deployments!A188)</f>
        <v/>
      </c>
      <c r="I187" s="21" t="str">
        <f>IF(Deployments!AI188="","",Deployments!AI188)</f>
        <v/>
      </c>
      <c r="J187" s="21" t="str">
        <f>IF(Deployments!AJ188="","",Deployments!AJ188)</f>
        <v/>
      </c>
      <c r="K187" s="21" t="str">
        <f>IF(Deployments!AD188="","",Deployments!AD188)</f>
        <v/>
      </c>
      <c r="L187" s="21" t="str">
        <f>IF(Deployments!M188="","",Deployments!M188)</f>
        <v/>
      </c>
      <c r="M187" s="22"/>
      <c r="N187" s="21" t="str">
        <f>IF(Deployments!N188="","",Deployments!N188)</f>
        <v/>
      </c>
      <c r="O187" s="21" t="str">
        <f>IF(Deployments!O188="","",Deployments!O188)</f>
        <v/>
      </c>
      <c r="P187" s="21" t="str">
        <f>IF(Deployments!P188="","",Deployments!P188)</f>
        <v/>
      </c>
      <c r="Q187" s="22"/>
      <c r="R187" s="21" t="str">
        <f>IF(Deployments!AY188="","",Deployments!AY188)</f>
        <v/>
      </c>
      <c r="S187" s="21" t="str">
        <f>IF(Deployments!AX188="","",Deployments!AX188)</f>
        <v/>
      </c>
      <c r="T187" s="21" t="str">
        <f>IF(Deployments!AV188="","",Deployments!AV188)</f>
        <v/>
      </c>
      <c r="U187" s="21" t="str">
        <f>IF(Deployments!AW188="","",Deployments!AW188)</f>
        <v/>
      </c>
      <c r="V187" s="21" t="str">
        <f>IF(Deployments!BA188="","",Deployments!BA188)</f>
        <v/>
      </c>
      <c r="W187" s="21" t="str">
        <f>IF(Deployments!BC188="","",Deployments!BC188)</f>
        <v/>
      </c>
      <c r="X187" s="21" t="str">
        <f>IF(Deployments!BK188="","",Deployments!BK188)</f>
        <v/>
      </c>
      <c r="Y187" s="21" t="str">
        <f>IF(Deployments!BB188="","",Deployments!BB188)</f>
        <v/>
      </c>
      <c r="Z187" s="21" t="str">
        <f>IF(Deployments!T188="","",Deployments!T188)</f>
        <v/>
      </c>
      <c r="AA187" s="21" t="str">
        <f>IF(Deployments!L188="","",Deployments!L188)</f>
        <v/>
      </c>
    </row>
    <row r="188" spans="1:27">
      <c r="A188" s="22"/>
      <c r="B188" s="22"/>
      <c r="C188" s="21" t="str">
        <f>IF(Deployments!H189="","",Deployments!H189)</f>
        <v/>
      </c>
      <c r="D188" s="21" t="str">
        <f>IF(Deployments!AH189="","",Deployments!AH189)</f>
        <v/>
      </c>
      <c r="E188" s="21" t="str">
        <f>IF(Deployments!I189="","",Deployments!I189)</f>
        <v/>
      </c>
      <c r="F188" s="21" t="str">
        <f>IF(Deployments!J189="","",Deployments!J189)</f>
        <v/>
      </c>
      <c r="G188" s="21" t="str">
        <f>IF(Deployments!K189="","",Deployments!K189)</f>
        <v/>
      </c>
      <c r="H188" s="21" t="str">
        <f>IF(Deployments!A189="","",Deployments!A189)</f>
        <v/>
      </c>
      <c r="I188" s="21" t="str">
        <f>IF(Deployments!AI189="","",Deployments!AI189)</f>
        <v/>
      </c>
      <c r="J188" s="21" t="str">
        <f>IF(Deployments!AJ189="","",Deployments!AJ189)</f>
        <v/>
      </c>
      <c r="K188" s="21" t="str">
        <f>IF(Deployments!AD189="","",Deployments!AD189)</f>
        <v/>
      </c>
      <c r="L188" s="21" t="str">
        <f>IF(Deployments!M189="","",Deployments!M189)</f>
        <v/>
      </c>
      <c r="M188" s="22"/>
      <c r="N188" s="21" t="str">
        <f>IF(Deployments!N189="","",Deployments!N189)</f>
        <v/>
      </c>
      <c r="O188" s="21" t="str">
        <f>IF(Deployments!O189="","",Deployments!O189)</f>
        <v/>
      </c>
      <c r="P188" s="21" t="str">
        <f>IF(Deployments!P189="","",Deployments!P189)</f>
        <v/>
      </c>
      <c r="Q188" s="22"/>
      <c r="R188" s="21" t="str">
        <f>IF(Deployments!AY189="","",Deployments!AY189)</f>
        <v/>
      </c>
      <c r="S188" s="21" t="str">
        <f>IF(Deployments!AX189="","",Deployments!AX189)</f>
        <v/>
      </c>
      <c r="T188" s="21" t="str">
        <f>IF(Deployments!AV189="","",Deployments!AV189)</f>
        <v/>
      </c>
      <c r="U188" s="21" t="str">
        <f>IF(Deployments!AW189="","",Deployments!AW189)</f>
        <v/>
      </c>
      <c r="V188" s="21" t="str">
        <f>IF(Deployments!BA189="","",Deployments!BA189)</f>
        <v/>
      </c>
      <c r="W188" s="21" t="str">
        <f>IF(Deployments!BC189="","",Deployments!BC189)</f>
        <v/>
      </c>
      <c r="X188" s="21" t="str">
        <f>IF(Deployments!BK189="","",Deployments!BK189)</f>
        <v/>
      </c>
      <c r="Y188" s="21" t="str">
        <f>IF(Deployments!BB189="","",Deployments!BB189)</f>
        <v/>
      </c>
      <c r="Z188" s="21" t="str">
        <f>IF(Deployments!T189="","",Deployments!T189)</f>
        <v/>
      </c>
      <c r="AA188" s="21" t="str">
        <f>IF(Deployments!L189="","",Deployments!L189)</f>
        <v/>
      </c>
    </row>
    <row r="189" spans="1:27">
      <c r="A189" s="22"/>
      <c r="B189" s="22"/>
      <c r="C189" s="21" t="str">
        <f>IF(Deployments!H190="","",Deployments!H190)</f>
        <v/>
      </c>
      <c r="D189" s="21" t="str">
        <f>IF(Deployments!AH190="","",Deployments!AH190)</f>
        <v/>
      </c>
      <c r="E189" s="21" t="str">
        <f>IF(Deployments!I190="","",Deployments!I190)</f>
        <v/>
      </c>
      <c r="F189" s="21" t="str">
        <f>IF(Deployments!J190="","",Deployments!J190)</f>
        <v/>
      </c>
      <c r="G189" s="21" t="str">
        <f>IF(Deployments!K190="","",Deployments!K190)</f>
        <v/>
      </c>
      <c r="H189" s="21" t="str">
        <f>IF(Deployments!A190="","",Deployments!A190)</f>
        <v/>
      </c>
      <c r="I189" s="21" t="str">
        <f>IF(Deployments!AI190="","",Deployments!AI190)</f>
        <v/>
      </c>
      <c r="J189" s="21" t="str">
        <f>IF(Deployments!AJ190="","",Deployments!AJ190)</f>
        <v/>
      </c>
      <c r="K189" s="21" t="str">
        <f>IF(Deployments!AD190="","",Deployments!AD190)</f>
        <v/>
      </c>
      <c r="L189" s="21" t="str">
        <f>IF(Deployments!M190="","",Deployments!M190)</f>
        <v/>
      </c>
      <c r="M189" s="22"/>
      <c r="N189" s="21" t="str">
        <f>IF(Deployments!N190="","",Deployments!N190)</f>
        <v/>
      </c>
      <c r="O189" s="21" t="str">
        <f>IF(Deployments!O190="","",Deployments!O190)</f>
        <v/>
      </c>
      <c r="P189" s="21" t="str">
        <f>IF(Deployments!P190="","",Deployments!P190)</f>
        <v/>
      </c>
      <c r="Q189" s="22"/>
      <c r="R189" s="21" t="str">
        <f>IF(Deployments!AY190="","",Deployments!AY190)</f>
        <v/>
      </c>
      <c r="S189" s="21" t="str">
        <f>IF(Deployments!AX190="","",Deployments!AX190)</f>
        <v/>
      </c>
      <c r="T189" s="21" t="str">
        <f>IF(Deployments!AV190="","",Deployments!AV190)</f>
        <v/>
      </c>
      <c r="U189" s="21" t="str">
        <f>IF(Deployments!AW190="","",Deployments!AW190)</f>
        <v/>
      </c>
      <c r="V189" s="21" t="str">
        <f>IF(Deployments!BA190="","",Deployments!BA190)</f>
        <v/>
      </c>
      <c r="W189" s="21" t="str">
        <f>IF(Deployments!BC190="","",Deployments!BC190)</f>
        <v/>
      </c>
      <c r="X189" s="21" t="str">
        <f>IF(Deployments!BK190="","",Deployments!BK190)</f>
        <v/>
      </c>
      <c r="Y189" s="21" t="str">
        <f>IF(Deployments!BB190="","",Deployments!BB190)</f>
        <v/>
      </c>
      <c r="Z189" s="21" t="str">
        <f>IF(Deployments!T190="","",Deployments!T190)</f>
        <v/>
      </c>
      <c r="AA189" s="21" t="str">
        <f>IF(Deployments!L190="","",Deployments!L190)</f>
        <v/>
      </c>
    </row>
    <row r="190" spans="1:27">
      <c r="A190" s="22"/>
      <c r="B190" s="22"/>
      <c r="C190" s="21" t="str">
        <f>IF(Deployments!H191="","",Deployments!H191)</f>
        <v/>
      </c>
      <c r="D190" s="21" t="str">
        <f>IF(Deployments!AH191="","",Deployments!AH191)</f>
        <v/>
      </c>
      <c r="E190" s="21" t="str">
        <f>IF(Deployments!I191="","",Deployments!I191)</f>
        <v/>
      </c>
      <c r="F190" s="21" t="str">
        <f>IF(Deployments!J191="","",Deployments!J191)</f>
        <v/>
      </c>
      <c r="G190" s="21" t="str">
        <f>IF(Deployments!K191="","",Deployments!K191)</f>
        <v/>
      </c>
      <c r="H190" s="21" t="str">
        <f>IF(Deployments!A191="","",Deployments!A191)</f>
        <v/>
      </c>
      <c r="I190" s="21" t="str">
        <f>IF(Deployments!AI191="","",Deployments!AI191)</f>
        <v/>
      </c>
      <c r="J190" s="21" t="str">
        <f>IF(Deployments!AJ191="","",Deployments!AJ191)</f>
        <v/>
      </c>
      <c r="K190" s="21" t="str">
        <f>IF(Deployments!AD191="","",Deployments!AD191)</f>
        <v/>
      </c>
      <c r="L190" s="21" t="str">
        <f>IF(Deployments!M191="","",Deployments!M191)</f>
        <v/>
      </c>
      <c r="M190" s="22"/>
      <c r="N190" s="21" t="str">
        <f>IF(Deployments!N191="","",Deployments!N191)</f>
        <v/>
      </c>
      <c r="O190" s="21" t="str">
        <f>IF(Deployments!O191="","",Deployments!O191)</f>
        <v/>
      </c>
      <c r="P190" s="21" t="str">
        <f>IF(Deployments!P191="","",Deployments!P191)</f>
        <v/>
      </c>
      <c r="Q190" s="22"/>
      <c r="R190" s="21" t="str">
        <f>IF(Deployments!AY191="","",Deployments!AY191)</f>
        <v/>
      </c>
      <c r="S190" s="21" t="str">
        <f>IF(Deployments!AX191="","",Deployments!AX191)</f>
        <v/>
      </c>
      <c r="T190" s="21" t="str">
        <f>IF(Deployments!AV191="","",Deployments!AV191)</f>
        <v/>
      </c>
      <c r="U190" s="21" t="str">
        <f>IF(Deployments!AW191="","",Deployments!AW191)</f>
        <v/>
      </c>
      <c r="V190" s="21" t="str">
        <f>IF(Deployments!BA191="","",Deployments!BA191)</f>
        <v/>
      </c>
      <c r="W190" s="21" t="str">
        <f>IF(Deployments!BC191="","",Deployments!BC191)</f>
        <v/>
      </c>
      <c r="X190" s="21" t="str">
        <f>IF(Deployments!BK191="","",Deployments!BK191)</f>
        <v/>
      </c>
      <c r="Y190" s="21" t="str">
        <f>IF(Deployments!BB191="","",Deployments!BB191)</f>
        <v/>
      </c>
      <c r="Z190" s="21" t="str">
        <f>IF(Deployments!T191="","",Deployments!T191)</f>
        <v/>
      </c>
      <c r="AA190" s="21" t="str">
        <f>IF(Deployments!L191="","",Deployments!L191)</f>
        <v/>
      </c>
    </row>
    <row r="191" spans="1:27">
      <c r="A191" s="22"/>
      <c r="B191" s="22"/>
      <c r="C191" s="21" t="str">
        <f>IF(Deployments!H192="","",Deployments!H192)</f>
        <v/>
      </c>
      <c r="D191" s="21" t="str">
        <f>IF(Deployments!AH192="","",Deployments!AH192)</f>
        <v/>
      </c>
      <c r="E191" s="21" t="str">
        <f>IF(Deployments!I192="","",Deployments!I192)</f>
        <v/>
      </c>
      <c r="F191" s="21" t="str">
        <f>IF(Deployments!J192="","",Deployments!J192)</f>
        <v/>
      </c>
      <c r="G191" s="21" t="str">
        <f>IF(Deployments!K192="","",Deployments!K192)</f>
        <v/>
      </c>
      <c r="H191" s="21" t="str">
        <f>IF(Deployments!A192="","",Deployments!A192)</f>
        <v/>
      </c>
      <c r="I191" s="21" t="str">
        <f>IF(Deployments!AI192="","",Deployments!AI192)</f>
        <v/>
      </c>
      <c r="J191" s="21" t="str">
        <f>IF(Deployments!AJ192="","",Deployments!AJ192)</f>
        <v/>
      </c>
      <c r="K191" s="21" t="str">
        <f>IF(Deployments!AD192="","",Deployments!AD192)</f>
        <v/>
      </c>
      <c r="L191" s="21" t="str">
        <f>IF(Deployments!M192="","",Deployments!M192)</f>
        <v/>
      </c>
      <c r="M191" s="22"/>
      <c r="N191" s="21" t="str">
        <f>IF(Deployments!N192="","",Deployments!N192)</f>
        <v/>
      </c>
      <c r="O191" s="21" t="str">
        <f>IF(Deployments!O192="","",Deployments!O192)</f>
        <v/>
      </c>
      <c r="P191" s="21" t="str">
        <f>IF(Deployments!P192="","",Deployments!P192)</f>
        <v/>
      </c>
      <c r="Q191" s="22"/>
      <c r="R191" s="21" t="str">
        <f>IF(Deployments!AY192="","",Deployments!AY192)</f>
        <v/>
      </c>
      <c r="S191" s="21" t="str">
        <f>IF(Deployments!AX192="","",Deployments!AX192)</f>
        <v/>
      </c>
      <c r="T191" s="21" t="str">
        <f>IF(Deployments!AV192="","",Deployments!AV192)</f>
        <v/>
      </c>
      <c r="U191" s="21" t="str">
        <f>IF(Deployments!AW192="","",Deployments!AW192)</f>
        <v/>
      </c>
      <c r="V191" s="21" t="str">
        <f>IF(Deployments!BA192="","",Deployments!BA192)</f>
        <v/>
      </c>
      <c r="W191" s="21" t="str">
        <f>IF(Deployments!BC192="","",Deployments!BC192)</f>
        <v/>
      </c>
      <c r="X191" s="21" t="str">
        <f>IF(Deployments!BK192="","",Deployments!BK192)</f>
        <v/>
      </c>
      <c r="Y191" s="21" t="str">
        <f>IF(Deployments!BB192="","",Deployments!BB192)</f>
        <v/>
      </c>
      <c r="Z191" s="21" t="str">
        <f>IF(Deployments!T192="","",Deployments!T192)</f>
        <v/>
      </c>
      <c r="AA191" s="21" t="str">
        <f>IF(Deployments!L192="","",Deployments!L192)</f>
        <v/>
      </c>
    </row>
    <row r="192" spans="1:27">
      <c r="A192" s="22"/>
      <c r="B192" s="22"/>
      <c r="C192" s="21" t="str">
        <f>IF(Deployments!H193="","",Deployments!H193)</f>
        <v/>
      </c>
      <c r="D192" s="21" t="str">
        <f>IF(Deployments!AH193="","",Deployments!AH193)</f>
        <v/>
      </c>
      <c r="E192" s="21" t="str">
        <f>IF(Deployments!I193="","",Deployments!I193)</f>
        <v/>
      </c>
      <c r="F192" s="21" t="str">
        <f>IF(Deployments!J193="","",Deployments!J193)</f>
        <v/>
      </c>
      <c r="G192" s="21" t="str">
        <f>IF(Deployments!K193="","",Deployments!K193)</f>
        <v/>
      </c>
      <c r="H192" s="21" t="str">
        <f>IF(Deployments!A193="","",Deployments!A193)</f>
        <v/>
      </c>
      <c r="I192" s="21" t="str">
        <f>IF(Deployments!AI193="","",Deployments!AI193)</f>
        <v/>
      </c>
      <c r="J192" s="21" t="str">
        <f>IF(Deployments!AJ193="","",Deployments!AJ193)</f>
        <v/>
      </c>
      <c r="K192" s="21" t="str">
        <f>IF(Deployments!AD193="","",Deployments!AD193)</f>
        <v/>
      </c>
      <c r="L192" s="21" t="str">
        <f>IF(Deployments!M193="","",Deployments!M193)</f>
        <v/>
      </c>
      <c r="M192" s="22"/>
      <c r="N192" s="21" t="str">
        <f>IF(Deployments!N193="","",Deployments!N193)</f>
        <v/>
      </c>
      <c r="O192" s="21" t="str">
        <f>IF(Deployments!O193="","",Deployments!O193)</f>
        <v/>
      </c>
      <c r="P192" s="21" t="str">
        <f>IF(Deployments!P193="","",Deployments!P193)</f>
        <v/>
      </c>
      <c r="Q192" s="22"/>
      <c r="R192" s="21" t="str">
        <f>IF(Deployments!AY193="","",Deployments!AY193)</f>
        <v/>
      </c>
      <c r="S192" s="21" t="str">
        <f>IF(Deployments!AX193="","",Deployments!AX193)</f>
        <v/>
      </c>
      <c r="T192" s="21" t="str">
        <f>IF(Deployments!AV193="","",Deployments!AV193)</f>
        <v/>
      </c>
      <c r="U192" s="21" t="str">
        <f>IF(Deployments!AW193="","",Deployments!AW193)</f>
        <v/>
      </c>
      <c r="V192" s="21" t="str">
        <f>IF(Deployments!BA193="","",Deployments!BA193)</f>
        <v/>
      </c>
      <c r="W192" s="21" t="str">
        <f>IF(Deployments!BC193="","",Deployments!BC193)</f>
        <v/>
      </c>
      <c r="X192" s="21" t="str">
        <f>IF(Deployments!BK193="","",Deployments!BK193)</f>
        <v/>
      </c>
      <c r="Y192" s="21" t="str">
        <f>IF(Deployments!BB193="","",Deployments!BB193)</f>
        <v/>
      </c>
      <c r="Z192" s="21" t="str">
        <f>IF(Deployments!T193="","",Deployments!T193)</f>
        <v/>
      </c>
      <c r="AA192" s="21" t="str">
        <f>IF(Deployments!L193="","",Deployments!L193)</f>
        <v/>
      </c>
    </row>
    <row r="193" spans="1:27">
      <c r="A193" s="22"/>
      <c r="B193" s="22"/>
      <c r="C193" s="21" t="str">
        <f>IF(Deployments!H194="","",Deployments!H194)</f>
        <v/>
      </c>
      <c r="D193" s="21" t="str">
        <f>IF(Deployments!AH194="","",Deployments!AH194)</f>
        <v/>
      </c>
      <c r="E193" s="21" t="str">
        <f>IF(Deployments!I194="","",Deployments!I194)</f>
        <v/>
      </c>
      <c r="F193" s="21" t="str">
        <f>IF(Deployments!J194="","",Deployments!J194)</f>
        <v/>
      </c>
      <c r="G193" s="21" t="str">
        <f>IF(Deployments!K194="","",Deployments!K194)</f>
        <v/>
      </c>
      <c r="H193" s="21" t="str">
        <f>IF(Deployments!A194="","",Deployments!A194)</f>
        <v/>
      </c>
      <c r="I193" s="21" t="str">
        <f>IF(Deployments!AI194="","",Deployments!AI194)</f>
        <v/>
      </c>
      <c r="J193" s="21" t="str">
        <f>IF(Deployments!AJ194="","",Deployments!AJ194)</f>
        <v/>
      </c>
      <c r="K193" s="21" t="str">
        <f>IF(Deployments!AD194="","",Deployments!AD194)</f>
        <v/>
      </c>
      <c r="L193" s="21" t="str">
        <f>IF(Deployments!M194="","",Deployments!M194)</f>
        <v/>
      </c>
      <c r="M193" s="22"/>
      <c r="N193" s="21" t="str">
        <f>IF(Deployments!N194="","",Deployments!N194)</f>
        <v/>
      </c>
      <c r="O193" s="21" t="str">
        <f>IF(Deployments!O194="","",Deployments!O194)</f>
        <v/>
      </c>
      <c r="P193" s="21" t="str">
        <f>IF(Deployments!P194="","",Deployments!P194)</f>
        <v/>
      </c>
      <c r="Q193" s="22"/>
      <c r="R193" s="21" t="str">
        <f>IF(Deployments!AY194="","",Deployments!AY194)</f>
        <v/>
      </c>
      <c r="S193" s="21" t="str">
        <f>IF(Deployments!AX194="","",Deployments!AX194)</f>
        <v/>
      </c>
      <c r="T193" s="21" t="str">
        <f>IF(Deployments!AV194="","",Deployments!AV194)</f>
        <v/>
      </c>
      <c r="U193" s="21" t="str">
        <f>IF(Deployments!AW194="","",Deployments!AW194)</f>
        <v/>
      </c>
      <c r="V193" s="21" t="str">
        <f>IF(Deployments!BA194="","",Deployments!BA194)</f>
        <v/>
      </c>
      <c r="W193" s="21" t="str">
        <f>IF(Deployments!BC194="","",Deployments!BC194)</f>
        <v/>
      </c>
      <c r="X193" s="21" t="str">
        <f>IF(Deployments!BK194="","",Deployments!BK194)</f>
        <v/>
      </c>
      <c r="Y193" s="21" t="str">
        <f>IF(Deployments!BB194="","",Deployments!BB194)</f>
        <v/>
      </c>
      <c r="Z193" s="21" t="str">
        <f>IF(Deployments!T194="","",Deployments!T194)</f>
        <v/>
      </c>
      <c r="AA193" s="21" t="str">
        <f>IF(Deployments!L194="","",Deployments!L194)</f>
        <v/>
      </c>
    </row>
    <row r="194" spans="1:27">
      <c r="A194" s="22"/>
      <c r="B194" s="22"/>
      <c r="C194" s="21" t="str">
        <f>IF(Deployments!H195="","",Deployments!H195)</f>
        <v/>
      </c>
      <c r="D194" s="21" t="str">
        <f>IF(Deployments!AH195="","",Deployments!AH195)</f>
        <v/>
      </c>
      <c r="E194" s="21" t="str">
        <f>IF(Deployments!I195="","",Deployments!I195)</f>
        <v/>
      </c>
      <c r="F194" s="21" t="str">
        <f>IF(Deployments!J195="","",Deployments!J195)</f>
        <v/>
      </c>
      <c r="G194" s="21" t="str">
        <f>IF(Deployments!K195="","",Deployments!K195)</f>
        <v/>
      </c>
      <c r="H194" s="21" t="str">
        <f>IF(Deployments!A195="","",Deployments!A195)</f>
        <v/>
      </c>
      <c r="I194" s="21" t="str">
        <f>IF(Deployments!AI195="","",Deployments!AI195)</f>
        <v/>
      </c>
      <c r="J194" s="21" t="str">
        <f>IF(Deployments!AJ195="","",Deployments!AJ195)</f>
        <v/>
      </c>
      <c r="K194" s="21" t="str">
        <f>IF(Deployments!AD195="","",Deployments!AD195)</f>
        <v/>
      </c>
      <c r="L194" s="21" t="str">
        <f>IF(Deployments!M195="","",Deployments!M195)</f>
        <v/>
      </c>
      <c r="M194" s="22"/>
      <c r="N194" s="21" t="str">
        <f>IF(Deployments!N195="","",Deployments!N195)</f>
        <v/>
      </c>
      <c r="O194" s="21" t="str">
        <f>IF(Deployments!O195="","",Deployments!O195)</f>
        <v/>
      </c>
      <c r="P194" s="21" t="str">
        <f>IF(Deployments!P195="","",Deployments!P195)</f>
        <v/>
      </c>
      <c r="Q194" s="22"/>
      <c r="R194" s="21" t="str">
        <f>IF(Deployments!AY195="","",Deployments!AY195)</f>
        <v/>
      </c>
      <c r="S194" s="21" t="str">
        <f>IF(Deployments!AX195="","",Deployments!AX195)</f>
        <v/>
      </c>
      <c r="T194" s="21" t="str">
        <f>IF(Deployments!AV195="","",Deployments!AV195)</f>
        <v/>
      </c>
      <c r="U194" s="21" t="str">
        <f>IF(Deployments!AW195="","",Deployments!AW195)</f>
        <v/>
      </c>
      <c r="V194" s="21" t="str">
        <f>IF(Deployments!BA195="","",Deployments!BA195)</f>
        <v/>
      </c>
      <c r="W194" s="21" t="str">
        <f>IF(Deployments!BC195="","",Deployments!BC195)</f>
        <v/>
      </c>
      <c r="X194" s="21" t="str">
        <f>IF(Deployments!BK195="","",Deployments!BK195)</f>
        <v/>
      </c>
      <c r="Y194" s="21" t="str">
        <f>IF(Deployments!BB195="","",Deployments!BB195)</f>
        <v/>
      </c>
      <c r="Z194" s="21" t="str">
        <f>IF(Deployments!T195="","",Deployments!T195)</f>
        <v/>
      </c>
      <c r="AA194" s="21" t="str">
        <f>IF(Deployments!L195="","",Deployments!L195)</f>
        <v/>
      </c>
    </row>
    <row r="195" spans="1:27">
      <c r="A195" s="22"/>
      <c r="B195" s="22"/>
      <c r="C195" s="21" t="str">
        <f>IF(Deployments!H196="","",Deployments!H196)</f>
        <v/>
      </c>
      <c r="D195" s="21" t="str">
        <f>IF(Deployments!AH196="","",Deployments!AH196)</f>
        <v/>
      </c>
      <c r="E195" s="21" t="str">
        <f>IF(Deployments!I196="","",Deployments!I196)</f>
        <v/>
      </c>
      <c r="F195" s="21" t="str">
        <f>IF(Deployments!J196="","",Deployments!J196)</f>
        <v/>
      </c>
      <c r="G195" s="21" t="str">
        <f>IF(Deployments!K196="","",Deployments!K196)</f>
        <v/>
      </c>
      <c r="H195" s="21" t="str">
        <f>IF(Deployments!A196="","",Deployments!A196)</f>
        <v/>
      </c>
      <c r="I195" s="21" t="str">
        <f>IF(Deployments!AI196="","",Deployments!AI196)</f>
        <v/>
      </c>
      <c r="J195" s="21" t="str">
        <f>IF(Deployments!AJ196="","",Deployments!AJ196)</f>
        <v/>
      </c>
      <c r="K195" s="21" t="str">
        <f>IF(Deployments!AD196="","",Deployments!AD196)</f>
        <v/>
      </c>
      <c r="L195" s="21" t="str">
        <f>IF(Deployments!M196="","",Deployments!M196)</f>
        <v/>
      </c>
      <c r="M195" s="22"/>
      <c r="N195" s="21" t="str">
        <f>IF(Deployments!N196="","",Deployments!N196)</f>
        <v/>
      </c>
      <c r="O195" s="21" t="str">
        <f>IF(Deployments!O196="","",Deployments!O196)</f>
        <v/>
      </c>
      <c r="P195" s="21" t="str">
        <f>IF(Deployments!P196="","",Deployments!P196)</f>
        <v/>
      </c>
      <c r="Q195" s="22"/>
      <c r="R195" s="21" t="str">
        <f>IF(Deployments!AY196="","",Deployments!AY196)</f>
        <v/>
      </c>
      <c r="S195" s="21" t="str">
        <f>IF(Deployments!AX196="","",Deployments!AX196)</f>
        <v/>
      </c>
      <c r="T195" s="21" t="str">
        <f>IF(Deployments!AV196="","",Deployments!AV196)</f>
        <v/>
      </c>
      <c r="U195" s="21" t="str">
        <f>IF(Deployments!AW196="","",Deployments!AW196)</f>
        <v/>
      </c>
      <c r="V195" s="21" t="str">
        <f>IF(Deployments!BA196="","",Deployments!BA196)</f>
        <v/>
      </c>
      <c r="W195" s="21" t="str">
        <f>IF(Deployments!BC196="","",Deployments!BC196)</f>
        <v/>
      </c>
      <c r="X195" s="21" t="str">
        <f>IF(Deployments!BK196="","",Deployments!BK196)</f>
        <v/>
      </c>
      <c r="Y195" s="21" t="str">
        <f>IF(Deployments!BB196="","",Deployments!BB196)</f>
        <v/>
      </c>
      <c r="Z195" s="21" t="str">
        <f>IF(Deployments!T196="","",Deployments!T196)</f>
        <v/>
      </c>
      <c r="AA195" s="21" t="str">
        <f>IF(Deployments!L196="","",Deployments!L196)</f>
        <v/>
      </c>
    </row>
    <row r="196" spans="1:27">
      <c r="A196" s="22"/>
      <c r="B196" s="22"/>
      <c r="C196" s="21" t="str">
        <f>IF(Deployments!H197="","",Deployments!H197)</f>
        <v/>
      </c>
      <c r="D196" s="21" t="str">
        <f>IF(Deployments!AH197="","",Deployments!AH197)</f>
        <v/>
      </c>
      <c r="E196" s="21" t="str">
        <f>IF(Deployments!I197="","",Deployments!I197)</f>
        <v/>
      </c>
      <c r="F196" s="21" t="str">
        <f>IF(Deployments!J197="","",Deployments!J197)</f>
        <v/>
      </c>
      <c r="G196" s="21" t="str">
        <f>IF(Deployments!K197="","",Deployments!K197)</f>
        <v/>
      </c>
      <c r="H196" s="21" t="str">
        <f>IF(Deployments!A197="","",Deployments!A197)</f>
        <v/>
      </c>
      <c r="I196" s="21" t="str">
        <f>IF(Deployments!AI197="","",Deployments!AI197)</f>
        <v/>
      </c>
      <c r="J196" s="21" t="str">
        <f>IF(Deployments!AJ197="","",Deployments!AJ197)</f>
        <v/>
      </c>
      <c r="K196" s="21" t="str">
        <f>IF(Deployments!AD197="","",Deployments!AD197)</f>
        <v/>
      </c>
      <c r="L196" s="21" t="str">
        <f>IF(Deployments!M197="","",Deployments!M197)</f>
        <v/>
      </c>
      <c r="M196" s="22"/>
      <c r="N196" s="21" t="str">
        <f>IF(Deployments!N197="","",Deployments!N197)</f>
        <v/>
      </c>
      <c r="O196" s="21" t="str">
        <f>IF(Deployments!O197="","",Deployments!O197)</f>
        <v/>
      </c>
      <c r="P196" s="21" t="str">
        <f>IF(Deployments!P197="","",Deployments!P197)</f>
        <v/>
      </c>
      <c r="Q196" s="22"/>
      <c r="R196" s="21" t="str">
        <f>IF(Deployments!AY197="","",Deployments!AY197)</f>
        <v/>
      </c>
      <c r="S196" s="21" t="str">
        <f>IF(Deployments!AX197="","",Deployments!AX197)</f>
        <v/>
      </c>
      <c r="T196" s="21" t="str">
        <f>IF(Deployments!AV197="","",Deployments!AV197)</f>
        <v/>
      </c>
      <c r="U196" s="21" t="str">
        <f>IF(Deployments!AW197="","",Deployments!AW197)</f>
        <v/>
      </c>
      <c r="V196" s="21" t="str">
        <f>IF(Deployments!BA197="","",Deployments!BA197)</f>
        <v/>
      </c>
      <c r="W196" s="21" t="str">
        <f>IF(Deployments!BC197="","",Deployments!BC197)</f>
        <v/>
      </c>
      <c r="X196" s="21" t="str">
        <f>IF(Deployments!BK197="","",Deployments!BK197)</f>
        <v/>
      </c>
      <c r="Y196" s="21" t="str">
        <f>IF(Deployments!BB197="","",Deployments!BB197)</f>
        <v/>
      </c>
      <c r="Z196" s="21" t="str">
        <f>IF(Deployments!T197="","",Deployments!T197)</f>
        <v/>
      </c>
      <c r="AA196" s="21" t="str">
        <f>IF(Deployments!L197="","",Deployments!L197)</f>
        <v/>
      </c>
    </row>
    <row r="197" spans="1:27">
      <c r="A197" s="22"/>
      <c r="B197" s="22"/>
      <c r="C197" s="21" t="str">
        <f>IF(Deployments!H198="","",Deployments!H198)</f>
        <v/>
      </c>
      <c r="D197" s="21" t="str">
        <f>IF(Deployments!AH198="","",Deployments!AH198)</f>
        <v/>
      </c>
      <c r="E197" s="21" t="str">
        <f>IF(Deployments!I198="","",Deployments!I198)</f>
        <v/>
      </c>
      <c r="F197" s="21" t="str">
        <f>IF(Deployments!J198="","",Deployments!J198)</f>
        <v/>
      </c>
      <c r="G197" s="21" t="str">
        <f>IF(Deployments!K198="","",Deployments!K198)</f>
        <v/>
      </c>
      <c r="H197" s="21" t="str">
        <f>IF(Deployments!A198="","",Deployments!A198)</f>
        <v/>
      </c>
      <c r="I197" s="21" t="str">
        <f>IF(Deployments!AI198="","",Deployments!AI198)</f>
        <v/>
      </c>
      <c r="J197" s="21" t="str">
        <f>IF(Deployments!AJ198="","",Deployments!AJ198)</f>
        <v/>
      </c>
      <c r="K197" s="21" t="str">
        <f>IF(Deployments!AD198="","",Deployments!AD198)</f>
        <v/>
      </c>
      <c r="L197" s="21" t="str">
        <f>IF(Deployments!M198="","",Deployments!M198)</f>
        <v/>
      </c>
      <c r="M197" s="22"/>
      <c r="N197" s="21" t="str">
        <f>IF(Deployments!N198="","",Deployments!N198)</f>
        <v/>
      </c>
      <c r="O197" s="21" t="str">
        <f>IF(Deployments!O198="","",Deployments!O198)</f>
        <v/>
      </c>
      <c r="P197" s="21" t="str">
        <f>IF(Deployments!P198="","",Deployments!P198)</f>
        <v/>
      </c>
      <c r="Q197" s="22"/>
      <c r="R197" s="21" t="str">
        <f>IF(Deployments!AY198="","",Deployments!AY198)</f>
        <v/>
      </c>
      <c r="S197" s="21" t="str">
        <f>IF(Deployments!AX198="","",Deployments!AX198)</f>
        <v/>
      </c>
      <c r="T197" s="21" t="str">
        <f>IF(Deployments!AV198="","",Deployments!AV198)</f>
        <v/>
      </c>
      <c r="U197" s="21" t="str">
        <f>IF(Deployments!AW198="","",Deployments!AW198)</f>
        <v/>
      </c>
      <c r="V197" s="21" t="str">
        <f>IF(Deployments!BA198="","",Deployments!BA198)</f>
        <v/>
      </c>
      <c r="W197" s="21" t="str">
        <f>IF(Deployments!BC198="","",Deployments!BC198)</f>
        <v/>
      </c>
      <c r="X197" s="21" t="str">
        <f>IF(Deployments!BK198="","",Deployments!BK198)</f>
        <v/>
      </c>
      <c r="Y197" s="21" t="str">
        <f>IF(Deployments!BB198="","",Deployments!BB198)</f>
        <v/>
      </c>
      <c r="Z197" s="21" t="str">
        <f>IF(Deployments!T198="","",Deployments!T198)</f>
        <v/>
      </c>
      <c r="AA197" s="21" t="str">
        <f>IF(Deployments!L198="","",Deployments!L198)</f>
        <v/>
      </c>
    </row>
    <row r="198" spans="1:27">
      <c r="A198" s="22"/>
      <c r="B198" s="22"/>
      <c r="C198" s="21" t="str">
        <f>IF(Deployments!H199="","",Deployments!H199)</f>
        <v/>
      </c>
      <c r="D198" s="21" t="str">
        <f>IF(Deployments!AH199="","",Deployments!AH199)</f>
        <v/>
      </c>
      <c r="E198" s="21" t="str">
        <f>IF(Deployments!I199="","",Deployments!I199)</f>
        <v/>
      </c>
      <c r="F198" s="21" t="str">
        <f>IF(Deployments!J199="","",Deployments!J199)</f>
        <v/>
      </c>
      <c r="G198" s="21" t="str">
        <f>IF(Deployments!K199="","",Deployments!K199)</f>
        <v/>
      </c>
      <c r="H198" s="21" t="str">
        <f>IF(Deployments!A199="","",Deployments!A199)</f>
        <v/>
      </c>
      <c r="I198" s="21" t="str">
        <f>IF(Deployments!AI199="","",Deployments!AI199)</f>
        <v/>
      </c>
      <c r="J198" s="21" t="str">
        <f>IF(Deployments!AJ199="","",Deployments!AJ199)</f>
        <v/>
      </c>
      <c r="K198" s="21" t="str">
        <f>IF(Deployments!AD199="","",Deployments!AD199)</f>
        <v/>
      </c>
      <c r="L198" s="21" t="str">
        <f>IF(Deployments!M199="","",Deployments!M199)</f>
        <v/>
      </c>
      <c r="M198" s="22"/>
      <c r="N198" s="21" t="str">
        <f>IF(Deployments!N199="","",Deployments!N199)</f>
        <v/>
      </c>
      <c r="O198" s="21" t="str">
        <f>IF(Deployments!O199="","",Deployments!O199)</f>
        <v/>
      </c>
      <c r="P198" s="21" t="str">
        <f>IF(Deployments!P199="","",Deployments!P199)</f>
        <v/>
      </c>
      <c r="Q198" s="22"/>
      <c r="R198" s="21" t="str">
        <f>IF(Deployments!AY199="","",Deployments!AY199)</f>
        <v/>
      </c>
      <c r="S198" s="21" t="str">
        <f>IF(Deployments!AX199="","",Deployments!AX199)</f>
        <v/>
      </c>
      <c r="T198" s="21" t="str">
        <f>IF(Deployments!AV199="","",Deployments!AV199)</f>
        <v/>
      </c>
      <c r="U198" s="21" t="str">
        <f>IF(Deployments!AW199="","",Deployments!AW199)</f>
        <v/>
      </c>
      <c r="V198" s="21" t="str">
        <f>IF(Deployments!BA199="","",Deployments!BA199)</f>
        <v/>
      </c>
      <c r="W198" s="21" t="str">
        <f>IF(Deployments!BC199="","",Deployments!BC199)</f>
        <v/>
      </c>
      <c r="X198" s="21" t="str">
        <f>IF(Deployments!BK199="","",Deployments!BK199)</f>
        <v/>
      </c>
      <c r="Y198" s="21" t="str">
        <f>IF(Deployments!BB199="","",Deployments!BB199)</f>
        <v/>
      </c>
      <c r="Z198" s="21" t="str">
        <f>IF(Deployments!T199="","",Deployments!T199)</f>
        <v/>
      </c>
      <c r="AA198" s="21" t="str">
        <f>IF(Deployments!L199="","",Deployments!L199)</f>
        <v/>
      </c>
    </row>
    <row r="199" spans="1:27">
      <c r="A199" s="22"/>
      <c r="B199" s="22"/>
      <c r="C199" s="21" t="str">
        <f>IF(Deployments!H200="","",Deployments!H200)</f>
        <v/>
      </c>
      <c r="D199" s="21" t="str">
        <f>IF(Deployments!AH200="","",Deployments!AH200)</f>
        <v/>
      </c>
      <c r="E199" s="21" t="str">
        <f>IF(Deployments!I200="","",Deployments!I200)</f>
        <v/>
      </c>
      <c r="F199" s="21" t="str">
        <f>IF(Deployments!J200="","",Deployments!J200)</f>
        <v/>
      </c>
      <c r="G199" s="21" t="str">
        <f>IF(Deployments!K200="","",Deployments!K200)</f>
        <v/>
      </c>
      <c r="H199" s="21" t="str">
        <f>IF(Deployments!A200="","",Deployments!A200)</f>
        <v/>
      </c>
      <c r="I199" s="21" t="str">
        <f>IF(Deployments!AI200="","",Deployments!AI200)</f>
        <v/>
      </c>
      <c r="J199" s="21" t="str">
        <f>IF(Deployments!AJ200="","",Deployments!AJ200)</f>
        <v/>
      </c>
      <c r="K199" s="21" t="str">
        <f>IF(Deployments!AD200="","",Deployments!AD200)</f>
        <v/>
      </c>
      <c r="L199" s="21" t="str">
        <f>IF(Deployments!M200="","",Deployments!M200)</f>
        <v/>
      </c>
      <c r="M199" s="22"/>
      <c r="N199" s="21" t="str">
        <f>IF(Deployments!N200="","",Deployments!N200)</f>
        <v/>
      </c>
      <c r="O199" s="21" t="str">
        <f>IF(Deployments!O200="","",Deployments!O200)</f>
        <v/>
      </c>
      <c r="P199" s="21" t="str">
        <f>IF(Deployments!P200="","",Deployments!P200)</f>
        <v/>
      </c>
      <c r="Q199" s="22"/>
      <c r="R199" s="21" t="str">
        <f>IF(Deployments!AY200="","",Deployments!AY200)</f>
        <v/>
      </c>
      <c r="S199" s="21" t="str">
        <f>IF(Deployments!AX200="","",Deployments!AX200)</f>
        <v/>
      </c>
      <c r="T199" s="21" t="str">
        <f>IF(Deployments!AV200="","",Deployments!AV200)</f>
        <v/>
      </c>
      <c r="U199" s="21" t="str">
        <f>IF(Deployments!AW200="","",Deployments!AW200)</f>
        <v/>
      </c>
      <c r="V199" s="21" t="str">
        <f>IF(Deployments!BA200="","",Deployments!BA200)</f>
        <v/>
      </c>
      <c r="W199" s="21" t="str">
        <f>IF(Deployments!BC200="","",Deployments!BC200)</f>
        <v/>
      </c>
      <c r="X199" s="21" t="str">
        <f>IF(Deployments!BK200="","",Deployments!BK200)</f>
        <v/>
      </c>
      <c r="Y199" s="21" t="str">
        <f>IF(Deployments!BB200="","",Deployments!BB200)</f>
        <v/>
      </c>
      <c r="Z199" s="21" t="str">
        <f>IF(Deployments!T200="","",Deployments!T200)</f>
        <v/>
      </c>
      <c r="AA199" s="21" t="str">
        <f>IF(Deployments!L200="","",Deployments!L200)</f>
        <v/>
      </c>
    </row>
    <row r="200" spans="1:27">
      <c r="A200" s="22"/>
      <c r="B200" s="22"/>
      <c r="C200" s="21" t="str">
        <f>IF(Deployments!H201="","",Deployments!H201)</f>
        <v/>
      </c>
      <c r="D200" s="21" t="str">
        <f>IF(Deployments!AH201="","",Deployments!AH201)</f>
        <v/>
      </c>
      <c r="E200" s="21" t="str">
        <f>IF(Deployments!I201="","",Deployments!I201)</f>
        <v/>
      </c>
      <c r="F200" s="21" t="str">
        <f>IF(Deployments!J201="","",Deployments!J201)</f>
        <v/>
      </c>
      <c r="G200" s="21" t="str">
        <f>IF(Deployments!K201="","",Deployments!K201)</f>
        <v/>
      </c>
      <c r="H200" s="21" t="str">
        <f>IF(Deployments!A201="","",Deployments!A201)</f>
        <v/>
      </c>
      <c r="I200" s="21" t="str">
        <f>IF(Deployments!AI201="","",Deployments!AI201)</f>
        <v/>
      </c>
      <c r="J200" s="21" t="str">
        <f>IF(Deployments!AJ201="","",Deployments!AJ201)</f>
        <v/>
      </c>
      <c r="K200" s="21" t="str">
        <f>IF(Deployments!AD201="","",Deployments!AD201)</f>
        <v/>
      </c>
      <c r="L200" s="21" t="str">
        <f>IF(Deployments!M201="","",Deployments!M201)</f>
        <v/>
      </c>
      <c r="M200" s="22"/>
      <c r="N200" s="21" t="str">
        <f>IF(Deployments!N201="","",Deployments!N201)</f>
        <v/>
      </c>
      <c r="O200" s="21" t="str">
        <f>IF(Deployments!O201="","",Deployments!O201)</f>
        <v/>
      </c>
      <c r="P200" s="21" t="str">
        <f>IF(Deployments!P201="","",Deployments!P201)</f>
        <v/>
      </c>
      <c r="Q200" s="22"/>
      <c r="R200" s="21" t="str">
        <f>IF(Deployments!AY201="","",Deployments!AY201)</f>
        <v/>
      </c>
      <c r="S200" s="21" t="str">
        <f>IF(Deployments!AX201="","",Deployments!AX201)</f>
        <v/>
      </c>
      <c r="T200" s="21" t="str">
        <f>IF(Deployments!AV201="","",Deployments!AV201)</f>
        <v/>
      </c>
      <c r="U200" s="21" t="str">
        <f>IF(Deployments!AW201="","",Deployments!AW201)</f>
        <v/>
      </c>
      <c r="V200" s="21" t="str">
        <f>IF(Deployments!BA201="","",Deployments!BA201)</f>
        <v/>
      </c>
      <c r="W200" s="21" t="str">
        <f>IF(Deployments!BC201="","",Deployments!BC201)</f>
        <v/>
      </c>
      <c r="X200" s="21" t="str">
        <f>IF(Deployments!BK201="","",Deployments!BK201)</f>
        <v/>
      </c>
      <c r="Y200" s="21" t="str">
        <f>IF(Deployments!BB201="","",Deployments!BB201)</f>
        <v/>
      </c>
      <c r="Z200" s="21" t="str">
        <f>IF(Deployments!T201="","",Deployments!T201)</f>
        <v/>
      </c>
      <c r="AA200" s="21" t="str">
        <f>IF(Deployments!L201="","",Deployments!L201)</f>
        <v/>
      </c>
    </row>
    <row r="201" spans="1:27">
      <c r="A201" s="22"/>
      <c r="B201" s="22"/>
      <c r="C201" s="21" t="str">
        <f>IF(Deployments!H202="","",Deployments!H202)</f>
        <v/>
      </c>
      <c r="D201" s="21" t="str">
        <f>IF(Deployments!AH202="","",Deployments!AH202)</f>
        <v/>
      </c>
      <c r="E201" s="21" t="str">
        <f>IF(Deployments!I202="","",Deployments!I202)</f>
        <v/>
      </c>
      <c r="F201" s="21" t="str">
        <f>IF(Deployments!J202="","",Deployments!J202)</f>
        <v/>
      </c>
      <c r="G201" s="21" t="str">
        <f>IF(Deployments!K202="","",Deployments!K202)</f>
        <v/>
      </c>
      <c r="H201" s="21" t="str">
        <f>IF(Deployments!A202="","",Deployments!A202)</f>
        <v/>
      </c>
      <c r="I201" s="21" t="str">
        <f>IF(Deployments!AI202="","",Deployments!AI202)</f>
        <v/>
      </c>
      <c r="J201" s="21" t="str">
        <f>IF(Deployments!AJ202="","",Deployments!AJ202)</f>
        <v/>
      </c>
      <c r="K201" s="21" t="str">
        <f>IF(Deployments!AD202="","",Deployments!AD202)</f>
        <v/>
      </c>
      <c r="L201" s="21" t="str">
        <f>IF(Deployments!M202="","",Deployments!M202)</f>
        <v/>
      </c>
      <c r="M201" s="22"/>
      <c r="N201" s="21" t="str">
        <f>IF(Deployments!N202="","",Deployments!N202)</f>
        <v/>
      </c>
      <c r="O201" s="21" t="str">
        <f>IF(Deployments!O202="","",Deployments!O202)</f>
        <v/>
      </c>
      <c r="P201" s="21" t="str">
        <f>IF(Deployments!P202="","",Deployments!P202)</f>
        <v/>
      </c>
      <c r="Q201" s="22"/>
      <c r="R201" s="21" t="str">
        <f>IF(Deployments!AY202="","",Deployments!AY202)</f>
        <v/>
      </c>
      <c r="S201" s="21" t="str">
        <f>IF(Deployments!AX202="","",Deployments!AX202)</f>
        <v/>
      </c>
      <c r="T201" s="21" t="str">
        <f>IF(Deployments!AV202="","",Deployments!AV202)</f>
        <v/>
      </c>
      <c r="U201" s="21" t="str">
        <f>IF(Deployments!AW202="","",Deployments!AW202)</f>
        <v/>
      </c>
      <c r="V201" s="21" t="str">
        <f>IF(Deployments!BA202="","",Deployments!BA202)</f>
        <v/>
      </c>
      <c r="W201" s="21" t="str">
        <f>IF(Deployments!BC202="","",Deployments!BC202)</f>
        <v/>
      </c>
      <c r="X201" s="21" t="str">
        <f>IF(Deployments!BK202="","",Deployments!BK202)</f>
        <v/>
      </c>
      <c r="Y201" s="21" t="str">
        <f>IF(Deployments!BB202="","",Deployments!BB202)</f>
        <v/>
      </c>
      <c r="Z201" s="21" t="str">
        <f>IF(Deployments!T202="","",Deployments!T202)</f>
        <v/>
      </c>
      <c r="AA201" s="21" t="str">
        <f>IF(Deployments!L202="","",Deployments!L202)</f>
        <v/>
      </c>
    </row>
    <row r="202" spans="1:27">
      <c r="A202" s="22"/>
      <c r="B202" s="22"/>
      <c r="C202" s="21" t="str">
        <f>IF(Deployments!H203="","",Deployments!H203)</f>
        <v/>
      </c>
      <c r="D202" s="21" t="str">
        <f>IF(Deployments!AH203="","",Deployments!AH203)</f>
        <v/>
      </c>
      <c r="E202" s="21" t="str">
        <f>IF(Deployments!I203="","",Deployments!I203)</f>
        <v/>
      </c>
      <c r="F202" s="21" t="str">
        <f>IF(Deployments!J203="","",Deployments!J203)</f>
        <v/>
      </c>
      <c r="G202" s="21" t="str">
        <f>IF(Deployments!K203="","",Deployments!K203)</f>
        <v/>
      </c>
      <c r="H202" s="21" t="str">
        <f>IF(Deployments!A203="","",Deployments!A203)</f>
        <v/>
      </c>
      <c r="I202" s="21" t="str">
        <f>IF(Deployments!AI203="","",Deployments!AI203)</f>
        <v/>
      </c>
      <c r="J202" s="21" t="str">
        <f>IF(Deployments!AJ203="","",Deployments!AJ203)</f>
        <v/>
      </c>
      <c r="K202" s="21" t="str">
        <f>IF(Deployments!AD203="","",Deployments!AD203)</f>
        <v/>
      </c>
      <c r="L202" s="21" t="str">
        <f>IF(Deployments!M203="","",Deployments!M203)</f>
        <v/>
      </c>
      <c r="M202" s="22"/>
      <c r="N202" s="21" t="str">
        <f>IF(Deployments!N203="","",Deployments!N203)</f>
        <v/>
      </c>
      <c r="O202" s="21" t="str">
        <f>IF(Deployments!O203="","",Deployments!O203)</f>
        <v/>
      </c>
      <c r="P202" s="21" t="str">
        <f>IF(Deployments!P203="","",Deployments!P203)</f>
        <v/>
      </c>
      <c r="Q202" s="22"/>
      <c r="R202" s="21" t="str">
        <f>IF(Deployments!AY203="","",Deployments!AY203)</f>
        <v/>
      </c>
      <c r="S202" s="21" t="str">
        <f>IF(Deployments!AX203="","",Deployments!AX203)</f>
        <v/>
      </c>
      <c r="T202" s="21" t="str">
        <f>IF(Deployments!AV203="","",Deployments!AV203)</f>
        <v/>
      </c>
      <c r="U202" s="21" t="str">
        <f>IF(Deployments!AW203="","",Deployments!AW203)</f>
        <v/>
      </c>
      <c r="V202" s="21" t="str">
        <f>IF(Deployments!BA203="","",Deployments!BA203)</f>
        <v/>
      </c>
      <c r="W202" s="21" t="str">
        <f>IF(Deployments!BC203="","",Deployments!BC203)</f>
        <v/>
      </c>
      <c r="X202" s="21" t="str">
        <f>IF(Deployments!BK203="","",Deployments!BK203)</f>
        <v/>
      </c>
      <c r="Y202" s="21" t="str">
        <f>IF(Deployments!BB203="","",Deployments!BB203)</f>
        <v/>
      </c>
      <c r="Z202" s="21" t="str">
        <f>IF(Deployments!T203="","",Deployments!T203)</f>
        <v/>
      </c>
      <c r="AA202" s="21" t="str">
        <f>IF(Deployments!L203="","",Deployments!L203)</f>
        <v/>
      </c>
    </row>
    <row r="203" spans="1:27">
      <c r="A203" s="22"/>
      <c r="B203" s="22"/>
      <c r="C203" s="21" t="str">
        <f>IF(Deployments!H204="","",Deployments!H204)</f>
        <v/>
      </c>
      <c r="D203" s="21" t="str">
        <f>IF(Deployments!AH204="","",Deployments!AH204)</f>
        <v/>
      </c>
      <c r="E203" s="21" t="str">
        <f>IF(Deployments!I204="","",Deployments!I204)</f>
        <v/>
      </c>
      <c r="F203" s="21" t="str">
        <f>IF(Deployments!J204="","",Deployments!J204)</f>
        <v/>
      </c>
      <c r="G203" s="21" t="str">
        <f>IF(Deployments!K204="","",Deployments!K204)</f>
        <v/>
      </c>
      <c r="H203" s="21" t="str">
        <f>IF(Deployments!A204="","",Deployments!A204)</f>
        <v/>
      </c>
      <c r="I203" s="21" t="str">
        <f>IF(Deployments!AI204="","",Deployments!AI204)</f>
        <v/>
      </c>
      <c r="J203" s="21" t="str">
        <f>IF(Deployments!AJ204="","",Deployments!AJ204)</f>
        <v/>
      </c>
      <c r="K203" s="21" t="str">
        <f>IF(Deployments!AD204="","",Deployments!AD204)</f>
        <v/>
      </c>
      <c r="L203" s="21" t="str">
        <f>IF(Deployments!M204="","",Deployments!M204)</f>
        <v/>
      </c>
      <c r="M203" s="22"/>
      <c r="N203" s="21" t="str">
        <f>IF(Deployments!N204="","",Deployments!N204)</f>
        <v/>
      </c>
      <c r="O203" s="21" t="str">
        <f>IF(Deployments!O204="","",Deployments!O204)</f>
        <v/>
      </c>
      <c r="P203" s="21" t="str">
        <f>IF(Deployments!P204="","",Deployments!P204)</f>
        <v/>
      </c>
      <c r="Q203" s="22"/>
      <c r="R203" s="21" t="str">
        <f>IF(Deployments!AY204="","",Deployments!AY204)</f>
        <v/>
      </c>
      <c r="S203" s="21" t="str">
        <f>IF(Deployments!AX204="","",Deployments!AX204)</f>
        <v/>
      </c>
      <c r="T203" s="21" t="str">
        <f>IF(Deployments!AV204="","",Deployments!AV204)</f>
        <v/>
      </c>
      <c r="U203" s="21" t="str">
        <f>IF(Deployments!AW204="","",Deployments!AW204)</f>
        <v/>
      </c>
      <c r="V203" s="21" t="str">
        <f>IF(Deployments!BA204="","",Deployments!BA204)</f>
        <v/>
      </c>
      <c r="W203" s="21" t="str">
        <f>IF(Deployments!BC204="","",Deployments!BC204)</f>
        <v/>
      </c>
      <c r="X203" s="21" t="str">
        <f>IF(Deployments!BK204="","",Deployments!BK204)</f>
        <v/>
      </c>
      <c r="Y203" s="21" t="str">
        <f>IF(Deployments!BB204="","",Deployments!BB204)</f>
        <v/>
      </c>
      <c r="Z203" s="21" t="str">
        <f>IF(Deployments!T204="","",Deployments!T204)</f>
        <v/>
      </c>
      <c r="AA203" s="21" t="str">
        <f>IF(Deployments!L204="","",Deployments!L204)</f>
        <v/>
      </c>
    </row>
    <row r="204" spans="1:27">
      <c r="A204" s="22"/>
      <c r="B204" s="22"/>
      <c r="C204" s="21" t="str">
        <f>IF(Deployments!H205="","",Deployments!H205)</f>
        <v/>
      </c>
      <c r="D204" s="21" t="str">
        <f>IF(Deployments!AH205="","",Deployments!AH205)</f>
        <v/>
      </c>
      <c r="E204" s="21" t="str">
        <f>IF(Deployments!I205="","",Deployments!I205)</f>
        <v/>
      </c>
      <c r="F204" s="21" t="str">
        <f>IF(Deployments!J205="","",Deployments!J205)</f>
        <v/>
      </c>
      <c r="G204" s="21" t="str">
        <f>IF(Deployments!K205="","",Deployments!K205)</f>
        <v/>
      </c>
      <c r="H204" s="21" t="str">
        <f>IF(Deployments!A205="","",Deployments!A205)</f>
        <v/>
      </c>
      <c r="I204" s="21" t="str">
        <f>IF(Deployments!AI205="","",Deployments!AI205)</f>
        <v/>
      </c>
      <c r="J204" s="21" t="str">
        <f>IF(Deployments!AJ205="","",Deployments!AJ205)</f>
        <v/>
      </c>
      <c r="K204" s="21" t="str">
        <f>IF(Deployments!AD205="","",Deployments!AD205)</f>
        <v/>
      </c>
      <c r="L204" s="21" t="str">
        <f>IF(Deployments!M205="","",Deployments!M205)</f>
        <v/>
      </c>
      <c r="M204" s="22"/>
      <c r="N204" s="21" t="str">
        <f>IF(Deployments!N205="","",Deployments!N205)</f>
        <v/>
      </c>
      <c r="O204" s="21" t="str">
        <f>IF(Deployments!O205="","",Deployments!O205)</f>
        <v/>
      </c>
      <c r="P204" s="21" t="str">
        <f>IF(Deployments!P205="","",Deployments!P205)</f>
        <v/>
      </c>
      <c r="Q204" s="22"/>
      <c r="R204" s="21" t="str">
        <f>IF(Deployments!AY205="","",Deployments!AY205)</f>
        <v/>
      </c>
      <c r="S204" s="21" t="str">
        <f>IF(Deployments!AX205="","",Deployments!AX205)</f>
        <v/>
      </c>
      <c r="T204" s="21" t="str">
        <f>IF(Deployments!AV205="","",Deployments!AV205)</f>
        <v/>
      </c>
      <c r="U204" s="21" t="str">
        <f>IF(Deployments!AW205="","",Deployments!AW205)</f>
        <v/>
      </c>
      <c r="V204" s="21" t="str">
        <f>IF(Deployments!BA205="","",Deployments!BA205)</f>
        <v/>
      </c>
      <c r="W204" s="21" t="str">
        <f>IF(Deployments!BC205="","",Deployments!BC205)</f>
        <v/>
      </c>
      <c r="X204" s="21" t="str">
        <f>IF(Deployments!BK205="","",Deployments!BK205)</f>
        <v/>
      </c>
      <c r="Y204" s="21" t="str">
        <f>IF(Deployments!BB205="","",Deployments!BB205)</f>
        <v/>
      </c>
      <c r="Z204" s="21" t="str">
        <f>IF(Deployments!T205="","",Deployments!T205)</f>
        <v/>
      </c>
      <c r="AA204" s="21" t="str">
        <f>IF(Deployments!L205="","",Deployments!L205)</f>
        <v/>
      </c>
    </row>
    <row r="205" spans="1:27">
      <c r="A205" s="22"/>
      <c r="B205" s="22"/>
      <c r="C205" s="21" t="str">
        <f>IF(Deployments!H206="","",Deployments!H206)</f>
        <v/>
      </c>
      <c r="D205" s="21" t="str">
        <f>IF(Deployments!AH206="","",Deployments!AH206)</f>
        <v/>
      </c>
      <c r="E205" s="21" t="str">
        <f>IF(Deployments!I206="","",Deployments!I206)</f>
        <v/>
      </c>
      <c r="F205" s="21" t="str">
        <f>IF(Deployments!J206="","",Deployments!J206)</f>
        <v/>
      </c>
      <c r="G205" s="21" t="str">
        <f>IF(Deployments!K206="","",Deployments!K206)</f>
        <v/>
      </c>
      <c r="H205" s="21" t="str">
        <f>IF(Deployments!A206="","",Deployments!A206)</f>
        <v/>
      </c>
      <c r="I205" s="21" t="str">
        <f>IF(Deployments!AI206="","",Deployments!AI206)</f>
        <v/>
      </c>
      <c r="J205" s="21" t="str">
        <f>IF(Deployments!AJ206="","",Deployments!AJ206)</f>
        <v/>
      </c>
      <c r="K205" s="21" t="str">
        <f>IF(Deployments!AD206="","",Deployments!AD206)</f>
        <v/>
      </c>
      <c r="L205" s="21" t="str">
        <f>IF(Deployments!M206="","",Deployments!M206)</f>
        <v/>
      </c>
      <c r="M205" s="22"/>
      <c r="N205" s="21" t="str">
        <f>IF(Deployments!N206="","",Deployments!N206)</f>
        <v/>
      </c>
      <c r="O205" s="21" t="str">
        <f>IF(Deployments!O206="","",Deployments!O206)</f>
        <v/>
      </c>
      <c r="P205" s="21" t="str">
        <f>IF(Deployments!P206="","",Deployments!P206)</f>
        <v/>
      </c>
      <c r="Q205" s="22"/>
      <c r="R205" s="21" t="str">
        <f>IF(Deployments!AY206="","",Deployments!AY206)</f>
        <v/>
      </c>
      <c r="S205" s="21" t="str">
        <f>IF(Deployments!AX206="","",Deployments!AX206)</f>
        <v/>
      </c>
      <c r="T205" s="21" t="str">
        <f>IF(Deployments!AV206="","",Deployments!AV206)</f>
        <v/>
      </c>
      <c r="U205" s="21" t="str">
        <f>IF(Deployments!AW206="","",Deployments!AW206)</f>
        <v/>
      </c>
      <c r="V205" s="21" t="str">
        <f>IF(Deployments!BA206="","",Deployments!BA206)</f>
        <v/>
      </c>
      <c r="W205" s="21" t="str">
        <f>IF(Deployments!BC206="","",Deployments!BC206)</f>
        <v/>
      </c>
      <c r="X205" s="21" t="str">
        <f>IF(Deployments!BK206="","",Deployments!BK206)</f>
        <v/>
      </c>
      <c r="Y205" s="21" t="str">
        <f>IF(Deployments!BB206="","",Deployments!BB206)</f>
        <v/>
      </c>
      <c r="Z205" s="21" t="str">
        <f>IF(Deployments!T206="","",Deployments!T206)</f>
        <v/>
      </c>
      <c r="AA205" s="21" t="str">
        <f>IF(Deployments!L206="","",Deployments!L206)</f>
        <v/>
      </c>
    </row>
    <row r="206" spans="1:27">
      <c r="A206" s="22"/>
      <c r="B206" s="22"/>
      <c r="C206" s="21" t="str">
        <f>IF(Deployments!H207="","",Deployments!H207)</f>
        <v/>
      </c>
      <c r="D206" s="21" t="str">
        <f>IF(Deployments!AH207="","",Deployments!AH207)</f>
        <v/>
      </c>
      <c r="E206" s="21" t="str">
        <f>IF(Deployments!I207="","",Deployments!I207)</f>
        <v/>
      </c>
      <c r="F206" s="21" t="str">
        <f>IF(Deployments!J207="","",Deployments!J207)</f>
        <v/>
      </c>
      <c r="G206" s="21" t="str">
        <f>IF(Deployments!K207="","",Deployments!K207)</f>
        <v/>
      </c>
      <c r="H206" s="21" t="str">
        <f>IF(Deployments!A207="","",Deployments!A207)</f>
        <v/>
      </c>
      <c r="I206" s="21" t="str">
        <f>IF(Deployments!AI207="","",Deployments!AI207)</f>
        <v/>
      </c>
      <c r="J206" s="21" t="str">
        <f>IF(Deployments!AJ207="","",Deployments!AJ207)</f>
        <v/>
      </c>
      <c r="K206" s="21" t="str">
        <f>IF(Deployments!AD207="","",Deployments!AD207)</f>
        <v/>
      </c>
      <c r="L206" s="21" t="str">
        <f>IF(Deployments!M207="","",Deployments!M207)</f>
        <v/>
      </c>
      <c r="M206" s="22"/>
      <c r="N206" s="21" t="str">
        <f>IF(Deployments!N207="","",Deployments!N207)</f>
        <v/>
      </c>
      <c r="O206" s="21" t="str">
        <f>IF(Deployments!O207="","",Deployments!O207)</f>
        <v/>
      </c>
      <c r="P206" s="21" t="str">
        <f>IF(Deployments!P207="","",Deployments!P207)</f>
        <v/>
      </c>
      <c r="Q206" s="22"/>
      <c r="R206" s="21" t="str">
        <f>IF(Deployments!AY207="","",Deployments!AY207)</f>
        <v/>
      </c>
      <c r="S206" s="21" t="str">
        <f>IF(Deployments!AX207="","",Deployments!AX207)</f>
        <v/>
      </c>
      <c r="T206" s="21" t="str">
        <f>IF(Deployments!AV207="","",Deployments!AV207)</f>
        <v/>
      </c>
      <c r="U206" s="21" t="str">
        <f>IF(Deployments!AW207="","",Deployments!AW207)</f>
        <v/>
      </c>
      <c r="V206" s="21" t="str">
        <f>IF(Deployments!BA207="","",Deployments!BA207)</f>
        <v/>
      </c>
      <c r="W206" s="21" t="str">
        <f>IF(Deployments!BC207="","",Deployments!BC207)</f>
        <v/>
      </c>
      <c r="X206" s="21" t="str">
        <f>IF(Deployments!BK207="","",Deployments!BK207)</f>
        <v/>
      </c>
      <c r="Y206" s="21" t="str">
        <f>IF(Deployments!BB207="","",Deployments!BB207)</f>
        <v/>
      </c>
      <c r="Z206" s="21" t="str">
        <f>IF(Deployments!T207="","",Deployments!T207)</f>
        <v/>
      </c>
      <c r="AA206" s="21" t="str">
        <f>IF(Deployments!L207="","",Deployments!L207)</f>
        <v/>
      </c>
    </row>
    <row r="207" spans="1:27">
      <c r="A207" s="22"/>
      <c r="B207" s="22"/>
      <c r="C207" s="21" t="str">
        <f>IF(Deployments!H208="","",Deployments!H208)</f>
        <v/>
      </c>
      <c r="D207" s="21" t="str">
        <f>IF(Deployments!AH208="","",Deployments!AH208)</f>
        <v/>
      </c>
      <c r="E207" s="21" t="str">
        <f>IF(Deployments!I208="","",Deployments!I208)</f>
        <v/>
      </c>
      <c r="F207" s="21" t="str">
        <f>IF(Deployments!J208="","",Deployments!J208)</f>
        <v/>
      </c>
      <c r="G207" s="21" t="str">
        <f>IF(Deployments!K208="","",Deployments!K208)</f>
        <v/>
      </c>
      <c r="H207" s="21" t="str">
        <f>IF(Deployments!A208="","",Deployments!A208)</f>
        <v/>
      </c>
      <c r="I207" s="21" t="str">
        <f>IF(Deployments!AI208="","",Deployments!AI208)</f>
        <v/>
      </c>
      <c r="J207" s="21" t="str">
        <f>IF(Deployments!AJ208="","",Deployments!AJ208)</f>
        <v/>
      </c>
      <c r="K207" s="21" t="str">
        <f>IF(Deployments!AD208="","",Deployments!AD208)</f>
        <v/>
      </c>
      <c r="L207" s="21" t="str">
        <f>IF(Deployments!M208="","",Deployments!M208)</f>
        <v/>
      </c>
      <c r="M207" s="22"/>
      <c r="N207" s="21" t="str">
        <f>IF(Deployments!N208="","",Deployments!N208)</f>
        <v/>
      </c>
      <c r="O207" s="21" t="str">
        <f>IF(Deployments!O208="","",Deployments!O208)</f>
        <v/>
      </c>
      <c r="P207" s="21" t="str">
        <f>IF(Deployments!P208="","",Deployments!P208)</f>
        <v/>
      </c>
      <c r="Q207" s="22"/>
      <c r="R207" s="21" t="str">
        <f>IF(Deployments!AY208="","",Deployments!AY208)</f>
        <v/>
      </c>
      <c r="S207" s="21" t="str">
        <f>IF(Deployments!AX208="","",Deployments!AX208)</f>
        <v/>
      </c>
      <c r="T207" s="21" t="str">
        <f>IF(Deployments!AV208="","",Deployments!AV208)</f>
        <v/>
      </c>
      <c r="U207" s="21" t="str">
        <f>IF(Deployments!AW208="","",Deployments!AW208)</f>
        <v/>
      </c>
      <c r="V207" s="21" t="str">
        <f>IF(Deployments!BA208="","",Deployments!BA208)</f>
        <v/>
      </c>
      <c r="W207" s="21" t="str">
        <f>IF(Deployments!BC208="","",Deployments!BC208)</f>
        <v/>
      </c>
      <c r="X207" s="21" t="str">
        <f>IF(Deployments!BK208="","",Deployments!BK208)</f>
        <v/>
      </c>
      <c r="Y207" s="21" t="str">
        <f>IF(Deployments!BB208="","",Deployments!BB208)</f>
        <v/>
      </c>
      <c r="Z207" s="21" t="str">
        <f>IF(Deployments!T208="","",Deployments!T208)</f>
        <v/>
      </c>
      <c r="AA207" s="21" t="str">
        <f>IF(Deployments!L208="","",Deployments!L208)</f>
        <v/>
      </c>
    </row>
    <row r="208" spans="1:27">
      <c r="A208" s="22"/>
      <c r="B208" s="22"/>
      <c r="C208" s="21" t="str">
        <f>IF(Deployments!H209="","",Deployments!H209)</f>
        <v/>
      </c>
      <c r="D208" s="21" t="str">
        <f>IF(Deployments!AH209="","",Deployments!AH209)</f>
        <v/>
      </c>
      <c r="E208" s="21" t="str">
        <f>IF(Deployments!I209="","",Deployments!I209)</f>
        <v/>
      </c>
      <c r="F208" s="21" t="str">
        <f>IF(Deployments!J209="","",Deployments!J209)</f>
        <v/>
      </c>
      <c r="G208" s="21" t="str">
        <f>IF(Deployments!K209="","",Deployments!K209)</f>
        <v/>
      </c>
      <c r="H208" s="21" t="str">
        <f>IF(Deployments!A209="","",Deployments!A209)</f>
        <v/>
      </c>
      <c r="I208" s="21" t="str">
        <f>IF(Deployments!AI209="","",Deployments!AI209)</f>
        <v/>
      </c>
      <c r="J208" s="21" t="str">
        <f>IF(Deployments!AJ209="","",Deployments!AJ209)</f>
        <v/>
      </c>
      <c r="K208" s="21" t="str">
        <f>IF(Deployments!AD209="","",Deployments!AD209)</f>
        <v/>
      </c>
      <c r="L208" s="21" t="str">
        <f>IF(Deployments!M209="","",Deployments!M209)</f>
        <v/>
      </c>
      <c r="M208" s="22"/>
      <c r="N208" s="21" t="str">
        <f>IF(Deployments!N209="","",Deployments!N209)</f>
        <v/>
      </c>
      <c r="O208" s="21" t="str">
        <f>IF(Deployments!O209="","",Deployments!O209)</f>
        <v/>
      </c>
      <c r="P208" s="21" t="str">
        <f>IF(Deployments!P209="","",Deployments!P209)</f>
        <v/>
      </c>
      <c r="Q208" s="22"/>
      <c r="R208" s="21" t="str">
        <f>IF(Deployments!AY209="","",Deployments!AY209)</f>
        <v/>
      </c>
      <c r="S208" s="21" t="str">
        <f>IF(Deployments!AX209="","",Deployments!AX209)</f>
        <v/>
      </c>
      <c r="T208" s="21" t="str">
        <f>IF(Deployments!AV209="","",Deployments!AV209)</f>
        <v/>
      </c>
      <c r="U208" s="21" t="str">
        <f>IF(Deployments!AW209="","",Deployments!AW209)</f>
        <v/>
      </c>
      <c r="V208" s="21" t="str">
        <f>IF(Deployments!BA209="","",Deployments!BA209)</f>
        <v/>
      </c>
      <c r="W208" s="21" t="str">
        <f>IF(Deployments!BC209="","",Deployments!BC209)</f>
        <v/>
      </c>
      <c r="X208" s="21" t="str">
        <f>IF(Deployments!BK209="","",Deployments!BK209)</f>
        <v/>
      </c>
      <c r="Y208" s="21" t="str">
        <f>IF(Deployments!BB209="","",Deployments!BB209)</f>
        <v/>
      </c>
      <c r="Z208" s="21" t="str">
        <f>IF(Deployments!T209="","",Deployments!T209)</f>
        <v/>
      </c>
      <c r="AA208" s="21" t="str">
        <f>IF(Deployments!L209="","",Deployments!L209)</f>
        <v/>
      </c>
    </row>
    <row r="209" spans="1:27">
      <c r="A209" s="22"/>
      <c r="B209" s="22"/>
      <c r="C209" s="21" t="str">
        <f>IF(Deployments!H210="","",Deployments!H210)</f>
        <v/>
      </c>
      <c r="D209" s="21" t="str">
        <f>IF(Deployments!AH210="","",Deployments!AH210)</f>
        <v/>
      </c>
      <c r="E209" s="21" t="str">
        <f>IF(Deployments!I210="","",Deployments!I210)</f>
        <v/>
      </c>
      <c r="F209" s="21" t="str">
        <f>IF(Deployments!J210="","",Deployments!J210)</f>
        <v/>
      </c>
      <c r="G209" s="21" t="str">
        <f>IF(Deployments!K210="","",Deployments!K210)</f>
        <v/>
      </c>
      <c r="H209" s="21" t="str">
        <f>IF(Deployments!A210="","",Deployments!A210)</f>
        <v/>
      </c>
      <c r="I209" s="21" t="str">
        <f>IF(Deployments!AI210="","",Deployments!AI210)</f>
        <v/>
      </c>
      <c r="J209" s="21" t="str">
        <f>IF(Deployments!AJ210="","",Deployments!AJ210)</f>
        <v/>
      </c>
      <c r="K209" s="21" t="str">
        <f>IF(Deployments!AD210="","",Deployments!AD210)</f>
        <v/>
      </c>
      <c r="L209" s="21" t="str">
        <f>IF(Deployments!M210="","",Deployments!M210)</f>
        <v/>
      </c>
      <c r="M209" s="22"/>
      <c r="N209" s="21" t="str">
        <f>IF(Deployments!N210="","",Deployments!N210)</f>
        <v/>
      </c>
      <c r="O209" s="21" t="str">
        <f>IF(Deployments!O210="","",Deployments!O210)</f>
        <v/>
      </c>
      <c r="P209" s="21" t="str">
        <f>IF(Deployments!P210="","",Deployments!P210)</f>
        <v/>
      </c>
      <c r="Q209" s="22"/>
      <c r="R209" s="21" t="str">
        <f>IF(Deployments!AY210="","",Deployments!AY210)</f>
        <v/>
      </c>
      <c r="S209" s="21" t="str">
        <f>IF(Deployments!AX210="","",Deployments!AX210)</f>
        <v/>
      </c>
      <c r="T209" s="21" t="str">
        <f>IF(Deployments!AV210="","",Deployments!AV210)</f>
        <v/>
      </c>
      <c r="U209" s="21" t="str">
        <f>IF(Deployments!AW210="","",Deployments!AW210)</f>
        <v/>
      </c>
      <c r="V209" s="21" t="str">
        <f>IF(Deployments!BA210="","",Deployments!BA210)</f>
        <v/>
      </c>
      <c r="W209" s="21" t="str">
        <f>IF(Deployments!BC210="","",Deployments!BC210)</f>
        <v/>
      </c>
      <c r="X209" s="21" t="str">
        <f>IF(Deployments!BK210="","",Deployments!BK210)</f>
        <v/>
      </c>
      <c r="Y209" s="21" t="str">
        <f>IF(Deployments!BB210="","",Deployments!BB210)</f>
        <v/>
      </c>
      <c r="Z209" s="21" t="str">
        <f>IF(Deployments!T210="","",Deployments!T210)</f>
        <v/>
      </c>
      <c r="AA209" s="21" t="str">
        <f>IF(Deployments!L210="","",Deployments!L210)</f>
        <v/>
      </c>
    </row>
    <row r="210" spans="1:27">
      <c r="A210" s="22"/>
      <c r="B210" s="22"/>
      <c r="C210" s="21" t="str">
        <f>IF(Deployments!H211="","",Deployments!H211)</f>
        <v/>
      </c>
      <c r="D210" s="21" t="str">
        <f>IF(Deployments!AH211="","",Deployments!AH211)</f>
        <v/>
      </c>
      <c r="E210" s="21" t="str">
        <f>IF(Deployments!I211="","",Deployments!I211)</f>
        <v/>
      </c>
      <c r="F210" s="21" t="str">
        <f>IF(Deployments!J211="","",Deployments!J211)</f>
        <v/>
      </c>
      <c r="G210" s="21" t="str">
        <f>IF(Deployments!K211="","",Deployments!K211)</f>
        <v/>
      </c>
      <c r="H210" s="21" t="str">
        <f>IF(Deployments!A211="","",Deployments!A211)</f>
        <v/>
      </c>
      <c r="I210" s="21" t="str">
        <f>IF(Deployments!AI211="","",Deployments!AI211)</f>
        <v/>
      </c>
      <c r="J210" s="21" t="str">
        <f>IF(Deployments!AJ211="","",Deployments!AJ211)</f>
        <v/>
      </c>
      <c r="K210" s="21" t="str">
        <f>IF(Deployments!AD211="","",Deployments!AD211)</f>
        <v/>
      </c>
      <c r="L210" s="21" t="str">
        <f>IF(Deployments!M211="","",Deployments!M211)</f>
        <v/>
      </c>
      <c r="M210" s="22"/>
      <c r="N210" s="21" t="str">
        <f>IF(Deployments!N211="","",Deployments!N211)</f>
        <v/>
      </c>
      <c r="O210" s="21" t="str">
        <f>IF(Deployments!O211="","",Deployments!O211)</f>
        <v/>
      </c>
      <c r="P210" s="21" t="str">
        <f>IF(Deployments!P211="","",Deployments!P211)</f>
        <v/>
      </c>
      <c r="Q210" s="22"/>
      <c r="R210" s="21" t="str">
        <f>IF(Deployments!AY211="","",Deployments!AY211)</f>
        <v/>
      </c>
      <c r="S210" s="21" t="str">
        <f>IF(Deployments!AX211="","",Deployments!AX211)</f>
        <v/>
      </c>
      <c r="T210" s="21" t="str">
        <f>IF(Deployments!AV211="","",Deployments!AV211)</f>
        <v/>
      </c>
      <c r="U210" s="21" t="str">
        <f>IF(Deployments!AW211="","",Deployments!AW211)</f>
        <v/>
      </c>
      <c r="V210" s="21" t="str">
        <f>IF(Deployments!BA211="","",Deployments!BA211)</f>
        <v/>
      </c>
      <c r="W210" s="21" t="str">
        <f>IF(Deployments!BC211="","",Deployments!BC211)</f>
        <v/>
      </c>
      <c r="X210" s="21" t="str">
        <f>IF(Deployments!BK211="","",Deployments!BK211)</f>
        <v/>
      </c>
      <c r="Y210" s="21" t="str">
        <f>IF(Deployments!BB211="","",Deployments!BB211)</f>
        <v/>
      </c>
      <c r="Z210" s="21" t="str">
        <f>IF(Deployments!T211="","",Deployments!T211)</f>
        <v/>
      </c>
      <c r="AA210" s="21" t="str">
        <f>IF(Deployments!L211="","",Deployments!L211)</f>
        <v/>
      </c>
    </row>
    <row r="211" spans="1:27">
      <c r="A211" s="22"/>
      <c r="B211" s="22"/>
      <c r="C211" s="21" t="str">
        <f>IF(Deployments!H212="","",Deployments!H212)</f>
        <v/>
      </c>
      <c r="D211" s="21" t="str">
        <f>IF(Deployments!AH212="","",Deployments!AH212)</f>
        <v/>
      </c>
      <c r="E211" s="21" t="str">
        <f>IF(Deployments!I212="","",Deployments!I212)</f>
        <v/>
      </c>
      <c r="F211" s="21" t="str">
        <f>IF(Deployments!J212="","",Deployments!J212)</f>
        <v/>
      </c>
      <c r="G211" s="21" t="str">
        <f>IF(Deployments!K212="","",Deployments!K212)</f>
        <v/>
      </c>
      <c r="H211" s="21" t="str">
        <f>IF(Deployments!A212="","",Deployments!A212)</f>
        <v/>
      </c>
      <c r="I211" s="21" t="str">
        <f>IF(Deployments!AI212="","",Deployments!AI212)</f>
        <v/>
      </c>
      <c r="J211" s="21" t="str">
        <f>IF(Deployments!AJ212="","",Deployments!AJ212)</f>
        <v/>
      </c>
      <c r="K211" s="21" t="str">
        <f>IF(Deployments!AD212="","",Deployments!AD212)</f>
        <v/>
      </c>
      <c r="L211" s="21" t="str">
        <f>IF(Deployments!M212="","",Deployments!M212)</f>
        <v/>
      </c>
      <c r="M211" s="22"/>
      <c r="N211" s="21" t="str">
        <f>IF(Deployments!N212="","",Deployments!N212)</f>
        <v/>
      </c>
      <c r="O211" s="21" t="str">
        <f>IF(Deployments!O212="","",Deployments!O212)</f>
        <v/>
      </c>
      <c r="P211" s="21" t="str">
        <f>IF(Deployments!P212="","",Deployments!P212)</f>
        <v/>
      </c>
      <c r="Q211" s="22"/>
      <c r="R211" s="21" t="str">
        <f>IF(Deployments!AY212="","",Deployments!AY212)</f>
        <v/>
      </c>
      <c r="S211" s="21" t="str">
        <f>IF(Deployments!AX212="","",Deployments!AX212)</f>
        <v/>
      </c>
      <c r="T211" s="21" t="str">
        <f>IF(Deployments!AV212="","",Deployments!AV212)</f>
        <v/>
      </c>
      <c r="U211" s="21" t="str">
        <f>IF(Deployments!AW212="","",Deployments!AW212)</f>
        <v/>
      </c>
      <c r="V211" s="21" t="str">
        <f>IF(Deployments!BA212="","",Deployments!BA212)</f>
        <v/>
      </c>
      <c r="W211" s="21" t="str">
        <f>IF(Deployments!BC212="","",Deployments!BC212)</f>
        <v/>
      </c>
      <c r="X211" s="21" t="str">
        <f>IF(Deployments!BK212="","",Deployments!BK212)</f>
        <v/>
      </c>
      <c r="Y211" s="21" t="str">
        <f>IF(Deployments!BB212="","",Deployments!BB212)</f>
        <v/>
      </c>
      <c r="Z211" s="21" t="str">
        <f>IF(Deployments!T212="","",Deployments!T212)</f>
        <v/>
      </c>
      <c r="AA211" s="21" t="str">
        <f>IF(Deployments!L212="","",Deployments!L212)</f>
        <v/>
      </c>
    </row>
    <row r="212" spans="1:27">
      <c r="A212" s="22"/>
      <c r="B212" s="22"/>
      <c r="C212" s="21" t="str">
        <f>IF(Deployments!H213="","",Deployments!H213)</f>
        <v/>
      </c>
      <c r="D212" s="21" t="str">
        <f>IF(Deployments!AH213="","",Deployments!AH213)</f>
        <v/>
      </c>
      <c r="E212" s="21" t="str">
        <f>IF(Deployments!I213="","",Deployments!I213)</f>
        <v/>
      </c>
      <c r="F212" s="21" t="str">
        <f>IF(Deployments!J213="","",Deployments!J213)</f>
        <v/>
      </c>
      <c r="G212" s="21" t="str">
        <f>IF(Deployments!K213="","",Deployments!K213)</f>
        <v/>
      </c>
      <c r="H212" s="21" t="str">
        <f>IF(Deployments!A213="","",Deployments!A213)</f>
        <v/>
      </c>
      <c r="I212" s="21" t="str">
        <f>IF(Deployments!AI213="","",Deployments!AI213)</f>
        <v/>
      </c>
      <c r="J212" s="21" t="str">
        <f>IF(Deployments!AJ213="","",Deployments!AJ213)</f>
        <v/>
      </c>
      <c r="K212" s="21" t="str">
        <f>IF(Deployments!AD213="","",Deployments!AD213)</f>
        <v/>
      </c>
      <c r="L212" s="21" t="str">
        <f>IF(Deployments!M213="","",Deployments!M213)</f>
        <v/>
      </c>
      <c r="M212" s="22"/>
      <c r="N212" s="21" t="str">
        <f>IF(Deployments!N213="","",Deployments!N213)</f>
        <v/>
      </c>
      <c r="O212" s="21" t="str">
        <f>IF(Deployments!O213="","",Deployments!O213)</f>
        <v/>
      </c>
      <c r="P212" s="21" t="str">
        <f>IF(Deployments!P213="","",Deployments!P213)</f>
        <v/>
      </c>
      <c r="Q212" s="22"/>
      <c r="R212" s="21" t="str">
        <f>IF(Deployments!AY213="","",Deployments!AY213)</f>
        <v/>
      </c>
      <c r="S212" s="21" t="str">
        <f>IF(Deployments!AX213="","",Deployments!AX213)</f>
        <v/>
      </c>
      <c r="T212" s="21" t="str">
        <f>IF(Deployments!AV213="","",Deployments!AV213)</f>
        <v/>
      </c>
      <c r="U212" s="21" t="str">
        <f>IF(Deployments!AW213="","",Deployments!AW213)</f>
        <v/>
      </c>
      <c r="V212" s="21" t="str">
        <f>IF(Deployments!BA213="","",Deployments!BA213)</f>
        <v/>
      </c>
      <c r="W212" s="21" t="str">
        <f>IF(Deployments!BC213="","",Deployments!BC213)</f>
        <v/>
      </c>
      <c r="X212" s="21" t="str">
        <f>IF(Deployments!BK213="","",Deployments!BK213)</f>
        <v/>
      </c>
      <c r="Y212" s="21" t="str">
        <f>IF(Deployments!BB213="","",Deployments!BB213)</f>
        <v/>
      </c>
      <c r="Z212" s="21" t="str">
        <f>IF(Deployments!T213="","",Deployments!T213)</f>
        <v/>
      </c>
      <c r="AA212" s="21" t="str">
        <f>IF(Deployments!L213="","",Deployments!L213)</f>
        <v/>
      </c>
    </row>
    <row r="213" spans="1:27">
      <c r="A213" s="22"/>
      <c r="B213" s="22"/>
      <c r="C213" s="21" t="str">
        <f>IF(Deployments!H214="","",Deployments!H214)</f>
        <v/>
      </c>
      <c r="D213" s="21" t="str">
        <f>IF(Deployments!AH214="","",Deployments!AH214)</f>
        <v/>
      </c>
      <c r="E213" s="21" t="str">
        <f>IF(Deployments!I214="","",Deployments!I214)</f>
        <v/>
      </c>
      <c r="F213" s="21" t="str">
        <f>IF(Deployments!J214="","",Deployments!J214)</f>
        <v/>
      </c>
      <c r="G213" s="21" t="str">
        <f>IF(Deployments!K214="","",Deployments!K214)</f>
        <v/>
      </c>
      <c r="H213" s="21" t="str">
        <f>IF(Deployments!A214="","",Deployments!A214)</f>
        <v/>
      </c>
      <c r="I213" s="21" t="str">
        <f>IF(Deployments!AI214="","",Deployments!AI214)</f>
        <v/>
      </c>
      <c r="J213" s="21" t="str">
        <f>IF(Deployments!AJ214="","",Deployments!AJ214)</f>
        <v/>
      </c>
      <c r="K213" s="21" t="str">
        <f>IF(Deployments!AD214="","",Deployments!AD214)</f>
        <v/>
      </c>
      <c r="L213" s="21" t="str">
        <f>IF(Deployments!M214="","",Deployments!M214)</f>
        <v/>
      </c>
      <c r="M213" s="22"/>
      <c r="N213" s="21" t="str">
        <f>IF(Deployments!N214="","",Deployments!N214)</f>
        <v/>
      </c>
      <c r="O213" s="21" t="str">
        <f>IF(Deployments!O214="","",Deployments!O214)</f>
        <v/>
      </c>
      <c r="P213" s="21" t="str">
        <f>IF(Deployments!P214="","",Deployments!P214)</f>
        <v/>
      </c>
      <c r="Q213" s="22"/>
      <c r="R213" s="21" t="str">
        <f>IF(Deployments!AY214="","",Deployments!AY214)</f>
        <v/>
      </c>
      <c r="S213" s="21" t="str">
        <f>IF(Deployments!AX214="","",Deployments!AX214)</f>
        <v/>
      </c>
      <c r="T213" s="21" t="str">
        <f>IF(Deployments!AV214="","",Deployments!AV214)</f>
        <v/>
      </c>
      <c r="U213" s="21" t="str">
        <f>IF(Deployments!AW214="","",Deployments!AW214)</f>
        <v/>
      </c>
      <c r="V213" s="21" t="str">
        <f>IF(Deployments!BA214="","",Deployments!BA214)</f>
        <v/>
      </c>
      <c r="W213" s="21" t="str">
        <f>IF(Deployments!BC214="","",Deployments!BC214)</f>
        <v/>
      </c>
      <c r="X213" s="21" t="str">
        <f>IF(Deployments!BK214="","",Deployments!BK214)</f>
        <v/>
      </c>
      <c r="Y213" s="21" t="str">
        <f>IF(Deployments!BB214="","",Deployments!BB214)</f>
        <v/>
      </c>
      <c r="Z213" s="21" t="str">
        <f>IF(Deployments!T214="","",Deployments!T214)</f>
        <v/>
      </c>
      <c r="AA213" s="21" t="str">
        <f>IF(Deployments!L214="","",Deployments!L214)</f>
        <v/>
      </c>
    </row>
    <row r="214" spans="1:27">
      <c r="A214" s="22"/>
      <c r="B214" s="22"/>
      <c r="C214" s="21" t="str">
        <f>IF(Deployments!H215="","",Deployments!H215)</f>
        <v/>
      </c>
      <c r="D214" s="21" t="str">
        <f>IF(Deployments!AH215="","",Deployments!AH215)</f>
        <v/>
      </c>
      <c r="E214" s="21" t="str">
        <f>IF(Deployments!I215="","",Deployments!I215)</f>
        <v/>
      </c>
      <c r="F214" s="21" t="str">
        <f>IF(Deployments!J215="","",Deployments!J215)</f>
        <v/>
      </c>
      <c r="G214" s="21" t="str">
        <f>IF(Deployments!K215="","",Deployments!K215)</f>
        <v/>
      </c>
      <c r="H214" s="21" t="str">
        <f>IF(Deployments!A215="","",Deployments!A215)</f>
        <v/>
      </c>
      <c r="I214" s="21" t="str">
        <f>IF(Deployments!AI215="","",Deployments!AI215)</f>
        <v/>
      </c>
      <c r="J214" s="21" t="str">
        <f>IF(Deployments!AJ215="","",Deployments!AJ215)</f>
        <v/>
      </c>
      <c r="K214" s="21" t="str">
        <f>IF(Deployments!AD215="","",Deployments!AD215)</f>
        <v/>
      </c>
      <c r="L214" s="21" t="str">
        <f>IF(Deployments!M215="","",Deployments!M215)</f>
        <v/>
      </c>
      <c r="M214" s="22"/>
      <c r="N214" s="21" t="str">
        <f>IF(Deployments!N215="","",Deployments!N215)</f>
        <v/>
      </c>
      <c r="O214" s="21" t="str">
        <f>IF(Deployments!O215="","",Deployments!O215)</f>
        <v/>
      </c>
      <c r="P214" s="21" t="str">
        <f>IF(Deployments!P215="","",Deployments!P215)</f>
        <v/>
      </c>
      <c r="Q214" s="22"/>
      <c r="R214" s="21" t="str">
        <f>IF(Deployments!AY215="","",Deployments!AY215)</f>
        <v/>
      </c>
      <c r="S214" s="21" t="str">
        <f>IF(Deployments!AX215="","",Deployments!AX215)</f>
        <v/>
      </c>
      <c r="T214" s="21" t="str">
        <f>IF(Deployments!AV215="","",Deployments!AV215)</f>
        <v/>
      </c>
      <c r="U214" s="21" t="str">
        <f>IF(Deployments!AW215="","",Deployments!AW215)</f>
        <v/>
      </c>
      <c r="V214" s="21" t="str">
        <f>IF(Deployments!BA215="","",Deployments!BA215)</f>
        <v/>
      </c>
      <c r="W214" s="21" t="str">
        <f>IF(Deployments!BC215="","",Deployments!BC215)</f>
        <v/>
      </c>
      <c r="X214" s="21" t="str">
        <f>IF(Deployments!BK215="","",Deployments!BK215)</f>
        <v/>
      </c>
      <c r="Y214" s="21" t="str">
        <f>IF(Deployments!BB215="","",Deployments!BB215)</f>
        <v/>
      </c>
      <c r="Z214" s="21" t="str">
        <f>IF(Deployments!T215="","",Deployments!T215)</f>
        <v/>
      </c>
      <c r="AA214" s="21" t="str">
        <f>IF(Deployments!L215="","",Deployments!L215)</f>
        <v/>
      </c>
    </row>
    <row r="215" spans="1:27">
      <c r="A215" s="22"/>
      <c r="B215" s="22"/>
      <c r="C215" s="21" t="str">
        <f>IF(Deployments!H216="","",Deployments!H216)</f>
        <v/>
      </c>
      <c r="D215" s="21" t="str">
        <f>IF(Deployments!AH216="","",Deployments!AH216)</f>
        <v/>
      </c>
      <c r="E215" s="21" t="str">
        <f>IF(Deployments!I216="","",Deployments!I216)</f>
        <v/>
      </c>
      <c r="F215" s="21" t="str">
        <f>IF(Deployments!J216="","",Deployments!J216)</f>
        <v/>
      </c>
      <c r="G215" s="21" t="str">
        <f>IF(Deployments!K216="","",Deployments!K216)</f>
        <v/>
      </c>
      <c r="H215" s="21" t="str">
        <f>IF(Deployments!A216="","",Deployments!A216)</f>
        <v/>
      </c>
      <c r="I215" s="21" t="str">
        <f>IF(Deployments!AI216="","",Deployments!AI216)</f>
        <v/>
      </c>
      <c r="J215" s="21" t="str">
        <f>IF(Deployments!AJ216="","",Deployments!AJ216)</f>
        <v/>
      </c>
      <c r="K215" s="21" t="str">
        <f>IF(Deployments!AD216="","",Deployments!AD216)</f>
        <v/>
      </c>
      <c r="L215" s="21" t="str">
        <f>IF(Deployments!M216="","",Deployments!M216)</f>
        <v/>
      </c>
      <c r="M215" s="22"/>
      <c r="N215" s="21" t="str">
        <f>IF(Deployments!N216="","",Deployments!N216)</f>
        <v/>
      </c>
      <c r="O215" s="21" t="str">
        <f>IF(Deployments!O216="","",Deployments!O216)</f>
        <v/>
      </c>
      <c r="P215" s="21" t="str">
        <f>IF(Deployments!P216="","",Deployments!P216)</f>
        <v/>
      </c>
      <c r="Q215" s="22"/>
      <c r="R215" s="21" t="str">
        <f>IF(Deployments!AY216="","",Deployments!AY216)</f>
        <v/>
      </c>
      <c r="S215" s="21" t="str">
        <f>IF(Deployments!AX216="","",Deployments!AX216)</f>
        <v/>
      </c>
      <c r="T215" s="21" t="str">
        <f>IF(Deployments!AV216="","",Deployments!AV216)</f>
        <v/>
      </c>
      <c r="U215" s="21" t="str">
        <f>IF(Deployments!AW216="","",Deployments!AW216)</f>
        <v/>
      </c>
      <c r="V215" s="21" t="str">
        <f>IF(Deployments!BA216="","",Deployments!BA216)</f>
        <v/>
      </c>
      <c r="W215" s="21" t="str">
        <f>IF(Deployments!BC216="","",Deployments!BC216)</f>
        <v/>
      </c>
      <c r="X215" s="21" t="str">
        <f>IF(Deployments!BK216="","",Deployments!BK216)</f>
        <v/>
      </c>
      <c r="Y215" s="21" t="str">
        <f>IF(Deployments!BB216="","",Deployments!BB216)</f>
        <v/>
      </c>
      <c r="Z215" s="21" t="str">
        <f>IF(Deployments!T216="","",Deployments!T216)</f>
        <v/>
      </c>
      <c r="AA215" s="21" t="str">
        <f>IF(Deployments!L216="","",Deployments!L216)</f>
        <v/>
      </c>
    </row>
    <row r="216" spans="1:27">
      <c r="A216" s="22"/>
      <c r="B216" s="22"/>
      <c r="C216" s="21" t="str">
        <f>IF(Deployments!H217="","",Deployments!H217)</f>
        <v/>
      </c>
      <c r="D216" s="21" t="str">
        <f>IF(Deployments!AH217="","",Deployments!AH217)</f>
        <v/>
      </c>
      <c r="E216" s="21" t="str">
        <f>IF(Deployments!I217="","",Deployments!I217)</f>
        <v/>
      </c>
      <c r="F216" s="21" t="str">
        <f>IF(Deployments!J217="","",Deployments!J217)</f>
        <v/>
      </c>
      <c r="G216" s="21" t="str">
        <f>IF(Deployments!K217="","",Deployments!K217)</f>
        <v/>
      </c>
      <c r="H216" s="21" t="str">
        <f>IF(Deployments!A217="","",Deployments!A217)</f>
        <v/>
      </c>
      <c r="I216" s="21" t="str">
        <f>IF(Deployments!AI217="","",Deployments!AI217)</f>
        <v/>
      </c>
      <c r="J216" s="21" t="str">
        <f>IF(Deployments!AJ217="","",Deployments!AJ217)</f>
        <v/>
      </c>
      <c r="K216" s="21" t="str">
        <f>IF(Deployments!AD217="","",Deployments!AD217)</f>
        <v/>
      </c>
      <c r="L216" s="21" t="str">
        <f>IF(Deployments!M217="","",Deployments!M217)</f>
        <v/>
      </c>
      <c r="M216" s="22"/>
      <c r="N216" s="21" t="str">
        <f>IF(Deployments!N217="","",Deployments!N217)</f>
        <v/>
      </c>
      <c r="O216" s="21" t="str">
        <f>IF(Deployments!O217="","",Deployments!O217)</f>
        <v/>
      </c>
      <c r="P216" s="21" t="str">
        <f>IF(Deployments!P217="","",Deployments!P217)</f>
        <v/>
      </c>
      <c r="Q216" s="22"/>
      <c r="R216" s="21" t="str">
        <f>IF(Deployments!AY217="","",Deployments!AY217)</f>
        <v/>
      </c>
      <c r="S216" s="21" t="str">
        <f>IF(Deployments!AX217="","",Deployments!AX217)</f>
        <v/>
      </c>
      <c r="T216" s="21" t="str">
        <f>IF(Deployments!AV217="","",Deployments!AV217)</f>
        <v/>
      </c>
      <c r="U216" s="21" t="str">
        <f>IF(Deployments!AW217="","",Deployments!AW217)</f>
        <v/>
      </c>
      <c r="V216" s="21" t="str">
        <f>IF(Deployments!BA217="","",Deployments!BA217)</f>
        <v/>
      </c>
      <c r="W216" s="21" t="str">
        <f>IF(Deployments!BC217="","",Deployments!BC217)</f>
        <v/>
      </c>
      <c r="X216" s="21" t="str">
        <f>IF(Deployments!BK217="","",Deployments!BK217)</f>
        <v/>
      </c>
      <c r="Y216" s="21" t="str">
        <f>IF(Deployments!BB217="","",Deployments!BB217)</f>
        <v/>
      </c>
      <c r="Z216" s="21" t="str">
        <f>IF(Deployments!T217="","",Deployments!T217)</f>
        <v/>
      </c>
      <c r="AA216" s="21" t="str">
        <f>IF(Deployments!L217="","",Deployments!L217)</f>
        <v/>
      </c>
    </row>
    <row r="217" spans="1:27">
      <c r="A217" s="22"/>
      <c r="B217" s="22"/>
      <c r="C217" s="21" t="str">
        <f>IF(Deployments!H218="","",Deployments!H218)</f>
        <v/>
      </c>
      <c r="D217" s="21" t="str">
        <f>IF(Deployments!AH218="","",Deployments!AH218)</f>
        <v/>
      </c>
      <c r="E217" s="21" t="str">
        <f>IF(Deployments!I218="","",Deployments!I218)</f>
        <v/>
      </c>
      <c r="F217" s="21" t="str">
        <f>IF(Deployments!J218="","",Deployments!J218)</f>
        <v/>
      </c>
      <c r="G217" s="21" t="str">
        <f>IF(Deployments!K218="","",Deployments!K218)</f>
        <v/>
      </c>
      <c r="H217" s="21" t="str">
        <f>IF(Deployments!A218="","",Deployments!A218)</f>
        <v/>
      </c>
      <c r="I217" s="21" t="str">
        <f>IF(Deployments!AI218="","",Deployments!AI218)</f>
        <v/>
      </c>
      <c r="J217" s="21" t="str">
        <f>IF(Deployments!AJ218="","",Deployments!AJ218)</f>
        <v/>
      </c>
      <c r="K217" s="21" t="str">
        <f>IF(Deployments!AD218="","",Deployments!AD218)</f>
        <v/>
      </c>
      <c r="L217" s="21" t="str">
        <f>IF(Deployments!M218="","",Deployments!M218)</f>
        <v/>
      </c>
      <c r="M217" s="22"/>
      <c r="N217" s="21" t="str">
        <f>IF(Deployments!N218="","",Deployments!N218)</f>
        <v/>
      </c>
      <c r="O217" s="21" t="str">
        <f>IF(Deployments!O218="","",Deployments!O218)</f>
        <v/>
      </c>
      <c r="P217" s="21" t="str">
        <f>IF(Deployments!P218="","",Deployments!P218)</f>
        <v/>
      </c>
      <c r="Q217" s="22"/>
      <c r="R217" s="21" t="str">
        <f>IF(Deployments!AY218="","",Deployments!AY218)</f>
        <v/>
      </c>
      <c r="S217" s="21" t="str">
        <f>IF(Deployments!AX218="","",Deployments!AX218)</f>
        <v/>
      </c>
      <c r="T217" s="21" t="str">
        <f>IF(Deployments!AV218="","",Deployments!AV218)</f>
        <v/>
      </c>
      <c r="U217" s="21" t="str">
        <f>IF(Deployments!AW218="","",Deployments!AW218)</f>
        <v/>
      </c>
      <c r="V217" s="21" t="str">
        <f>IF(Deployments!BA218="","",Deployments!BA218)</f>
        <v/>
      </c>
      <c r="W217" s="21" t="str">
        <f>IF(Deployments!BC218="","",Deployments!BC218)</f>
        <v/>
      </c>
      <c r="X217" s="21" t="str">
        <f>IF(Deployments!BK218="","",Deployments!BK218)</f>
        <v/>
      </c>
      <c r="Y217" s="21" t="str">
        <f>IF(Deployments!BB218="","",Deployments!BB218)</f>
        <v/>
      </c>
      <c r="Z217" s="21" t="str">
        <f>IF(Deployments!T218="","",Deployments!T218)</f>
        <v/>
      </c>
      <c r="AA217" s="21" t="str">
        <f>IF(Deployments!L218="","",Deployments!L218)</f>
        <v/>
      </c>
    </row>
    <row r="218" spans="1:27">
      <c r="A218" s="22"/>
      <c r="B218" s="22"/>
      <c r="C218" s="21" t="str">
        <f>IF(Deployments!H219="","",Deployments!H219)</f>
        <v/>
      </c>
      <c r="D218" s="21" t="str">
        <f>IF(Deployments!AH219="","",Deployments!AH219)</f>
        <v/>
      </c>
      <c r="E218" s="21" t="str">
        <f>IF(Deployments!I219="","",Deployments!I219)</f>
        <v/>
      </c>
      <c r="F218" s="21" t="str">
        <f>IF(Deployments!J219="","",Deployments!J219)</f>
        <v/>
      </c>
      <c r="G218" s="21" t="str">
        <f>IF(Deployments!K219="","",Deployments!K219)</f>
        <v/>
      </c>
      <c r="H218" s="21" t="str">
        <f>IF(Deployments!A219="","",Deployments!A219)</f>
        <v/>
      </c>
      <c r="I218" s="21" t="str">
        <f>IF(Deployments!AI219="","",Deployments!AI219)</f>
        <v/>
      </c>
      <c r="J218" s="21" t="str">
        <f>IF(Deployments!AJ219="","",Deployments!AJ219)</f>
        <v/>
      </c>
      <c r="K218" s="21" t="str">
        <f>IF(Deployments!AD219="","",Deployments!AD219)</f>
        <v/>
      </c>
      <c r="L218" s="21" t="str">
        <f>IF(Deployments!M219="","",Deployments!M219)</f>
        <v/>
      </c>
      <c r="M218" s="22"/>
      <c r="N218" s="21" t="str">
        <f>IF(Deployments!N219="","",Deployments!N219)</f>
        <v/>
      </c>
      <c r="O218" s="21" t="str">
        <f>IF(Deployments!O219="","",Deployments!O219)</f>
        <v/>
      </c>
      <c r="P218" s="21" t="str">
        <f>IF(Deployments!P219="","",Deployments!P219)</f>
        <v/>
      </c>
      <c r="Q218" s="22"/>
      <c r="R218" s="21" t="str">
        <f>IF(Deployments!AY219="","",Deployments!AY219)</f>
        <v/>
      </c>
      <c r="S218" s="21" t="str">
        <f>IF(Deployments!AX219="","",Deployments!AX219)</f>
        <v/>
      </c>
      <c r="T218" s="21" t="str">
        <f>IF(Deployments!AV219="","",Deployments!AV219)</f>
        <v/>
      </c>
      <c r="U218" s="21" t="str">
        <f>IF(Deployments!AW219="","",Deployments!AW219)</f>
        <v/>
      </c>
      <c r="V218" s="21" t="str">
        <f>IF(Deployments!BA219="","",Deployments!BA219)</f>
        <v/>
      </c>
      <c r="W218" s="21" t="str">
        <f>IF(Deployments!BC219="","",Deployments!BC219)</f>
        <v/>
      </c>
      <c r="X218" s="21" t="str">
        <f>IF(Deployments!BK219="","",Deployments!BK219)</f>
        <v/>
      </c>
      <c r="Y218" s="21" t="str">
        <f>IF(Deployments!BB219="","",Deployments!BB219)</f>
        <v/>
      </c>
      <c r="Z218" s="21" t="str">
        <f>IF(Deployments!T219="","",Deployments!T219)</f>
        <v/>
      </c>
      <c r="AA218" s="21" t="str">
        <f>IF(Deployments!L219="","",Deployments!L219)</f>
        <v/>
      </c>
    </row>
    <row r="219" spans="1:27">
      <c r="A219" s="22"/>
      <c r="B219" s="22"/>
      <c r="C219" s="21" t="str">
        <f>IF(Deployments!H220="","",Deployments!H220)</f>
        <v/>
      </c>
      <c r="D219" s="21" t="str">
        <f>IF(Deployments!AH220="","",Deployments!AH220)</f>
        <v/>
      </c>
      <c r="E219" s="21" t="str">
        <f>IF(Deployments!I220="","",Deployments!I220)</f>
        <v/>
      </c>
      <c r="F219" s="21" t="str">
        <f>IF(Deployments!J220="","",Deployments!J220)</f>
        <v/>
      </c>
      <c r="G219" s="21" t="str">
        <f>IF(Deployments!K220="","",Deployments!K220)</f>
        <v/>
      </c>
      <c r="H219" s="21" t="str">
        <f>IF(Deployments!A220="","",Deployments!A220)</f>
        <v/>
      </c>
      <c r="I219" s="21" t="str">
        <f>IF(Deployments!AI220="","",Deployments!AI220)</f>
        <v/>
      </c>
      <c r="J219" s="21" t="str">
        <f>IF(Deployments!AJ220="","",Deployments!AJ220)</f>
        <v/>
      </c>
      <c r="K219" s="21" t="str">
        <f>IF(Deployments!AD220="","",Deployments!AD220)</f>
        <v/>
      </c>
      <c r="L219" s="21" t="str">
        <f>IF(Deployments!M220="","",Deployments!M220)</f>
        <v/>
      </c>
      <c r="M219" s="22"/>
      <c r="N219" s="21" t="str">
        <f>IF(Deployments!N220="","",Deployments!N220)</f>
        <v/>
      </c>
      <c r="O219" s="21" t="str">
        <f>IF(Deployments!O220="","",Deployments!O220)</f>
        <v/>
      </c>
      <c r="P219" s="21" t="str">
        <f>IF(Deployments!P220="","",Deployments!P220)</f>
        <v/>
      </c>
      <c r="Q219" s="22"/>
      <c r="R219" s="21" t="str">
        <f>IF(Deployments!AY220="","",Deployments!AY220)</f>
        <v/>
      </c>
      <c r="S219" s="21" t="str">
        <f>IF(Deployments!AX220="","",Deployments!AX220)</f>
        <v/>
      </c>
      <c r="T219" s="21" t="str">
        <f>IF(Deployments!AV220="","",Deployments!AV220)</f>
        <v/>
      </c>
      <c r="U219" s="21" t="str">
        <f>IF(Deployments!AW220="","",Deployments!AW220)</f>
        <v/>
      </c>
      <c r="V219" s="21" t="str">
        <f>IF(Deployments!BA220="","",Deployments!BA220)</f>
        <v/>
      </c>
      <c r="W219" s="21" t="str">
        <f>IF(Deployments!BC220="","",Deployments!BC220)</f>
        <v/>
      </c>
      <c r="X219" s="21" t="str">
        <f>IF(Deployments!BK220="","",Deployments!BK220)</f>
        <v/>
      </c>
      <c r="Y219" s="21" t="str">
        <f>IF(Deployments!BB220="","",Deployments!BB220)</f>
        <v/>
      </c>
      <c r="Z219" s="21" t="str">
        <f>IF(Deployments!T220="","",Deployments!T220)</f>
        <v/>
      </c>
      <c r="AA219" s="21" t="str">
        <f>IF(Deployments!L220="","",Deployments!L220)</f>
        <v/>
      </c>
    </row>
    <row r="220" spans="1:27">
      <c r="A220" s="22"/>
      <c r="B220" s="22"/>
      <c r="C220" s="21" t="str">
        <f>IF(Deployments!H221="","",Deployments!H221)</f>
        <v/>
      </c>
      <c r="D220" s="21" t="str">
        <f>IF(Deployments!AH221="","",Deployments!AH221)</f>
        <v/>
      </c>
      <c r="E220" s="21" t="str">
        <f>IF(Deployments!I221="","",Deployments!I221)</f>
        <v/>
      </c>
      <c r="F220" s="21" t="str">
        <f>IF(Deployments!J221="","",Deployments!J221)</f>
        <v/>
      </c>
      <c r="G220" s="21" t="str">
        <f>IF(Deployments!K221="","",Deployments!K221)</f>
        <v/>
      </c>
      <c r="H220" s="21" t="str">
        <f>IF(Deployments!A221="","",Deployments!A221)</f>
        <v/>
      </c>
      <c r="I220" s="21" t="str">
        <f>IF(Deployments!AI221="","",Deployments!AI221)</f>
        <v/>
      </c>
      <c r="J220" s="21" t="str">
        <f>IF(Deployments!AJ221="","",Deployments!AJ221)</f>
        <v/>
      </c>
      <c r="K220" s="21" t="str">
        <f>IF(Deployments!AD221="","",Deployments!AD221)</f>
        <v/>
      </c>
      <c r="L220" s="21" t="str">
        <f>IF(Deployments!M221="","",Deployments!M221)</f>
        <v/>
      </c>
      <c r="M220" s="22"/>
      <c r="N220" s="21" t="str">
        <f>IF(Deployments!N221="","",Deployments!N221)</f>
        <v/>
      </c>
      <c r="O220" s="21" t="str">
        <f>IF(Deployments!O221="","",Deployments!O221)</f>
        <v/>
      </c>
      <c r="P220" s="21" t="str">
        <f>IF(Deployments!P221="","",Deployments!P221)</f>
        <v/>
      </c>
      <c r="Q220" s="22"/>
      <c r="R220" s="21" t="str">
        <f>IF(Deployments!AY221="","",Deployments!AY221)</f>
        <v/>
      </c>
      <c r="S220" s="21" t="str">
        <f>IF(Deployments!AX221="","",Deployments!AX221)</f>
        <v/>
      </c>
      <c r="T220" s="21" t="str">
        <f>IF(Deployments!AV221="","",Deployments!AV221)</f>
        <v/>
      </c>
      <c r="U220" s="21" t="str">
        <f>IF(Deployments!AW221="","",Deployments!AW221)</f>
        <v/>
      </c>
      <c r="V220" s="21" t="str">
        <f>IF(Deployments!BA221="","",Deployments!BA221)</f>
        <v/>
      </c>
      <c r="W220" s="21" t="str">
        <f>IF(Deployments!BC221="","",Deployments!BC221)</f>
        <v/>
      </c>
      <c r="X220" s="21" t="str">
        <f>IF(Deployments!BK221="","",Deployments!BK221)</f>
        <v/>
      </c>
      <c r="Y220" s="21" t="str">
        <f>IF(Deployments!BB221="","",Deployments!BB221)</f>
        <v/>
      </c>
      <c r="Z220" s="21" t="str">
        <f>IF(Deployments!T221="","",Deployments!T221)</f>
        <v/>
      </c>
      <c r="AA220" s="21" t="str">
        <f>IF(Deployments!L221="","",Deployments!L221)</f>
        <v/>
      </c>
    </row>
    <row r="221" spans="1:27">
      <c r="A221" s="22"/>
      <c r="B221" s="22"/>
      <c r="C221" s="21" t="str">
        <f>IF(Deployments!H222="","",Deployments!H222)</f>
        <v/>
      </c>
      <c r="D221" s="21" t="str">
        <f>IF(Deployments!AH222="","",Deployments!AH222)</f>
        <v/>
      </c>
      <c r="E221" s="21" t="str">
        <f>IF(Deployments!I222="","",Deployments!I222)</f>
        <v/>
      </c>
      <c r="F221" s="21" t="str">
        <f>IF(Deployments!J222="","",Deployments!J222)</f>
        <v/>
      </c>
      <c r="G221" s="21" t="str">
        <f>IF(Deployments!K222="","",Deployments!K222)</f>
        <v/>
      </c>
      <c r="H221" s="21" t="str">
        <f>IF(Deployments!A222="","",Deployments!A222)</f>
        <v/>
      </c>
      <c r="I221" s="21" t="str">
        <f>IF(Deployments!AI222="","",Deployments!AI222)</f>
        <v/>
      </c>
      <c r="J221" s="21" t="str">
        <f>IF(Deployments!AJ222="","",Deployments!AJ222)</f>
        <v/>
      </c>
      <c r="K221" s="21" t="str">
        <f>IF(Deployments!AD222="","",Deployments!AD222)</f>
        <v/>
      </c>
      <c r="L221" s="21" t="str">
        <f>IF(Deployments!M222="","",Deployments!M222)</f>
        <v/>
      </c>
      <c r="M221" s="22"/>
      <c r="N221" s="21" t="str">
        <f>IF(Deployments!N222="","",Deployments!N222)</f>
        <v/>
      </c>
      <c r="O221" s="21" t="str">
        <f>IF(Deployments!O222="","",Deployments!O222)</f>
        <v/>
      </c>
      <c r="P221" s="21" t="str">
        <f>IF(Deployments!P222="","",Deployments!P222)</f>
        <v/>
      </c>
      <c r="Q221" s="22"/>
      <c r="R221" s="21" t="str">
        <f>IF(Deployments!AY222="","",Deployments!AY222)</f>
        <v/>
      </c>
      <c r="S221" s="21" t="str">
        <f>IF(Deployments!AX222="","",Deployments!AX222)</f>
        <v/>
      </c>
      <c r="T221" s="21" t="str">
        <f>IF(Deployments!AV222="","",Deployments!AV222)</f>
        <v/>
      </c>
      <c r="U221" s="21" t="str">
        <f>IF(Deployments!AW222="","",Deployments!AW222)</f>
        <v/>
      </c>
      <c r="V221" s="21" t="str">
        <f>IF(Deployments!BA222="","",Deployments!BA222)</f>
        <v/>
      </c>
      <c r="W221" s="21" t="str">
        <f>IF(Deployments!BC222="","",Deployments!BC222)</f>
        <v/>
      </c>
      <c r="X221" s="21" t="str">
        <f>IF(Deployments!BK222="","",Deployments!BK222)</f>
        <v/>
      </c>
      <c r="Y221" s="21" t="str">
        <f>IF(Deployments!BB222="","",Deployments!BB222)</f>
        <v/>
      </c>
      <c r="Z221" s="21" t="str">
        <f>IF(Deployments!T222="","",Deployments!T222)</f>
        <v/>
      </c>
      <c r="AA221" s="21" t="str">
        <f>IF(Deployments!L222="","",Deployments!L222)</f>
        <v/>
      </c>
    </row>
    <row r="222" spans="1:27">
      <c r="A222" s="22"/>
      <c r="B222" s="22"/>
      <c r="C222" s="21" t="str">
        <f>IF(Deployments!H223="","",Deployments!H223)</f>
        <v/>
      </c>
      <c r="D222" s="21" t="str">
        <f>IF(Deployments!AH223="","",Deployments!AH223)</f>
        <v/>
      </c>
      <c r="E222" s="21" t="str">
        <f>IF(Deployments!I223="","",Deployments!I223)</f>
        <v/>
      </c>
      <c r="F222" s="21" t="str">
        <f>IF(Deployments!J223="","",Deployments!J223)</f>
        <v/>
      </c>
      <c r="G222" s="21" t="str">
        <f>IF(Deployments!K223="","",Deployments!K223)</f>
        <v/>
      </c>
      <c r="H222" s="21" t="str">
        <f>IF(Deployments!A223="","",Deployments!A223)</f>
        <v/>
      </c>
      <c r="I222" s="21" t="str">
        <f>IF(Deployments!AI223="","",Deployments!AI223)</f>
        <v/>
      </c>
      <c r="J222" s="21" t="str">
        <f>IF(Deployments!AJ223="","",Deployments!AJ223)</f>
        <v/>
      </c>
      <c r="K222" s="21" t="str">
        <f>IF(Deployments!AD223="","",Deployments!AD223)</f>
        <v/>
      </c>
      <c r="L222" s="21" t="str">
        <f>IF(Deployments!M223="","",Deployments!M223)</f>
        <v/>
      </c>
      <c r="M222" s="22"/>
      <c r="N222" s="21" t="str">
        <f>IF(Deployments!N223="","",Deployments!N223)</f>
        <v/>
      </c>
      <c r="O222" s="21" t="str">
        <f>IF(Deployments!O223="","",Deployments!O223)</f>
        <v/>
      </c>
      <c r="P222" s="21" t="str">
        <f>IF(Deployments!P223="","",Deployments!P223)</f>
        <v/>
      </c>
      <c r="Q222" s="22"/>
      <c r="R222" s="21" t="str">
        <f>IF(Deployments!AY223="","",Deployments!AY223)</f>
        <v/>
      </c>
      <c r="S222" s="21" t="str">
        <f>IF(Deployments!AX223="","",Deployments!AX223)</f>
        <v/>
      </c>
      <c r="T222" s="21" t="str">
        <f>IF(Deployments!AV223="","",Deployments!AV223)</f>
        <v/>
      </c>
      <c r="U222" s="21" t="str">
        <f>IF(Deployments!AW223="","",Deployments!AW223)</f>
        <v/>
      </c>
      <c r="V222" s="21" t="str">
        <f>IF(Deployments!BA223="","",Deployments!BA223)</f>
        <v/>
      </c>
      <c r="W222" s="21" t="str">
        <f>IF(Deployments!BC223="","",Deployments!BC223)</f>
        <v/>
      </c>
      <c r="X222" s="21" t="str">
        <f>IF(Deployments!BK223="","",Deployments!BK223)</f>
        <v/>
      </c>
      <c r="Y222" s="21" t="str">
        <f>IF(Deployments!BB223="","",Deployments!BB223)</f>
        <v/>
      </c>
      <c r="Z222" s="21" t="str">
        <f>IF(Deployments!T223="","",Deployments!T223)</f>
        <v/>
      </c>
      <c r="AA222" s="21" t="str">
        <f>IF(Deployments!L223="","",Deployments!L223)</f>
        <v/>
      </c>
    </row>
    <row r="223" spans="1:27">
      <c r="A223" s="22"/>
      <c r="B223" s="22"/>
      <c r="C223" s="21" t="str">
        <f>IF(Deployments!H224="","",Deployments!H224)</f>
        <v/>
      </c>
      <c r="D223" s="21" t="str">
        <f>IF(Deployments!AH224="","",Deployments!AH224)</f>
        <v/>
      </c>
      <c r="E223" s="21" t="str">
        <f>IF(Deployments!I224="","",Deployments!I224)</f>
        <v/>
      </c>
      <c r="F223" s="21" t="str">
        <f>IF(Deployments!J224="","",Deployments!J224)</f>
        <v/>
      </c>
      <c r="G223" s="21" t="str">
        <f>IF(Deployments!K224="","",Deployments!K224)</f>
        <v/>
      </c>
      <c r="H223" s="21" t="str">
        <f>IF(Deployments!A224="","",Deployments!A224)</f>
        <v/>
      </c>
      <c r="I223" s="21" t="str">
        <f>IF(Deployments!AI224="","",Deployments!AI224)</f>
        <v/>
      </c>
      <c r="J223" s="21" t="str">
        <f>IF(Deployments!AJ224="","",Deployments!AJ224)</f>
        <v/>
      </c>
      <c r="K223" s="21" t="str">
        <f>IF(Deployments!AD224="","",Deployments!AD224)</f>
        <v/>
      </c>
      <c r="L223" s="21" t="str">
        <f>IF(Deployments!M224="","",Deployments!M224)</f>
        <v/>
      </c>
      <c r="M223" s="22"/>
      <c r="N223" s="21" t="str">
        <f>IF(Deployments!N224="","",Deployments!N224)</f>
        <v/>
      </c>
      <c r="O223" s="21" t="str">
        <f>IF(Deployments!O224="","",Deployments!O224)</f>
        <v/>
      </c>
      <c r="P223" s="21" t="str">
        <f>IF(Deployments!P224="","",Deployments!P224)</f>
        <v/>
      </c>
      <c r="Q223" s="22"/>
      <c r="R223" s="21" t="str">
        <f>IF(Deployments!AY224="","",Deployments!AY224)</f>
        <v/>
      </c>
      <c r="S223" s="21" t="str">
        <f>IF(Deployments!AX224="","",Deployments!AX224)</f>
        <v/>
      </c>
      <c r="T223" s="21" t="str">
        <f>IF(Deployments!AV224="","",Deployments!AV224)</f>
        <v/>
      </c>
      <c r="U223" s="21" t="str">
        <f>IF(Deployments!AW224="","",Deployments!AW224)</f>
        <v/>
      </c>
      <c r="V223" s="21" t="str">
        <f>IF(Deployments!BA224="","",Deployments!BA224)</f>
        <v/>
      </c>
      <c r="W223" s="21" t="str">
        <f>IF(Deployments!BC224="","",Deployments!BC224)</f>
        <v/>
      </c>
      <c r="X223" s="21" t="str">
        <f>IF(Deployments!BK224="","",Deployments!BK224)</f>
        <v/>
      </c>
      <c r="Y223" s="21" t="str">
        <f>IF(Deployments!BB224="","",Deployments!BB224)</f>
        <v/>
      </c>
      <c r="Z223" s="21" t="str">
        <f>IF(Deployments!T224="","",Deployments!T224)</f>
        <v/>
      </c>
      <c r="AA223" s="21" t="str">
        <f>IF(Deployments!L224="","",Deployments!L224)</f>
        <v/>
      </c>
    </row>
    <row r="224" spans="1:27">
      <c r="A224" s="22"/>
      <c r="B224" s="22"/>
      <c r="C224" s="21" t="str">
        <f>IF(Deployments!H225="","",Deployments!H225)</f>
        <v/>
      </c>
      <c r="D224" s="21" t="str">
        <f>IF(Deployments!AH225="","",Deployments!AH225)</f>
        <v/>
      </c>
      <c r="E224" s="21" t="str">
        <f>IF(Deployments!I225="","",Deployments!I225)</f>
        <v/>
      </c>
      <c r="F224" s="21" t="str">
        <f>IF(Deployments!J225="","",Deployments!J225)</f>
        <v/>
      </c>
      <c r="G224" s="21" t="str">
        <f>IF(Deployments!K225="","",Deployments!K225)</f>
        <v/>
      </c>
      <c r="H224" s="21" t="str">
        <f>IF(Deployments!A225="","",Deployments!A225)</f>
        <v/>
      </c>
      <c r="I224" s="21" t="str">
        <f>IF(Deployments!AI225="","",Deployments!AI225)</f>
        <v/>
      </c>
      <c r="J224" s="21" t="str">
        <f>IF(Deployments!AJ225="","",Deployments!AJ225)</f>
        <v/>
      </c>
      <c r="K224" s="21" t="str">
        <f>IF(Deployments!AD225="","",Deployments!AD225)</f>
        <v/>
      </c>
      <c r="L224" s="21" t="str">
        <f>IF(Deployments!M225="","",Deployments!M225)</f>
        <v/>
      </c>
      <c r="M224" s="22"/>
      <c r="N224" s="21" t="str">
        <f>IF(Deployments!N225="","",Deployments!N225)</f>
        <v/>
      </c>
      <c r="O224" s="21" t="str">
        <f>IF(Deployments!O225="","",Deployments!O225)</f>
        <v/>
      </c>
      <c r="P224" s="21" t="str">
        <f>IF(Deployments!P225="","",Deployments!P225)</f>
        <v/>
      </c>
      <c r="Q224" s="22"/>
      <c r="R224" s="21" t="str">
        <f>IF(Deployments!AY225="","",Deployments!AY225)</f>
        <v/>
      </c>
      <c r="S224" s="21" t="str">
        <f>IF(Deployments!AX225="","",Deployments!AX225)</f>
        <v/>
      </c>
      <c r="T224" s="21" t="str">
        <f>IF(Deployments!AV225="","",Deployments!AV225)</f>
        <v/>
      </c>
      <c r="U224" s="21" t="str">
        <f>IF(Deployments!AW225="","",Deployments!AW225)</f>
        <v/>
      </c>
      <c r="V224" s="21" t="str">
        <f>IF(Deployments!BA225="","",Deployments!BA225)</f>
        <v/>
      </c>
      <c r="W224" s="21" t="str">
        <f>IF(Deployments!BC225="","",Deployments!BC225)</f>
        <v/>
      </c>
      <c r="X224" s="21" t="str">
        <f>IF(Deployments!BK225="","",Deployments!BK225)</f>
        <v/>
      </c>
      <c r="Y224" s="21" t="str">
        <f>IF(Deployments!BB225="","",Deployments!BB225)</f>
        <v/>
      </c>
      <c r="Z224" s="21" t="str">
        <f>IF(Deployments!T225="","",Deployments!T225)</f>
        <v/>
      </c>
      <c r="AA224" s="21" t="str">
        <f>IF(Deployments!L225="","",Deployments!L225)</f>
        <v/>
      </c>
    </row>
    <row r="225" spans="1:27">
      <c r="A225" s="22"/>
      <c r="B225" s="22"/>
      <c r="C225" s="21" t="str">
        <f>IF(Deployments!H226="","",Deployments!H226)</f>
        <v/>
      </c>
      <c r="D225" s="21" t="str">
        <f>IF(Deployments!AH226="","",Deployments!AH226)</f>
        <v/>
      </c>
      <c r="E225" s="21" t="str">
        <f>IF(Deployments!I226="","",Deployments!I226)</f>
        <v/>
      </c>
      <c r="F225" s="21" t="str">
        <f>IF(Deployments!J226="","",Deployments!J226)</f>
        <v/>
      </c>
      <c r="G225" s="21" t="str">
        <f>IF(Deployments!K226="","",Deployments!K226)</f>
        <v/>
      </c>
      <c r="H225" s="21" t="str">
        <f>IF(Deployments!A226="","",Deployments!A226)</f>
        <v/>
      </c>
      <c r="I225" s="21" t="str">
        <f>IF(Deployments!AI226="","",Deployments!AI226)</f>
        <v/>
      </c>
      <c r="J225" s="21" t="str">
        <f>IF(Deployments!AJ226="","",Deployments!AJ226)</f>
        <v/>
      </c>
      <c r="K225" s="21" t="str">
        <f>IF(Deployments!AD226="","",Deployments!AD226)</f>
        <v/>
      </c>
      <c r="L225" s="21" t="str">
        <f>IF(Deployments!M226="","",Deployments!M226)</f>
        <v/>
      </c>
      <c r="M225" s="22"/>
      <c r="N225" s="21" t="str">
        <f>IF(Deployments!N226="","",Deployments!N226)</f>
        <v/>
      </c>
      <c r="O225" s="21" t="str">
        <f>IF(Deployments!O226="","",Deployments!O226)</f>
        <v/>
      </c>
      <c r="P225" s="21" t="str">
        <f>IF(Deployments!P226="","",Deployments!P226)</f>
        <v/>
      </c>
      <c r="Q225" s="22"/>
      <c r="R225" s="21" t="str">
        <f>IF(Deployments!AY226="","",Deployments!AY226)</f>
        <v/>
      </c>
      <c r="S225" s="21" t="str">
        <f>IF(Deployments!AX226="","",Deployments!AX226)</f>
        <v/>
      </c>
      <c r="T225" s="21" t="str">
        <f>IF(Deployments!AV226="","",Deployments!AV226)</f>
        <v/>
      </c>
      <c r="U225" s="21" t="str">
        <f>IF(Deployments!AW226="","",Deployments!AW226)</f>
        <v/>
      </c>
      <c r="V225" s="21" t="str">
        <f>IF(Deployments!BA226="","",Deployments!BA226)</f>
        <v/>
      </c>
      <c r="W225" s="21" t="str">
        <f>IF(Deployments!BC226="","",Deployments!BC226)</f>
        <v/>
      </c>
      <c r="X225" s="21" t="str">
        <f>IF(Deployments!BK226="","",Deployments!BK226)</f>
        <v/>
      </c>
      <c r="Y225" s="21" t="str">
        <f>IF(Deployments!BB226="","",Deployments!BB226)</f>
        <v/>
      </c>
      <c r="Z225" s="21" t="str">
        <f>IF(Deployments!T226="","",Deployments!T226)</f>
        <v/>
      </c>
      <c r="AA225" s="21" t="str">
        <f>IF(Deployments!L226="","",Deployments!L226)</f>
        <v/>
      </c>
    </row>
    <row r="226" spans="1:27">
      <c r="A226" s="22"/>
      <c r="B226" s="22"/>
      <c r="C226" s="21" t="str">
        <f>IF(Deployments!H227="","",Deployments!H227)</f>
        <v/>
      </c>
      <c r="D226" s="21" t="str">
        <f>IF(Deployments!AH227="","",Deployments!AH227)</f>
        <v/>
      </c>
      <c r="E226" s="21" t="str">
        <f>IF(Deployments!I227="","",Deployments!I227)</f>
        <v/>
      </c>
      <c r="F226" s="21" t="str">
        <f>IF(Deployments!J227="","",Deployments!J227)</f>
        <v/>
      </c>
      <c r="G226" s="21" t="str">
        <f>IF(Deployments!K227="","",Deployments!K227)</f>
        <v/>
      </c>
      <c r="H226" s="21" t="str">
        <f>IF(Deployments!A227="","",Deployments!A227)</f>
        <v/>
      </c>
      <c r="I226" s="21" t="str">
        <f>IF(Deployments!AI227="","",Deployments!AI227)</f>
        <v/>
      </c>
      <c r="J226" s="21" t="str">
        <f>IF(Deployments!AJ227="","",Deployments!AJ227)</f>
        <v/>
      </c>
      <c r="K226" s="21" t="str">
        <f>IF(Deployments!AD227="","",Deployments!AD227)</f>
        <v/>
      </c>
      <c r="L226" s="21" t="str">
        <f>IF(Deployments!M227="","",Deployments!M227)</f>
        <v/>
      </c>
      <c r="M226" s="22"/>
      <c r="N226" s="21" t="str">
        <f>IF(Deployments!N227="","",Deployments!N227)</f>
        <v/>
      </c>
      <c r="O226" s="21" t="str">
        <f>IF(Deployments!O227="","",Deployments!O227)</f>
        <v/>
      </c>
      <c r="P226" s="21" t="str">
        <f>IF(Deployments!P227="","",Deployments!P227)</f>
        <v/>
      </c>
      <c r="Q226" s="22"/>
      <c r="R226" s="21" t="str">
        <f>IF(Deployments!AY227="","",Deployments!AY227)</f>
        <v/>
      </c>
      <c r="S226" s="21" t="str">
        <f>IF(Deployments!AX227="","",Deployments!AX227)</f>
        <v/>
      </c>
      <c r="T226" s="21" t="str">
        <f>IF(Deployments!AV227="","",Deployments!AV227)</f>
        <v/>
      </c>
      <c r="U226" s="21" t="str">
        <f>IF(Deployments!AW227="","",Deployments!AW227)</f>
        <v/>
      </c>
      <c r="V226" s="21" t="str">
        <f>IF(Deployments!BA227="","",Deployments!BA227)</f>
        <v/>
      </c>
      <c r="W226" s="21" t="str">
        <f>IF(Deployments!BC227="","",Deployments!BC227)</f>
        <v/>
      </c>
      <c r="X226" s="21" t="str">
        <f>IF(Deployments!BK227="","",Deployments!BK227)</f>
        <v/>
      </c>
      <c r="Y226" s="21" t="str">
        <f>IF(Deployments!BB227="","",Deployments!BB227)</f>
        <v/>
      </c>
      <c r="Z226" s="21" t="str">
        <f>IF(Deployments!T227="","",Deployments!T227)</f>
        <v/>
      </c>
      <c r="AA226" s="21" t="str">
        <f>IF(Deployments!L227="","",Deployments!L227)</f>
        <v/>
      </c>
    </row>
    <row r="227" spans="1:27">
      <c r="A227" s="22"/>
      <c r="B227" s="22"/>
      <c r="C227" s="21" t="str">
        <f>IF(Deployments!H228="","",Deployments!H228)</f>
        <v/>
      </c>
      <c r="D227" s="21" t="str">
        <f>IF(Deployments!AH228="","",Deployments!AH228)</f>
        <v/>
      </c>
      <c r="E227" s="21" t="str">
        <f>IF(Deployments!I228="","",Deployments!I228)</f>
        <v/>
      </c>
      <c r="F227" s="21" t="str">
        <f>IF(Deployments!J228="","",Deployments!J228)</f>
        <v/>
      </c>
      <c r="G227" s="21" t="str">
        <f>IF(Deployments!K228="","",Deployments!K228)</f>
        <v/>
      </c>
      <c r="H227" s="21" t="str">
        <f>IF(Deployments!A228="","",Deployments!A228)</f>
        <v/>
      </c>
      <c r="I227" s="21" t="str">
        <f>IF(Deployments!AI228="","",Deployments!AI228)</f>
        <v/>
      </c>
      <c r="J227" s="21" t="str">
        <f>IF(Deployments!AJ228="","",Deployments!AJ228)</f>
        <v/>
      </c>
      <c r="K227" s="21" t="str">
        <f>IF(Deployments!AD228="","",Deployments!AD228)</f>
        <v/>
      </c>
      <c r="L227" s="21" t="str">
        <f>IF(Deployments!M228="","",Deployments!M228)</f>
        <v/>
      </c>
      <c r="M227" s="22"/>
      <c r="N227" s="21" t="str">
        <f>IF(Deployments!N228="","",Deployments!N228)</f>
        <v/>
      </c>
      <c r="O227" s="21" t="str">
        <f>IF(Deployments!O228="","",Deployments!O228)</f>
        <v/>
      </c>
      <c r="P227" s="21" t="str">
        <f>IF(Deployments!P228="","",Deployments!P228)</f>
        <v/>
      </c>
      <c r="Q227" s="22"/>
      <c r="R227" s="21" t="str">
        <f>IF(Deployments!AY228="","",Deployments!AY228)</f>
        <v/>
      </c>
      <c r="S227" s="21" t="str">
        <f>IF(Deployments!AX228="","",Deployments!AX228)</f>
        <v/>
      </c>
      <c r="T227" s="21" t="str">
        <f>IF(Deployments!AV228="","",Deployments!AV228)</f>
        <v/>
      </c>
      <c r="U227" s="21" t="str">
        <f>IF(Deployments!AW228="","",Deployments!AW228)</f>
        <v/>
      </c>
      <c r="V227" s="21" t="str">
        <f>IF(Deployments!BA228="","",Deployments!BA228)</f>
        <v/>
      </c>
      <c r="W227" s="21" t="str">
        <f>IF(Deployments!BC228="","",Deployments!BC228)</f>
        <v/>
      </c>
      <c r="X227" s="21" t="str">
        <f>IF(Deployments!BK228="","",Deployments!BK228)</f>
        <v/>
      </c>
      <c r="Y227" s="21" t="str">
        <f>IF(Deployments!BB228="","",Deployments!BB228)</f>
        <v/>
      </c>
      <c r="Z227" s="21" t="str">
        <f>IF(Deployments!T228="","",Deployments!T228)</f>
        <v/>
      </c>
      <c r="AA227" s="21" t="str">
        <f>IF(Deployments!L228="","",Deployments!L228)</f>
        <v/>
      </c>
    </row>
    <row r="228" spans="1:27">
      <c r="A228" s="22"/>
      <c r="B228" s="22"/>
      <c r="C228" s="21" t="str">
        <f>IF(Deployments!H229="","",Deployments!H229)</f>
        <v/>
      </c>
      <c r="D228" s="21" t="str">
        <f>IF(Deployments!AH229="","",Deployments!AH229)</f>
        <v/>
      </c>
      <c r="E228" s="21" t="str">
        <f>IF(Deployments!I229="","",Deployments!I229)</f>
        <v/>
      </c>
      <c r="F228" s="21" t="str">
        <f>IF(Deployments!J229="","",Deployments!J229)</f>
        <v/>
      </c>
      <c r="G228" s="21" t="str">
        <f>IF(Deployments!K229="","",Deployments!K229)</f>
        <v/>
      </c>
      <c r="H228" s="21" t="str">
        <f>IF(Deployments!A229="","",Deployments!A229)</f>
        <v/>
      </c>
      <c r="I228" s="21" t="str">
        <f>IF(Deployments!AI229="","",Deployments!AI229)</f>
        <v/>
      </c>
      <c r="J228" s="21" t="str">
        <f>IF(Deployments!AJ229="","",Deployments!AJ229)</f>
        <v/>
      </c>
      <c r="K228" s="21" t="str">
        <f>IF(Deployments!AD229="","",Deployments!AD229)</f>
        <v/>
      </c>
      <c r="L228" s="21" t="str">
        <f>IF(Deployments!M229="","",Deployments!M229)</f>
        <v/>
      </c>
      <c r="M228" s="22"/>
      <c r="N228" s="21" t="str">
        <f>IF(Deployments!N229="","",Deployments!N229)</f>
        <v/>
      </c>
      <c r="O228" s="21" t="str">
        <f>IF(Deployments!O229="","",Deployments!O229)</f>
        <v/>
      </c>
      <c r="P228" s="21" t="str">
        <f>IF(Deployments!P229="","",Deployments!P229)</f>
        <v/>
      </c>
      <c r="Q228" s="22"/>
      <c r="R228" s="21" t="str">
        <f>IF(Deployments!AY229="","",Deployments!AY229)</f>
        <v/>
      </c>
      <c r="S228" s="21" t="str">
        <f>IF(Deployments!AX229="","",Deployments!AX229)</f>
        <v/>
      </c>
      <c r="T228" s="21" t="str">
        <f>IF(Deployments!AV229="","",Deployments!AV229)</f>
        <v/>
      </c>
      <c r="U228" s="21" t="str">
        <f>IF(Deployments!AW229="","",Deployments!AW229)</f>
        <v/>
      </c>
      <c r="V228" s="21" t="str">
        <f>IF(Deployments!BA229="","",Deployments!BA229)</f>
        <v/>
      </c>
      <c r="W228" s="21" t="str">
        <f>IF(Deployments!BC229="","",Deployments!BC229)</f>
        <v/>
      </c>
      <c r="X228" s="21" t="str">
        <f>IF(Deployments!BK229="","",Deployments!BK229)</f>
        <v/>
      </c>
      <c r="Y228" s="21" t="str">
        <f>IF(Deployments!BB229="","",Deployments!BB229)</f>
        <v/>
      </c>
      <c r="Z228" s="21" t="str">
        <f>IF(Deployments!T229="","",Deployments!T229)</f>
        <v/>
      </c>
      <c r="AA228" s="21" t="str">
        <f>IF(Deployments!L229="","",Deployments!L229)</f>
        <v/>
      </c>
    </row>
    <row r="229" spans="1:27">
      <c r="A229" s="22"/>
      <c r="B229" s="22"/>
      <c r="C229" s="21" t="str">
        <f>IF(Deployments!H230="","",Deployments!H230)</f>
        <v/>
      </c>
      <c r="D229" s="21" t="str">
        <f>IF(Deployments!AH230="","",Deployments!AH230)</f>
        <v/>
      </c>
      <c r="E229" s="21" t="str">
        <f>IF(Deployments!I230="","",Deployments!I230)</f>
        <v/>
      </c>
      <c r="F229" s="21" t="str">
        <f>IF(Deployments!J230="","",Deployments!J230)</f>
        <v/>
      </c>
      <c r="G229" s="21" t="str">
        <f>IF(Deployments!K230="","",Deployments!K230)</f>
        <v/>
      </c>
      <c r="H229" s="21" t="str">
        <f>IF(Deployments!A230="","",Deployments!A230)</f>
        <v/>
      </c>
      <c r="I229" s="21" t="str">
        <f>IF(Deployments!AI230="","",Deployments!AI230)</f>
        <v/>
      </c>
      <c r="J229" s="21" t="str">
        <f>IF(Deployments!AJ230="","",Deployments!AJ230)</f>
        <v/>
      </c>
      <c r="K229" s="21" t="str">
        <f>IF(Deployments!AD230="","",Deployments!AD230)</f>
        <v/>
      </c>
      <c r="L229" s="21" t="str">
        <f>IF(Deployments!M230="","",Deployments!M230)</f>
        <v/>
      </c>
      <c r="M229" s="22"/>
      <c r="N229" s="21" t="str">
        <f>IF(Deployments!N230="","",Deployments!N230)</f>
        <v/>
      </c>
      <c r="O229" s="21" t="str">
        <f>IF(Deployments!O230="","",Deployments!O230)</f>
        <v/>
      </c>
      <c r="P229" s="21" t="str">
        <f>IF(Deployments!P230="","",Deployments!P230)</f>
        <v/>
      </c>
      <c r="Q229" s="22"/>
      <c r="R229" s="21" t="str">
        <f>IF(Deployments!AY230="","",Deployments!AY230)</f>
        <v/>
      </c>
      <c r="S229" s="21" t="str">
        <f>IF(Deployments!AX230="","",Deployments!AX230)</f>
        <v/>
      </c>
      <c r="T229" s="21" t="str">
        <f>IF(Deployments!AV230="","",Deployments!AV230)</f>
        <v/>
      </c>
      <c r="U229" s="21" t="str">
        <f>IF(Deployments!AW230="","",Deployments!AW230)</f>
        <v/>
      </c>
      <c r="V229" s="21" t="str">
        <f>IF(Deployments!BA230="","",Deployments!BA230)</f>
        <v/>
      </c>
      <c r="W229" s="21" t="str">
        <f>IF(Deployments!BC230="","",Deployments!BC230)</f>
        <v/>
      </c>
      <c r="X229" s="21" t="str">
        <f>IF(Deployments!BK230="","",Deployments!BK230)</f>
        <v/>
      </c>
      <c r="Y229" s="21" t="str">
        <f>IF(Deployments!BB230="","",Deployments!BB230)</f>
        <v/>
      </c>
      <c r="Z229" s="21" t="str">
        <f>IF(Deployments!T230="","",Deployments!T230)</f>
        <v/>
      </c>
      <c r="AA229" s="21" t="str">
        <f>IF(Deployments!L230="","",Deployments!L230)</f>
        <v/>
      </c>
    </row>
    <row r="230" spans="1:27">
      <c r="A230" s="22"/>
      <c r="B230" s="22"/>
      <c r="C230" s="21" t="str">
        <f>IF(Deployments!H231="","",Deployments!H231)</f>
        <v/>
      </c>
      <c r="D230" s="21" t="str">
        <f>IF(Deployments!AH231="","",Deployments!AH231)</f>
        <v/>
      </c>
      <c r="E230" s="21" t="str">
        <f>IF(Deployments!I231="","",Deployments!I231)</f>
        <v/>
      </c>
      <c r="F230" s="21" t="str">
        <f>IF(Deployments!J231="","",Deployments!J231)</f>
        <v/>
      </c>
      <c r="G230" s="21" t="str">
        <f>IF(Deployments!K231="","",Deployments!K231)</f>
        <v/>
      </c>
      <c r="H230" s="21" t="str">
        <f>IF(Deployments!A231="","",Deployments!A231)</f>
        <v/>
      </c>
      <c r="I230" s="21" t="str">
        <f>IF(Deployments!AI231="","",Deployments!AI231)</f>
        <v/>
      </c>
      <c r="J230" s="21" t="str">
        <f>IF(Deployments!AJ231="","",Deployments!AJ231)</f>
        <v/>
      </c>
      <c r="K230" s="21" t="str">
        <f>IF(Deployments!AD231="","",Deployments!AD231)</f>
        <v/>
      </c>
      <c r="L230" s="21" t="str">
        <f>IF(Deployments!M231="","",Deployments!M231)</f>
        <v/>
      </c>
      <c r="M230" s="22"/>
      <c r="N230" s="21" t="str">
        <f>IF(Deployments!N231="","",Deployments!N231)</f>
        <v/>
      </c>
      <c r="O230" s="21" t="str">
        <f>IF(Deployments!O231="","",Deployments!O231)</f>
        <v/>
      </c>
      <c r="P230" s="21" t="str">
        <f>IF(Deployments!P231="","",Deployments!P231)</f>
        <v/>
      </c>
      <c r="Q230" s="22"/>
      <c r="R230" s="21" t="str">
        <f>IF(Deployments!AY231="","",Deployments!AY231)</f>
        <v/>
      </c>
      <c r="S230" s="21" t="str">
        <f>IF(Deployments!AX231="","",Deployments!AX231)</f>
        <v/>
      </c>
      <c r="T230" s="21" t="str">
        <f>IF(Deployments!AV231="","",Deployments!AV231)</f>
        <v/>
      </c>
      <c r="U230" s="21" t="str">
        <f>IF(Deployments!AW231="","",Deployments!AW231)</f>
        <v/>
      </c>
      <c r="V230" s="21" t="str">
        <f>IF(Deployments!BA231="","",Deployments!BA231)</f>
        <v/>
      </c>
      <c r="W230" s="21" t="str">
        <f>IF(Deployments!BC231="","",Deployments!BC231)</f>
        <v/>
      </c>
      <c r="X230" s="21" t="str">
        <f>IF(Deployments!BK231="","",Deployments!BK231)</f>
        <v/>
      </c>
      <c r="Y230" s="21" t="str">
        <f>IF(Deployments!BB231="","",Deployments!BB231)</f>
        <v/>
      </c>
      <c r="Z230" s="21" t="str">
        <f>IF(Deployments!T231="","",Deployments!T231)</f>
        <v/>
      </c>
      <c r="AA230" s="21" t="str">
        <f>IF(Deployments!L231="","",Deployments!L231)</f>
        <v/>
      </c>
    </row>
    <row r="231" spans="1:27">
      <c r="A231" s="22"/>
      <c r="B231" s="22"/>
      <c r="C231" s="21" t="str">
        <f>IF(Deployments!H232="","",Deployments!H232)</f>
        <v/>
      </c>
      <c r="D231" s="21" t="str">
        <f>IF(Deployments!AH232="","",Deployments!AH232)</f>
        <v/>
      </c>
      <c r="E231" s="21" t="str">
        <f>IF(Deployments!I232="","",Deployments!I232)</f>
        <v/>
      </c>
      <c r="F231" s="21" t="str">
        <f>IF(Deployments!J232="","",Deployments!J232)</f>
        <v/>
      </c>
      <c r="G231" s="21" t="str">
        <f>IF(Deployments!K232="","",Deployments!K232)</f>
        <v/>
      </c>
      <c r="H231" s="21" t="str">
        <f>IF(Deployments!A232="","",Deployments!A232)</f>
        <v/>
      </c>
      <c r="I231" s="21" t="str">
        <f>IF(Deployments!AI232="","",Deployments!AI232)</f>
        <v/>
      </c>
      <c r="J231" s="21" t="str">
        <f>IF(Deployments!AJ232="","",Deployments!AJ232)</f>
        <v/>
      </c>
      <c r="K231" s="21" t="str">
        <f>IF(Deployments!AD232="","",Deployments!AD232)</f>
        <v/>
      </c>
      <c r="L231" s="21" t="str">
        <f>IF(Deployments!M232="","",Deployments!M232)</f>
        <v/>
      </c>
      <c r="M231" s="22"/>
      <c r="N231" s="21" t="str">
        <f>IF(Deployments!N232="","",Deployments!N232)</f>
        <v/>
      </c>
      <c r="O231" s="21" t="str">
        <f>IF(Deployments!O232="","",Deployments!O232)</f>
        <v/>
      </c>
      <c r="P231" s="21" t="str">
        <f>IF(Deployments!P232="","",Deployments!P232)</f>
        <v/>
      </c>
      <c r="Q231" s="22"/>
      <c r="R231" s="21" t="str">
        <f>IF(Deployments!AY232="","",Deployments!AY232)</f>
        <v/>
      </c>
      <c r="S231" s="21" t="str">
        <f>IF(Deployments!AX232="","",Deployments!AX232)</f>
        <v/>
      </c>
      <c r="T231" s="21" t="str">
        <f>IF(Deployments!AV232="","",Deployments!AV232)</f>
        <v/>
      </c>
      <c r="U231" s="21" t="str">
        <f>IF(Deployments!AW232="","",Deployments!AW232)</f>
        <v/>
      </c>
      <c r="V231" s="21" t="str">
        <f>IF(Deployments!BA232="","",Deployments!BA232)</f>
        <v/>
      </c>
      <c r="W231" s="21" t="str">
        <f>IF(Deployments!BC232="","",Deployments!BC232)</f>
        <v/>
      </c>
      <c r="X231" s="21" t="str">
        <f>IF(Deployments!BK232="","",Deployments!BK232)</f>
        <v/>
      </c>
      <c r="Y231" s="21" t="str">
        <f>IF(Deployments!BB232="","",Deployments!BB232)</f>
        <v/>
      </c>
      <c r="Z231" s="21" t="str">
        <f>IF(Deployments!T232="","",Deployments!T232)</f>
        <v/>
      </c>
      <c r="AA231" s="21" t="str">
        <f>IF(Deployments!L232="","",Deployments!L232)</f>
        <v/>
      </c>
    </row>
    <row r="232" spans="1:27">
      <c r="A232" s="22"/>
      <c r="B232" s="22"/>
      <c r="C232" s="21" t="str">
        <f>IF(Deployments!H233="","",Deployments!H233)</f>
        <v/>
      </c>
      <c r="D232" s="21" t="str">
        <f>IF(Deployments!AH233="","",Deployments!AH233)</f>
        <v/>
      </c>
      <c r="E232" s="21" t="str">
        <f>IF(Deployments!I233="","",Deployments!I233)</f>
        <v/>
      </c>
      <c r="F232" s="21" t="str">
        <f>IF(Deployments!J233="","",Deployments!J233)</f>
        <v/>
      </c>
      <c r="G232" s="21" t="str">
        <f>IF(Deployments!K233="","",Deployments!K233)</f>
        <v/>
      </c>
      <c r="H232" s="21" t="str">
        <f>IF(Deployments!A233="","",Deployments!A233)</f>
        <v/>
      </c>
      <c r="I232" s="21" t="str">
        <f>IF(Deployments!AI233="","",Deployments!AI233)</f>
        <v/>
      </c>
      <c r="J232" s="21" t="str">
        <f>IF(Deployments!AJ233="","",Deployments!AJ233)</f>
        <v/>
      </c>
      <c r="K232" s="21" t="str">
        <f>IF(Deployments!AD233="","",Deployments!AD233)</f>
        <v/>
      </c>
      <c r="L232" s="21" t="str">
        <f>IF(Deployments!M233="","",Deployments!M233)</f>
        <v/>
      </c>
      <c r="M232" s="22"/>
      <c r="N232" s="21" t="str">
        <f>IF(Deployments!N233="","",Deployments!N233)</f>
        <v/>
      </c>
      <c r="O232" s="21" t="str">
        <f>IF(Deployments!O233="","",Deployments!O233)</f>
        <v/>
      </c>
      <c r="P232" s="21" t="str">
        <f>IF(Deployments!P233="","",Deployments!P233)</f>
        <v/>
      </c>
      <c r="Q232" s="22"/>
      <c r="R232" s="21" t="str">
        <f>IF(Deployments!AY233="","",Deployments!AY233)</f>
        <v/>
      </c>
      <c r="S232" s="21" t="str">
        <f>IF(Deployments!AX233="","",Deployments!AX233)</f>
        <v/>
      </c>
      <c r="T232" s="21" t="str">
        <f>IF(Deployments!AV233="","",Deployments!AV233)</f>
        <v/>
      </c>
      <c r="U232" s="21" t="str">
        <f>IF(Deployments!AW233="","",Deployments!AW233)</f>
        <v/>
      </c>
      <c r="V232" s="21" t="str">
        <f>IF(Deployments!BA233="","",Deployments!BA233)</f>
        <v/>
      </c>
      <c r="W232" s="21" t="str">
        <f>IF(Deployments!BC233="","",Deployments!BC233)</f>
        <v/>
      </c>
      <c r="X232" s="21" t="str">
        <f>IF(Deployments!BK233="","",Deployments!BK233)</f>
        <v/>
      </c>
      <c r="Y232" s="21" t="str">
        <f>IF(Deployments!BB233="","",Deployments!BB233)</f>
        <v/>
      </c>
      <c r="Z232" s="21" t="str">
        <f>IF(Deployments!T233="","",Deployments!T233)</f>
        <v/>
      </c>
      <c r="AA232" s="21" t="str">
        <f>IF(Deployments!L233="","",Deployments!L233)</f>
        <v/>
      </c>
    </row>
    <row r="233" spans="1:27">
      <c r="A233" s="22"/>
      <c r="B233" s="22"/>
      <c r="C233" s="21" t="str">
        <f>IF(Deployments!H234="","",Deployments!H234)</f>
        <v/>
      </c>
      <c r="D233" s="21" t="str">
        <f>IF(Deployments!AH234="","",Deployments!AH234)</f>
        <v/>
      </c>
      <c r="E233" s="21" t="str">
        <f>IF(Deployments!I234="","",Deployments!I234)</f>
        <v/>
      </c>
      <c r="F233" s="21" t="str">
        <f>IF(Deployments!J234="","",Deployments!J234)</f>
        <v/>
      </c>
      <c r="G233" s="21" t="str">
        <f>IF(Deployments!K234="","",Deployments!K234)</f>
        <v/>
      </c>
      <c r="H233" s="21" t="str">
        <f>IF(Deployments!A234="","",Deployments!A234)</f>
        <v/>
      </c>
      <c r="I233" s="21" t="str">
        <f>IF(Deployments!AI234="","",Deployments!AI234)</f>
        <v/>
      </c>
      <c r="J233" s="21" t="str">
        <f>IF(Deployments!AJ234="","",Deployments!AJ234)</f>
        <v/>
      </c>
      <c r="K233" s="21" t="str">
        <f>IF(Deployments!AD234="","",Deployments!AD234)</f>
        <v/>
      </c>
      <c r="L233" s="21" t="str">
        <f>IF(Deployments!M234="","",Deployments!M234)</f>
        <v/>
      </c>
      <c r="M233" s="22"/>
      <c r="N233" s="21" t="str">
        <f>IF(Deployments!N234="","",Deployments!N234)</f>
        <v/>
      </c>
      <c r="O233" s="21" t="str">
        <f>IF(Deployments!O234="","",Deployments!O234)</f>
        <v/>
      </c>
      <c r="P233" s="21" t="str">
        <f>IF(Deployments!P234="","",Deployments!P234)</f>
        <v/>
      </c>
      <c r="Q233" s="22"/>
      <c r="R233" s="21" t="str">
        <f>IF(Deployments!AY234="","",Deployments!AY234)</f>
        <v/>
      </c>
      <c r="S233" s="21" t="str">
        <f>IF(Deployments!AX234="","",Deployments!AX234)</f>
        <v/>
      </c>
      <c r="T233" s="21" t="str">
        <f>IF(Deployments!AV234="","",Deployments!AV234)</f>
        <v/>
      </c>
      <c r="U233" s="21" t="str">
        <f>IF(Deployments!AW234="","",Deployments!AW234)</f>
        <v/>
      </c>
      <c r="V233" s="21" t="str">
        <f>IF(Deployments!BA234="","",Deployments!BA234)</f>
        <v/>
      </c>
      <c r="W233" s="21" t="str">
        <f>IF(Deployments!BC234="","",Deployments!BC234)</f>
        <v/>
      </c>
      <c r="X233" s="21" t="str">
        <f>IF(Deployments!BK234="","",Deployments!BK234)</f>
        <v/>
      </c>
      <c r="Y233" s="21" t="str">
        <f>IF(Deployments!BB234="","",Deployments!BB234)</f>
        <v/>
      </c>
      <c r="Z233" s="21" t="str">
        <f>IF(Deployments!T234="","",Deployments!T234)</f>
        <v/>
      </c>
      <c r="AA233" s="21" t="str">
        <f>IF(Deployments!L234="","",Deployments!L234)</f>
        <v/>
      </c>
    </row>
    <row r="234" spans="1:27">
      <c r="A234" s="22"/>
      <c r="B234" s="22"/>
      <c r="C234" s="21" t="str">
        <f>IF(Deployments!H235="","",Deployments!H235)</f>
        <v/>
      </c>
      <c r="D234" s="21" t="str">
        <f>IF(Deployments!AH235="","",Deployments!AH235)</f>
        <v/>
      </c>
      <c r="E234" s="21" t="str">
        <f>IF(Deployments!I235="","",Deployments!I235)</f>
        <v/>
      </c>
      <c r="F234" s="21" t="str">
        <f>IF(Deployments!J235="","",Deployments!J235)</f>
        <v/>
      </c>
      <c r="G234" s="21" t="str">
        <f>IF(Deployments!K235="","",Deployments!K235)</f>
        <v/>
      </c>
      <c r="H234" s="21" t="str">
        <f>IF(Deployments!A235="","",Deployments!A235)</f>
        <v/>
      </c>
      <c r="I234" s="21" t="str">
        <f>IF(Deployments!AI235="","",Deployments!AI235)</f>
        <v/>
      </c>
      <c r="J234" s="21" t="str">
        <f>IF(Deployments!AJ235="","",Deployments!AJ235)</f>
        <v/>
      </c>
      <c r="K234" s="21" t="str">
        <f>IF(Deployments!AD235="","",Deployments!AD235)</f>
        <v/>
      </c>
      <c r="L234" s="21" t="str">
        <f>IF(Deployments!M235="","",Deployments!M235)</f>
        <v/>
      </c>
      <c r="M234" s="22"/>
      <c r="N234" s="21" t="str">
        <f>IF(Deployments!N235="","",Deployments!N235)</f>
        <v/>
      </c>
      <c r="O234" s="21" t="str">
        <f>IF(Deployments!O235="","",Deployments!O235)</f>
        <v/>
      </c>
      <c r="P234" s="21" t="str">
        <f>IF(Deployments!P235="","",Deployments!P235)</f>
        <v/>
      </c>
      <c r="Q234" s="22"/>
      <c r="R234" s="21" t="str">
        <f>IF(Deployments!AY235="","",Deployments!AY235)</f>
        <v/>
      </c>
      <c r="S234" s="21" t="str">
        <f>IF(Deployments!AX235="","",Deployments!AX235)</f>
        <v/>
      </c>
      <c r="T234" s="21" t="str">
        <f>IF(Deployments!AV235="","",Deployments!AV235)</f>
        <v/>
      </c>
      <c r="U234" s="21" t="str">
        <f>IF(Deployments!AW235="","",Deployments!AW235)</f>
        <v/>
      </c>
      <c r="V234" s="21" t="str">
        <f>IF(Deployments!BA235="","",Deployments!BA235)</f>
        <v/>
      </c>
      <c r="W234" s="21" t="str">
        <f>IF(Deployments!BC235="","",Deployments!BC235)</f>
        <v/>
      </c>
      <c r="X234" s="21" t="str">
        <f>IF(Deployments!BK235="","",Deployments!BK235)</f>
        <v/>
      </c>
      <c r="Y234" s="21" t="str">
        <f>IF(Deployments!BB235="","",Deployments!BB235)</f>
        <v/>
      </c>
      <c r="Z234" s="21" t="str">
        <f>IF(Deployments!T235="","",Deployments!T235)</f>
        <v/>
      </c>
      <c r="AA234" s="21" t="str">
        <f>IF(Deployments!L235="","",Deployments!L235)</f>
        <v/>
      </c>
    </row>
    <row r="235" spans="1:27">
      <c r="A235" s="22"/>
      <c r="B235" s="22"/>
      <c r="C235" s="21" t="str">
        <f>IF(Deployments!H236="","",Deployments!H236)</f>
        <v/>
      </c>
      <c r="D235" s="21" t="str">
        <f>IF(Deployments!AH236="","",Deployments!AH236)</f>
        <v/>
      </c>
      <c r="E235" s="21" t="str">
        <f>IF(Deployments!I236="","",Deployments!I236)</f>
        <v/>
      </c>
      <c r="F235" s="21" t="str">
        <f>IF(Deployments!J236="","",Deployments!J236)</f>
        <v/>
      </c>
      <c r="G235" s="21" t="str">
        <f>IF(Deployments!K236="","",Deployments!K236)</f>
        <v/>
      </c>
      <c r="H235" s="21" t="str">
        <f>IF(Deployments!A236="","",Deployments!A236)</f>
        <v/>
      </c>
      <c r="I235" s="21" t="str">
        <f>IF(Deployments!AI236="","",Deployments!AI236)</f>
        <v/>
      </c>
      <c r="J235" s="21" t="str">
        <f>IF(Deployments!AJ236="","",Deployments!AJ236)</f>
        <v/>
      </c>
      <c r="K235" s="21" t="str">
        <f>IF(Deployments!AD236="","",Deployments!AD236)</f>
        <v/>
      </c>
      <c r="L235" s="21" t="str">
        <f>IF(Deployments!M236="","",Deployments!M236)</f>
        <v/>
      </c>
      <c r="M235" s="22"/>
      <c r="N235" s="21" t="str">
        <f>IF(Deployments!N236="","",Deployments!N236)</f>
        <v/>
      </c>
      <c r="O235" s="21" t="str">
        <f>IF(Deployments!O236="","",Deployments!O236)</f>
        <v/>
      </c>
      <c r="P235" s="21" t="str">
        <f>IF(Deployments!P236="","",Deployments!P236)</f>
        <v/>
      </c>
      <c r="Q235" s="22"/>
      <c r="R235" s="21" t="str">
        <f>IF(Deployments!AY236="","",Deployments!AY236)</f>
        <v/>
      </c>
      <c r="S235" s="21" t="str">
        <f>IF(Deployments!AX236="","",Deployments!AX236)</f>
        <v/>
      </c>
      <c r="T235" s="21" t="str">
        <f>IF(Deployments!AV236="","",Deployments!AV236)</f>
        <v/>
      </c>
      <c r="U235" s="21" t="str">
        <f>IF(Deployments!AW236="","",Deployments!AW236)</f>
        <v/>
      </c>
      <c r="V235" s="21" t="str">
        <f>IF(Deployments!BA236="","",Deployments!BA236)</f>
        <v/>
      </c>
      <c r="W235" s="21" t="str">
        <f>IF(Deployments!BC236="","",Deployments!BC236)</f>
        <v/>
      </c>
      <c r="X235" s="21" t="str">
        <f>IF(Deployments!BK236="","",Deployments!BK236)</f>
        <v/>
      </c>
      <c r="Y235" s="21" t="str">
        <f>IF(Deployments!BB236="","",Deployments!BB236)</f>
        <v/>
      </c>
      <c r="Z235" s="21" t="str">
        <f>IF(Deployments!T236="","",Deployments!T236)</f>
        <v/>
      </c>
      <c r="AA235" s="21" t="str">
        <f>IF(Deployments!L236="","",Deployments!L236)</f>
        <v/>
      </c>
    </row>
    <row r="236" spans="1:27">
      <c r="A236" s="22"/>
      <c r="B236" s="22"/>
      <c r="C236" s="21" t="str">
        <f>IF(Deployments!H237="","",Deployments!H237)</f>
        <v/>
      </c>
      <c r="D236" s="21" t="str">
        <f>IF(Deployments!AH237="","",Deployments!AH237)</f>
        <v/>
      </c>
      <c r="E236" s="21" t="str">
        <f>IF(Deployments!I237="","",Deployments!I237)</f>
        <v/>
      </c>
      <c r="F236" s="21" t="str">
        <f>IF(Deployments!J237="","",Deployments!J237)</f>
        <v/>
      </c>
      <c r="G236" s="21" t="str">
        <f>IF(Deployments!K237="","",Deployments!K237)</f>
        <v/>
      </c>
      <c r="H236" s="21" t="str">
        <f>IF(Deployments!A237="","",Deployments!A237)</f>
        <v/>
      </c>
      <c r="I236" s="21" t="str">
        <f>IF(Deployments!AI237="","",Deployments!AI237)</f>
        <v/>
      </c>
      <c r="J236" s="21" t="str">
        <f>IF(Deployments!AJ237="","",Deployments!AJ237)</f>
        <v/>
      </c>
      <c r="K236" s="21" t="str">
        <f>IF(Deployments!AD237="","",Deployments!AD237)</f>
        <v/>
      </c>
      <c r="L236" s="21" t="str">
        <f>IF(Deployments!M237="","",Deployments!M237)</f>
        <v/>
      </c>
      <c r="M236" s="22"/>
      <c r="N236" s="21" t="str">
        <f>IF(Deployments!N237="","",Deployments!N237)</f>
        <v/>
      </c>
      <c r="O236" s="21" t="str">
        <f>IF(Deployments!O237="","",Deployments!O237)</f>
        <v/>
      </c>
      <c r="P236" s="21" t="str">
        <f>IF(Deployments!P237="","",Deployments!P237)</f>
        <v/>
      </c>
      <c r="Q236" s="22"/>
      <c r="R236" s="21" t="str">
        <f>IF(Deployments!AY237="","",Deployments!AY237)</f>
        <v/>
      </c>
      <c r="S236" s="21" t="str">
        <f>IF(Deployments!AX237="","",Deployments!AX237)</f>
        <v/>
      </c>
      <c r="T236" s="21" t="str">
        <f>IF(Deployments!AV237="","",Deployments!AV237)</f>
        <v/>
      </c>
      <c r="U236" s="21" t="str">
        <f>IF(Deployments!AW237="","",Deployments!AW237)</f>
        <v/>
      </c>
      <c r="V236" s="21" t="str">
        <f>IF(Deployments!BA237="","",Deployments!BA237)</f>
        <v/>
      </c>
      <c r="W236" s="21" t="str">
        <f>IF(Deployments!BC237="","",Deployments!BC237)</f>
        <v/>
      </c>
      <c r="X236" s="21" t="str">
        <f>IF(Deployments!BK237="","",Deployments!BK237)</f>
        <v/>
      </c>
      <c r="Y236" s="21" t="str">
        <f>IF(Deployments!BB237="","",Deployments!BB237)</f>
        <v/>
      </c>
      <c r="Z236" s="21" t="str">
        <f>IF(Deployments!T237="","",Deployments!T237)</f>
        <v/>
      </c>
      <c r="AA236" s="21" t="str">
        <f>IF(Deployments!L237="","",Deployments!L237)</f>
        <v/>
      </c>
    </row>
    <row r="237" spans="1:27">
      <c r="A237" s="22"/>
      <c r="B237" s="22"/>
      <c r="C237" s="21" t="str">
        <f>IF(Deployments!H238="","",Deployments!H238)</f>
        <v/>
      </c>
      <c r="D237" s="21" t="str">
        <f>IF(Deployments!AH238="","",Deployments!AH238)</f>
        <v/>
      </c>
      <c r="E237" s="21" t="str">
        <f>IF(Deployments!I238="","",Deployments!I238)</f>
        <v/>
      </c>
      <c r="F237" s="21" t="str">
        <f>IF(Deployments!J238="","",Deployments!J238)</f>
        <v/>
      </c>
      <c r="G237" s="21" t="str">
        <f>IF(Deployments!K238="","",Deployments!K238)</f>
        <v/>
      </c>
      <c r="H237" s="21" t="str">
        <f>IF(Deployments!A238="","",Deployments!A238)</f>
        <v/>
      </c>
      <c r="I237" s="21" t="str">
        <f>IF(Deployments!AI238="","",Deployments!AI238)</f>
        <v/>
      </c>
      <c r="J237" s="21" t="str">
        <f>IF(Deployments!AJ238="","",Deployments!AJ238)</f>
        <v/>
      </c>
      <c r="K237" s="21" t="str">
        <f>IF(Deployments!AD238="","",Deployments!AD238)</f>
        <v/>
      </c>
      <c r="L237" s="21" t="str">
        <f>IF(Deployments!M238="","",Deployments!M238)</f>
        <v/>
      </c>
      <c r="M237" s="22"/>
      <c r="N237" s="21" t="str">
        <f>IF(Deployments!N238="","",Deployments!N238)</f>
        <v/>
      </c>
      <c r="O237" s="21" t="str">
        <f>IF(Deployments!O238="","",Deployments!O238)</f>
        <v/>
      </c>
      <c r="P237" s="21" t="str">
        <f>IF(Deployments!P238="","",Deployments!P238)</f>
        <v/>
      </c>
      <c r="Q237" s="22"/>
      <c r="R237" s="21" t="str">
        <f>IF(Deployments!AY238="","",Deployments!AY238)</f>
        <v/>
      </c>
      <c r="S237" s="21" t="str">
        <f>IF(Deployments!AX238="","",Deployments!AX238)</f>
        <v/>
      </c>
      <c r="T237" s="21" t="str">
        <f>IF(Deployments!AV238="","",Deployments!AV238)</f>
        <v/>
      </c>
      <c r="U237" s="21" t="str">
        <f>IF(Deployments!AW238="","",Deployments!AW238)</f>
        <v/>
      </c>
      <c r="V237" s="21" t="str">
        <f>IF(Deployments!BA238="","",Deployments!BA238)</f>
        <v/>
      </c>
      <c r="W237" s="21" t="str">
        <f>IF(Deployments!BC238="","",Deployments!BC238)</f>
        <v/>
      </c>
      <c r="X237" s="21" t="str">
        <f>IF(Deployments!BK238="","",Deployments!BK238)</f>
        <v/>
      </c>
      <c r="Y237" s="21" t="str">
        <f>IF(Deployments!BB238="","",Deployments!BB238)</f>
        <v/>
      </c>
      <c r="Z237" s="21" t="str">
        <f>IF(Deployments!T238="","",Deployments!T238)</f>
        <v/>
      </c>
      <c r="AA237" s="21" t="str">
        <f>IF(Deployments!L238="","",Deployments!L238)</f>
        <v/>
      </c>
    </row>
    <row r="238" spans="1:27">
      <c r="A238" s="22"/>
      <c r="B238" s="22"/>
      <c r="C238" s="21" t="str">
        <f>IF(Deployments!H239="","",Deployments!H239)</f>
        <v/>
      </c>
      <c r="D238" s="21" t="str">
        <f>IF(Deployments!AH239="","",Deployments!AH239)</f>
        <v/>
      </c>
      <c r="E238" s="21" t="str">
        <f>IF(Deployments!I239="","",Deployments!I239)</f>
        <v/>
      </c>
      <c r="F238" s="21" t="str">
        <f>IF(Deployments!J239="","",Deployments!J239)</f>
        <v/>
      </c>
      <c r="G238" s="21" t="str">
        <f>IF(Deployments!K239="","",Deployments!K239)</f>
        <v/>
      </c>
      <c r="H238" s="21" t="str">
        <f>IF(Deployments!A239="","",Deployments!A239)</f>
        <v/>
      </c>
      <c r="I238" s="21" t="str">
        <f>IF(Deployments!AI239="","",Deployments!AI239)</f>
        <v/>
      </c>
      <c r="J238" s="21" t="str">
        <f>IF(Deployments!AJ239="","",Deployments!AJ239)</f>
        <v/>
      </c>
      <c r="K238" s="21" t="str">
        <f>IF(Deployments!AD239="","",Deployments!AD239)</f>
        <v/>
      </c>
      <c r="L238" s="21" t="str">
        <f>IF(Deployments!M239="","",Deployments!M239)</f>
        <v/>
      </c>
      <c r="M238" s="22"/>
      <c r="N238" s="21" t="str">
        <f>IF(Deployments!N239="","",Deployments!N239)</f>
        <v/>
      </c>
      <c r="O238" s="21" t="str">
        <f>IF(Deployments!O239="","",Deployments!O239)</f>
        <v/>
      </c>
      <c r="P238" s="21" t="str">
        <f>IF(Deployments!P239="","",Deployments!P239)</f>
        <v/>
      </c>
      <c r="Q238" s="22"/>
      <c r="R238" s="21" t="str">
        <f>IF(Deployments!AY239="","",Deployments!AY239)</f>
        <v/>
      </c>
      <c r="S238" s="21" t="str">
        <f>IF(Deployments!AX239="","",Deployments!AX239)</f>
        <v/>
      </c>
      <c r="T238" s="21" t="str">
        <f>IF(Deployments!AV239="","",Deployments!AV239)</f>
        <v/>
      </c>
      <c r="U238" s="21" t="str">
        <f>IF(Deployments!AW239="","",Deployments!AW239)</f>
        <v/>
      </c>
      <c r="V238" s="21" t="str">
        <f>IF(Deployments!BA239="","",Deployments!BA239)</f>
        <v/>
      </c>
      <c r="W238" s="21" t="str">
        <f>IF(Deployments!BC239="","",Deployments!BC239)</f>
        <v/>
      </c>
      <c r="X238" s="21" t="str">
        <f>IF(Deployments!BK239="","",Deployments!BK239)</f>
        <v/>
      </c>
      <c r="Y238" s="21" t="str">
        <f>IF(Deployments!BB239="","",Deployments!BB239)</f>
        <v/>
      </c>
      <c r="Z238" s="21" t="str">
        <f>IF(Deployments!T239="","",Deployments!T239)</f>
        <v/>
      </c>
      <c r="AA238" s="21" t="str">
        <f>IF(Deployments!L239="","",Deployments!L239)</f>
        <v/>
      </c>
    </row>
    <row r="239" spans="1:27">
      <c r="A239" s="22"/>
      <c r="B239" s="22"/>
      <c r="C239" s="21" t="str">
        <f>IF(Deployments!H240="","",Deployments!H240)</f>
        <v/>
      </c>
      <c r="D239" s="21" t="str">
        <f>IF(Deployments!AH240="","",Deployments!AH240)</f>
        <v/>
      </c>
      <c r="E239" s="21" t="str">
        <f>IF(Deployments!I240="","",Deployments!I240)</f>
        <v/>
      </c>
      <c r="F239" s="21" t="str">
        <f>IF(Deployments!J240="","",Deployments!J240)</f>
        <v/>
      </c>
      <c r="G239" s="21" t="str">
        <f>IF(Deployments!K240="","",Deployments!K240)</f>
        <v/>
      </c>
      <c r="H239" s="21" t="str">
        <f>IF(Deployments!A240="","",Deployments!A240)</f>
        <v/>
      </c>
      <c r="I239" s="21" t="str">
        <f>IF(Deployments!AI240="","",Deployments!AI240)</f>
        <v/>
      </c>
      <c r="J239" s="21" t="str">
        <f>IF(Deployments!AJ240="","",Deployments!AJ240)</f>
        <v/>
      </c>
      <c r="K239" s="21" t="str">
        <f>IF(Deployments!AD240="","",Deployments!AD240)</f>
        <v/>
      </c>
      <c r="L239" s="21" t="str">
        <f>IF(Deployments!M240="","",Deployments!M240)</f>
        <v/>
      </c>
      <c r="M239" s="22"/>
      <c r="N239" s="21" t="str">
        <f>IF(Deployments!N240="","",Deployments!N240)</f>
        <v/>
      </c>
      <c r="O239" s="21" t="str">
        <f>IF(Deployments!O240="","",Deployments!O240)</f>
        <v/>
      </c>
      <c r="P239" s="21" t="str">
        <f>IF(Deployments!P240="","",Deployments!P240)</f>
        <v/>
      </c>
      <c r="Q239" s="22"/>
      <c r="R239" s="21" t="str">
        <f>IF(Deployments!AY240="","",Deployments!AY240)</f>
        <v/>
      </c>
      <c r="S239" s="21" t="str">
        <f>IF(Deployments!AX240="","",Deployments!AX240)</f>
        <v/>
      </c>
      <c r="T239" s="21" t="str">
        <f>IF(Deployments!AV240="","",Deployments!AV240)</f>
        <v/>
      </c>
      <c r="U239" s="21" t="str">
        <f>IF(Deployments!AW240="","",Deployments!AW240)</f>
        <v/>
      </c>
      <c r="V239" s="21" t="str">
        <f>IF(Deployments!BA240="","",Deployments!BA240)</f>
        <v/>
      </c>
      <c r="W239" s="21" t="str">
        <f>IF(Deployments!BC240="","",Deployments!BC240)</f>
        <v/>
      </c>
      <c r="X239" s="21" t="str">
        <f>IF(Deployments!BK240="","",Deployments!BK240)</f>
        <v/>
      </c>
      <c r="Y239" s="21" t="str">
        <f>IF(Deployments!BB240="","",Deployments!BB240)</f>
        <v/>
      </c>
      <c r="Z239" s="21" t="str">
        <f>IF(Deployments!T240="","",Deployments!T240)</f>
        <v/>
      </c>
      <c r="AA239" s="21" t="str">
        <f>IF(Deployments!L240="","",Deployments!L240)</f>
        <v/>
      </c>
    </row>
    <row r="240" spans="1:27">
      <c r="A240" s="22"/>
      <c r="B240" s="22"/>
      <c r="C240" s="21" t="str">
        <f>IF(Deployments!H241="","",Deployments!H241)</f>
        <v/>
      </c>
      <c r="D240" s="21" t="str">
        <f>IF(Deployments!AH241="","",Deployments!AH241)</f>
        <v/>
      </c>
      <c r="E240" s="21" t="str">
        <f>IF(Deployments!I241="","",Deployments!I241)</f>
        <v/>
      </c>
      <c r="F240" s="21" t="str">
        <f>IF(Deployments!J241="","",Deployments!J241)</f>
        <v/>
      </c>
      <c r="G240" s="21" t="str">
        <f>IF(Deployments!K241="","",Deployments!K241)</f>
        <v/>
      </c>
      <c r="H240" s="21" t="str">
        <f>IF(Deployments!A241="","",Deployments!A241)</f>
        <v/>
      </c>
      <c r="I240" s="21" t="str">
        <f>IF(Deployments!AI241="","",Deployments!AI241)</f>
        <v/>
      </c>
      <c r="J240" s="21" t="str">
        <f>IF(Deployments!AJ241="","",Deployments!AJ241)</f>
        <v/>
      </c>
      <c r="K240" s="21" t="str">
        <f>IF(Deployments!AD241="","",Deployments!AD241)</f>
        <v/>
      </c>
      <c r="L240" s="21" t="str">
        <f>IF(Deployments!M241="","",Deployments!M241)</f>
        <v/>
      </c>
      <c r="M240" s="22"/>
      <c r="N240" s="21" t="str">
        <f>IF(Deployments!N241="","",Deployments!N241)</f>
        <v/>
      </c>
      <c r="O240" s="21" t="str">
        <f>IF(Deployments!O241="","",Deployments!O241)</f>
        <v/>
      </c>
      <c r="P240" s="21" t="str">
        <f>IF(Deployments!P241="","",Deployments!P241)</f>
        <v/>
      </c>
      <c r="Q240" s="22"/>
      <c r="R240" s="21" t="str">
        <f>IF(Deployments!AY241="","",Deployments!AY241)</f>
        <v/>
      </c>
      <c r="S240" s="21" t="str">
        <f>IF(Deployments!AX241="","",Deployments!AX241)</f>
        <v/>
      </c>
      <c r="T240" s="21" t="str">
        <f>IF(Deployments!AV241="","",Deployments!AV241)</f>
        <v/>
      </c>
      <c r="U240" s="21" t="str">
        <f>IF(Deployments!AW241="","",Deployments!AW241)</f>
        <v/>
      </c>
      <c r="V240" s="21" t="str">
        <f>IF(Deployments!BA241="","",Deployments!BA241)</f>
        <v/>
      </c>
      <c r="W240" s="21" t="str">
        <f>IF(Deployments!BC241="","",Deployments!BC241)</f>
        <v/>
      </c>
      <c r="X240" s="21" t="str">
        <f>IF(Deployments!BK241="","",Deployments!BK241)</f>
        <v/>
      </c>
      <c r="Y240" s="21" t="str">
        <f>IF(Deployments!BB241="","",Deployments!BB241)</f>
        <v/>
      </c>
      <c r="Z240" s="21" t="str">
        <f>IF(Deployments!T241="","",Deployments!T241)</f>
        <v/>
      </c>
      <c r="AA240" s="21" t="str">
        <f>IF(Deployments!L241="","",Deployments!L241)</f>
        <v/>
      </c>
    </row>
    <row r="241" spans="1:27">
      <c r="A241" s="22"/>
      <c r="B241" s="22"/>
      <c r="C241" s="21" t="str">
        <f>IF(Deployments!H242="","",Deployments!H242)</f>
        <v/>
      </c>
      <c r="D241" s="21" t="str">
        <f>IF(Deployments!AH242="","",Deployments!AH242)</f>
        <v/>
      </c>
      <c r="E241" s="21" t="str">
        <f>IF(Deployments!I242="","",Deployments!I242)</f>
        <v/>
      </c>
      <c r="F241" s="21" t="str">
        <f>IF(Deployments!J242="","",Deployments!J242)</f>
        <v/>
      </c>
      <c r="G241" s="21" t="str">
        <f>IF(Deployments!K242="","",Deployments!K242)</f>
        <v/>
      </c>
      <c r="H241" s="21" t="str">
        <f>IF(Deployments!A242="","",Deployments!A242)</f>
        <v/>
      </c>
      <c r="I241" s="21" t="str">
        <f>IF(Deployments!AI242="","",Deployments!AI242)</f>
        <v/>
      </c>
      <c r="J241" s="21" t="str">
        <f>IF(Deployments!AJ242="","",Deployments!AJ242)</f>
        <v/>
      </c>
      <c r="K241" s="21" t="str">
        <f>IF(Deployments!AD242="","",Deployments!AD242)</f>
        <v/>
      </c>
      <c r="L241" s="21" t="str">
        <f>IF(Deployments!M242="","",Deployments!M242)</f>
        <v/>
      </c>
      <c r="M241" s="22"/>
      <c r="N241" s="21" t="str">
        <f>IF(Deployments!N242="","",Deployments!N242)</f>
        <v/>
      </c>
      <c r="O241" s="21" t="str">
        <f>IF(Deployments!O242="","",Deployments!O242)</f>
        <v/>
      </c>
      <c r="P241" s="21" t="str">
        <f>IF(Deployments!P242="","",Deployments!P242)</f>
        <v/>
      </c>
      <c r="Q241" s="22"/>
      <c r="R241" s="21" t="str">
        <f>IF(Deployments!AY242="","",Deployments!AY242)</f>
        <v/>
      </c>
      <c r="S241" s="21" t="str">
        <f>IF(Deployments!AX242="","",Deployments!AX242)</f>
        <v/>
      </c>
      <c r="T241" s="21" t="str">
        <f>IF(Deployments!AV242="","",Deployments!AV242)</f>
        <v/>
      </c>
      <c r="U241" s="21" t="str">
        <f>IF(Deployments!AW242="","",Deployments!AW242)</f>
        <v/>
      </c>
      <c r="V241" s="21" t="str">
        <f>IF(Deployments!BA242="","",Deployments!BA242)</f>
        <v/>
      </c>
      <c r="W241" s="21" t="str">
        <f>IF(Deployments!BC242="","",Deployments!BC242)</f>
        <v/>
      </c>
      <c r="X241" s="21" t="str">
        <f>IF(Deployments!BK242="","",Deployments!BK242)</f>
        <v/>
      </c>
      <c r="Y241" s="21" t="str">
        <f>IF(Deployments!BB242="","",Deployments!BB242)</f>
        <v/>
      </c>
      <c r="Z241" s="21" t="str">
        <f>IF(Deployments!T242="","",Deployments!T242)</f>
        <v/>
      </c>
      <c r="AA241" s="21" t="str">
        <f>IF(Deployments!L242="","",Deployments!L242)</f>
        <v/>
      </c>
    </row>
    <row r="242" spans="1:27">
      <c r="A242" s="22"/>
      <c r="B242" s="22"/>
      <c r="C242" s="21" t="str">
        <f>IF(Deployments!H243="","",Deployments!H243)</f>
        <v/>
      </c>
      <c r="D242" s="21" t="str">
        <f>IF(Deployments!AH243="","",Deployments!AH243)</f>
        <v/>
      </c>
      <c r="E242" s="21" t="str">
        <f>IF(Deployments!I243="","",Deployments!I243)</f>
        <v/>
      </c>
      <c r="F242" s="21" t="str">
        <f>IF(Deployments!J243="","",Deployments!J243)</f>
        <v/>
      </c>
      <c r="G242" s="21" t="str">
        <f>IF(Deployments!K243="","",Deployments!K243)</f>
        <v/>
      </c>
      <c r="H242" s="21" t="str">
        <f>IF(Deployments!A243="","",Deployments!A243)</f>
        <v/>
      </c>
      <c r="I242" s="21" t="str">
        <f>IF(Deployments!AI243="","",Deployments!AI243)</f>
        <v/>
      </c>
      <c r="J242" s="21" t="str">
        <f>IF(Deployments!AJ243="","",Deployments!AJ243)</f>
        <v/>
      </c>
      <c r="K242" s="21" t="str">
        <f>IF(Deployments!AD243="","",Deployments!AD243)</f>
        <v/>
      </c>
      <c r="L242" s="21" t="str">
        <f>IF(Deployments!M243="","",Deployments!M243)</f>
        <v/>
      </c>
      <c r="M242" s="22"/>
      <c r="N242" s="21" t="str">
        <f>IF(Deployments!N243="","",Deployments!N243)</f>
        <v/>
      </c>
      <c r="O242" s="21" t="str">
        <f>IF(Deployments!O243="","",Deployments!O243)</f>
        <v/>
      </c>
      <c r="P242" s="21" t="str">
        <f>IF(Deployments!P243="","",Deployments!P243)</f>
        <v/>
      </c>
      <c r="Q242" s="22"/>
      <c r="R242" s="21" t="str">
        <f>IF(Deployments!AY243="","",Deployments!AY243)</f>
        <v/>
      </c>
      <c r="S242" s="21" t="str">
        <f>IF(Deployments!AX243="","",Deployments!AX243)</f>
        <v/>
      </c>
      <c r="T242" s="21" t="str">
        <f>IF(Deployments!AV243="","",Deployments!AV243)</f>
        <v/>
      </c>
      <c r="U242" s="21" t="str">
        <f>IF(Deployments!AW243="","",Deployments!AW243)</f>
        <v/>
      </c>
      <c r="V242" s="21" t="str">
        <f>IF(Deployments!BA243="","",Deployments!BA243)</f>
        <v/>
      </c>
      <c r="W242" s="21" t="str">
        <f>IF(Deployments!BC243="","",Deployments!BC243)</f>
        <v/>
      </c>
      <c r="X242" s="21" t="str">
        <f>IF(Deployments!BK243="","",Deployments!BK243)</f>
        <v/>
      </c>
      <c r="Y242" s="21" t="str">
        <f>IF(Deployments!BB243="","",Deployments!BB243)</f>
        <v/>
      </c>
      <c r="Z242" s="21" t="str">
        <f>IF(Deployments!T243="","",Deployments!T243)</f>
        <v/>
      </c>
      <c r="AA242" s="21" t="str">
        <f>IF(Deployments!L243="","",Deployments!L243)</f>
        <v/>
      </c>
    </row>
    <row r="243" spans="1:27">
      <c r="A243" s="22"/>
      <c r="B243" s="22"/>
      <c r="C243" s="21" t="str">
        <f>IF(Deployments!H244="","",Deployments!H244)</f>
        <v/>
      </c>
      <c r="D243" s="21" t="str">
        <f>IF(Deployments!AH244="","",Deployments!AH244)</f>
        <v/>
      </c>
      <c r="E243" s="21" t="str">
        <f>IF(Deployments!I244="","",Deployments!I244)</f>
        <v/>
      </c>
      <c r="F243" s="21" t="str">
        <f>IF(Deployments!J244="","",Deployments!J244)</f>
        <v/>
      </c>
      <c r="G243" s="21" t="str">
        <f>IF(Deployments!K244="","",Deployments!K244)</f>
        <v/>
      </c>
      <c r="H243" s="21" t="str">
        <f>IF(Deployments!A244="","",Deployments!A244)</f>
        <v/>
      </c>
      <c r="I243" s="21" t="str">
        <f>IF(Deployments!AI244="","",Deployments!AI244)</f>
        <v/>
      </c>
      <c r="J243" s="21" t="str">
        <f>IF(Deployments!AJ244="","",Deployments!AJ244)</f>
        <v/>
      </c>
      <c r="K243" s="21" t="str">
        <f>IF(Deployments!AD244="","",Deployments!AD244)</f>
        <v/>
      </c>
      <c r="L243" s="21" t="str">
        <f>IF(Deployments!M244="","",Deployments!M244)</f>
        <v/>
      </c>
      <c r="M243" s="22"/>
      <c r="N243" s="21" t="str">
        <f>IF(Deployments!N244="","",Deployments!N244)</f>
        <v/>
      </c>
      <c r="O243" s="21" t="str">
        <f>IF(Deployments!O244="","",Deployments!O244)</f>
        <v/>
      </c>
      <c r="P243" s="21" t="str">
        <f>IF(Deployments!P244="","",Deployments!P244)</f>
        <v/>
      </c>
      <c r="Q243" s="22"/>
      <c r="R243" s="21" t="str">
        <f>IF(Deployments!AY244="","",Deployments!AY244)</f>
        <v/>
      </c>
      <c r="S243" s="21" t="str">
        <f>IF(Deployments!AX244="","",Deployments!AX244)</f>
        <v/>
      </c>
      <c r="T243" s="21" t="str">
        <f>IF(Deployments!AV244="","",Deployments!AV244)</f>
        <v/>
      </c>
      <c r="U243" s="21" t="str">
        <f>IF(Deployments!AW244="","",Deployments!AW244)</f>
        <v/>
      </c>
      <c r="V243" s="21" t="str">
        <f>IF(Deployments!BA244="","",Deployments!BA244)</f>
        <v/>
      </c>
      <c r="W243" s="21" t="str">
        <f>IF(Deployments!BC244="","",Deployments!BC244)</f>
        <v/>
      </c>
      <c r="X243" s="21" t="str">
        <f>IF(Deployments!BK244="","",Deployments!BK244)</f>
        <v/>
      </c>
      <c r="Y243" s="21" t="str">
        <f>IF(Deployments!BB244="","",Deployments!BB244)</f>
        <v/>
      </c>
      <c r="Z243" s="21" t="str">
        <f>IF(Deployments!T244="","",Deployments!T244)</f>
        <v/>
      </c>
      <c r="AA243" s="21" t="str">
        <f>IF(Deployments!L244="","",Deployments!L244)</f>
        <v/>
      </c>
    </row>
    <row r="244" spans="1:27">
      <c r="A244" s="22"/>
      <c r="B244" s="22"/>
      <c r="C244" s="21" t="str">
        <f>IF(Deployments!H245="","",Deployments!H245)</f>
        <v/>
      </c>
      <c r="D244" s="21" t="str">
        <f>IF(Deployments!AH245="","",Deployments!AH245)</f>
        <v/>
      </c>
      <c r="E244" s="21" t="str">
        <f>IF(Deployments!I245="","",Deployments!I245)</f>
        <v/>
      </c>
      <c r="F244" s="21" t="str">
        <f>IF(Deployments!J245="","",Deployments!J245)</f>
        <v/>
      </c>
      <c r="G244" s="21" t="str">
        <f>IF(Deployments!K245="","",Deployments!K245)</f>
        <v/>
      </c>
      <c r="H244" s="21" t="str">
        <f>IF(Deployments!A245="","",Deployments!A245)</f>
        <v/>
      </c>
      <c r="I244" s="21" t="str">
        <f>IF(Deployments!AI245="","",Deployments!AI245)</f>
        <v/>
      </c>
      <c r="J244" s="21" t="str">
        <f>IF(Deployments!AJ245="","",Deployments!AJ245)</f>
        <v/>
      </c>
      <c r="K244" s="21" t="str">
        <f>IF(Deployments!AD245="","",Deployments!AD245)</f>
        <v/>
      </c>
      <c r="L244" s="21" t="str">
        <f>IF(Deployments!M245="","",Deployments!M245)</f>
        <v/>
      </c>
      <c r="M244" s="22"/>
      <c r="N244" s="21" t="str">
        <f>IF(Deployments!N245="","",Deployments!N245)</f>
        <v/>
      </c>
      <c r="O244" s="21" t="str">
        <f>IF(Deployments!O245="","",Deployments!O245)</f>
        <v/>
      </c>
      <c r="P244" s="21" t="str">
        <f>IF(Deployments!P245="","",Deployments!P245)</f>
        <v/>
      </c>
      <c r="Q244" s="22"/>
      <c r="R244" s="21" t="str">
        <f>IF(Deployments!AY245="","",Deployments!AY245)</f>
        <v/>
      </c>
      <c r="S244" s="21" t="str">
        <f>IF(Deployments!AX245="","",Deployments!AX245)</f>
        <v/>
      </c>
      <c r="T244" s="21" t="str">
        <f>IF(Deployments!AV245="","",Deployments!AV245)</f>
        <v/>
      </c>
      <c r="U244" s="21" t="str">
        <f>IF(Deployments!AW245="","",Deployments!AW245)</f>
        <v/>
      </c>
      <c r="V244" s="21" t="str">
        <f>IF(Deployments!BA245="","",Deployments!BA245)</f>
        <v/>
      </c>
      <c r="W244" s="21" t="str">
        <f>IF(Deployments!BC245="","",Deployments!BC245)</f>
        <v/>
      </c>
      <c r="X244" s="21" t="str">
        <f>IF(Deployments!BK245="","",Deployments!BK245)</f>
        <v/>
      </c>
      <c r="Y244" s="21" t="str">
        <f>IF(Deployments!BB245="","",Deployments!BB245)</f>
        <v/>
      </c>
      <c r="Z244" s="21" t="str">
        <f>IF(Deployments!T245="","",Deployments!T245)</f>
        <v/>
      </c>
      <c r="AA244" s="21" t="str">
        <f>IF(Deployments!L245="","",Deployments!L245)</f>
        <v/>
      </c>
    </row>
    <row r="245" spans="1:27">
      <c r="A245" s="22"/>
      <c r="B245" s="22"/>
      <c r="C245" s="21" t="str">
        <f>IF(Deployments!H246="","",Deployments!H246)</f>
        <v/>
      </c>
      <c r="D245" s="21" t="str">
        <f>IF(Deployments!AH246="","",Deployments!AH246)</f>
        <v/>
      </c>
      <c r="E245" s="21" t="str">
        <f>IF(Deployments!I246="","",Deployments!I246)</f>
        <v/>
      </c>
      <c r="F245" s="21" t="str">
        <f>IF(Deployments!J246="","",Deployments!J246)</f>
        <v/>
      </c>
      <c r="G245" s="21" t="str">
        <f>IF(Deployments!K246="","",Deployments!K246)</f>
        <v/>
      </c>
      <c r="H245" s="21" t="str">
        <f>IF(Deployments!A246="","",Deployments!A246)</f>
        <v/>
      </c>
      <c r="I245" s="21" t="str">
        <f>IF(Deployments!AI246="","",Deployments!AI246)</f>
        <v/>
      </c>
      <c r="J245" s="21" t="str">
        <f>IF(Deployments!AJ246="","",Deployments!AJ246)</f>
        <v/>
      </c>
      <c r="K245" s="21" t="str">
        <f>IF(Deployments!AD246="","",Deployments!AD246)</f>
        <v/>
      </c>
      <c r="L245" s="21" t="str">
        <f>IF(Deployments!M246="","",Deployments!M246)</f>
        <v/>
      </c>
      <c r="M245" s="22"/>
      <c r="N245" s="21" t="str">
        <f>IF(Deployments!N246="","",Deployments!N246)</f>
        <v/>
      </c>
      <c r="O245" s="21" t="str">
        <f>IF(Deployments!O246="","",Deployments!O246)</f>
        <v/>
      </c>
      <c r="P245" s="21" t="str">
        <f>IF(Deployments!P246="","",Deployments!P246)</f>
        <v/>
      </c>
      <c r="Q245" s="22"/>
      <c r="R245" s="21" t="str">
        <f>IF(Deployments!AY246="","",Deployments!AY246)</f>
        <v/>
      </c>
      <c r="S245" s="21" t="str">
        <f>IF(Deployments!AX246="","",Deployments!AX246)</f>
        <v/>
      </c>
      <c r="T245" s="21" t="str">
        <f>IF(Deployments!AV246="","",Deployments!AV246)</f>
        <v/>
      </c>
      <c r="U245" s="21" t="str">
        <f>IF(Deployments!AW246="","",Deployments!AW246)</f>
        <v/>
      </c>
      <c r="V245" s="21" t="str">
        <f>IF(Deployments!BA246="","",Deployments!BA246)</f>
        <v/>
      </c>
      <c r="W245" s="21" t="str">
        <f>IF(Deployments!BC246="","",Deployments!BC246)</f>
        <v/>
      </c>
      <c r="X245" s="21" t="str">
        <f>IF(Deployments!BK246="","",Deployments!BK246)</f>
        <v/>
      </c>
      <c r="Y245" s="21" t="str">
        <f>IF(Deployments!BB246="","",Deployments!BB246)</f>
        <v/>
      </c>
      <c r="Z245" s="21" t="str">
        <f>IF(Deployments!T246="","",Deployments!T246)</f>
        <v/>
      </c>
      <c r="AA245" s="21" t="str">
        <f>IF(Deployments!L246="","",Deployments!L246)</f>
        <v/>
      </c>
    </row>
    <row r="246" spans="1:27">
      <c r="A246" s="22"/>
      <c r="B246" s="22"/>
      <c r="C246" s="21" t="str">
        <f>IF(Deployments!H247="","",Deployments!H247)</f>
        <v/>
      </c>
      <c r="D246" s="21" t="str">
        <f>IF(Deployments!AH247="","",Deployments!AH247)</f>
        <v/>
      </c>
      <c r="E246" s="21" t="str">
        <f>IF(Deployments!I247="","",Deployments!I247)</f>
        <v/>
      </c>
      <c r="F246" s="21" t="str">
        <f>IF(Deployments!J247="","",Deployments!J247)</f>
        <v/>
      </c>
      <c r="G246" s="21" t="str">
        <f>IF(Deployments!K247="","",Deployments!K247)</f>
        <v/>
      </c>
      <c r="H246" s="21" t="str">
        <f>IF(Deployments!A247="","",Deployments!A247)</f>
        <v/>
      </c>
      <c r="I246" s="21" t="str">
        <f>IF(Deployments!AI247="","",Deployments!AI247)</f>
        <v/>
      </c>
      <c r="J246" s="21" t="str">
        <f>IF(Deployments!AJ247="","",Deployments!AJ247)</f>
        <v/>
      </c>
      <c r="K246" s="21" t="str">
        <f>IF(Deployments!AD247="","",Deployments!AD247)</f>
        <v/>
      </c>
      <c r="L246" s="21" t="str">
        <f>IF(Deployments!M247="","",Deployments!M247)</f>
        <v/>
      </c>
      <c r="M246" s="22"/>
      <c r="N246" s="21" t="str">
        <f>IF(Deployments!N247="","",Deployments!N247)</f>
        <v/>
      </c>
      <c r="O246" s="21" t="str">
        <f>IF(Deployments!O247="","",Deployments!O247)</f>
        <v/>
      </c>
      <c r="P246" s="21" t="str">
        <f>IF(Deployments!P247="","",Deployments!P247)</f>
        <v/>
      </c>
      <c r="Q246" s="22"/>
      <c r="R246" s="21" t="str">
        <f>IF(Deployments!AY247="","",Deployments!AY247)</f>
        <v/>
      </c>
      <c r="S246" s="21" t="str">
        <f>IF(Deployments!AX247="","",Deployments!AX247)</f>
        <v/>
      </c>
      <c r="T246" s="21" t="str">
        <f>IF(Deployments!AV247="","",Deployments!AV247)</f>
        <v/>
      </c>
      <c r="U246" s="21" t="str">
        <f>IF(Deployments!AW247="","",Deployments!AW247)</f>
        <v/>
      </c>
      <c r="V246" s="21" t="str">
        <f>IF(Deployments!BA247="","",Deployments!BA247)</f>
        <v/>
      </c>
      <c r="W246" s="21" t="str">
        <f>IF(Deployments!BC247="","",Deployments!BC247)</f>
        <v/>
      </c>
      <c r="X246" s="21" t="str">
        <f>IF(Deployments!BK247="","",Deployments!BK247)</f>
        <v/>
      </c>
      <c r="Y246" s="21" t="str">
        <f>IF(Deployments!BB247="","",Deployments!BB247)</f>
        <v/>
      </c>
      <c r="Z246" s="21" t="str">
        <f>IF(Deployments!T247="","",Deployments!T247)</f>
        <v/>
      </c>
      <c r="AA246" s="21" t="str">
        <f>IF(Deployments!L247="","",Deployments!L247)</f>
        <v/>
      </c>
    </row>
    <row r="247" spans="1:27">
      <c r="A247" s="22"/>
      <c r="B247" s="22"/>
      <c r="C247" s="21" t="str">
        <f>IF(Deployments!H248="","",Deployments!H248)</f>
        <v/>
      </c>
      <c r="D247" s="21" t="str">
        <f>IF(Deployments!AH248="","",Deployments!AH248)</f>
        <v/>
      </c>
      <c r="E247" s="21" t="str">
        <f>IF(Deployments!I248="","",Deployments!I248)</f>
        <v/>
      </c>
      <c r="F247" s="21" t="str">
        <f>IF(Deployments!J248="","",Deployments!J248)</f>
        <v/>
      </c>
      <c r="G247" s="21" t="str">
        <f>IF(Deployments!K248="","",Deployments!K248)</f>
        <v/>
      </c>
      <c r="H247" s="21" t="str">
        <f>IF(Deployments!A248="","",Deployments!A248)</f>
        <v/>
      </c>
      <c r="I247" s="21" t="str">
        <f>IF(Deployments!AI248="","",Deployments!AI248)</f>
        <v/>
      </c>
      <c r="J247" s="21" t="str">
        <f>IF(Deployments!AJ248="","",Deployments!AJ248)</f>
        <v/>
      </c>
      <c r="K247" s="21" t="str">
        <f>IF(Deployments!AD248="","",Deployments!AD248)</f>
        <v/>
      </c>
      <c r="L247" s="21" t="str">
        <f>IF(Deployments!M248="","",Deployments!M248)</f>
        <v/>
      </c>
      <c r="M247" s="22"/>
      <c r="N247" s="21" t="str">
        <f>IF(Deployments!N248="","",Deployments!N248)</f>
        <v/>
      </c>
      <c r="O247" s="21" t="str">
        <f>IF(Deployments!O248="","",Deployments!O248)</f>
        <v/>
      </c>
      <c r="P247" s="21" t="str">
        <f>IF(Deployments!P248="","",Deployments!P248)</f>
        <v/>
      </c>
      <c r="Q247" s="22"/>
      <c r="R247" s="21" t="str">
        <f>IF(Deployments!AY248="","",Deployments!AY248)</f>
        <v/>
      </c>
      <c r="S247" s="21" t="str">
        <f>IF(Deployments!AX248="","",Deployments!AX248)</f>
        <v/>
      </c>
      <c r="T247" s="21" t="str">
        <f>IF(Deployments!AV248="","",Deployments!AV248)</f>
        <v/>
      </c>
      <c r="U247" s="21" t="str">
        <f>IF(Deployments!AW248="","",Deployments!AW248)</f>
        <v/>
      </c>
      <c r="V247" s="21" t="str">
        <f>IF(Deployments!BA248="","",Deployments!BA248)</f>
        <v/>
      </c>
      <c r="W247" s="21" t="str">
        <f>IF(Deployments!BC248="","",Deployments!BC248)</f>
        <v/>
      </c>
      <c r="X247" s="21" t="str">
        <f>IF(Deployments!BK248="","",Deployments!BK248)</f>
        <v/>
      </c>
      <c r="Y247" s="21" t="str">
        <f>IF(Deployments!BB248="","",Deployments!BB248)</f>
        <v/>
      </c>
      <c r="Z247" s="21" t="str">
        <f>IF(Deployments!T248="","",Deployments!T248)</f>
        <v/>
      </c>
      <c r="AA247" s="21" t="str">
        <f>IF(Deployments!L248="","",Deployments!L248)</f>
        <v/>
      </c>
    </row>
    <row r="248" spans="1:27">
      <c r="A248" s="22"/>
      <c r="B248" s="22"/>
      <c r="C248" s="21" t="str">
        <f>IF(Deployments!H249="","",Deployments!H249)</f>
        <v/>
      </c>
      <c r="D248" s="21" t="str">
        <f>IF(Deployments!AH249="","",Deployments!AH249)</f>
        <v/>
      </c>
      <c r="E248" s="21" t="str">
        <f>IF(Deployments!I249="","",Deployments!I249)</f>
        <v/>
      </c>
      <c r="F248" s="21" t="str">
        <f>IF(Deployments!J249="","",Deployments!J249)</f>
        <v/>
      </c>
      <c r="G248" s="21" t="str">
        <f>IF(Deployments!K249="","",Deployments!K249)</f>
        <v/>
      </c>
      <c r="H248" s="21" t="str">
        <f>IF(Deployments!A249="","",Deployments!A249)</f>
        <v/>
      </c>
      <c r="I248" s="21" t="str">
        <f>IF(Deployments!AI249="","",Deployments!AI249)</f>
        <v/>
      </c>
      <c r="J248" s="21" t="str">
        <f>IF(Deployments!AJ249="","",Deployments!AJ249)</f>
        <v/>
      </c>
      <c r="K248" s="21" t="str">
        <f>IF(Deployments!AD249="","",Deployments!AD249)</f>
        <v/>
      </c>
      <c r="L248" s="21" t="str">
        <f>IF(Deployments!M249="","",Deployments!M249)</f>
        <v/>
      </c>
      <c r="M248" s="22"/>
      <c r="N248" s="21" t="str">
        <f>IF(Deployments!N249="","",Deployments!N249)</f>
        <v/>
      </c>
      <c r="O248" s="21" t="str">
        <f>IF(Deployments!O249="","",Deployments!O249)</f>
        <v/>
      </c>
      <c r="P248" s="21" t="str">
        <f>IF(Deployments!P249="","",Deployments!P249)</f>
        <v/>
      </c>
      <c r="Q248" s="22"/>
      <c r="R248" s="21" t="str">
        <f>IF(Deployments!AY249="","",Deployments!AY249)</f>
        <v/>
      </c>
      <c r="S248" s="21" t="str">
        <f>IF(Deployments!AX249="","",Deployments!AX249)</f>
        <v/>
      </c>
      <c r="T248" s="21" t="str">
        <f>IF(Deployments!AV249="","",Deployments!AV249)</f>
        <v/>
      </c>
      <c r="U248" s="21" t="str">
        <f>IF(Deployments!AW249="","",Deployments!AW249)</f>
        <v/>
      </c>
      <c r="V248" s="21" t="str">
        <f>IF(Deployments!BA249="","",Deployments!BA249)</f>
        <v/>
      </c>
      <c r="W248" s="21" t="str">
        <f>IF(Deployments!BC249="","",Deployments!BC249)</f>
        <v/>
      </c>
      <c r="X248" s="21" t="str">
        <f>IF(Deployments!BK249="","",Deployments!BK249)</f>
        <v/>
      </c>
      <c r="Y248" s="21" t="str">
        <f>IF(Deployments!BB249="","",Deployments!BB249)</f>
        <v/>
      </c>
      <c r="Z248" s="21" t="str">
        <f>IF(Deployments!T249="","",Deployments!T249)</f>
        <v/>
      </c>
      <c r="AA248" s="21" t="str">
        <f>IF(Deployments!L249="","",Deployments!L249)</f>
        <v/>
      </c>
    </row>
    <row r="249" spans="1:27">
      <c r="A249" s="22"/>
      <c r="B249" s="22"/>
      <c r="C249" s="21" t="str">
        <f>IF(Deployments!H250="","",Deployments!H250)</f>
        <v/>
      </c>
      <c r="D249" s="21" t="str">
        <f>IF(Deployments!AH250="","",Deployments!AH250)</f>
        <v/>
      </c>
      <c r="E249" s="21" t="str">
        <f>IF(Deployments!I250="","",Deployments!I250)</f>
        <v/>
      </c>
      <c r="F249" s="21" t="str">
        <f>IF(Deployments!J250="","",Deployments!J250)</f>
        <v/>
      </c>
      <c r="G249" s="21" t="str">
        <f>IF(Deployments!K250="","",Deployments!K250)</f>
        <v/>
      </c>
      <c r="H249" s="21" t="str">
        <f>IF(Deployments!A250="","",Deployments!A250)</f>
        <v/>
      </c>
      <c r="I249" s="21" t="str">
        <f>IF(Deployments!AI250="","",Deployments!AI250)</f>
        <v/>
      </c>
      <c r="J249" s="21" t="str">
        <f>IF(Deployments!AJ250="","",Deployments!AJ250)</f>
        <v/>
      </c>
      <c r="K249" s="21" t="str">
        <f>IF(Deployments!AD250="","",Deployments!AD250)</f>
        <v/>
      </c>
      <c r="L249" s="21" t="str">
        <f>IF(Deployments!M250="","",Deployments!M250)</f>
        <v/>
      </c>
      <c r="M249" s="22"/>
      <c r="N249" s="21" t="str">
        <f>IF(Deployments!N250="","",Deployments!N250)</f>
        <v/>
      </c>
      <c r="O249" s="21" t="str">
        <f>IF(Deployments!O250="","",Deployments!O250)</f>
        <v/>
      </c>
      <c r="P249" s="21" t="str">
        <f>IF(Deployments!P250="","",Deployments!P250)</f>
        <v/>
      </c>
      <c r="Q249" s="22"/>
      <c r="R249" s="21" t="str">
        <f>IF(Deployments!AY250="","",Deployments!AY250)</f>
        <v/>
      </c>
      <c r="S249" s="21" t="str">
        <f>IF(Deployments!AX250="","",Deployments!AX250)</f>
        <v/>
      </c>
      <c r="T249" s="21" t="str">
        <f>IF(Deployments!AV250="","",Deployments!AV250)</f>
        <v/>
      </c>
      <c r="U249" s="21" t="str">
        <f>IF(Deployments!AW250="","",Deployments!AW250)</f>
        <v/>
      </c>
      <c r="V249" s="21" t="str">
        <f>IF(Deployments!BA250="","",Deployments!BA250)</f>
        <v/>
      </c>
      <c r="W249" s="21" t="str">
        <f>IF(Deployments!BC250="","",Deployments!BC250)</f>
        <v/>
      </c>
      <c r="X249" s="21" t="str">
        <f>IF(Deployments!BK250="","",Deployments!BK250)</f>
        <v/>
      </c>
      <c r="Y249" s="21" t="str">
        <f>IF(Deployments!BB250="","",Deployments!BB250)</f>
        <v/>
      </c>
      <c r="Z249" s="21" t="str">
        <f>IF(Deployments!T250="","",Deployments!T250)</f>
        <v/>
      </c>
      <c r="AA249" s="21" t="str">
        <f>IF(Deployments!L250="","",Deployments!L250)</f>
        <v/>
      </c>
    </row>
    <row r="250" spans="1:27">
      <c r="A250" s="22"/>
      <c r="B250" s="22"/>
      <c r="C250" s="21" t="str">
        <f>IF(Deployments!H251="","",Deployments!H251)</f>
        <v/>
      </c>
      <c r="D250" s="21" t="str">
        <f>IF(Deployments!AH251="","",Deployments!AH251)</f>
        <v/>
      </c>
      <c r="E250" s="21" t="str">
        <f>IF(Deployments!I251="","",Deployments!I251)</f>
        <v/>
      </c>
      <c r="F250" s="21" t="str">
        <f>IF(Deployments!J251="","",Deployments!J251)</f>
        <v/>
      </c>
      <c r="G250" s="21" t="str">
        <f>IF(Deployments!K251="","",Deployments!K251)</f>
        <v/>
      </c>
      <c r="H250" s="21" t="str">
        <f>IF(Deployments!A251="","",Deployments!A251)</f>
        <v/>
      </c>
      <c r="I250" s="21" t="str">
        <f>IF(Deployments!AI251="","",Deployments!AI251)</f>
        <v/>
      </c>
      <c r="J250" s="21" t="str">
        <f>IF(Deployments!AJ251="","",Deployments!AJ251)</f>
        <v/>
      </c>
      <c r="K250" s="21" t="str">
        <f>IF(Deployments!AD251="","",Deployments!AD251)</f>
        <v/>
      </c>
      <c r="L250" s="21" t="str">
        <f>IF(Deployments!M251="","",Deployments!M251)</f>
        <v/>
      </c>
      <c r="M250" s="22"/>
      <c r="N250" s="21" t="str">
        <f>IF(Deployments!N251="","",Deployments!N251)</f>
        <v/>
      </c>
      <c r="O250" s="21" t="str">
        <f>IF(Deployments!O251="","",Deployments!O251)</f>
        <v/>
      </c>
      <c r="P250" s="21" t="str">
        <f>IF(Deployments!P251="","",Deployments!P251)</f>
        <v/>
      </c>
      <c r="Q250" s="22"/>
      <c r="R250" s="21" t="str">
        <f>IF(Deployments!AY251="","",Deployments!AY251)</f>
        <v/>
      </c>
      <c r="S250" s="21" t="str">
        <f>IF(Deployments!AX251="","",Deployments!AX251)</f>
        <v/>
      </c>
      <c r="T250" s="21" t="str">
        <f>IF(Deployments!AV251="","",Deployments!AV251)</f>
        <v/>
      </c>
      <c r="U250" s="21" t="str">
        <f>IF(Deployments!AW251="","",Deployments!AW251)</f>
        <v/>
      </c>
      <c r="V250" s="21" t="str">
        <f>IF(Deployments!BA251="","",Deployments!BA251)</f>
        <v/>
      </c>
      <c r="W250" s="21" t="str">
        <f>IF(Deployments!BC251="","",Deployments!BC251)</f>
        <v/>
      </c>
      <c r="X250" s="21" t="str">
        <f>IF(Deployments!BK251="","",Deployments!BK251)</f>
        <v/>
      </c>
      <c r="Y250" s="21" t="str">
        <f>IF(Deployments!BB251="","",Deployments!BB251)</f>
        <v/>
      </c>
      <c r="Z250" s="21" t="str">
        <f>IF(Deployments!T251="","",Deployments!T251)</f>
        <v/>
      </c>
      <c r="AA250" s="21" t="str">
        <f>IF(Deployments!L251="","",Deployments!L251)</f>
        <v/>
      </c>
    </row>
    <row r="251" spans="1:27">
      <c r="A251" s="22"/>
      <c r="B251" s="22"/>
      <c r="C251" s="21" t="str">
        <f>IF(Deployments!H252="","",Deployments!H252)</f>
        <v/>
      </c>
      <c r="D251" s="21" t="str">
        <f>IF(Deployments!AH252="","",Deployments!AH252)</f>
        <v/>
      </c>
      <c r="E251" s="21" t="str">
        <f>IF(Deployments!I252="","",Deployments!I252)</f>
        <v/>
      </c>
      <c r="F251" s="21" t="str">
        <f>IF(Deployments!J252="","",Deployments!J252)</f>
        <v/>
      </c>
      <c r="G251" s="21" t="str">
        <f>IF(Deployments!K252="","",Deployments!K252)</f>
        <v/>
      </c>
      <c r="H251" s="21" t="str">
        <f>IF(Deployments!A252="","",Deployments!A252)</f>
        <v/>
      </c>
      <c r="I251" s="21" t="str">
        <f>IF(Deployments!AI252="","",Deployments!AI252)</f>
        <v/>
      </c>
      <c r="J251" s="21" t="str">
        <f>IF(Deployments!AJ252="","",Deployments!AJ252)</f>
        <v/>
      </c>
      <c r="K251" s="21" t="str">
        <f>IF(Deployments!AD252="","",Deployments!AD252)</f>
        <v/>
      </c>
      <c r="L251" s="21" t="str">
        <f>IF(Deployments!M252="","",Deployments!M252)</f>
        <v/>
      </c>
      <c r="M251" s="22"/>
      <c r="N251" s="21" t="str">
        <f>IF(Deployments!N252="","",Deployments!N252)</f>
        <v/>
      </c>
      <c r="O251" s="21" t="str">
        <f>IF(Deployments!O252="","",Deployments!O252)</f>
        <v/>
      </c>
      <c r="P251" s="21" t="str">
        <f>IF(Deployments!P252="","",Deployments!P252)</f>
        <v/>
      </c>
      <c r="Q251" s="22"/>
      <c r="R251" s="21" t="str">
        <f>IF(Deployments!AY252="","",Deployments!AY252)</f>
        <v/>
      </c>
      <c r="S251" s="21" t="str">
        <f>IF(Deployments!AX252="","",Deployments!AX252)</f>
        <v/>
      </c>
      <c r="T251" s="21" t="str">
        <f>IF(Deployments!AV252="","",Deployments!AV252)</f>
        <v/>
      </c>
      <c r="U251" s="21" t="str">
        <f>IF(Deployments!AW252="","",Deployments!AW252)</f>
        <v/>
      </c>
      <c r="V251" s="21" t="str">
        <f>IF(Deployments!BA252="","",Deployments!BA252)</f>
        <v/>
      </c>
      <c r="W251" s="21" t="str">
        <f>IF(Deployments!BC252="","",Deployments!BC252)</f>
        <v/>
      </c>
      <c r="X251" s="21" t="str">
        <f>IF(Deployments!BK252="","",Deployments!BK252)</f>
        <v/>
      </c>
      <c r="Y251" s="21" t="str">
        <f>IF(Deployments!BB252="","",Deployments!BB252)</f>
        <v/>
      </c>
      <c r="Z251" s="21" t="str">
        <f>IF(Deployments!T252="","",Deployments!T252)</f>
        <v/>
      </c>
      <c r="AA251" s="21" t="str">
        <f>IF(Deployments!L252="","",Deployments!L252)</f>
        <v/>
      </c>
    </row>
    <row r="252" spans="1:27">
      <c r="A252" s="22"/>
      <c r="B252" s="22"/>
      <c r="C252" s="21" t="str">
        <f>IF(Deployments!H253="","",Deployments!H253)</f>
        <v/>
      </c>
      <c r="D252" s="21" t="str">
        <f>IF(Deployments!AH253="","",Deployments!AH253)</f>
        <v/>
      </c>
      <c r="E252" s="21" t="str">
        <f>IF(Deployments!I253="","",Deployments!I253)</f>
        <v/>
      </c>
      <c r="F252" s="21" t="str">
        <f>IF(Deployments!J253="","",Deployments!J253)</f>
        <v/>
      </c>
      <c r="G252" s="21" t="str">
        <f>IF(Deployments!K253="","",Deployments!K253)</f>
        <v/>
      </c>
      <c r="H252" s="21" t="str">
        <f>IF(Deployments!A253="","",Deployments!A253)</f>
        <v/>
      </c>
      <c r="I252" s="21" t="str">
        <f>IF(Deployments!AI253="","",Deployments!AI253)</f>
        <v/>
      </c>
      <c r="J252" s="21" t="str">
        <f>IF(Deployments!AJ253="","",Deployments!AJ253)</f>
        <v/>
      </c>
      <c r="K252" s="21" t="str">
        <f>IF(Deployments!AD253="","",Deployments!AD253)</f>
        <v/>
      </c>
      <c r="L252" s="21" t="str">
        <f>IF(Deployments!M253="","",Deployments!M253)</f>
        <v/>
      </c>
      <c r="M252" s="22"/>
      <c r="N252" s="21" t="str">
        <f>IF(Deployments!N253="","",Deployments!N253)</f>
        <v/>
      </c>
      <c r="O252" s="21" t="str">
        <f>IF(Deployments!O253="","",Deployments!O253)</f>
        <v/>
      </c>
      <c r="P252" s="21" t="str">
        <f>IF(Deployments!P253="","",Deployments!P253)</f>
        <v/>
      </c>
      <c r="Q252" s="22"/>
      <c r="R252" s="21" t="str">
        <f>IF(Deployments!AY253="","",Deployments!AY253)</f>
        <v/>
      </c>
      <c r="S252" s="21" t="str">
        <f>IF(Deployments!AX253="","",Deployments!AX253)</f>
        <v/>
      </c>
      <c r="T252" s="21" t="str">
        <f>IF(Deployments!AV253="","",Deployments!AV253)</f>
        <v/>
      </c>
      <c r="U252" s="21" t="str">
        <f>IF(Deployments!AW253="","",Deployments!AW253)</f>
        <v/>
      </c>
      <c r="V252" s="21" t="str">
        <f>IF(Deployments!BA253="","",Deployments!BA253)</f>
        <v/>
      </c>
      <c r="W252" s="21" t="str">
        <f>IF(Deployments!BC253="","",Deployments!BC253)</f>
        <v/>
      </c>
      <c r="X252" s="21" t="str">
        <f>IF(Deployments!BK253="","",Deployments!BK253)</f>
        <v/>
      </c>
      <c r="Y252" s="21" t="str">
        <f>IF(Deployments!BB253="","",Deployments!BB253)</f>
        <v/>
      </c>
      <c r="Z252" s="21" t="str">
        <f>IF(Deployments!T253="","",Deployments!T253)</f>
        <v/>
      </c>
      <c r="AA252" s="21" t="str">
        <f>IF(Deployments!L253="","",Deployments!L253)</f>
        <v/>
      </c>
    </row>
    <row r="253" spans="1:27">
      <c r="A253" s="22"/>
      <c r="B253" s="22"/>
      <c r="C253" s="21" t="str">
        <f>IF(Deployments!H254="","",Deployments!H254)</f>
        <v/>
      </c>
      <c r="D253" s="21" t="str">
        <f>IF(Deployments!AH254="","",Deployments!AH254)</f>
        <v/>
      </c>
      <c r="E253" s="21" t="str">
        <f>IF(Deployments!I254="","",Deployments!I254)</f>
        <v/>
      </c>
      <c r="F253" s="21" t="str">
        <f>IF(Deployments!J254="","",Deployments!J254)</f>
        <v/>
      </c>
      <c r="G253" s="21" t="str">
        <f>IF(Deployments!K254="","",Deployments!K254)</f>
        <v/>
      </c>
      <c r="H253" s="21" t="str">
        <f>IF(Deployments!A254="","",Deployments!A254)</f>
        <v/>
      </c>
      <c r="I253" s="21" t="str">
        <f>IF(Deployments!AI254="","",Deployments!AI254)</f>
        <v/>
      </c>
      <c r="J253" s="21" t="str">
        <f>IF(Deployments!AJ254="","",Deployments!AJ254)</f>
        <v/>
      </c>
      <c r="K253" s="21" t="str">
        <f>IF(Deployments!AD254="","",Deployments!AD254)</f>
        <v/>
      </c>
      <c r="L253" s="21" t="str">
        <f>IF(Deployments!M254="","",Deployments!M254)</f>
        <v/>
      </c>
      <c r="M253" s="22"/>
      <c r="N253" s="21" t="str">
        <f>IF(Deployments!N254="","",Deployments!N254)</f>
        <v/>
      </c>
      <c r="O253" s="21" t="str">
        <f>IF(Deployments!O254="","",Deployments!O254)</f>
        <v/>
      </c>
      <c r="P253" s="21" t="str">
        <f>IF(Deployments!P254="","",Deployments!P254)</f>
        <v/>
      </c>
      <c r="Q253" s="22"/>
      <c r="R253" s="21" t="str">
        <f>IF(Deployments!AY254="","",Deployments!AY254)</f>
        <v/>
      </c>
      <c r="S253" s="21" t="str">
        <f>IF(Deployments!AX254="","",Deployments!AX254)</f>
        <v/>
      </c>
      <c r="T253" s="21" t="str">
        <f>IF(Deployments!AV254="","",Deployments!AV254)</f>
        <v/>
      </c>
      <c r="U253" s="21" t="str">
        <f>IF(Deployments!AW254="","",Deployments!AW254)</f>
        <v/>
      </c>
      <c r="V253" s="21" t="str">
        <f>IF(Deployments!BA254="","",Deployments!BA254)</f>
        <v/>
      </c>
      <c r="W253" s="21" t="str">
        <f>IF(Deployments!BC254="","",Deployments!BC254)</f>
        <v/>
      </c>
      <c r="X253" s="21" t="str">
        <f>IF(Deployments!BK254="","",Deployments!BK254)</f>
        <v/>
      </c>
      <c r="Y253" s="21" t="str">
        <f>IF(Deployments!BB254="","",Deployments!BB254)</f>
        <v/>
      </c>
      <c r="Z253" s="21" t="str">
        <f>IF(Deployments!T254="","",Deployments!T254)</f>
        <v/>
      </c>
      <c r="AA253" s="21" t="str">
        <f>IF(Deployments!L254="","",Deployments!L254)</f>
        <v/>
      </c>
    </row>
    <row r="254" spans="1:27">
      <c r="A254" s="22"/>
      <c r="B254" s="22"/>
      <c r="C254" s="21" t="str">
        <f>IF(Deployments!H255="","",Deployments!H255)</f>
        <v/>
      </c>
      <c r="D254" s="21" t="str">
        <f>IF(Deployments!AH255="","",Deployments!AH255)</f>
        <v/>
      </c>
      <c r="E254" s="21" t="str">
        <f>IF(Deployments!I255="","",Deployments!I255)</f>
        <v/>
      </c>
      <c r="F254" s="21" t="str">
        <f>IF(Deployments!J255="","",Deployments!J255)</f>
        <v/>
      </c>
      <c r="G254" s="21" t="str">
        <f>IF(Deployments!K255="","",Deployments!K255)</f>
        <v/>
      </c>
      <c r="H254" s="21" t="str">
        <f>IF(Deployments!A255="","",Deployments!A255)</f>
        <v/>
      </c>
      <c r="I254" s="21" t="str">
        <f>IF(Deployments!AI255="","",Deployments!AI255)</f>
        <v/>
      </c>
      <c r="J254" s="21" t="str">
        <f>IF(Deployments!AJ255="","",Deployments!AJ255)</f>
        <v/>
      </c>
      <c r="K254" s="21" t="str">
        <f>IF(Deployments!AD255="","",Deployments!AD255)</f>
        <v/>
      </c>
      <c r="L254" s="21" t="str">
        <f>IF(Deployments!M255="","",Deployments!M255)</f>
        <v/>
      </c>
      <c r="M254" s="22"/>
      <c r="N254" s="21" t="str">
        <f>IF(Deployments!N255="","",Deployments!N255)</f>
        <v/>
      </c>
      <c r="O254" s="21" t="str">
        <f>IF(Deployments!O255="","",Deployments!O255)</f>
        <v/>
      </c>
      <c r="P254" s="21" t="str">
        <f>IF(Deployments!P255="","",Deployments!P255)</f>
        <v/>
      </c>
      <c r="Q254" s="22"/>
      <c r="R254" s="21" t="str">
        <f>IF(Deployments!AY255="","",Deployments!AY255)</f>
        <v/>
      </c>
      <c r="S254" s="21" t="str">
        <f>IF(Deployments!AX255="","",Deployments!AX255)</f>
        <v/>
      </c>
      <c r="T254" s="21" t="str">
        <f>IF(Deployments!AV255="","",Deployments!AV255)</f>
        <v/>
      </c>
      <c r="U254" s="21" t="str">
        <f>IF(Deployments!AW255="","",Deployments!AW255)</f>
        <v/>
      </c>
      <c r="V254" s="21" t="str">
        <f>IF(Deployments!BA255="","",Deployments!BA255)</f>
        <v/>
      </c>
      <c r="W254" s="21" t="str">
        <f>IF(Deployments!BC255="","",Deployments!BC255)</f>
        <v/>
      </c>
      <c r="X254" s="21" t="str">
        <f>IF(Deployments!BK255="","",Deployments!BK255)</f>
        <v/>
      </c>
      <c r="Y254" s="21" t="str">
        <f>IF(Deployments!BB255="","",Deployments!BB255)</f>
        <v/>
      </c>
      <c r="Z254" s="21" t="str">
        <f>IF(Deployments!T255="","",Deployments!T255)</f>
        <v/>
      </c>
      <c r="AA254" s="21" t="str">
        <f>IF(Deployments!L255="","",Deployments!L255)</f>
        <v/>
      </c>
    </row>
    <row r="255" spans="1:27">
      <c r="A255" s="22"/>
      <c r="B255" s="22"/>
      <c r="C255" s="21" t="str">
        <f>IF(Deployments!H256="","",Deployments!H256)</f>
        <v/>
      </c>
      <c r="D255" s="21" t="str">
        <f>IF(Deployments!AH256="","",Deployments!AH256)</f>
        <v/>
      </c>
      <c r="E255" s="21" t="str">
        <f>IF(Deployments!I256="","",Deployments!I256)</f>
        <v/>
      </c>
      <c r="F255" s="21" t="str">
        <f>IF(Deployments!J256="","",Deployments!J256)</f>
        <v/>
      </c>
      <c r="G255" s="21" t="str">
        <f>IF(Deployments!K256="","",Deployments!K256)</f>
        <v/>
      </c>
      <c r="H255" s="21" t="str">
        <f>IF(Deployments!A256="","",Deployments!A256)</f>
        <v/>
      </c>
      <c r="I255" s="21" t="str">
        <f>IF(Deployments!AI256="","",Deployments!AI256)</f>
        <v/>
      </c>
      <c r="J255" s="21" t="str">
        <f>IF(Deployments!AJ256="","",Deployments!AJ256)</f>
        <v/>
      </c>
      <c r="K255" s="21" t="str">
        <f>IF(Deployments!AD256="","",Deployments!AD256)</f>
        <v/>
      </c>
      <c r="L255" s="21" t="str">
        <f>IF(Deployments!M256="","",Deployments!M256)</f>
        <v/>
      </c>
      <c r="M255" s="22"/>
      <c r="N255" s="21" t="str">
        <f>IF(Deployments!N256="","",Deployments!N256)</f>
        <v/>
      </c>
      <c r="O255" s="21" t="str">
        <f>IF(Deployments!O256="","",Deployments!O256)</f>
        <v/>
      </c>
      <c r="P255" s="21" t="str">
        <f>IF(Deployments!P256="","",Deployments!P256)</f>
        <v/>
      </c>
      <c r="Q255" s="22"/>
      <c r="R255" s="21" t="str">
        <f>IF(Deployments!AY256="","",Deployments!AY256)</f>
        <v/>
      </c>
      <c r="S255" s="21" t="str">
        <f>IF(Deployments!AX256="","",Deployments!AX256)</f>
        <v/>
      </c>
      <c r="T255" s="21" t="str">
        <f>IF(Deployments!AV256="","",Deployments!AV256)</f>
        <v/>
      </c>
      <c r="U255" s="21" t="str">
        <f>IF(Deployments!AW256="","",Deployments!AW256)</f>
        <v/>
      </c>
      <c r="V255" s="21" t="str">
        <f>IF(Deployments!BA256="","",Deployments!BA256)</f>
        <v/>
      </c>
      <c r="W255" s="21" t="str">
        <f>IF(Deployments!BC256="","",Deployments!BC256)</f>
        <v/>
      </c>
      <c r="X255" s="21" t="str">
        <f>IF(Deployments!BK256="","",Deployments!BK256)</f>
        <v/>
      </c>
      <c r="Y255" s="21" t="str">
        <f>IF(Deployments!BB256="","",Deployments!BB256)</f>
        <v/>
      </c>
      <c r="Z255" s="21" t="str">
        <f>IF(Deployments!T256="","",Deployments!T256)</f>
        <v/>
      </c>
      <c r="AA255" s="21" t="str">
        <f>IF(Deployments!L256="","",Deployments!L256)</f>
        <v/>
      </c>
    </row>
    <row r="256" spans="1:27">
      <c r="A256" s="22"/>
      <c r="B256" s="22"/>
      <c r="C256" s="21" t="str">
        <f>IF(Deployments!H257="","",Deployments!H257)</f>
        <v/>
      </c>
      <c r="D256" s="21" t="str">
        <f>IF(Deployments!AH257="","",Deployments!AH257)</f>
        <v/>
      </c>
      <c r="E256" s="21" t="str">
        <f>IF(Deployments!I257="","",Deployments!I257)</f>
        <v/>
      </c>
      <c r="F256" s="21" t="str">
        <f>IF(Deployments!J257="","",Deployments!J257)</f>
        <v/>
      </c>
      <c r="G256" s="21" t="str">
        <f>IF(Deployments!K257="","",Deployments!K257)</f>
        <v/>
      </c>
      <c r="H256" s="21" t="str">
        <f>IF(Deployments!A257="","",Deployments!A257)</f>
        <v/>
      </c>
      <c r="I256" s="21" t="str">
        <f>IF(Deployments!AI257="","",Deployments!AI257)</f>
        <v/>
      </c>
      <c r="J256" s="21" t="str">
        <f>IF(Deployments!AJ257="","",Deployments!AJ257)</f>
        <v/>
      </c>
      <c r="K256" s="21" t="str">
        <f>IF(Deployments!AD257="","",Deployments!AD257)</f>
        <v/>
      </c>
      <c r="L256" s="21" t="str">
        <f>IF(Deployments!M257="","",Deployments!M257)</f>
        <v/>
      </c>
      <c r="M256" s="22"/>
      <c r="N256" s="21" t="str">
        <f>IF(Deployments!N257="","",Deployments!N257)</f>
        <v/>
      </c>
      <c r="O256" s="21" t="str">
        <f>IF(Deployments!O257="","",Deployments!O257)</f>
        <v/>
      </c>
      <c r="P256" s="21" t="str">
        <f>IF(Deployments!P257="","",Deployments!P257)</f>
        <v/>
      </c>
      <c r="Q256" s="22"/>
      <c r="R256" s="21" t="str">
        <f>IF(Deployments!AY257="","",Deployments!AY257)</f>
        <v/>
      </c>
      <c r="S256" s="21" t="str">
        <f>IF(Deployments!AX257="","",Deployments!AX257)</f>
        <v/>
      </c>
      <c r="T256" s="21" t="str">
        <f>IF(Deployments!AV257="","",Deployments!AV257)</f>
        <v/>
      </c>
      <c r="U256" s="21" t="str">
        <f>IF(Deployments!AW257="","",Deployments!AW257)</f>
        <v/>
      </c>
      <c r="V256" s="21" t="str">
        <f>IF(Deployments!BA257="","",Deployments!BA257)</f>
        <v/>
      </c>
      <c r="W256" s="21" t="str">
        <f>IF(Deployments!BC257="","",Deployments!BC257)</f>
        <v/>
      </c>
      <c r="X256" s="21" t="str">
        <f>IF(Deployments!BK257="","",Deployments!BK257)</f>
        <v/>
      </c>
      <c r="Y256" s="21" t="str">
        <f>IF(Deployments!BB257="","",Deployments!BB257)</f>
        <v/>
      </c>
      <c r="Z256" s="21" t="str">
        <f>IF(Deployments!T257="","",Deployments!T257)</f>
        <v/>
      </c>
      <c r="AA256" s="21" t="str">
        <f>IF(Deployments!L257="","",Deployments!L257)</f>
        <v/>
      </c>
    </row>
    <row r="257" spans="1:27">
      <c r="A257" s="22"/>
      <c r="B257" s="22"/>
      <c r="C257" s="21" t="str">
        <f>IF(Deployments!H258="","",Deployments!H258)</f>
        <v/>
      </c>
      <c r="D257" s="21" t="str">
        <f>IF(Deployments!AH258="","",Deployments!AH258)</f>
        <v/>
      </c>
      <c r="E257" s="21" t="str">
        <f>IF(Deployments!I258="","",Deployments!I258)</f>
        <v/>
      </c>
      <c r="F257" s="21" t="str">
        <f>IF(Deployments!J258="","",Deployments!J258)</f>
        <v/>
      </c>
      <c r="G257" s="21" t="str">
        <f>IF(Deployments!K258="","",Deployments!K258)</f>
        <v/>
      </c>
      <c r="H257" s="21" t="str">
        <f>IF(Deployments!A258="","",Deployments!A258)</f>
        <v/>
      </c>
      <c r="I257" s="21" t="str">
        <f>IF(Deployments!AI258="","",Deployments!AI258)</f>
        <v/>
      </c>
      <c r="J257" s="21" t="str">
        <f>IF(Deployments!AJ258="","",Deployments!AJ258)</f>
        <v/>
      </c>
      <c r="K257" s="21" t="str">
        <f>IF(Deployments!AD258="","",Deployments!AD258)</f>
        <v/>
      </c>
      <c r="L257" s="21" t="str">
        <f>IF(Deployments!M258="","",Deployments!M258)</f>
        <v/>
      </c>
      <c r="M257" s="22"/>
      <c r="N257" s="21" t="str">
        <f>IF(Deployments!N258="","",Deployments!N258)</f>
        <v/>
      </c>
      <c r="O257" s="21" t="str">
        <f>IF(Deployments!O258="","",Deployments!O258)</f>
        <v/>
      </c>
      <c r="P257" s="21" t="str">
        <f>IF(Deployments!P258="","",Deployments!P258)</f>
        <v/>
      </c>
      <c r="Q257" s="22"/>
      <c r="R257" s="21" t="str">
        <f>IF(Deployments!AY258="","",Deployments!AY258)</f>
        <v/>
      </c>
      <c r="S257" s="21" t="str">
        <f>IF(Deployments!AX258="","",Deployments!AX258)</f>
        <v/>
      </c>
      <c r="T257" s="21" t="str">
        <f>IF(Deployments!AV258="","",Deployments!AV258)</f>
        <v/>
      </c>
      <c r="U257" s="21" t="str">
        <f>IF(Deployments!AW258="","",Deployments!AW258)</f>
        <v/>
      </c>
      <c r="V257" s="21" t="str">
        <f>IF(Deployments!BA258="","",Deployments!BA258)</f>
        <v/>
      </c>
      <c r="W257" s="21" t="str">
        <f>IF(Deployments!BC258="","",Deployments!BC258)</f>
        <v/>
      </c>
      <c r="X257" s="21" t="str">
        <f>IF(Deployments!BK258="","",Deployments!BK258)</f>
        <v/>
      </c>
      <c r="Y257" s="21" t="str">
        <f>IF(Deployments!BB258="","",Deployments!BB258)</f>
        <v/>
      </c>
      <c r="Z257" s="21" t="str">
        <f>IF(Deployments!T258="","",Deployments!T258)</f>
        <v/>
      </c>
      <c r="AA257" s="21" t="str">
        <f>IF(Deployments!L258="","",Deployments!L258)</f>
        <v/>
      </c>
    </row>
    <row r="258" spans="1:27">
      <c r="A258" s="22"/>
      <c r="B258" s="22"/>
      <c r="C258" s="21" t="str">
        <f>IF(Deployments!H259="","",Deployments!H259)</f>
        <v/>
      </c>
      <c r="D258" s="21" t="str">
        <f>IF(Deployments!AH259="","",Deployments!AH259)</f>
        <v/>
      </c>
      <c r="E258" s="21" t="str">
        <f>IF(Deployments!I259="","",Deployments!I259)</f>
        <v/>
      </c>
      <c r="F258" s="21" t="str">
        <f>IF(Deployments!J259="","",Deployments!J259)</f>
        <v/>
      </c>
      <c r="G258" s="21" t="str">
        <f>IF(Deployments!K259="","",Deployments!K259)</f>
        <v/>
      </c>
      <c r="H258" s="21" t="str">
        <f>IF(Deployments!A259="","",Deployments!A259)</f>
        <v/>
      </c>
      <c r="I258" s="21" t="str">
        <f>IF(Deployments!AI259="","",Deployments!AI259)</f>
        <v/>
      </c>
      <c r="J258" s="21" t="str">
        <f>IF(Deployments!AJ259="","",Deployments!AJ259)</f>
        <v/>
      </c>
      <c r="K258" s="21" t="str">
        <f>IF(Deployments!AD259="","",Deployments!AD259)</f>
        <v/>
      </c>
      <c r="L258" s="21" t="str">
        <f>IF(Deployments!M259="","",Deployments!M259)</f>
        <v/>
      </c>
      <c r="M258" s="22"/>
      <c r="N258" s="21" t="str">
        <f>IF(Deployments!N259="","",Deployments!N259)</f>
        <v/>
      </c>
      <c r="O258" s="21" t="str">
        <f>IF(Deployments!O259="","",Deployments!O259)</f>
        <v/>
      </c>
      <c r="P258" s="21" t="str">
        <f>IF(Deployments!P259="","",Deployments!P259)</f>
        <v/>
      </c>
      <c r="Q258" s="22"/>
      <c r="R258" s="21" t="str">
        <f>IF(Deployments!AY259="","",Deployments!AY259)</f>
        <v/>
      </c>
      <c r="S258" s="21" t="str">
        <f>IF(Deployments!AX259="","",Deployments!AX259)</f>
        <v/>
      </c>
      <c r="T258" s="21" t="str">
        <f>IF(Deployments!AV259="","",Deployments!AV259)</f>
        <v/>
      </c>
      <c r="U258" s="21" t="str">
        <f>IF(Deployments!AW259="","",Deployments!AW259)</f>
        <v/>
      </c>
      <c r="V258" s="21" t="str">
        <f>IF(Deployments!BA259="","",Deployments!BA259)</f>
        <v/>
      </c>
      <c r="W258" s="21" t="str">
        <f>IF(Deployments!BC259="","",Deployments!BC259)</f>
        <v/>
      </c>
      <c r="X258" s="21" t="str">
        <f>IF(Deployments!BK259="","",Deployments!BK259)</f>
        <v/>
      </c>
      <c r="Y258" s="21" t="str">
        <f>IF(Deployments!BB259="","",Deployments!BB259)</f>
        <v/>
      </c>
      <c r="Z258" s="21" t="str">
        <f>IF(Deployments!T259="","",Deployments!T259)</f>
        <v/>
      </c>
      <c r="AA258" s="21" t="str">
        <f>IF(Deployments!L259="","",Deployments!L259)</f>
        <v/>
      </c>
    </row>
    <row r="259" spans="1:27">
      <c r="A259" s="22"/>
      <c r="B259" s="22"/>
      <c r="C259" s="21" t="str">
        <f>IF(Deployments!H260="","",Deployments!H260)</f>
        <v/>
      </c>
      <c r="D259" s="21" t="str">
        <f>IF(Deployments!AH260="","",Deployments!AH260)</f>
        <v/>
      </c>
      <c r="E259" s="21" t="str">
        <f>IF(Deployments!I260="","",Deployments!I260)</f>
        <v/>
      </c>
      <c r="F259" s="21" t="str">
        <f>IF(Deployments!J260="","",Deployments!J260)</f>
        <v/>
      </c>
      <c r="G259" s="21" t="str">
        <f>IF(Deployments!K260="","",Deployments!K260)</f>
        <v/>
      </c>
      <c r="H259" s="21" t="str">
        <f>IF(Deployments!A260="","",Deployments!A260)</f>
        <v/>
      </c>
      <c r="I259" s="21" t="str">
        <f>IF(Deployments!AI260="","",Deployments!AI260)</f>
        <v/>
      </c>
      <c r="J259" s="21" t="str">
        <f>IF(Deployments!AJ260="","",Deployments!AJ260)</f>
        <v/>
      </c>
      <c r="K259" s="21" t="str">
        <f>IF(Deployments!AD260="","",Deployments!AD260)</f>
        <v/>
      </c>
      <c r="L259" s="21" t="str">
        <f>IF(Deployments!M260="","",Deployments!M260)</f>
        <v/>
      </c>
      <c r="M259" s="22"/>
      <c r="N259" s="21" t="str">
        <f>IF(Deployments!N260="","",Deployments!N260)</f>
        <v/>
      </c>
      <c r="O259" s="21" t="str">
        <f>IF(Deployments!O260="","",Deployments!O260)</f>
        <v/>
      </c>
      <c r="P259" s="21" t="str">
        <f>IF(Deployments!P260="","",Deployments!P260)</f>
        <v/>
      </c>
      <c r="Q259" s="22"/>
      <c r="R259" s="21" t="str">
        <f>IF(Deployments!AY260="","",Deployments!AY260)</f>
        <v/>
      </c>
      <c r="S259" s="21" t="str">
        <f>IF(Deployments!AX260="","",Deployments!AX260)</f>
        <v/>
      </c>
      <c r="T259" s="21" t="str">
        <f>IF(Deployments!AV260="","",Deployments!AV260)</f>
        <v/>
      </c>
      <c r="U259" s="21" t="str">
        <f>IF(Deployments!AW260="","",Deployments!AW260)</f>
        <v/>
      </c>
      <c r="V259" s="21" t="str">
        <f>IF(Deployments!BA260="","",Deployments!BA260)</f>
        <v/>
      </c>
      <c r="W259" s="21" t="str">
        <f>IF(Deployments!BC260="","",Deployments!BC260)</f>
        <v/>
      </c>
      <c r="X259" s="21" t="str">
        <f>IF(Deployments!BK260="","",Deployments!BK260)</f>
        <v/>
      </c>
      <c r="Y259" s="21" t="str">
        <f>IF(Deployments!BB260="","",Deployments!BB260)</f>
        <v/>
      </c>
      <c r="Z259" s="21" t="str">
        <f>IF(Deployments!T260="","",Deployments!T260)</f>
        <v/>
      </c>
      <c r="AA259" s="21" t="str">
        <f>IF(Deployments!L260="","",Deployments!L260)</f>
        <v/>
      </c>
    </row>
    <row r="260" spans="1:27">
      <c r="A260" s="22"/>
      <c r="B260" s="22"/>
      <c r="C260" s="21" t="str">
        <f>IF(Deployments!H261="","",Deployments!H261)</f>
        <v/>
      </c>
      <c r="D260" s="21" t="str">
        <f>IF(Deployments!AH261="","",Deployments!AH261)</f>
        <v/>
      </c>
      <c r="E260" s="21" t="str">
        <f>IF(Deployments!I261="","",Deployments!I261)</f>
        <v/>
      </c>
      <c r="F260" s="21" t="str">
        <f>IF(Deployments!J261="","",Deployments!J261)</f>
        <v/>
      </c>
      <c r="G260" s="21" t="str">
        <f>IF(Deployments!K261="","",Deployments!K261)</f>
        <v/>
      </c>
      <c r="H260" s="21" t="str">
        <f>IF(Deployments!A261="","",Deployments!A261)</f>
        <v/>
      </c>
      <c r="I260" s="21" t="str">
        <f>IF(Deployments!AI261="","",Deployments!AI261)</f>
        <v/>
      </c>
      <c r="J260" s="21" t="str">
        <f>IF(Deployments!AJ261="","",Deployments!AJ261)</f>
        <v/>
      </c>
      <c r="K260" s="21" t="str">
        <f>IF(Deployments!AD261="","",Deployments!AD261)</f>
        <v/>
      </c>
      <c r="L260" s="21" t="str">
        <f>IF(Deployments!M261="","",Deployments!M261)</f>
        <v/>
      </c>
      <c r="M260" s="22"/>
      <c r="N260" s="21" t="str">
        <f>IF(Deployments!N261="","",Deployments!N261)</f>
        <v/>
      </c>
      <c r="O260" s="21" t="str">
        <f>IF(Deployments!O261="","",Deployments!O261)</f>
        <v/>
      </c>
      <c r="P260" s="21" t="str">
        <f>IF(Deployments!P261="","",Deployments!P261)</f>
        <v/>
      </c>
      <c r="Q260" s="22"/>
      <c r="R260" s="21" t="str">
        <f>IF(Deployments!AY261="","",Deployments!AY261)</f>
        <v/>
      </c>
      <c r="S260" s="21" t="str">
        <f>IF(Deployments!AX261="","",Deployments!AX261)</f>
        <v/>
      </c>
      <c r="T260" s="21" t="str">
        <f>IF(Deployments!AV261="","",Deployments!AV261)</f>
        <v/>
      </c>
      <c r="U260" s="21" t="str">
        <f>IF(Deployments!AW261="","",Deployments!AW261)</f>
        <v/>
      </c>
      <c r="V260" s="21" t="str">
        <f>IF(Deployments!BA261="","",Deployments!BA261)</f>
        <v/>
      </c>
      <c r="W260" s="21" t="str">
        <f>IF(Deployments!BC261="","",Deployments!BC261)</f>
        <v/>
      </c>
      <c r="X260" s="21" t="str">
        <f>IF(Deployments!BK261="","",Deployments!BK261)</f>
        <v/>
      </c>
      <c r="Y260" s="21" t="str">
        <f>IF(Deployments!BB261="","",Deployments!BB261)</f>
        <v/>
      </c>
      <c r="Z260" s="21" t="str">
        <f>IF(Deployments!T261="","",Deployments!T261)</f>
        <v/>
      </c>
      <c r="AA260" s="21" t="str">
        <f>IF(Deployments!L261="","",Deployments!L261)</f>
        <v/>
      </c>
    </row>
    <row r="261" spans="1:27">
      <c r="A261" s="22"/>
      <c r="B261" s="22"/>
      <c r="C261" s="21" t="str">
        <f>IF(Deployments!H262="","",Deployments!H262)</f>
        <v/>
      </c>
      <c r="D261" s="21" t="str">
        <f>IF(Deployments!AH262="","",Deployments!AH262)</f>
        <v/>
      </c>
      <c r="E261" s="21" t="str">
        <f>IF(Deployments!I262="","",Deployments!I262)</f>
        <v/>
      </c>
      <c r="F261" s="21" t="str">
        <f>IF(Deployments!J262="","",Deployments!J262)</f>
        <v/>
      </c>
      <c r="G261" s="21" t="str">
        <f>IF(Deployments!K262="","",Deployments!K262)</f>
        <v/>
      </c>
      <c r="H261" s="21" t="str">
        <f>IF(Deployments!A262="","",Deployments!A262)</f>
        <v/>
      </c>
      <c r="I261" s="21" t="str">
        <f>IF(Deployments!AI262="","",Deployments!AI262)</f>
        <v/>
      </c>
      <c r="J261" s="21" t="str">
        <f>IF(Deployments!AJ262="","",Deployments!AJ262)</f>
        <v/>
      </c>
      <c r="K261" s="21" t="str">
        <f>IF(Deployments!AD262="","",Deployments!AD262)</f>
        <v/>
      </c>
      <c r="L261" s="21" t="str">
        <f>IF(Deployments!M262="","",Deployments!M262)</f>
        <v/>
      </c>
      <c r="M261" s="22"/>
      <c r="N261" s="21" t="str">
        <f>IF(Deployments!N262="","",Deployments!N262)</f>
        <v/>
      </c>
      <c r="O261" s="21" t="str">
        <f>IF(Deployments!O262="","",Deployments!O262)</f>
        <v/>
      </c>
      <c r="P261" s="21" t="str">
        <f>IF(Deployments!P262="","",Deployments!P262)</f>
        <v/>
      </c>
      <c r="Q261" s="22"/>
      <c r="R261" s="21" t="str">
        <f>IF(Deployments!AY262="","",Deployments!AY262)</f>
        <v/>
      </c>
      <c r="S261" s="21" t="str">
        <f>IF(Deployments!AX262="","",Deployments!AX262)</f>
        <v/>
      </c>
      <c r="T261" s="21" t="str">
        <f>IF(Deployments!AV262="","",Deployments!AV262)</f>
        <v/>
      </c>
      <c r="U261" s="21" t="str">
        <f>IF(Deployments!AW262="","",Deployments!AW262)</f>
        <v/>
      </c>
      <c r="V261" s="21" t="str">
        <f>IF(Deployments!BA262="","",Deployments!BA262)</f>
        <v/>
      </c>
      <c r="W261" s="21" t="str">
        <f>IF(Deployments!BC262="","",Deployments!BC262)</f>
        <v/>
      </c>
      <c r="X261" s="21" t="str">
        <f>IF(Deployments!BK262="","",Deployments!BK262)</f>
        <v/>
      </c>
      <c r="Y261" s="21" t="str">
        <f>IF(Deployments!BB262="","",Deployments!BB262)</f>
        <v/>
      </c>
      <c r="Z261" s="21" t="str">
        <f>IF(Deployments!T262="","",Deployments!T262)</f>
        <v/>
      </c>
      <c r="AA261" s="21" t="str">
        <f>IF(Deployments!L262="","",Deployments!L262)</f>
        <v/>
      </c>
    </row>
    <row r="262" spans="1:27">
      <c r="A262" s="22"/>
      <c r="B262" s="22"/>
      <c r="C262" s="21" t="str">
        <f>IF(Deployments!H263="","",Deployments!H263)</f>
        <v/>
      </c>
      <c r="D262" s="21" t="str">
        <f>IF(Deployments!AH263="","",Deployments!AH263)</f>
        <v/>
      </c>
      <c r="E262" s="21" t="str">
        <f>IF(Deployments!I263="","",Deployments!I263)</f>
        <v/>
      </c>
      <c r="F262" s="21" t="str">
        <f>IF(Deployments!J263="","",Deployments!J263)</f>
        <v/>
      </c>
      <c r="G262" s="21" t="str">
        <f>IF(Deployments!K263="","",Deployments!K263)</f>
        <v/>
      </c>
      <c r="H262" s="21" t="str">
        <f>IF(Deployments!A263="","",Deployments!A263)</f>
        <v/>
      </c>
      <c r="I262" s="21" t="str">
        <f>IF(Deployments!AI263="","",Deployments!AI263)</f>
        <v/>
      </c>
      <c r="J262" s="21" t="str">
        <f>IF(Deployments!AJ263="","",Deployments!AJ263)</f>
        <v/>
      </c>
      <c r="K262" s="21" t="str">
        <f>IF(Deployments!AD263="","",Deployments!AD263)</f>
        <v/>
      </c>
      <c r="L262" s="21" t="str">
        <f>IF(Deployments!M263="","",Deployments!M263)</f>
        <v/>
      </c>
      <c r="M262" s="22"/>
      <c r="N262" s="21" t="str">
        <f>IF(Deployments!N263="","",Deployments!N263)</f>
        <v/>
      </c>
      <c r="O262" s="21" t="str">
        <f>IF(Deployments!O263="","",Deployments!O263)</f>
        <v/>
      </c>
      <c r="P262" s="21" t="str">
        <f>IF(Deployments!P263="","",Deployments!P263)</f>
        <v/>
      </c>
      <c r="Q262" s="22"/>
      <c r="R262" s="21" t="str">
        <f>IF(Deployments!AY263="","",Deployments!AY263)</f>
        <v/>
      </c>
      <c r="S262" s="21" t="str">
        <f>IF(Deployments!AX263="","",Deployments!AX263)</f>
        <v/>
      </c>
      <c r="T262" s="21" t="str">
        <f>IF(Deployments!AV263="","",Deployments!AV263)</f>
        <v/>
      </c>
      <c r="U262" s="21" t="str">
        <f>IF(Deployments!AW263="","",Deployments!AW263)</f>
        <v/>
      </c>
      <c r="V262" s="21" t="str">
        <f>IF(Deployments!BA263="","",Deployments!BA263)</f>
        <v/>
      </c>
      <c r="W262" s="21" t="str">
        <f>IF(Deployments!BC263="","",Deployments!BC263)</f>
        <v/>
      </c>
      <c r="X262" s="21" t="str">
        <f>IF(Deployments!BK263="","",Deployments!BK263)</f>
        <v/>
      </c>
      <c r="Y262" s="21" t="str">
        <f>IF(Deployments!BB263="","",Deployments!BB263)</f>
        <v/>
      </c>
      <c r="Z262" s="21" t="str">
        <f>IF(Deployments!T263="","",Deployments!T263)</f>
        <v/>
      </c>
      <c r="AA262" s="21" t="str">
        <f>IF(Deployments!L263="","",Deployments!L263)</f>
        <v/>
      </c>
    </row>
    <row r="263" spans="1:27">
      <c r="A263" s="22"/>
      <c r="B263" s="22"/>
      <c r="C263" s="21" t="str">
        <f>IF(Deployments!H264="","",Deployments!H264)</f>
        <v/>
      </c>
      <c r="D263" s="21" t="str">
        <f>IF(Deployments!AH264="","",Deployments!AH264)</f>
        <v/>
      </c>
      <c r="E263" s="21" t="str">
        <f>IF(Deployments!I264="","",Deployments!I264)</f>
        <v/>
      </c>
      <c r="F263" s="21" t="str">
        <f>IF(Deployments!J264="","",Deployments!J264)</f>
        <v/>
      </c>
      <c r="G263" s="21" t="str">
        <f>IF(Deployments!K264="","",Deployments!K264)</f>
        <v/>
      </c>
      <c r="H263" s="21" t="str">
        <f>IF(Deployments!A264="","",Deployments!A264)</f>
        <v/>
      </c>
      <c r="I263" s="21" t="str">
        <f>IF(Deployments!AI264="","",Deployments!AI264)</f>
        <v/>
      </c>
      <c r="J263" s="21" t="str">
        <f>IF(Deployments!AJ264="","",Deployments!AJ264)</f>
        <v/>
      </c>
      <c r="K263" s="21" t="str">
        <f>IF(Deployments!AD264="","",Deployments!AD264)</f>
        <v/>
      </c>
      <c r="L263" s="21" t="str">
        <f>IF(Deployments!M264="","",Deployments!M264)</f>
        <v/>
      </c>
      <c r="M263" s="22"/>
      <c r="N263" s="21" t="str">
        <f>IF(Deployments!N264="","",Deployments!N264)</f>
        <v/>
      </c>
      <c r="O263" s="21" t="str">
        <f>IF(Deployments!O264="","",Deployments!O264)</f>
        <v/>
      </c>
      <c r="P263" s="21" t="str">
        <f>IF(Deployments!P264="","",Deployments!P264)</f>
        <v/>
      </c>
      <c r="Q263" s="22"/>
      <c r="R263" s="21" t="str">
        <f>IF(Deployments!AY264="","",Deployments!AY264)</f>
        <v/>
      </c>
      <c r="S263" s="21" t="str">
        <f>IF(Deployments!AX264="","",Deployments!AX264)</f>
        <v/>
      </c>
      <c r="T263" s="21" t="str">
        <f>IF(Deployments!AV264="","",Deployments!AV264)</f>
        <v/>
      </c>
      <c r="U263" s="21" t="str">
        <f>IF(Deployments!AW264="","",Deployments!AW264)</f>
        <v/>
      </c>
      <c r="V263" s="21" t="str">
        <f>IF(Deployments!BA264="","",Deployments!BA264)</f>
        <v/>
      </c>
      <c r="W263" s="21" t="str">
        <f>IF(Deployments!BC264="","",Deployments!BC264)</f>
        <v/>
      </c>
      <c r="X263" s="21" t="str">
        <f>IF(Deployments!BK264="","",Deployments!BK264)</f>
        <v/>
      </c>
      <c r="Y263" s="21" t="str">
        <f>IF(Deployments!BB264="","",Deployments!BB264)</f>
        <v/>
      </c>
      <c r="Z263" s="21" t="str">
        <f>IF(Deployments!T264="","",Deployments!T264)</f>
        <v/>
      </c>
      <c r="AA263" s="21" t="str">
        <f>IF(Deployments!L264="","",Deployments!L264)</f>
        <v/>
      </c>
    </row>
    <row r="264" spans="1:27">
      <c r="A264" s="22"/>
      <c r="B264" s="22"/>
      <c r="C264" s="21" t="str">
        <f>IF(Deployments!H265="","",Deployments!H265)</f>
        <v/>
      </c>
      <c r="D264" s="21" t="str">
        <f>IF(Deployments!AH265="","",Deployments!AH265)</f>
        <v/>
      </c>
      <c r="E264" s="21" t="str">
        <f>IF(Deployments!I265="","",Deployments!I265)</f>
        <v/>
      </c>
      <c r="F264" s="21" t="str">
        <f>IF(Deployments!J265="","",Deployments!J265)</f>
        <v/>
      </c>
      <c r="G264" s="21" t="str">
        <f>IF(Deployments!K265="","",Deployments!K265)</f>
        <v/>
      </c>
      <c r="H264" s="21" t="str">
        <f>IF(Deployments!A265="","",Deployments!A265)</f>
        <v/>
      </c>
      <c r="I264" s="21" t="str">
        <f>IF(Deployments!AI265="","",Deployments!AI265)</f>
        <v/>
      </c>
      <c r="J264" s="21" t="str">
        <f>IF(Deployments!AJ265="","",Deployments!AJ265)</f>
        <v/>
      </c>
      <c r="K264" s="21" t="str">
        <f>IF(Deployments!AD265="","",Deployments!AD265)</f>
        <v/>
      </c>
      <c r="L264" s="21" t="str">
        <f>IF(Deployments!M265="","",Deployments!M265)</f>
        <v/>
      </c>
      <c r="M264" s="22"/>
      <c r="N264" s="21" t="str">
        <f>IF(Deployments!N265="","",Deployments!N265)</f>
        <v/>
      </c>
      <c r="O264" s="21" t="str">
        <f>IF(Deployments!O265="","",Deployments!O265)</f>
        <v/>
      </c>
      <c r="P264" s="21" t="str">
        <f>IF(Deployments!P265="","",Deployments!P265)</f>
        <v/>
      </c>
      <c r="Q264" s="22"/>
      <c r="R264" s="21" t="str">
        <f>IF(Deployments!AY265="","",Deployments!AY265)</f>
        <v/>
      </c>
      <c r="S264" s="21" t="str">
        <f>IF(Deployments!AX265="","",Deployments!AX265)</f>
        <v/>
      </c>
      <c r="T264" s="21" t="str">
        <f>IF(Deployments!AV265="","",Deployments!AV265)</f>
        <v/>
      </c>
      <c r="U264" s="21" t="str">
        <f>IF(Deployments!AW265="","",Deployments!AW265)</f>
        <v/>
      </c>
      <c r="V264" s="21" t="str">
        <f>IF(Deployments!BA265="","",Deployments!BA265)</f>
        <v/>
      </c>
      <c r="W264" s="21" t="str">
        <f>IF(Deployments!BC265="","",Deployments!BC265)</f>
        <v/>
      </c>
      <c r="X264" s="21" t="str">
        <f>IF(Deployments!BK265="","",Deployments!BK265)</f>
        <v/>
      </c>
      <c r="Y264" s="21" t="str">
        <f>IF(Deployments!BB265="","",Deployments!BB265)</f>
        <v/>
      </c>
      <c r="Z264" s="21" t="str">
        <f>IF(Deployments!T265="","",Deployments!T265)</f>
        <v/>
      </c>
      <c r="AA264" s="21" t="str">
        <f>IF(Deployments!L265="","",Deployments!L265)</f>
        <v/>
      </c>
    </row>
    <row r="265" spans="1:27">
      <c r="A265" s="22"/>
      <c r="B265" s="22"/>
      <c r="C265" s="21" t="str">
        <f>IF(Deployments!H266="","",Deployments!H266)</f>
        <v/>
      </c>
      <c r="D265" s="21" t="str">
        <f>IF(Deployments!AH266="","",Deployments!AH266)</f>
        <v/>
      </c>
      <c r="E265" s="21" t="str">
        <f>IF(Deployments!I266="","",Deployments!I266)</f>
        <v/>
      </c>
      <c r="F265" s="21" t="str">
        <f>IF(Deployments!J266="","",Deployments!J266)</f>
        <v/>
      </c>
      <c r="G265" s="21" t="str">
        <f>IF(Deployments!K266="","",Deployments!K266)</f>
        <v/>
      </c>
      <c r="H265" s="21" t="str">
        <f>IF(Deployments!A266="","",Deployments!A266)</f>
        <v/>
      </c>
      <c r="I265" s="21" t="str">
        <f>IF(Deployments!AI266="","",Deployments!AI266)</f>
        <v/>
      </c>
      <c r="J265" s="21" t="str">
        <f>IF(Deployments!AJ266="","",Deployments!AJ266)</f>
        <v/>
      </c>
      <c r="K265" s="21" t="str">
        <f>IF(Deployments!AD266="","",Deployments!AD266)</f>
        <v/>
      </c>
      <c r="L265" s="21" t="str">
        <f>IF(Deployments!M266="","",Deployments!M266)</f>
        <v/>
      </c>
      <c r="M265" s="22"/>
      <c r="N265" s="21" t="str">
        <f>IF(Deployments!N266="","",Deployments!N266)</f>
        <v/>
      </c>
      <c r="O265" s="21" t="str">
        <f>IF(Deployments!O266="","",Deployments!O266)</f>
        <v/>
      </c>
      <c r="P265" s="21" t="str">
        <f>IF(Deployments!P266="","",Deployments!P266)</f>
        <v/>
      </c>
      <c r="Q265" s="22"/>
      <c r="R265" s="21" t="str">
        <f>IF(Deployments!AY266="","",Deployments!AY266)</f>
        <v/>
      </c>
      <c r="S265" s="21" t="str">
        <f>IF(Deployments!AX266="","",Deployments!AX266)</f>
        <v/>
      </c>
      <c r="T265" s="21" t="str">
        <f>IF(Deployments!AV266="","",Deployments!AV266)</f>
        <v/>
      </c>
      <c r="U265" s="21" t="str">
        <f>IF(Deployments!AW266="","",Deployments!AW266)</f>
        <v/>
      </c>
      <c r="V265" s="21" t="str">
        <f>IF(Deployments!BA266="","",Deployments!BA266)</f>
        <v/>
      </c>
      <c r="W265" s="21" t="str">
        <f>IF(Deployments!BC266="","",Deployments!BC266)</f>
        <v/>
      </c>
      <c r="X265" s="21" t="str">
        <f>IF(Deployments!BK266="","",Deployments!BK266)</f>
        <v/>
      </c>
      <c r="Y265" s="21" t="str">
        <f>IF(Deployments!BB266="","",Deployments!BB266)</f>
        <v/>
      </c>
      <c r="Z265" s="21" t="str">
        <f>IF(Deployments!T266="","",Deployments!T266)</f>
        <v/>
      </c>
      <c r="AA265" s="21" t="str">
        <f>IF(Deployments!L266="","",Deployments!L266)</f>
        <v/>
      </c>
    </row>
    <row r="266" spans="1:27">
      <c r="A266" s="22"/>
      <c r="B266" s="22"/>
      <c r="C266" s="21" t="str">
        <f>IF(Deployments!H267="","",Deployments!H267)</f>
        <v/>
      </c>
      <c r="D266" s="21" t="str">
        <f>IF(Deployments!AH267="","",Deployments!AH267)</f>
        <v/>
      </c>
      <c r="E266" s="21" t="str">
        <f>IF(Deployments!I267="","",Deployments!I267)</f>
        <v/>
      </c>
      <c r="F266" s="21" t="str">
        <f>IF(Deployments!J267="","",Deployments!J267)</f>
        <v/>
      </c>
      <c r="G266" s="21" t="str">
        <f>IF(Deployments!K267="","",Deployments!K267)</f>
        <v/>
      </c>
      <c r="H266" s="21" t="str">
        <f>IF(Deployments!A267="","",Deployments!A267)</f>
        <v/>
      </c>
      <c r="I266" s="21" t="str">
        <f>IF(Deployments!AI267="","",Deployments!AI267)</f>
        <v/>
      </c>
      <c r="J266" s="21" t="str">
        <f>IF(Deployments!AJ267="","",Deployments!AJ267)</f>
        <v/>
      </c>
      <c r="K266" s="21" t="str">
        <f>IF(Deployments!AD267="","",Deployments!AD267)</f>
        <v/>
      </c>
      <c r="L266" s="21" t="str">
        <f>IF(Deployments!M267="","",Deployments!M267)</f>
        <v/>
      </c>
      <c r="M266" s="22"/>
      <c r="N266" s="21" t="str">
        <f>IF(Deployments!N267="","",Deployments!N267)</f>
        <v/>
      </c>
      <c r="O266" s="21" t="str">
        <f>IF(Deployments!O267="","",Deployments!O267)</f>
        <v/>
      </c>
      <c r="P266" s="21" t="str">
        <f>IF(Deployments!P267="","",Deployments!P267)</f>
        <v/>
      </c>
      <c r="Q266" s="22"/>
      <c r="R266" s="21" t="str">
        <f>IF(Deployments!AY267="","",Deployments!AY267)</f>
        <v/>
      </c>
      <c r="S266" s="21" t="str">
        <f>IF(Deployments!AX267="","",Deployments!AX267)</f>
        <v/>
      </c>
      <c r="T266" s="21" t="str">
        <f>IF(Deployments!AV267="","",Deployments!AV267)</f>
        <v/>
      </c>
      <c r="U266" s="21" t="str">
        <f>IF(Deployments!AW267="","",Deployments!AW267)</f>
        <v/>
      </c>
      <c r="V266" s="21" t="str">
        <f>IF(Deployments!BA267="","",Deployments!BA267)</f>
        <v/>
      </c>
      <c r="W266" s="21" t="str">
        <f>IF(Deployments!BC267="","",Deployments!BC267)</f>
        <v/>
      </c>
      <c r="X266" s="21" t="str">
        <f>IF(Deployments!BK267="","",Deployments!BK267)</f>
        <v/>
      </c>
      <c r="Y266" s="21" t="str">
        <f>IF(Deployments!BB267="","",Deployments!BB267)</f>
        <v/>
      </c>
      <c r="Z266" s="21" t="str">
        <f>IF(Deployments!T267="","",Deployments!T267)</f>
        <v/>
      </c>
      <c r="AA266" s="21" t="str">
        <f>IF(Deployments!L267="","",Deployments!L267)</f>
        <v/>
      </c>
    </row>
    <row r="267" spans="1:27">
      <c r="A267" s="22"/>
      <c r="B267" s="22"/>
      <c r="C267" s="21" t="str">
        <f>IF(Deployments!H268="","",Deployments!H268)</f>
        <v/>
      </c>
      <c r="D267" s="21" t="str">
        <f>IF(Deployments!AH268="","",Deployments!AH268)</f>
        <v/>
      </c>
      <c r="E267" s="21" t="str">
        <f>IF(Deployments!I268="","",Deployments!I268)</f>
        <v/>
      </c>
      <c r="F267" s="21" t="str">
        <f>IF(Deployments!J268="","",Deployments!J268)</f>
        <v/>
      </c>
      <c r="G267" s="21" t="str">
        <f>IF(Deployments!K268="","",Deployments!K268)</f>
        <v/>
      </c>
      <c r="H267" s="21" t="str">
        <f>IF(Deployments!A268="","",Deployments!A268)</f>
        <v/>
      </c>
      <c r="I267" s="21" t="str">
        <f>IF(Deployments!AI268="","",Deployments!AI268)</f>
        <v/>
      </c>
      <c r="J267" s="21" t="str">
        <f>IF(Deployments!AJ268="","",Deployments!AJ268)</f>
        <v/>
      </c>
      <c r="K267" s="21" t="str">
        <f>IF(Deployments!AD268="","",Deployments!AD268)</f>
        <v/>
      </c>
      <c r="L267" s="21" t="str">
        <f>IF(Deployments!M268="","",Deployments!M268)</f>
        <v/>
      </c>
      <c r="M267" s="22"/>
      <c r="N267" s="21" t="str">
        <f>IF(Deployments!N268="","",Deployments!N268)</f>
        <v/>
      </c>
      <c r="O267" s="21" t="str">
        <f>IF(Deployments!O268="","",Deployments!O268)</f>
        <v/>
      </c>
      <c r="P267" s="21" t="str">
        <f>IF(Deployments!P268="","",Deployments!P268)</f>
        <v/>
      </c>
      <c r="Q267" s="22"/>
      <c r="R267" s="21" t="str">
        <f>IF(Deployments!AY268="","",Deployments!AY268)</f>
        <v/>
      </c>
      <c r="S267" s="21" t="str">
        <f>IF(Deployments!AX268="","",Deployments!AX268)</f>
        <v/>
      </c>
      <c r="T267" s="21" t="str">
        <f>IF(Deployments!AV268="","",Deployments!AV268)</f>
        <v/>
      </c>
      <c r="U267" s="21" t="str">
        <f>IF(Deployments!AW268="","",Deployments!AW268)</f>
        <v/>
      </c>
      <c r="V267" s="21" t="str">
        <f>IF(Deployments!BA268="","",Deployments!BA268)</f>
        <v/>
      </c>
      <c r="W267" s="21" t="str">
        <f>IF(Deployments!BC268="","",Deployments!BC268)</f>
        <v/>
      </c>
      <c r="X267" s="21" t="str">
        <f>IF(Deployments!BK268="","",Deployments!BK268)</f>
        <v/>
      </c>
      <c r="Y267" s="21" t="str">
        <f>IF(Deployments!BB268="","",Deployments!BB268)</f>
        <v/>
      </c>
      <c r="Z267" s="21" t="str">
        <f>IF(Deployments!T268="","",Deployments!T268)</f>
        <v/>
      </c>
      <c r="AA267" s="21" t="str">
        <f>IF(Deployments!L268="","",Deployments!L268)</f>
        <v/>
      </c>
    </row>
    <row r="268" spans="1:27">
      <c r="A268" s="22"/>
      <c r="B268" s="22"/>
      <c r="C268" s="21" t="str">
        <f>IF(Deployments!H269="","",Deployments!H269)</f>
        <v/>
      </c>
      <c r="D268" s="21" t="str">
        <f>IF(Deployments!AH269="","",Deployments!AH269)</f>
        <v/>
      </c>
      <c r="E268" s="21" t="str">
        <f>IF(Deployments!I269="","",Deployments!I269)</f>
        <v/>
      </c>
      <c r="F268" s="21" t="str">
        <f>IF(Deployments!J269="","",Deployments!J269)</f>
        <v/>
      </c>
      <c r="G268" s="21" t="str">
        <f>IF(Deployments!K269="","",Deployments!K269)</f>
        <v/>
      </c>
      <c r="H268" s="21" t="str">
        <f>IF(Deployments!A269="","",Deployments!A269)</f>
        <v/>
      </c>
      <c r="I268" s="21" t="str">
        <f>IF(Deployments!AI269="","",Deployments!AI269)</f>
        <v/>
      </c>
      <c r="J268" s="21" t="str">
        <f>IF(Deployments!AJ269="","",Deployments!AJ269)</f>
        <v/>
      </c>
      <c r="K268" s="21" t="str">
        <f>IF(Deployments!AD269="","",Deployments!AD269)</f>
        <v/>
      </c>
      <c r="L268" s="21" t="str">
        <f>IF(Deployments!M269="","",Deployments!M269)</f>
        <v/>
      </c>
      <c r="M268" s="22"/>
      <c r="N268" s="21" t="str">
        <f>IF(Deployments!N269="","",Deployments!N269)</f>
        <v/>
      </c>
      <c r="O268" s="21" t="str">
        <f>IF(Deployments!O269="","",Deployments!O269)</f>
        <v/>
      </c>
      <c r="P268" s="21" t="str">
        <f>IF(Deployments!P269="","",Deployments!P269)</f>
        <v/>
      </c>
      <c r="Q268" s="22"/>
      <c r="R268" s="21" t="str">
        <f>IF(Deployments!AY269="","",Deployments!AY269)</f>
        <v/>
      </c>
      <c r="S268" s="21" t="str">
        <f>IF(Deployments!AX269="","",Deployments!AX269)</f>
        <v/>
      </c>
      <c r="T268" s="21" t="str">
        <f>IF(Deployments!AV269="","",Deployments!AV269)</f>
        <v/>
      </c>
      <c r="U268" s="21" t="str">
        <f>IF(Deployments!AW269="","",Deployments!AW269)</f>
        <v/>
      </c>
      <c r="V268" s="21" t="str">
        <f>IF(Deployments!BA269="","",Deployments!BA269)</f>
        <v/>
      </c>
      <c r="W268" s="21" t="str">
        <f>IF(Deployments!BC269="","",Deployments!BC269)</f>
        <v/>
      </c>
      <c r="X268" s="21" t="str">
        <f>IF(Deployments!BK269="","",Deployments!BK269)</f>
        <v/>
      </c>
      <c r="Y268" s="21" t="str">
        <f>IF(Deployments!BB269="","",Deployments!BB269)</f>
        <v/>
      </c>
      <c r="Z268" s="21" t="str">
        <f>IF(Deployments!T269="","",Deployments!T269)</f>
        <v/>
      </c>
      <c r="AA268" s="21" t="str">
        <f>IF(Deployments!L269="","",Deployments!L269)</f>
        <v/>
      </c>
    </row>
    <row r="269" spans="1:27">
      <c r="A269" s="22"/>
      <c r="B269" s="22"/>
      <c r="C269" s="21" t="str">
        <f>IF(Deployments!H270="","",Deployments!H270)</f>
        <v/>
      </c>
      <c r="D269" s="21" t="str">
        <f>IF(Deployments!AH270="","",Deployments!AH270)</f>
        <v/>
      </c>
      <c r="E269" s="21" t="str">
        <f>IF(Deployments!I270="","",Deployments!I270)</f>
        <v/>
      </c>
      <c r="F269" s="21" t="str">
        <f>IF(Deployments!J270="","",Deployments!J270)</f>
        <v/>
      </c>
      <c r="G269" s="21" t="str">
        <f>IF(Deployments!K270="","",Deployments!K270)</f>
        <v/>
      </c>
      <c r="H269" s="21" t="str">
        <f>IF(Deployments!A270="","",Deployments!A270)</f>
        <v/>
      </c>
      <c r="I269" s="21" t="str">
        <f>IF(Deployments!AI270="","",Deployments!AI270)</f>
        <v/>
      </c>
      <c r="J269" s="21" t="str">
        <f>IF(Deployments!AJ270="","",Deployments!AJ270)</f>
        <v/>
      </c>
      <c r="K269" s="21" t="str">
        <f>IF(Deployments!AD270="","",Deployments!AD270)</f>
        <v/>
      </c>
      <c r="L269" s="21" t="str">
        <f>IF(Deployments!M270="","",Deployments!M270)</f>
        <v/>
      </c>
      <c r="M269" s="22"/>
      <c r="N269" s="21" t="str">
        <f>IF(Deployments!N270="","",Deployments!N270)</f>
        <v/>
      </c>
      <c r="O269" s="21" t="str">
        <f>IF(Deployments!O270="","",Deployments!O270)</f>
        <v/>
      </c>
      <c r="P269" s="21" t="str">
        <f>IF(Deployments!P270="","",Deployments!P270)</f>
        <v/>
      </c>
      <c r="Q269" s="22"/>
      <c r="R269" s="21" t="str">
        <f>IF(Deployments!AY270="","",Deployments!AY270)</f>
        <v/>
      </c>
      <c r="S269" s="21" t="str">
        <f>IF(Deployments!AX270="","",Deployments!AX270)</f>
        <v/>
      </c>
      <c r="T269" s="21" t="str">
        <f>IF(Deployments!AV270="","",Deployments!AV270)</f>
        <v/>
      </c>
      <c r="U269" s="21" t="str">
        <f>IF(Deployments!AW270="","",Deployments!AW270)</f>
        <v/>
      </c>
      <c r="V269" s="21" t="str">
        <f>IF(Deployments!BA270="","",Deployments!BA270)</f>
        <v/>
      </c>
      <c r="W269" s="21" t="str">
        <f>IF(Deployments!BC270="","",Deployments!BC270)</f>
        <v/>
      </c>
      <c r="X269" s="21" t="str">
        <f>IF(Deployments!BK270="","",Deployments!BK270)</f>
        <v/>
      </c>
      <c r="Y269" s="21" t="str">
        <f>IF(Deployments!BB270="","",Deployments!BB270)</f>
        <v/>
      </c>
      <c r="Z269" s="21" t="str">
        <f>IF(Deployments!T270="","",Deployments!T270)</f>
        <v/>
      </c>
      <c r="AA269" s="21" t="str">
        <f>IF(Deployments!L270="","",Deployments!L270)</f>
        <v/>
      </c>
    </row>
    <row r="270" spans="1:27">
      <c r="A270" s="22"/>
      <c r="B270" s="22"/>
      <c r="C270" s="21" t="str">
        <f>IF(Deployments!H271="","",Deployments!H271)</f>
        <v/>
      </c>
      <c r="D270" s="21" t="str">
        <f>IF(Deployments!AH271="","",Deployments!AH271)</f>
        <v/>
      </c>
      <c r="E270" s="21" t="str">
        <f>IF(Deployments!I271="","",Deployments!I271)</f>
        <v/>
      </c>
      <c r="F270" s="21" t="str">
        <f>IF(Deployments!J271="","",Deployments!J271)</f>
        <v/>
      </c>
      <c r="G270" s="21" t="str">
        <f>IF(Deployments!K271="","",Deployments!K271)</f>
        <v/>
      </c>
      <c r="H270" s="21" t="str">
        <f>IF(Deployments!A271="","",Deployments!A271)</f>
        <v/>
      </c>
      <c r="I270" s="21" t="str">
        <f>IF(Deployments!AI271="","",Deployments!AI271)</f>
        <v/>
      </c>
      <c r="J270" s="21" t="str">
        <f>IF(Deployments!AJ271="","",Deployments!AJ271)</f>
        <v/>
      </c>
      <c r="K270" s="21" t="str">
        <f>IF(Deployments!AD271="","",Deployments!AD271)</f>
        <v/>
      </c>
      <c r="L270" s="21" t="str">
        <f>IF(Deployments!M271="","",Deployments!M271)</f>
        <v/>
      </c>
      <c r="M270" s="22"/>
      <c r="N270" s="21" t="str">
        <f>IF(Deployments!N271="","",Deployments!N271)</f>
        <v/>
      </c>
      <c r="O270" s="21" t="str">
        <f>IF(Deployments!O271="","",Deployments!O271)</f>
        <v/>
      </c>
      <c r="P270" s="21" t="str">
        <f>IF(Deployments!P271="","",Deployments!P271)</f>
        <v/>
      </c>
      <c r="Q270" s="22"/>
      <c r="R270" s="21" t="str">
        <f>IF(Deployments!AY271="","",Deployments!AY271)</f>
        <v/>
      </c>
      <c r="S270" s="21" t="str">
        <f>IF(Deployments!AX271="","",Deployments!AX271)</f>
        <v/>
      </c>
      <c r="T270" s="21" t="str">
        <f>IF(Deployments!AV271="","",Deployments!AV271)</f>
        <v/>
      </c>
      <c r="U270" s="21" t="str">
        <f>IF(Deployments!AW271="","",Deployments!AW271)</f>
        <v/>
      </c>
      <c r="V270" s="21" t="str">
        <f>IF(Deployments!BA271="","",Deployments!BA271)</f>
        <v/>
      </c>
      <c r="W270" s="21" t="str">
        <f>IF(Deployments!BC271="","",Deployments!BC271)</f>
        <v/>
      </c>
      <c r="X270" s="21" t="str">
        <f>IF(Deployments!BK271="","",Deployments!BK271)</f>
        <v/>
      </c>
      <c r="Y270" s="21" t="str">
        <f>IF(Deployments!BB271="","",Deployments!BB271)</f>
        <v/>
      </c>
      <c r="Z270" s="21" t="str">
        <f>IF(Deployments!T271="","",Deployments!T271)</f>
        <v/>
      </c>
      <c r="AA270" s="21" t="str">
        <f>IF(Deployments!L271="","",Deployments!L271)</f>
        <v/>
      </c>
    </row>
    <row r="271" spans="1:27">
      <c r="A271" s="22"/>
      <c r="B271" s="22"/>
      <c r="C271" s="21" t="str">
        <f>IF(Deployments!H272="","",Deployments!H272)</f>
        <v/>
      </c>
      <c r="D271" s="21" t="str">
        <f>IF(Deployments!AH272="","",Deployments!AH272)</f>
        <v/>
      </c>
      <c r="E271" s="21" t="str">
        <f>IF(Deployments!I272="","",Deployments!I272)</f>
        <v/>
      </c>
      <c r="F271" s="21" t="str">
        <f>IF(Deployments!J272="","",Deployments!J272)</f>
        <v/>
      </c>
      <c r="G271" s="21" t="str">
        <f>IF(Deployments!K272="","",Deployments!K272)</f>
        <v/>
      </c>
      <c r="H271" s="21" t="str">
        <f>IF(Deployments!A272="","",Deployments!A272)</f>
        <v/>
      </c>
      <c r="I271" s="21" t="str">
        <f>IF(Deployments!AI272="","",Deployments!AI272)</f>
        <v/>
      </c>
      <c r="J271" s="21" t="str">
        <f>IF(Deployments!AJ272="","",Deployments!AJ272)</f>
        <v/>
      </c>
      <c r="K271" s="21" t="str">
        <f>IF(Deployments!AD272="","",Deployments!AD272)</f>
        <v/>
      </c>
      <c r="L271" s="21" t="str">
        <f>IF(Deployments!M272="","",Deployments!M272)</f>
        <v/>
      </c>
      <c r="M271" s="22"/>
      <c r="N271" s="21" t="str">
        <f>IF(Deployments!N272="","",Deployments!N272)</f>
        <v/>
      </c>
      <c r="O271" s="21" t="str">
        <f>IF(Deployments!O272="","",Deployments!O272)</f>
        <v/>
      </c>
      <c r="P271" s="21" t="str">
        <f>IF(Deployments!P272="","",Deployments!P272)</f>
        <v/>
      </c>
      <c r="Q271" s="22"/>
      <c r="R271" s="21" t="str">
        <f>IF(Deployments!AY272="","",Deployments!AY272)</f>
        <v/>
      </c>
      <c r="S271" s="21" t="str">
        <f>IF(Deployments!AX272="","",Deployments!AX272)</f>
        <v/>
      </c>
      <c r="T271" s="21" t="str">
        <f>IF(Deployments!AV272="","",Deployments!AV272)</f>
        <v/>
      </c>
      <c r="U271" s="21" t="str">
        <f>IF(Deployments!AW272="","",Deployments!AW272)</f>
        <v/>
      </c>
      <c r="V271" s="21" t="str">
        <f>IF(Deployments!BA272="","",Deployments!BA272)</f>
        <v/>
      </c>
      <c r="W271" s="21" t="str">
        <f>IF(Deployments!BC272="","",Deployments!BC272)</f>
        <v/>
      </c>
      <c r="X271" s="21" t="str">
        <f>IF(Deployments!BK272="","",Deployments!BK272)</f>
        <v/>
      </c>
      <c r="Y271" s="21" t="str">
        <f>IF(Deployments!BB272="","",Deployments!BB272)</f>
        <v/>
      </c>
      <c r="Z271" s="21" t="str">
        <f>IF(Deployments!T272="","",Deployments!T272)</f>
        <v/>
      </c>
      <c r="AA271" s="21" t="str">
        <f>IF(Deployments!L272="","",Deployments!L272)</f>
        <v/>
      </c>
    </row>
    <row r="272" spans="1:27">
      <c r="A272" s="22"/>
      <c r="B272" s="22"/>
      <c r="C272" s="21" t="str">
        <f>IF(Deployments!H273="","",Deployments!H273)</f>
        <v/>
      </c>
      <c r="D272" s="21" t="str">
        <f>IF(Deployments!AH273="","",Deployments!AH273)</f>
        <v/>
      </c>
      <c r="E272" s="21" t="str">
        <f>IF(Deployments!I273="","",Deployments!I273)</f>
        <v/>
      </c>
      <c r="F272" s="21" t="str">
        <f>IF(Deployments!J273="","",Deployments!J273)</f>
        <v/>
      </c>
      <c r="G272" s="21" t="str">
        <f>IF(Deployments!K273="","",Deployments!K273)</f>
        <v/>
      </c>
      <c r="H272" s="21" t="str">
        <f>IF(Deployments!A273="","",Deployments!A273)</f>
        <v/>
      </c>
      <c r="I272" s="21" t="str">
        <f>IF(Deployments!AI273="","",Deployments!AI273)</f>
        <v/>
      </c>
      <c r="J272" s="21" t="str">
        <f>IF(Deployments!AJ273="","",Deployments!AJ273)</f>
        <v/>
      </c>
      <c r="K272" s="21" t="str">
        <f>IF(Deployments!AD273="","",Deployments!AD273)</f>
        <v/>
      </c>
      <c r="L272" s="21" t="str">
        <f>IF(Deployments!M273="","",Deployments!M273)</f>
        <v/>
      </c>
      <c r="M272" s="22"/>
      <c r="N272" s="21" t="str">
        <f>IF(Deployments!N273="","",Deployments!N273)</f>
        <v/>
      </c>
      <c r="O272" s="21" t="str">
        <f>IF(Deployments!O273="","",Deployments!O273)</f>
        <v/>
      </c>
      <c r="P272" s="21" t="str">
        <f>IF(Deployments!P273="","",Deployments!P273)</f>
        <v/>
      </c>
      <c r="Q272" s="22"/>
      <c r="R272" s="21" t="str">
        <f>IF(Deployments!AY273="","",Deployments!AY273)</f>
        <v/>
      </c>
      <c r="S272" s="21" t="str">
        <f>IF(Deployments!AX273="","",Deployments!AX273)</f>
        <v/>
      </c>
      <c r="T272" s="21" t="str">
        <f>IF(Deployments!AV273="","",Deployments!AV273)</f>
        <v/>
      </c>
      <c r="U272" s="21" t="str">
        <f>IF(Deployments!AW273="","",Deployments!AW273)</f>
        <v/>
      </c>
      <c r="V272" s="21" t="str">
        <f>IF(Deployments!BA273="","",Deployments!BA273)</f>
        <v/>
      </c>
      <c r="W272" s="21" t="str">
        <f>IF(Deployments!BC273="","",Deployments!BC273)</f>
        <v/>
      </c>
      <c r="X272" s="21" t="str">
        <f>IF(Deployments!BK273="","",Deployments!BK273)</f>
        <v/>
      </c>
      <c r="Y272" s="21" t="str">
        <f>IF(Deployments!BB273="","",Deployments!BB273)</f>
        <v/>
      </c>
      <c r="Z272" s="21" t="str">
        <f>IF(Deployments!T273="","",Deployments!T273)</f>
        <v/>
      </c>
      <c r="AA272" s="21" t="str">
        <f>IF(Deployments!L273="","",Deployments!L273)</f>
        <v/>
      </c>
    </row>
    <row r="273" spans="1:27">
      <c r="A273" s="22"/>
      <c r="B273" s="22"/>
      <c r="C273" s="21" t="str">
        <f>IF(Deployments!H274="","",Deployments!H274)</f>
        <v/>
      </c>
      <c r="D273" s="21" t="str">
        <f>IF(Deployments!AH274="","",Deployments!AH274)</f>
        <v/>
      </c>
      <c r="E273" s="21" t="str">
        <f>IF(Deployments!I274="","",Deployments!I274)</f>
        <v/>
      </c>
      <c r="F273" s="21" t="str">
        <f>IF(Deployments!J274="","",Deployments!J274)</f>
        <v/>
      </c>
      <c r="G273" s="21" t="str">
        <f>IF(Deployments!K274="","",Deployments!K274)</f>
        <v/>
      </c>
      <c r="H273" s="21" t="str">
        <f>IF(Deployments!A274="","",Deployments!A274)</f>
        <v/>
      </c>
      <c r="I273" s="21" t="str">
        <f>IF(Deployments!AI274="","",Deployments!AI274)</f>
        <v/>
      </c>
      <c r="J273" s="21" t="str">
        <f>IF(Deployments!AJ274="","",Deployments!AJ274)</f>
        <v/>
      </c>
      <c r="K273" s="21" t="str">
        <f>IF(Deployments!AD274="","",Deployments!AD274)</f>
        <v/>
      </c>
      <c r="L273" s="21" t="str">
        <f>IF(Deployments!M274="","",Deployments!M274)</f>
        <v/>
      </c>
      <c r="M273" s="22"/>
      <c r="N273" s="21" t="str">
        <f>IF(Deployments!N274="","",Deployments!N274)</f>
        <v/>
      </c>
      <c r="O273" s="21" t="str">
        <f>IF(Deployments!O274="","",Deployments!O274)</f>
        <v/>
      </c>
      <c r="P273" s="21" t="str">
        <f>IF(Deployments!P274="","",Deployments!P274)</f>
        <v/>
      </c>
      <c r="Q273" s="22"/>
      <c r="R273" s="21" t="str">
        <f>IF(Deployments!AY274="","",Deployments!AY274)</f>
        <v/>
      </c>
      <c r="S273" s="21" t="str">
        <f>IF(Deployments!AX274="","",Deployments!AX274)</f>
        <v/>
      </c>
      <c r="T273" s="21" t="str">
        <f>IF(Deployments!AV274="","",Deployments!AV274)</f>
        <v/>
      </c>
      <c r="U273" s="21" t="str">
        <f>IF(Deployments!AW274="","",Deployments!AW274)</f>
        <v/>
      </c>
      <c r="V273" s="21" t="str">
        <f>IF(Deployments!BA274="","",Deployments!BA274)</f>
        <v/>
      </c>
      <c r="W273" s="21" t="str">
        <f>IF(Deployments!BC274="","",Deployments!BC274)</f>
        <v/>
      </c>
      <c r="X273" s="21" t="str">
        <f>IF(Deployments!BK274="","",Deployments!BK274)</f>
        <v/>
      </c>
      <c r="Y273" s="21" t="str">
        <f>IF(Deployments!BB274="","",Deployments!BB274)</f>
        <v/>
      </c>
      <c r="Z273" s="21" t="str">
        <f>IF(Deployments!T274="","",Deployments!T274)</f>
        <v/>
      </c>
      <c r="AA273" s="21" t="str">
        <f>IF(Deployments!L274="","",Deployments!L274)</f>
        <v/>
      </c>
    </row>
    <row r="274" spans="1:27">
      <c r="A274" s="22"/>
      <c r="B274" s="22"/>
      <c r="C274" s="21" t="str">
        <f>IF(Deployments!H275="","",Deployments!H275)</f>
        <v/>
      </c>
      <c r="D274" s="21" t="str">
        <f>IF(Deployments!AH275="","",Deployments!AH275)</f>
        <v/>
      </c>
      <c r="E274" s="21" t="str">
        <f>IF(Deployments!I275="","",Deployments!I275)</f>
        <v/>
      </c>
      <c r="F274" s="21" t="str">
        <f>IF(Deployments!J275="","",Deployments!J275)</f>
        <v/>
      </c>
      <c r="G274" s="21" t="str">
        <f>IF(Deployments!K275="","",Deployments!K275)</f>
        <v/>
      </c>
      <c r="H274" s="21" t="str">
        <f>IF(Deployments!A275="","",Deployments!A275)</f>
        <v/>
      </c>
      <c r="I274" s="21" t="str">
        <f>IF(Deployments!AI275="","",Deployments!AI275)</f>
        <v/>
      </c>
      <c r="J274" s="21" t="str">
        <f>IF(Deployments!AJ275="","",Deployments!AJ275)</f>
        <v/>
      </c>
      <c r="K274" s="21" t="str">
        <f>IF(Deployments!AD275="","",Deployments!AD275)</f>
        <v/>
      </c>
      <c r="L274" s="21" t="str">
        <f>IF(Deployments!M275="","",Deployments!M275)</f>
        <v/>
      </c>
      <c r="M274" s="22"/>
      <c r="N274" s="21" t="str">
        <f>IF(Deployments!N275="","",Deployments!N275)</f>
        <v/>
      </c>
      <c r="O274" s="21" t="str">
        <f>IF(Deployments!O275="","",Deployments!O275)</f>
        <v/>
      </c>
      <c r="P274" s="21" t="str">
        <f>IF(Deployments!P275="","",Deployments!P275)</f>
        <v/>
      </c>
      <c r="Q274" s="22"/>
      <c r="R274" s="21" t="str">
        <f>IF(Deployments!AY275="","",Deployments!AY275)</f>
        <v/>
      </c>
      <c r="S274" s="21" t="str">
        <f>IF(Deployments!AX275="","",Deployments!AX275)</f>
        <v/>
      </c>
      <c r="T274" s="21" t="str">
        <f>IF(Deployments!AV275="","",Deployments!AV275)</f>
        <v/>
      </c>
      <c r="U274" s="21" t="str">
        <f>IF(Deployments!AW275="","",Deployments!AW275)</f>
        <v/>
      </c>
      <c r="V274" s="21" t="str">
        <f>IF(Deployments!BA275="","",Deployments!BA275)</f>
        <v/>
      </c>
      <c r="W274" s="21" t="str">
        <f>IF(Deployments!BC275="","",Deployments!BC275)</f>
        <v/>
      </c>
      <c r="X274" s="21" t="str">
        <f>IF(Deployments!BK275="","",Deployments!BK275)</f>
        <v/>
      </c>
      <c r="Y274" s="21" t="str">
        <f>IF(Deployments!BB275="","",Deployments!BB275)</f>
        <v/>
      </c>
      <c r="Z274" s="21" t="str">
        <f>IF(Deployments!T275="","",Deployments!T275)</f>
        <v/>
      </c>
      <c r="AA274" s="21" t="str">
        <f>IF(Deployments!L275="","",Deployments!L275)</f>
        <v/>
      </c>
    </row>
    <row r="275" spans="1:27">
      <c r="A275" s="22"/>
      <c r="B275" s="22"/>
      <c r="C275" s="21" t="str">
        <f>IF(Deployments!H276="","",Deployments!H276)</f>
        <v/>
      </c>
      <c r="D275" s="21" t="str">
        <f>IF(Deployments!AH276="","",Deployments!AH276)</f>
        <v/>
      </c>
      <c r="E275" s="21" t="str">
        <f>IF(Deployments!I276="","",Deployments!I276)</f>
        <v/>
      </c>
      <c r="F275" s="21" t="str">
        <f>IF(Deployments!J276="","",Deployments!J276)</f>
        <v/>
      </c>
      <c r="G275" s="21" t="str">
        <f>IF(Deployments!K276="","",Deployments!K276)</f>
        <v/>
      </c>
      <c r="H275" s="21" t="str">
        <f>IF(Deployments!A276="","",Deployments!A276)</f>
        <v/>
      </c>
      <c r="I275" s="21" t="str">
        <f>IF(Deployments!AI276="","",Deployments!AI276)</f>
        <v/>
      </c>
      <c r="J275" s="21" t="str">
        <f>IF(Deployments!AJ276="","",Deployments!AJ276)</f>
        <v/>
      </c>
      <c r="K275" s="21" t="str">
        <f>IF(Deployments!AD276="","",Deployments!AD276)</f>
        <v/>
      </c>
      <c r="L275" s="21" t="str">
        <f>IF(Deployments!M276="","",Deployments!M276)</f>
        <v/>
      </c>
      <c r="M275" s="22"/>
      <c r="N275" s="21" t="str">
        <f>IF(Deployments!N276="","",Deployments!N276)</f>
        <v/>
      </c>
      <c r="O275" s="21" t="str">
        <f>IF(Deployments!O276="","",Deployments!O276)</f>
        <v/>
      </c>
      <c r="P275" s="21" t="str">
        <f>IF(Deployments!P276="","",Deployments!P276)</f>
        <v/>
      </c>
      <c r="Q275" s="22"/>
      <c r="R275" s="21" t="str">
        <f>IF(Deployments!AY276="","",Deployments!AY276)</f>
        <v/>
      </c>
      <c r="S275" s="21" t="str">
        <f>IF(Deployments!AX276="","",Deployments!AX276)</f>
        <v/>
      </c>
      <c r="T275" s="21" t="str">
        <f>IF(Deployments!AV276="","",Deployments!AV276)</f>
        <v/>
      </c>
      <c r="U275" s="21" t="str">
        <f>IF(Deployments!AW276="","",Deployments!AW276)</f>
        <v/>
      </c>
      <c r="V275" s="21" t="str">
        <f>IF(Deployments!BA276="","",Deployments!BA276)</f>
        <v/>
      </c>
      <c r="W275" s="21" t="str">
        <f>IF(Deployments!BC276="","",Deployments!BC276)</f>
        <v/>
      </c>
      <c r="X275" s="21" t="str">
        <f>IF(Deployments!BK276="","",Deployments!BK276)</f>
        <v/>
      </c>
      <c r="Y275" s="21" t="str">
        <f>IF(Deployments!BB276="","",Deployments!BB276)</f>
        <v/>
      </c>
      <c r="Z275" s="21" t="str">
        <f>IF(Deployments!T276="","",Deployments!T276)</f>
        <v/>
      </c>
      <c r="AA275" s="21" t="str">
        <f>IF(Deployments!L276="","",Deployments!L276)</f>
        <v/>
      </c>
    </row>
    <row r="276" spans="1:27">
      <c r="A276" s="22"/>
      <c r="B276" s="22"/>
      <c r="C276" s="21" t="str">
        <f>IF(Deployments!H277="","",Deployments!H277)</f>
        <v/>
      </c>
      <c r="D276" s="21" t="str">
        <f>IF(Deployments!AH277="","",Deployments!AH277)</f>
        <v/>
      </c>
      <c r="E276" s="21" t="str">
        <f>IF(Deployments!I277="","",Deployments!I277)</f>
        <v/>
      </c>
      <c r="F276" s="21" t="str">
        <f>IF(Deployments!J277="","",Deployments!J277)</f>
        <v/>
      </c>
      <c r="G276" s="21" t="str">
        <f>IF(Deployments!K277="","",Deployments!K277)</f>
        <v/>
      </c>
      <c r="H276" s="21" t="str">
        <f>IF(Deployments!A277="","",Deployments!A277)</f>
        <v/>
      </c>
      <c r="I276" s="21" t="str">
        <f>IF(Deployments!AI277="","",Deployments!AI277)</f>
        <v/>
      </c>
      <c r="J276" s="21" t="str">
        <f>IF(Deployments!AJ277="","",Deployments!AJ277)</f>
        <v/>
      </c>
      <c r="K276" s="21" t="str">
        <f>IF(Deployments!AD277="","",Deployments!AD277)</f>
        <v/>
      </c>
      <c r="L276" s="21" t="str">
        <f>IF(Deployments!M277="","",Deployments!M277)</f>
        <v/>
      </c>
      <c r="M276" s="22"/>
      <c r="N276" s="21" t="str">
        <f>IF(Deployments!N277="","",Deployments!N277)</f>
        <v/>
      </c>
      <c r="O276" s="21" t="str">
        <f>IF(Deployments!O277="","",Deployments!O277)</f>
        <v/>
      </c>
      <c r="P276" s="21" t="str">
        <f>IF(Deployments!P277="","",Deployments!P277)</f>
        <v/>
      </c>
      <c r="Q276" s="22"/>
      <c r="R276" s="21" t="str">
        <f>IF(Deployments!AY277="","",Deployments!AY277)</f>
        <v/>
      </c>
      <c r="S276" s="21" t="str">
        <f>IF(Deployments!AX277="","",Deployments!AX277)</f>
        <v/>
      </c>
      <c r="T276" s="21" t="str">
        <f>IF(Deployments!AV277="","",Deployments!AV277)</f>
        <v/>
      </c>
      <c r="U276" s="21" t="str">
        <f>IF(Deployments!AW277="","",Deployments!AW277)</f>
        <v/>
      </c>
      <c r="V276" s="21" t="str">
        <f>IF(Deployments!BA277="","",Deployments!BA277)</f>
        <v/>
      </c>
      <c r="W276" s="21" t="str">
        <f>IF(Deployments!BC277="","",Deployments!BC277)</f>
        <v/>
      </c>
      <c r="X276" s="21" t="str">
        <f>IF(Deployments!BK277="","",Deployments!BK277)</f>
        <v/>
      </c>
      <c r="Y276" s="21" t="str">
        <f>IF(Deployments!BB277="","",Deployments!BB277)</f>
        <v/>
      </c>
      <c r="Z276" s="21" t="str">
        <f>IF(Deployments!T277="","",Deployments!T277)</f>
        <v/>
      </c>
      <c r="AA276" s="21" t="str">
        <f>IF(Deployments!L277="","",Deployments!L277)</f>
        <v/>
      </c>
    </row>
    <row r="277" spans="1:27">
      <c r="A277" s="22"/>
      <c r="B277" s="22"/>
      <c r="C277" s="21" t="str">
        <f>IF(Deployments!H278="","",Deployments!H278)</f>
        <v/>
      </c>
      <c r="D277" s="21" t="str">
        <f>IF(Deployments!AH278="","",Deployments!AH278)</f>
        <v/>
      </c>
      <c r="E277" s="21" t="str">
        <f>IF(Deployments!I278="","",Deployments!I278)</f>
        <v/>
      </c>
      <c r="F277" s="21" t="str">
        <f>IF(Deployments!J278="","",Deployments!J278)</f>
        <v/>
      </c>
      <c r="G277" s="21" t="str">
        <f>IF(Deployments!K278="","",Deployments!K278)</f>
        <v/>
      </c>
      <c r="H277" s="21" t="str">
        <f>IF(Deployments!A278="","",Deployments!A278)</f>
        <v/>
      </c>
      <c r="I277" s="21" t="str">
        <f>IF(Deployments!AI278="","",Deployments!AI278)</f>
        <v/>
      </c>
      <c r="J277" s="21" t="str">
        <f>IF(Deployments!AJ278="","",Deployments!AJ278)</f>
        <v/>
      </c>
      <c r="K277" s="21" t="str">
        <f>IF(Deployments!AD278="","",Deployments!AD278)</f>
        <v/>
      </c>
      <c r="L277" s="21" t="str">
        <f>IF(Deployments!M278="","",Deployments!M278)</f>
        <v/>
      </c>
      <c r="M277" s="22"/>
      <c r="N277" s="21" t="str">
        <f>IF(Deployments!N278="","",Deployments!N278)</f>
        <v/>
      </c>
      <c r="O277" s="21" t="str">
        <f>IF(Deployments!O278="","",Deployments!O278)</f>
        <v/>
      </c>
      <c r="P277" s="21" t="str">
        <f>IF(Deployments!P278="","",Deployments!P278)</f>
        <v/>
      </c>
      <c r="Q277" s="22"/>
      <c r="R277" s="21" t="str">
        <f>IF(Deployments!AY278="","",Deployments!AY278)</f>
        <v/>
      </c>
      <c r="S277" s="21" t="str">
        <f>IF(Deployments!AX278="","",Deployments!AX278)</f>
        <v/>
      </c>
      <c r="T277" s="21" t="str">
        <f>IF(Deployments!AV278="","",Deployments!AV278)</f>
        <v/>
      </c>
      <c r="U277" s="21" t="str">
        <f>IF(Deployments!AW278="","",Deployments!AW278)</f>
        <v/>
      </c>
      <c r="V277" s="21" t="str">
        <f>IF(Deployments!BA278="","",Deployments!BA278)</f>
        <v/>
      </c>
      <c r="W277" s="21" t="str">
        <f>IF(Deployments!BC278="","",Deployments!BC278)</f>
        <v/>
      </c>
      <c r="X277" s="21" t="str">
        <f>IF(Deployments!BK278="","",Deployments!BK278)</f>
        <v/>
      </c>
      <c r="Y277" s="21" t="str">
        <f>IF(Deployments!BB278="","",Deployments!BB278)</f>
        <v/>
      </c>
      <c r="Z277" s="21" t="str">
        <f>IF(Deployments!T278="","",Deployments!T278)</f>
        <v/>
      </c>
      <c r="AA277" s="21" t="str">
        <f>IF(Deployments!L278="","",Deployments!L278)</f>
        <v/>
      </c>
    </row>
    <row r="278" spans="1:27">
      <c r="A278" s="22"/>
      <c r="B278" s="22"/>
      <c r="C278" s="21" t="str">
        <f>IF(Deployments!H279="","",Deployments!H279)</f>
        <v/>
      </c>
      <c r="D278" s="21" t="str">
        <f>IF(Deployments!AH279="","",Deployments!AH279)</f>
        <v/>
      </c>
      <c r="E278" s="21" t="str">
        <f>IF(Deployments!I279="","",Deployments!I279)</f>
        <v/>
      </c>
      <c r="F278" s="21" t="str">
        <f>IF(Deployments!J279="","",Deployments!J279)</f>
        <v/>
      </c>
      <c r="G278" s="21" t="str">
        <f>IF(Deployments!K279="","",Deployments!K279)</f>
        <v/>
      </c>
      <c r="H278" s="21" t="str">
        <f>IF(Deployments!A279="","",Deployments!A279)</f>
        <v/>
      </c>
      <c r="I278" s="21" t="str">
        <f>IF(Deployments!AI279="","",Deployments!AI279)</f>
        <v/>
      </c>
      <c r="J278" s="21" t="str">
        <f>IF(Deployments!AJ279="","",Deployments!AJ279)</f>
        <v/>
      </c>
      <c r="K278" s="21" t="str">
        <f>IF(Deployments!AD279="","",Deployments!AD279)</f>
        <v/>
      </c>
      <c r="L278" s="21" t="str">
        <f>IF(Deployments!M279="","",Deployments!M279)</f>
        <v/>
      </c>
      <c r="M278" s="22"/>
      <c r="N278" s="21" t="str">
        <f>IF(Deployments!N279="","",Deployments!N279)</f>
        <v/>
      </c>
      <c r="O278" s="21" t="str">
        <f>IF(Deployments!O279="","",Deployments!O279)</f>
        <v/>
      </c>
      <c r="P278" s="21" t="str">
        <f>IF(Deployments!P279="","",Deployments!P279)</f>
        <v/>
      </c>
      <c r="Q278" s="22"/>
      <c r="R278" s="21" t="str">
        <f>IF(Deployments!AY279="","",Deployments!AY279)</f>
        <v/>
      </c>
      <c r="S278" s="21" t="str">
        <f>IF(Deployments!AX279="","",Deployments!AX279)</f>
        <v/>
      </c>
      <c r="T278" s="21" t="str">
        <f>IF(Deployments!AV279="","",Deployments!AV279)</f>
        <v/>
      </c>
      <c r="U278" s="21" t="str">
        <f>IF(Deployments!AW279="","",Deployments!AW279)</f>
        <v/>
      </c>
      <c r="V278" s="21" t="str">
        <f>IF(Deployments!BA279="","",Deployments!BA279)</f>
        <v/>
      </c>
      <c r="W278" s="21" t="str">
        <f>IF(Deployments!BC279="","",Deployments!BC279)</f>
        <v/>
      </c>
      <c r="X278" s="21" t="str">
        <f>IF(Deployments!BK279="","",Deployments!BK279)</f>
        <v/>
      </c>
      <c r="Y278" s="21" t="str">
        <f>IF(Deployments!BB279="","",Deployments!BB279)</f>
        <v/>
      </c>
      <c r="Z278" s="21" t="str">
        <f>IF(Deployments!T279="","",Deployments!T279)</f>
        <v/>
      </c>
      <c r="AA278" s="21" t="str">
        <f>IF(Deployments!L279="","",Deployments!L279)</f>
        <v/>
      </c>
    </row>
    <row r="279" spans="1:27">
      <c r="A279" s="22"/>
      <c r="B279" s="22"/>
      <c r="C279" s="21" t="str">
        <f>IF(Deployments!H280="","",Deployments!H280)</f>
        <v/>
      </c>
      <c r="D279" s="21" t="str">
        <f>IF(Deployments!AH280="","",Deployments!AH280)</f>
        <v/>
      </c>
      <c r="E279" s="21" t="str">
        <f>IF(Deployments!I280="","",Deployments!I280)</f>
        <v/>
      </c>
      <c r="F279" s="21" t="str">
        <f>IF(Deployments!J280="","",Deployments!J280)</f>
        <v/>
      </c>
      <c r="G279" s="21" t="str">
        <f>IF(Deployments!K280="","",Deployments!K280)</f>
        <v/>
      </c>
      <c r="H279" s="21" t="str">
        <f>IF(Deployments!A280="","",Deployments!A280)</f>
        <v/>
      </c>
      <c r="I279" s="21" t="str">
        <f>IF(Deployments!AI280="","",Deployments!AI280)</f>
        <v/>
      </c>
      <c r="J279" s="21" t="str">
        <f>IF(Deployments!AJ280="","",Deployments!AJ280)</f>
        <v/>
      </c>
      <c r="K279" s="21" t="str">
        <f>IF(Deployments!AD280="","",Deployments!AD280)</f>
        <v/>
      </c>
      <c r="L279" s="21" t="str">
        <f>IF(Deployments!M280="","",Deployments!M280)</f>
        <v/>
      </c>
      <c r="M279" s="22"/>
      <c r="N279" s="21" t="str">
        <f>IF(Deployments!N280="","",Deployments!N280)</f>
        <v/>
      </c>
      <c r="O279" s="21" t="str">
        <f>IF(Deployments!O280="","",Deployments!O280)</f>
        <v/>
      </c>
      <c r="P279" s="21" t="str">
        <f>IF(Deployments!P280="","",Deployments!P280)</f>
        <v/>
      </c>
      <c r="Q279" s="22"/>
      <c r="R279" s="21" t="str">
        <f>IF(Deployments!AY280="","",Deployments!AY280)</f>
        <v/>
      </c>
      <c r="S279" s="21" t="str">
        <f>IF(Deployments!AX280="","",Deployments!AX280)</f>
        <v/>
      </c>
      <c r="T279" s="21" t="str">
        <f>IF(Deployments!AV280="","",Deployments!AV280)</f>
        <v/>
      </c>
      <c r="U279" s="21" t="str">
        <f>IF(Deployments!AW280="","",Deployments!AW280)</f>
        <v/>
      </c>
      <c r="V279" s="21" t="str">
        <f>IF(Deployments!BA280="","",Deployments!BA280)</f>
        <v/>
      </c>
      <c r="W279" s="21" t="str">
        <f>IF(Deployments!BC280="","",Deployments!BC280)</f>
        <v/>
      </c>
      <c r="X279" s="21" t="str">
        <f>IF(Deployments!BK280="","",Deployments!BK280)</f>
        <v/>
      </c>
      <c r="Y279" s="21" t="str">
        <f>IF(Deployments!BB280="","",Deployments!BB280)</f>
        <v/>
      </c>
      <c r="Z279" s="21" t="str">
        <f>IF(Deployments!T280="","",Deployments!T280)</f>
        <v/>
      </c>
      <c r="AA279" s="21" t="str">
        <f>IF(Deployments!L280="","",Deployments!L280)</f>
        <v/>
      </c>
    </row>
    <row r="280" spans="1:27">
      <c r="A280" s="22"/>
      <c r="B280" s="22"/>
      <c r="C280" s="21" t="str">
        <f>IF(Deployments!H281="","",Deployments!H281)</f>
        <v/>
      </c>
      <c r="D280" s="21" t="str">
        <f>IF(Deployments!AH281="","",Deployments!AH281)</f>
        <v/>
      </c>
      <c r="E280" s="21" t="str">
        <f>IF(Deployments!I281="","",Deployments!I281)</f>
        <v/>
      </c>
      <c r="F280" s="21" t="str">
        <f>IF(Deployments!J281="","",Deployments!J281)</f>
        <v/>
      </c>
      <c r="G280" s="21" t="str">
        <f>IF(Deployments!K281="","",Deployments!K281)</f>
        <v/>
      </c>
      <c r="H280" s="21" t="str">
        <f>IF(Deployments!A281="","",Deployments!A281)</f>
        <v/>
      </c>
      <c r="I280" s="21" t="str">
        <f>IF(Deployments!AI281="","",Deployments!AI281)</f>
        <v/>
      </c>
      <c r="J280" s="21" t="str">
        <f>IF(Deployments!AJ281="","",Deployments!AJ281)</f>
        <v/>
      </c>
      <c r="K280" s="21" t="str">
        <f>IF(Deployments!AD281="","",Deployments!AD281)</f>
        <v/>
      </c>
      <c r="L280" s="21" t="str">
        <f>IF(Deployments!M281="","",Deployments!M281)</f>
        <v/>
      </c>
      <c r="M280" s="22"/>
      <c r="N280" s="21" t="str">
        <f>IF(Deployments!N281="","",Deployments!N281)</f>
        <v/>
      </c>
      <c r="O280" s="21" t="str">
        <f>IF(Deployments!O281="","",Deployments!O281)</f>
        <v/>
      </c>
      <c r="P280" s="21" t="str">
        <f>IF(Deployments!P281="","",Deployments!P281)</f>
        <v/>
      </c>
      <c r="Q280" s="22"/>
      <c r="R280" s="21" t="str">
        <f>IF(Deployments!AY281="","",Deployments!AY281)</f>
        <v/>
      </c>
      <c r="S280" s="21" t="str">
        <f>IF(Deployments!AX281="","",Deployments!AX281)</f>
        <v/>
      </c>
      <c r="T280" s="21" t="str">
        <f>IF(Deployments!AV281="","",Deployments!AV281)</f>
        <v/>
      </c>
      <c r="U280" s="21" t="str">
        <f>IF(Deployments!AW281="","",Deployments!AW281)</f>
        <v/>
      </c>
      <c r="V280" s="21" t="str">
        <f>IF(Deployments!BA281="","",Deployments!BA281)</f>
        <v/>
      </c>
      <c r="W280" s="21" t="str">
        <f>IF(Deployments!BC281="","",Deployments!BC281)</f>
        <v/>
      </c>
      <c r="X280" s="21" t="str">
        <f>IF(Deployments!BK281="","",Deployments!BK281)</f>
        <v/>
      </c>
      <c r="Y280" s="21" t="str">
        <f>IF(Deployments!BB281="","",Deployments!BB281)</f>
        <v/>
      </c>
      <c r="Z280" s="21" t="str">
        <f>IF(Deployments!T281="","",Deployments!T281)</f>
        <v/>
      </c>
      <c r="AA280" s="21" t="str">
        <f>IF(Deployments!L281="","",Deployments!L281)</f>
        <v/>
      </c>
    </row>
    <row r="281" spans="1:27">
      <c r="A281" s="22"/>
      <c r="B281" s="22"/>
      <c r="C281" s="21" t="str">
        <f>IF(Deployments!H282="","",Deployments!H282)</f>
        <v/>
      </c>
      <c r="D281" s="21" t="str">
        <f>IF(Deployments!AH282="","",Deployments!AH282)</f>
        <v/>
      </c>
      <c r="E281" s="21" t="str">
        <f>IF(Deployments!I282="","",Deployments!I282)</f>
        <v/>
      </c>
      <c r="F281" s="21" t="str">
        <f>IF(Deployments!J282="","",Deployments!J282)</f>
        <v/>
      </c>
      <c r="G281" s="21" t="str">
        <f>IF(Deployments!K282="","",Deployments!K282)</f>
        <v/>
      </c>
      <c r="H281" s="21" t="str">
        <f>IF(Deployments!A282="","",Deployments!A282)</f>
        <v/>
      </c>
      <c r="I281" s="21" t="str">
        <f>IF(Deployments!AI282="","",Deployments!AI282)</f>
        <v/>
      </c>
      <c r="J281" s="21" t="str">
        <f>IF(Deployments!AJ282="","",Deployments!AJ282)</f>
        <v/>
      </c>
      <c r="K281" s="21" t="str">
        <f>IF(Deployments!AD282="","",Deployments!AD282)</f>
        <v/>
      </c>
      <c r="L281" s="21" t="str">
        <f>IF(Deployments!M282="","",Deployments!M282)</f>
        <v/>
      </c>
      <c r="M281" s="22"/>
      <c r="N281" s="21" t="str">
        <f>IF(Deployments!N282="","",Deployments!N282)</f>
        <v/>
      </c>
      <c r="O281" s="21" t="str">
        <f>IF(Deployments!O282="","",Deployments!O282)</f>
        <v/>
      </c>
      <c r="P281" s="21" t="str">
        <f>IF(Deployments!P282="","",Deployments!P282)</f>
        <v/>
      </c>
      <c r="Q281" s="22"/>
      <c r="R281" s="21" t="str">
        <f>IF(Deployments!AY282="","",Deployments!AY282)</f>
        <v/>
      </c>
      <c r="S281" s="21" t="str">
        <f>IF(Deployments!AX282="","",Deployments!AX282)</f>
        <v/>
      </c>
      <c r="T281" s="21" t="str">
        <f>IF(Deployments!AV282="","",Deployments!AV282)</f>
        <v/>
      </c>
      <c r="U281" s="21" t="str">
        <f>IF(Deployments!AW282="","",Deployments!AW282)</f>
        <v/>
      </c>
      <c r="V281" s="21" t="str">
        <f>IF(Deployments!BA282="","",Deployments!BA282)</f>
        <v/>
      </c>
      <c r="W281" s="21" t="str">
        <f>IF(Deployments!BC282="","",Deployments!BC282)</f>
        <v/>
      </c>
      <c r="X281" s="21" t="str">
        <f>IF(Deployments!BK282="","",Deployments!BK282)</f>
        <v/>
      </c>
      <c r="Y281" s="21" t="str">
        <f>IF(Deployments!BB282="","",Deployments!BB282)</f>
        <v/>
      </c>
      <c r="Z281" s="21" t="str">
        <f>IF(Deployments!T282="","",Deployments!T282)</f>
        <v/>
      </c>
      <c r="AA281" s="21" t="str">
        <f>IF(Deployments!L282="","",Deployments!L282)</f>
        <v/>
      </c>
    </row>
    <row r="282" spans="1:27">
      <c r="A282" s="22"/>
      <c r="B282" s="22"/>
      <c r="C282" s="21" t="str">
        <f>IF(Deployments!H283="","",Deployments!H283)</f>
        <v/>
      </c>
      <c r="D282" s="21" t="str">
        <f>IF(Deployments!AH283="","",Deployments!AH283)</f>
        <v/>
      </c>
      <c r="E282" s="21" t="str">
        <f>IF(Deployments!I283="","",Deployments!I283)</f>
        <v/>
      </c>
      <c r="F282" s="21" t="str">
        <f>IF(Deployments!J283="","",Deployments!J283)</f>
        <v/>
      </c>
      <c r="G282" s="21" t="str">
        <f>IF(Deployments!K283="","",Deployments!K283)</f>
        <v/>
      </c>
      <c r="H282" s="21" t="str">
        <f>IF(Deployments!A283="","",Deployments!A283)</f>
        <v/>
      </c>
      <c r="I282" s="21" t="str">
        <f>IF(Deployments!AI283="","",Deployments!AI283)</f>
        <v/>
      </c>
      <c r="J282" s="21" t="str">
        <f>IF(Deployments!AJ283="","",Deployments!AJ283)</f>
        <v/>
      </c>
      <c r="K282" s="21" t="str">
        <f>IF(Deployments!AD283="","",Deployments!AD283)</f>
        <v/>
      </c>
      <c r="L282" s="21" t="str">
        <f>IF(Deployments!M283="","",Deployments!M283)</f>
        <v/>
      </c>
      <c r="M282" s="22"/>
      <c r="N282" s="21" t="str">
        <f>IF(Deployments!N283="","",Deployments!N283)</f>
        <v/>
      </c>
      <c r="O282" s="21" t="str">
        <f>IF(Deployments!O283="","",Deployments!O283)</f>
        <v/>
      </c>
      <c r="P282" s="21" t="str">
        <f>IF(Deployments!P283="","",Deployments!P283)</f>
        <v/>
      </c>
      <c r="Q282" s="22"/>
      <c r="R282" s="21" t="str">
        <f>IF(Deployments!AY283="","",Deployments!AY283)</f>
        <v/>
      </c>
      <c r="S282" s="21" t="str">
        <f>IF(Deployments!AX283="","",Deployments!AX283)</f>
        <v/>
      </c>
      <c r="T282" s="21" t="str">
        <f>IF(Deployments!AV283="","",Deployments!AV283)</f>
        <v/>
      </c>
      <c r="U282" s="21" t="str">
        <f>IF(Deployments!AW283="","",Deployments!AW283)</f>
        <v/>
      </c>
      <c r="V282" s="21" t="str">
        <f>IF(Deployments!BA283="","",Deployments!BA283)</f>
        <v/>
      </c>
      <c r="W282" s="21" t="str">
        <f>IF(Deployments!BC283="","",Deployments!BC283)</f>
        <v/>
      </c>
      <c r="X282" s="21" t="str">
        <f>IF(Deployments!BK283="","",Deployments!BK283)</f>
        <v/>
      </c>
      <c r="Y282" s="21" t="str">
        <f>IF(Deployments!BB283="","",Deployments!BB283)</f>
        <v/>
      </c>
      <c r="Z282" s="21" t="str">
        <f>IF(Deployments!T283="","",Deployments!T283)</f>
        <v/>
      </c>
      <c r="AA282" s="21" t="str">
        <f>IF(Deployments!L283="","",Deployments!L283)</f>
        <v/>
      </c>
    </row>
    <row r="283" spans="1:27">
      <c r="A283" s="22"/>
      <c r="B283" s="22"/>
      <c r="C283" s="21" t="str">
        <f>IF(Deployments!H284="","",Deployments!H284)</f>
        <v/>
      </c>
      <c r="D283" s="21" t="str">
        <f>IF(Deployments!AH284="","",Deployments!AH284)</f>
        <v/>
      </c>
      <c r="E283" s="21" t="str">
        <f>IF(Deployments!I284="","",Deployments!I284)</f>
        <v/>
      </c>
      <c r="F283" s="21" t="str">
        <f>IF(Deployments!J284="","",Deployments!J284)</f>
        <v/>
      </c>
      <c r="G283" s="21" t="str">
        <f>IF(Deployments!K284="","",Deployments!K284)</f>
        <v/>
      </c>
      <c r="H283" s="21" t="str">
        <f>IF(Deployments!A284="","",Deployments!A284)</f>
        <v/>
      </c>
      <c r="I283" s="21" t="str">
        <f>IF(Deployments!AI284="","",Deployments!AI284)</f>
        <v/>
      </c>
      <c r="J283" s="21" t="str">
        <f>IF(Deployments!AJ284="","",Deployments!AJ284)</f>
        <v/>
      </c>
      <c r="K283" s="21" t="str">
        <f>IF(Deployments!AD284="","",Deployments!AD284)</f>
        <v/>
      </c>
      <c r="L283" s="21" t="str">
        <f>IF(Deployments!M284="","",Deployments!M284)</f>
        <v/>
      </c>
      <c r="M283" s="22"/>
      <c r="N283" s="21" t="str">
        <f>IF(Deployments!N284="","",Deployments!N284)</f>
        <v/>
      </c>
      <c r="O283" s="21" t="str">
        <f>IF(Deployments!O284="","",Deployments!O284)</f>
        <v/>
      </c>
      <c r="P283" s="21" t="str">
        <f>IF(Deployments!P284="","",Deployments!P284)</f>
        <v/>
      </c>
      <c r="Q283" s="22"/>
      <c r="R283" s="21" t="str">
        <f>IF(Deployments!AY284="","",Deployments!AY284)</f>
        <v/>
      </c>
      <c r="S283" s="21" t="str">
        <f>IF(Deployments!AX284="","",Deployments!AX284)</f>
        <v/>
      </c>
      <c r="T283" s="21" t="str">
        <f>IF(Deployments!AV284="","",Deployments!AV284)</f>
        <v/>
      </c>
      <c r="U283" s="21" t="str">
        <f>IF(Deployments!AW284="","",Deployments!AW284)</f>
        <v/>
      </c>
      <c r="V283" s="21" t="str">
        <f>IF(Deployments!BA284="","",Deployments!BA284)</f>
        <v/>
      </c>
      <c r="W283" s="21" t="str">
        <f>IF(Deployments!BC284="","",Deployments!BC284)</f>
        <v/>
      </c>
      <c r="X283" s="21" t="str">
        <f>IF(Deployments!BK284="","",Deployments!BK284)</f>
        <v/>
      </c>
      <c r="Y283" s="21" t="str">
        <f>IF(Deployments!BB284="","",Deployments!BB284)</f>
        <v/>
      </c>
      <c r="Z283" s="21" t="str">
        <f>IF(Deployments!T284="","",Deployments!T284)</f>
        <v/>
      </c>
      <c r="AA283" s="21" t="str">
        <f>IF(Deployments!L284="","",Deployments!L284)</f>
        <v/>
      </c>
    </row>
    <row r="284" spans="1:27">
      <c r="A284" s="22"/>
      <c r="B284" s="22"/>
      <c r="C284" s="21" t="str">
        <f>IF(Deployments!H285="","",Deployments!H285)</f>
        <v/>
      </c>
      <c r="D284" s="21" t="str">
        <f>IF(Deployments!AH285="","",Deployments!AH285)</f>
        <v/>
      </c>
      <c r="E284" s="21" t="str">
        <f>IF(Deployments!I285="","",Deployments!I285)</f>
        <v/>
      </c>
      <c r="F284" s="21" t="str">
        <f>IF(Deployments!J285="","",Deployments!J285)</f>
        <v/>
      </c>
      <c r="G284" s="21" t="str">
        <f>IF(Deployments!K285="","",Deployments!K285)</f>
        <v/>
      </c>
      <c r="H284" s="21" t="str">
        <f>IF(Deployments!A285="","",Deployments!A285)</f>
        <v/>
      </c>
      <c r="I284" s="21" t="str">
        <f>IF(Deployments!AI285="","",Deployments!AI285)</f>
        <v/>
      </c>
      <c r="J284" s="21" t="str">
        <f>IF(Deployments!AJ285="","",Deployments!AJ285)</f>
        <v/>
      </c>
      <c r="K284" s="21" t="str">
        <f>IF(Deployments!AD285="","",Deployments!AD285)</f>
        <v/>
      </c>
      <c r="L284" s="21" t="str">
        <f>IF(Deployments!M285="","",Deployments!M285)</f>
        <v/>
      </c>
      <c r="M284" s="22"/>
      <c r="N284" s="21" t="str">
        <f>IF(Deployments!N285="","",Deployments!N285)</f>
        <v/>
      </c>
      <c r="O284" s="21" t="str">
        <f>IF(Deployments!O285="","",Deployments!O285)</f>
        <v/>
      </c>
      <c r="P284" s="21" t="str">
        <f>IF(Deployments!P285="","",Deployments!P285)</f>
        <v/>
      </c>
      <c r="Q284" s="22"/>
      <c r="R284" s="21" t="str">
        <f>IF(Deployments!AY285="","",Deployments!AY285)</f>
        <v/>
      </c>
      <c r="S284" s="21" t="str">
        <f>IF(Deployments!AX285="","",Deployments!AX285)</f>
        <v/>
      </c>
      <c r="T284" s="21" t="str">
        <f>IF(Deployments!AV285="","",Deployments!AV285)</f>
        <v/>
      </c>
      <c r="U284" s="21" t="str">
        <f>IF(Deployments!AW285="","",Deployments!AW285)</f>
        <v/>
      </c>
      <c r="V284" s="21" t="str">
        <f>IF(Deployments!BA285="","",Deployments!BA285)</f>
        <v/>
      </c>
      <c r="W284" s="21" t="str">
        <f>IF(Deployments!BC285="","",Deployments!BC285)</f>
        <v/>
      </c>
      <c r="X284" s="21" t="str">
        <f>IF(Deployments!BK285="","",Deployments!BK285)</f>
        <v/>
      </c>
      <c r="Y284" s="21" t="str">
        <f>IF(Deployments!BB285="","",Deployments!BB285)</f>
        <v/>
      </c>
      <c r="Z284" s="21" t="str">
        <f>IF(Deployments!T285="","",Deployments!T285)</f>
        <v/>
      </c>
      <c r="AA284" s="21" t="str">
        <f>IF(Deployments!L285="","",Deployments!L285)</f>
        <v/>
      </c>
    </row>
    <row r="285" spans="1:27">
      <c r="A285" s="22"/>
      <c r="B285" s="22"/>
      <c r="C285" s="21" t="str">
        <f>IF(Deployments!H286="","",Deployments!H286)</f>
        <v/>
      </c>
      <c r="D285" s="21" t="str">
        <f>IF(Deployments!AH286="","",Deployments!AH286)</f>
        <v/>
      </c>
      <c r="E285" s="21" t="str">
        <f>IF(Deployments!I286="","",Deployments!I286)</f>
        <v/>
      </c>
      <c r="F285" s="21" t="str">
        <f>IF(Deployments!J286="","",Deployments!J286)</f>
        <v/>
      </c>
      <c r="G285" s="21" t="str">
        <f>IF(Deployments!K286="","",Deployments!K286)</f>
        <v/>
      </c>
      <c r="H285" s="21" t="str">
        <f>IF(Deployments!A286="","",Deployments!A286)</f>
        <v/>
      </c>
      <c r="I285" s="21" t="str">
        <f>IF(Deployments!AI286="","",Deployments!AI286)</f>
        <v/>
      </c>
      <c r="J285" s="21" t="str">
        <f>IF(Deployments!AJ286="","",Deployments!AJ286)</f>
        <v/>
      </c>
      <c r="K285" s="21" t="str">
        <f>IF(Deployments!AD286="","",Deployments!AD286)</f>
        <v/>
      </c>
      <c r="L285" s="21" t="str">
        <f>IF(Deployments!M286="","",Deployments!M286)</f>
        <v/>
      </c>
      <c r="M285" s="22"/>
      <c r="N285" s="21" t="str">
        <f>IF(Deployments!N286="","",Deployments!N286)</f>
        <v/>
      </c>
      <c r="O285" s="21" t="str">
        <f>IF(Deployments!O286="","",Deployments!O286)</f>
        <v/>
      </c>
      <c r="P285" s="21" t="str">
        <f>IF(Deployments!P286="","",Deployments!P286)</f>
        <v/>
      </c>
      <c r="Q285" s="22"/>
      <c r="R285" s="21" t="str">
        <f>IF(Deployments!AY286="","",Deployments!AY286)</f>
        <v/>
      </c>
      <c r="S285" s="21" t="str">
        <f>IF(Deployments!AX286="","",Deployments!AX286)</f>
        <v/>
      </c>
      <c r="T285" s="21" t="str">
        <f>IF(Deployments!AV286="","",Deployments!AV286)</f>
        <v/>
      </c>
      <c r="U285" s="21" t="str">
        <f>IF(Deployments!AW286="","",Deployments!AW286)</f>
        <v/>
      </c>
      <c r="V285" s="21" t="str">
        <f>IF(Deployments!BA286="","",Deployments!BA286)</f>
        <v/>
      </c>
      <c r="W285" s="21" t="str">
        <f>IF(Deployments!BC286="","",Deployments!BC286)</f>
        <v/>
      </c>
      <c r="X285" s="21" t="str">
        <f>IF(Deployments!BK286="","",Deployments!BK286)</f>
        <v/>
      </c>
      <c r="Y285" s="21" t="str">
        <f>IF(Deployments!BB286="","",Deployments!BB286)</f>
        <v/>
      </c>
      <c r="Z285" s="21" t="str">
        <f>IF(Deployments!T286="","",Deployments!T286)</f>
        <v/>
      </c>
      <c r="AA285" s="21" t="str">
        <f>IF(Deployments!L286="","",Deployments!L286)</f>
        <v/>
      </c>
    </row>
    <row r="286" spans="1:27">
      <c r="A286" s="22"/>
      <c r="B286" s="22"/>
      <c r="C286" s="21" t="str">
        <f>IF(Deployments!H287="","",Deployments!H287)</f>
        <v/>
      </c>
      <c r="D286" s="21" t="str">
        <f>IF(Deployments!AH287="","",Deployments!AH287)</f>
        <v/>
      </c>
      <c r="E286" s="21" t="str">
        <f>IF(Deployments!I287="","",Deployments!I287)</f>
        <v/>
      </c>
      <c r="F286" s="21" t="str">
        <f>IF(Deployments!J287="","",Deployments!J287)</f>
        <v/>
      </c>
      <c r="G286" s="21" t="str">
        <f>IF(Deployments!K287="","",Deployments!K287)</f>
        <v/>
      </c>
      <c r="H286" s="21" t="str">
        <f>IF(Deployments!A287="","",Deployments!A287)</f>
        <v/>
      </c>
      <c r="I286" s="21" t="str">
        <f>IF(Deployments!AI287="","",Deployments!AI287)</f>
        <v/>
      </c>
      <c r="J286" s="21" t="str">
        <f>IF(Deployments!AJ287="","",Deployments!AJ287)</f>
        <v/>
      </c>
      <c r="K286" s="21" t="str">
        <f>IF(Deployments!AD287="","",Deployments!AD287)</f>
        <v/>
      </c>
      <c r="L286" s="21" t="str">
        <f>IF(Deployments!M287="","",Deployments!M287)</f>
        <v/>
      </c>
      <c r="M286" s="22"/>
      <c r="N286" s="21" t="str">
        <f>IF(Deployments!N287="","",Deployments!N287)</f>
        <v/>
      </c>
      <c r="O286" s="21" t="str">
        <f>IF(Deployments!O287="","",Deployments!O287)</f>
        <v/>
      </c>
      <c r="P286" s="21" t="str">
        <f>IF(Deployments!P287="","",Deployments!P287)</f>
        <v/>
      </c>
      <c r="Q286" s="22"/>
      <c r="R286" s="21" t="str">
        <f>IF(Deployments!AY287="","",Deployments!AY287)</f>
        <v/>
      </c>
      <c r="S286" s="21" t="str">
        <f>IF(Deployments!AX287="","",Deployments!AX287)</f>
        <v/>
      </c>
      <c r="T286" s="21" t="str">
        <f>IF(Deployments!AV287="","",Deployments!AV287)</f>
        <v/>
      </c>
      <c r="U286" s="21" t="str">
        <f>IF(Deployments!AW287="","",Deployments!AW287)</f>
        <v/>
      </c>
      <c r="V286" s="21" t="str">
        <f>IF(Deployments!BA287="","",Deployments!BA287)</f>
        <v/>
      </c>
      <c r="W286" s="21" t="str">
        <f>IF(Deployments!BC287="","",Deployments!BC287)</f>
        <v/>
      </c>
      <c r="X286" s="21" t="str">
        <f>IF(Deployments!BK287="","",Deployments!BK287)</f>
        <v/>
      </c>
      <c r="Y286" s="21" t="str">
        <f>IF(Deployments!BB287="","",Deployments!BB287)</f>
        <v/>
      </c>
      <c r="Z286" s="21" t="str">
        <f>IF(Deployments!T287="","",Deployments!T287)</f>
        <v/>
      </c>
      <c r="AA286" s="21" t="str">
        <f>IF(Deployments!L287="","",Deployments!L287)</f>
        <v/>
      </c>
    </row>
    <row r="287" spans="1:27">
      <c r="A287" s="22"/>
      <c r="B287" s="22"/>
      <c r="C287" s="21" t="str">
        <f>IF(Deployments!H288="","",Deployments!H288)</f>
        <v/>
      </c>
      <c r="D287" s="21" t="str">
        <f>IF(Deployments!AH288="","",Deployments!AH288)</f>
        <v/>
      </c>
      <c r="E287" s="21" t="str">
        <f>IF(Deployments!I288="","",Deployments!I288)</f>
        <v/>
      </c>
      <c r="F287" s="21" t="str">
        <f>IF(Deployments!J288="","",Deployments!J288)</f>
        <v/>
      </c>
      <c r="G287" s="21" t="str">
        <f>IF(Deployments!K288="","",Deployments!K288)</f>
        <v/>
      </c>
      <c r="H287" s="21" t="str">
        <f>IF(Deployments!A288="","",Deployments!A288)</f>
        <v/>
      </c>
      <c r="I287" s="21" t="str">
        <f>IF(Deployments!AI288="","",Deployments!AI288)</f>
        <v/>
      </c>
      <c r="J287" s="21" t="str">
        <f>IF(Deployments!AJ288="","",Deployments!AJ288)</f>
        <v/>
      </c>
      <c r="K287" s="21" t="str">
        <f>IF(Deployments!AD288="","",Deployments!AD288)</f>
        <v/>
      </c>
      <c r="L287" s="21" t="str">
        <f>IF(Deployments!M288="","",Deployments!M288)</f>
        <v/>
      </c>
      <c r="M287" s="22"/>
      <c r="N287" s="21" t="str">
        <f>IF(Deployments!N288="","",Deployments!N288)</f>
        <v/>
      </c>
      <c r="O287" s="21" t="str">
        <f>IF(Deployments!O288="","",Deployments!O288)</f>
        <v/>
      </c>
      <c r="P287" s="21" t="str">
        <f>IF(Deployments!P288="","",Deployments!P288)</f>
        <v/>
      </c>
      <c r="Q287" s="22"/>
      <c r="R287" s="21" t="str">
        <f>IF(Deployments!AY288="","",Deployments!AY288)</f>
        <v/>
      </c>
      <c r="S287" s="21" t="str">
        <f>IF(Deployments!AX288="","",Deployments!AX288)</f>
        <v/>
      </c>
      <c r="T287" s="21" t="str">
        <f>IF(Deployments!AV288="","",Deployments!AV288)</f>
        <v/>
      </c>
      <c r="U287" s="21" t="str">
        <f>IF(Deployments!AW288="","",Deployments!AW288)</f>
        <v/>
      </c>
      <c r="V287" s="21" t="str">
        <f>IF(Deployments!BA288="","",Deployments!BA288)</f>
        <v/>
      </c>
      <c r="W287" s="21" t="str">
        <f>IF(Deployments!BC288="","",Deployments!BC288)</f>
        <v/>
      </c>
      <c r="X287" s="21" t="str">
        <f>IF(Deployments!BK288="","",Deployments!BK288)</f>
        <v/>
      </c>
      <c r="Y287" s="21" t="str">
        <f>IF(Deployments!BB288="","",Deployments!BB288)</f>
        <v/>
      </c>
      <c r="Z287" s="21" t="str">
        <f>IF(Deployments!T288="","",Deployments!T288)</f>
        <v/>
      </c>
      <c r="AA287" s="21" t="str">
        <f>IF(Deployments!L288="","",Deployments!L288)</f>
        <v/>
      </c>
    </row>
    <row r="288" spans="1:27">
      <c r="A288" s="22"/>
      <c r="B288" s="22"/>
      <c r="C288" s="21" t="str">
        <f>IF(Deployments!H289="","",Deployments!H289)</f>
        <v/>
      </c>
      <c r="D288" s="21" t="str">
        <f>IF(Deployments!AH289="","",Deployments!AH289)</f>
        <v/>
      </c>
      <c r="E288" s="21" t="str">
        <f>IF(Deployments!I289="","",Deployments!I289)</f>
        <v/>
      </c>
      <c r="F288" s="21" t="str">
        <f>IF(Deployments!J289="","",Deployments!J289)</f>
        <v/>
      </c>
      <c r="G288" s="21" t="str">
        <f>IF(Deployments!K289="","",Deployments!K289)</f>
        <v/>
      </c>
      <c r="H288" s="21" t="str">
        <f>IF(Deployments!A289="","",Deployments!A289)</f>
        <v/>
      </c>
      <c r="I288" s="21" t="str">
        <f>IF(Deployments!AI289="","",Deployments!AI289)</f>
        <v/>
      </c>
      <c r="J288" s="21" t="str">
        <f>IF(Deployments!AJ289="","",Deployments!AJ289)</f>
        <v/>
      </c>
      <c r="K288" s="21" t="str">
        <f>IF(Deployments!AD289="","",Deployments!AD289)</f>
        <v/>
      </c>
      <c r="L288" s="21" t="str">
        <f>IF(Deployments!M289="","",Deployments!M289)</f>
        <v/>
      </c>
      <c r="M288" s="22"/>
      <c r="N288" s="21" t="str">
        <f>IF(Deployments!N289="","",Deployments!N289)</f>
        <v/>
      </c>
      <c r="O288" s="21" t="str">
        <f>IF(Deployments!O289="","",Deployments!O289)</f>
        <v/>
      </c>
      <c r="P288" s="21" t="str">
        <f>IF(Deployments!P289="","",Deployments!P289)</f>
        <v/>
      </c>
      <c r="Q288" s="22"/>
      <c r="R288" s="21" t="str">
        <f>IF(Deployments!AY289="","",Deployments!AY289)</f>
        <v/>
      </c>
      <c r="S288" s="21" t="str">
        <f>IF(Deployments!AX289="","",Deployments!AX289)</f>
        <v/>
      </c>
      <c r="T288" s="21" t="str">
        <f>IF(Deployments!AV289="","",Deployments!AV289)</f>
        <v/>
      </c>
      <c r="U288" s="21" t="str">
        <f>IF(Deployments!AW289="","",Deployments!AW289)</f>
        <v/>
      </c>
      <c r="V288" s="21" t="str">
        <f>IF(Deployments!BA289="","",Deployments!BA289)</f>
        <v/>
      </c>
      <c r="W288" s="21" t="str">
        <f>IF(Deployments!BC289="","",Deployments!BC289)</f>
        <v/>
      </c>
      <c r="X288" s="21" t="str">
        <f>IF(Deployments!BK289="","",Deployments!BK289)</f>
        <v/>
      </c>
      <c r="Y288" s="21" t="str">
        <f>IF(Deployments!BB289="","",Deployments!BB289)</f>
        <v/>
      </c>
      <c r="Z288" s="21" t="str">
        <f>IF(Deployments!T289="","",Deployments!T289)</f>
        <v/>
      </c>
      <c r="AA288" s="21" t="str">
        <f>IF(Deployments!L289="","",Deployments!L289)</f>
        <v/>
      </c>
    </row>
    <row r="289" spans="1:27">
      <c r="A289" s="22"/>
      <c r="B289" s="22"/>
      <c r="C289" s="21" t="str">
        <f>IF(Deployments!H290="","",Deployments!H290)</f>
        <v/>
      </c>
      <c r="D289" s="21" t="str">
        <f>IF(Deployments!AH290="","",Deployments!AH290)</f>
        <v/>
      </c>
      <c r="E289" s="21" t="str">
        <f>IF(Deployments!I290="","",Deployments!I290)</f>
        <v/>
      </c>
      <c r="F289" s="21" t="str">
        <f>IF(Deployments!J290="","",Deployments!J290)</f>
        <v/>
      </c>
      <c r="G289" s="21" t="str">
        <f>IF(Deployments!K290="","",Deployments!K290)</f>
        <v/>
      </c>
      <c r="H289" s="21" t="str">
        <f>IF(Deployments!A290="","",Deployments!A290)</f>
        <v/>
      </c>
      <c r="I289" s="21" t="str">
        <f>IF(Deployments!AI290="","",Deployments!AI290)</f>
        <v/>
      </c>
      <c r="J289" s="21" t="str">
        <f>IF(Deployments!AJ290="","",Deployments!AJ290)</f>
        <v/>
      </c>
      <c r="K289" s="21" t="str">
        <f>IF(Deployments!AD290="","",Deployments!AD290)</f>
        <v/>
      </c>
      <c r="L289" s="21" t="str">
        <f>IF(Deployments!M290="","",Deployments!M290)</f>
        <v/>
      </c>
      <c r="M289" s="22"/>
      <c r="N289" s="21" t="str">
        <f>IF(Deployments!N290="","",Deployments!N290)</f>
        <v/>
      </c>
      <c r="O289" s="21" t="str">
        <f>IF(Deployments!O290="","",Deployments!O290)</f>
        <v/>
      </c>
      <c r="P289" s="21" t="str">
        <f>IF(Deployments!P290="","",Deployments!P290)</f>
        <v/>
      </c>
      <c r="Q289" s="22"/>
      <c r="R289" s="21" t="str">
        <f>IF(Deployments!AY290="","",Deployments!AY290)</f>
        <v/>
      </c>
      <c r="S289" s="21" t="str">
        <f>IF(Deployments!AX290="","",Deployments!AX290)</f>
        <v/>
      </c>
      <c r="T289" s="21" t="str">
        <f>IF(Deployments!AV290="","",Deployments!AV290)</f>
        <v/>
      </c>
      <c r="U289" s="21" t="str">
        <f>IF(Deployments!AW290="","",Deployments!AW290)</f>
        <v/>
      </c>
      <c r="V289" s="21" t="str">
        <f>IF(Deployments!BA290="","",Deployments!BA290)</f>
        <v/>
      </c>
      <c r="W289" s="21" t="str">
        <f>IF(Deployments!BC290="","",Deployments!BC290)</f>
        <v/>
      </c>
      <c r="X289" s="21" t="str">
        <f>IF(Deployments!BK290="","",Deployments!BK290)</f>
        <v/>
      </c>
      <c r="Y289" s="21" t="str">
        <f>IF(Deployments!BB290="","",Deployments!BB290)</f>
        <v/>
      </c>
      <c r="Z289" s="21" t="str">
        <f>IF(Deployments!T290="","",Deployments!T290)</f>
        <v/>
      </c>
      <c r="AA289" s="21" t="str">
        <f>IF(Deployments!L290="","",Deployments!L290)</f>
        <v/>
      </c>
    </row>
    <row r="290" spans="1:27">
      <c r="A290" s="22"/>
      <c r="B290" s="22"/>
      <c r="C290" s="21" t="str">
        <f>IF(Deployments!H291="","",Deployments!H291)</f>
        <v/>
      </c>
      <c r="D290" s="21" t="str">
        <f>IF(Deployments!AH291="","",Deployments!AH291)</f>
        <v/>
      </c>
      <c r="E290" s="21" t="str">
        <f>IF(Deployments!I291="","",Deployments!I291)</f>
        <v/>
      </c>
      <c r="F290" s="21" t="str">
        <f>IF(Deployments!J291="","",Deployments!J291)</f>
        <v/>
      </c>
      <c r="G290" s="21" t="str">
        <f>IF(Deployments!K291="","",Deployments!K291)</f>
        <v/>
      </c>
      <c r="H290" s="21" t="str">
        <f>IF(Deployments!A291="","",Deployments!A291)</f>
        <v/>
      </c>
      <c r="I290" s="21" t="str">
        <f>IF(Deployments!AI291="","",Deployments!AI291)</f>
        <v/>
      </c>
      <c r="J290" s="21" t="str">
        <f>IF(Deployments!AJ291="","",Deployments!AJ291)</f>
        <v/>
      </c>
      <c r="K290" s="21" t="str">
        <f>IF(Deployments!AD291="","",Deployments!AD291)</f>
        <v/>
      </c>
      <c r="L290" s="21" t="str">
        <f>IF(Deployments!M291="","",Deployments!M291)</f>
        <v/>
      </c>
      <c r="M290" s="22"/>
      <c r="N290" s="21" t="str">
        <f>IF(Deployments!N291="","",Deployments!N291)</f>
        <v/>
      </c>
      <c r="O290" s="21" t="str">
        <f>IF(Deployments!O291="","",Deployments!O291)</f>
        <v/>
      </c>
      <c r="P290" s="21" t="str">
        <f>IF(Deployments!P291="","",Deployments!P291)</f>
        <v/>
      </c>
      <c r="Q290" s="22"/>
      <c r="R290" s="21" t="str">
        <f>IF(Deployments!AY291="","",Deployments!AY291)</f>
        <v/>
      </c>
      <c r="S290" s="21" t="str">
        <f>IF(Deployments!AX291="","",Deployments!AX291)</f>
        <v/>
      </c>
      <c r="T290" s="21" t="str">
        <f>IF(Deployments!AV291="","",Deployments!AV291)</f>
        <v/>
      </c>
      <c r="U290" s="21" t="str">
        <f>IF(Deployments!AW291="","",Deployments!AW291)</f>
        <v/>
      </c>
      <c r="V290" s="21" t="str">
        <f>IF(Deployments!BA291="","",Deployments!BA291)</f>
        <v/>
      </c>
      <c r="W290" s="21" t="str">
        <f>IF(Deployments!BC291="","",Deployments!BC291)</f>
        <v/>
      </c>
      <c r="X290" s="21" t="str">
        <f>IF(Deployments!BK291="","",Deployments!BK291)</f>
        <v/>
      </c>
      <c r="Y290" s="21" t="str">
        <f>IF(Deployments!BB291="","",Deployments!BB291)</f>
        <v/>
      </c>
      <c r="Z290" s="21" t="str">
        <f>IF(Deployments!T291="","",Deployments!T291)</f>
        <v/>
      </c>
      <c r="AA290" s="21" t="str">
        <f>IF(Deployments!L291="","",Deployments!L291)</f>
        <v/>
      </c>
    </row>
    <row r="291" spans="1:27">
      <c r="A291" s="22"/>
      <c r="B291" s="22"/>
      <c r="C291" s="21" t="str">
        <f>IF(Deployments!H292="","",Deployments!H292)</f>
        <v/>
      </c>
      <c r="D291" s="21" t="str">
        <f>IF(Deployments!AH292="","",Deployments!AH292)</f>
        <v/>
      </c>
      <c r="E291" s="21" t="str">
        <f>IF(Deployments!I292="","",Deployments!I292)</f>
        <v/>
      </c>
      <c r="F291" s="21" t="str">
        <f>IF(Deployments!J292="","",Deployments!J292)</f>
        <v/>
      </c>
      <c r="G291" s="21" t="str">
        <f>IF(Deployments!K292="","",Deployments!K292)</f>
        <v/>
      </c>
      <c r="H291" s="21" t="str">
        <f>IF(Deployments!A292="","",Deployments!A292)</f>
        <v/>
      </c>
      <c r="I291" s="21" t="str">
        <f>IF(Deployments!AI292="","",Deployments!AI292)</f>
        <v/>
      </c>
      <c r="J291" s="21" t="str">
        <f>IF(Deployments!AJ292="","",Deployments!AJ292)</f>
        <v/>
      </c>
      <c r="K291" s="21" t="str">
        <f>IF(Deployments!AD292="","",Deployments!AD292)</f>
        <v/>
      </c>
      <c r="L291" s="21" t="str">
        <f>IF(Deployments!M292="","",Deployments!M292)</f>
        <v/>
      </c>
      <c r="M291" s="22"/>
      <c r="N291" s="21" t="str">
        <f>IF(Deployments!N292="","",Deployments!N292)</f>
        <v/>
      </c>
      <c r="O291" s="21" t="str">
        <f>IF(Deployments!O292="","",Deployments!O292)</f>
        <v/>
      </c>
      <c r="P291" s="21" t="str">
        <f>IF(Deployments!P292="","",Deployments!P292)</f>
        <v/>
      </c>
      <c r="Q291" s="22"/>
      <c r="R291" s="21" t="str">
        <f>IF(Deployments!AY292="","",Deployments!AY292)</f>
        <v/>
      </c>
      <c r="S291" s="21" t="str">
        <f>IF(Deployments!AX292="","",Deployments!AX292)</f>
        <v/>
      </c>
      <c r="T291" s="21" t="str">
        <f>IF(Deployments!AV292="","",Deployments!AV292)</f>
        <v/>
      </c>
      <c r="U291" s="21" t="str">
        <f>IF(Deployments!AW292="","",Deployments!AW292)</f>
        <v/>
      </c>
      <c r="V291" s="21" t="str">
        <f>IF(Deployments!BA292="","",Deployments!BA292)</f>
        <v/>
      </c>
      <c r="W291" s="21" t="str">
        <f>IF(Deployments!BC292="","",Deployments!BC292)</f>
        <v/>
      </c>
      <c r="X291" s="21" t="str">
        <f>IF(Deployments!BK292="","",Deployments!BK292)</f>
        <v/>
      </c>
      <c r="Y291" s="21" t="str">
        <f>IF(Deployments!BB292="","",Deployments!BB292)</f>
        <v/>
      </c>
      <c r="Z291" s="21" t="str">
        <f>IF(Deployments!T292="","",Deployments!T292)</f>
        <v/>
      </c>
      <c r="AA291" s="21" t="str">
        <f>IF(Deployments!L292="","",Deployments!L292)</f>
        <v/>
      </c>
    </row>
    <row r="292" spans="1:27">
      <c r="A292" s="22"/>
      <c r="B292" s="22"/>
      <c r="C292" s="21" t="str">
        <f>IF(Deployments!H293="","",Deployments!H293)</f>
        <v/>
      </c>
      <c r="D292" s="21" t="str">
        <f>IF(Deployments!AH293="","",Deployments!AH293)</f>
        <v/>
      </c>
      <c r="E292" s="21" t="str">
        <f>IF(Deployments!I293="","",Deployments!I293)</f>
        <v/>
      </c>
      <c r="F292" s="21" t="str">
        <f>IF(Deployments!J293="","",Deployments!J293)</f>
        <v/>
      </c>
      <c r="G292" s="21" t="str">
        <f>IF(Deployments!K293="","",Deployments!K293)</f>
        <v/>
      </c>
      <c r="H292" s="21" t="str">
        <f>IF(Deployments!A293="","",Deployments!A293)</f>
        <v/>
      </c>
      <c r="I292" s="21" t="str">
        <f>IF(Deployments!AI293="","",Deployments!AI293)</f>
        <v/>
      </c>
      <c r="J292" s="21" t="str">
        <f>IF(Deployments!AJ293="","",Deployments!AJ293)</f>
        <v/>
      </c>
      <c r="K292" s="21" t="str">
        <f>IF(Deployments!AD293="","",Deployments!AD293)</f>
        <v/>
      </c>
      <c r="L292" s="21" t="str">
        <f>IF(Deployments!M293="","",Deployments!M293)</f>
        <v/>
      </c>
      <c r="M292" s="22"/>
      <c r="N292" s="21" t="str">
        <f>IF(Deployments!N293="","",Deployments!N293)</f>
        <v/>
      </c>
      <c r="O292" s="21" t="str">
        <f>IF(Deployments!O293="","",Deployments!O293)</f>
        <v/>
      </c>
      <c r="P292" s="21" t="str">
        <f>IF(Deployments!P293="","",Deployments!P293)</f>
        <v/>
      </c>
      <c r="Q292" s="22"/>
      <c r="R292" s="21" t="str">
        <f>IF(Deployments!AY293="","",Deployments!AY293)</f>
        <v/>
      </c>
      <c r="S292" s="21" t="str">
        <f>IF(Deployments!AX293="","",Deployments!AX293)</f>
        <v/>
      </c>
      <c r="T292" s="21" t="str">
        <f>IF(Deployments!AV293="","",Deployments!AV293)</f>
        <v/>
      </c>
      <c r="U292" s="21" t="str">
        <f>IF(Deployments!AW293="","",Deployments!AW293)</f>
        <v/>
      </c>
      <c r="V292" s="21" t="str">
        <f>IF(Deployments!BA293="","",Deployments!BA293)</f>
        <v/>
      </c>
      <c r="W292" s="21" t="str">
        <f>IF(Deployments!BC293="","",Deployments!BC293)</f>
        <v/>
      </c>
      <c r="X292" s="21" t="str">
        <f>IF(Deployments!BK293="","",Deployments!BK293)</f>
        <v/>
      </c>
      <c r="Y292" s="21" t="str">
        <f>IF(Deployments!BB293="","",Deployments!BB293)</f>
        <v/>
      </c>
      <c r="Z292" s="21" t="str">
        <f>IF(Deployments!T293="","",Deployments!T293)</f>
        <v/>
      </c>
      <c r="AA292" s="21" t="str">
        <f>IF(Deployments!L293="","",Deployments!L293)</f>
        <v/>
      </c>
    </row>
    <row r="293" spans="1:27">
      <c r="A293" s="22"/>
      <c r="B293" s="22"/>
      <c r="C293" s="21" t="str">
        <f>IF(Deployments!H294="","",Deployments!H294)</f>
        <v/>
      </c>
      <c r="D293" s="21" t="str">
        <f>IF(Deployments!AH294="","",Deployments!AH294)</f>
        <v/>
      </c>
      <c r="E293" s="21" t="str">
        <f>IF(Deployments!I294="","",Deployments!I294)</f>
        <v/>
      </c>
      <c r="F293" s="21" t="str">
        <f>IF(Deployments!J294="","",Deployments!J294)</f>
        <v/>
      </c>
      <c r="G293" s="21" t="str">
        <f>IF(Deployments!K294="","",Deployments!K294)</f>
        <v/>
      </c>
      <c r="H293" s="21" t="str">
        <f>IF(Deployments!A294="","",Deployments!A294)</f>
        <v/>
      </c>
      <c r="I293" s="21" t="str">
        <f>IF(Deployments!AI294="","",Deployments!AI294)</f>
        <v/>
      </c>
      <c r="J293" s="21" t="str">
        <f>IF(Deployments!AJ294="","",Deployments!AJ294)</f>
        <v/>
      </c>
      <c r="K293" s="21" t="str">
        <f>IF(Deployments!AD294="","",Deployments!AD294)</f>
        <v/>
      </c>
      <c r="L293" s="21" t="str">
        <f>IF(Deployments!M294="","",Deployments!M294)</f>
        <v/>
      </c>
      <c r="M293" s="22"/>
      <c r="N293" s="21" t="str">
        <f>IF(Deployments!N294="","",Deployments!N294)</f>
        <v/>
      </c>
      <c r="O293" s="21" t="str">
        <f>IF(Deployments!O294="","",Deployments!O294)</f>
        <v/>
      </c>
      <c r="P293" s="21" t="str">
        <f>IF(Deployments!P294="","",Deployments!P294)</f>
        <v/>
      </c>
      <c r="Q293" s="22"/>
      <c r="R293" s="21" t="str">
        <f>IF(Deployments!AY294="","",Deployments!AY294)</f>
        <v/>
      </c>
      <c r="S293" s="21" t="str">
        <f>IF(Deployments!AX294="","",Deployments!AX294)</f>
        <v/>
      </c>
      <c r="T293" s="21" t="str">
        <f>IF(Deployments!AV294="","",Deployments!AV294)</f>
        <v/>
      </c>
      <c r="U293" s="21" t="str">
        <f>IF(Deployments!AW294="","",Deployments!AW294)</f>
        <v/>
      </c>
      <c r="V293" s="21" t="str">
        <f>IF(Deployments!BA294="","",Deployments!BA294)</f>
        <v/>
      </c>
      <c r="W293" s="21" t="str">
        <f>IF(Deployments!BC294="","",Deployments!BC294)</f>
        <v/>
      </c>
      <c r="X293" s="21" t="str">
        <f>IF(Deployments!BK294="","",Deployments!BK294)</f>
        <v/>
      </c>
      <c r="Y293" s="21" t="str">
        <f>IF(Deployments!BB294="","",Deployments!BB294)</f>
        <v/>
      </c>
      <c r="Z293" s="21" t="str">
        <f>IF(Deployments!T294="","",Deployments!T294)</f>
        <v/>
      </c>
      <c r="AA293" s="21" t="str">
        <f>IF(Deployments!L294="","",Deployments!L294)</f>
        <v/>
      </c>
    </row>
    <row r="294" spans="1:27">
      <c r="A294" s="22"/>
      <c r="B294" s="22"/>
      <c r="C294" s="21" t="str">
        <f>IF(Deployments!H295="","",Deployments!H295)</f>
        <v/>
      </c>
      <c r="D294" s="21" t="str">
        <f>IF(Deployments!AH295="","",Deployments!AH295)</f>
        <v/>
      </c>
      <c r="E294" s="21" t="str">
        <f>IF(Deployments!I295="","",Deployments!I295)</f>
        <v/>
      </c>
      <c r="F294" s="21" t="str">
        <f>IF(Deployments!J295="","",Deployments!J295)</f>
        <v/>
      </c>
      <c r="G294" s="21" t="str">
        <f>IF(Deployments!K295="","",Deployments!K295)</f>
        <v/>
      </c>
      <c r="H294" s="21" t="str">
        <f>IF(Deployments!A295="","",Deployments!A295)</f>
        <v/>
      </c>
      <c r="I294" s="21" t="str">
        <f>IF(Deployments!AI295="","",Deployments!AI295)</f>
        <v/>
      </c>
      <c r="J294" s="21" t="str">
        <f>IF(Deployments!AJ295="","",Deployments!AJ295)</f>
        <v/>
      </c>
      <c r="K294" s="21" t="str">
        <f>IF(Deployments!AD295="","",Deployments!AD295)</f>
        <v/>
      </c>
      <c r="L294" s="21" t="str">
        <f>IF(Deployments!M295="","",Deployments!M295)</f>
        <v/>
      </c>
      <c r="M294" s="22"/>
      <c r="N294" s="21" t="str">
        <f>IF(Deployments!N295="","",Deployments!N295)</f>
        <v/>
      </c>
      <c r="O294" s="21" t="str">
        <f>IF(Deployments!O295="","",Deployments!O295)</f>
        <v/>
      </c>
      <c r="P294" s="21" t="str">
        <f>IF(Deployments!P295="","",Deployments!P295)</f>
        <v/>
      </c>
      <c r="Q294" s="22"/>
      <c r="R294" s="21" t="str">
        <f>IF(Deployments!AY295="","",Deployments!AY295)</f>
        <v/>
      </c>
      <c r="S294" s="21" t="str">
        <f>IF(Deployments!AX295="","",Deployments!AX295)</f>
        <v/>
      </c>
      <c r="T294" s="21" t="str">
        <f>IF(Deployments!AV295="","",Deployments!AV295)</f>
        <v/>
      </c>
      <c r="U294" s="21" t="str">
        <f>IF(Deployments!AW295="","",Deployments!AW295)</f>
        <v/>
      </c>
      <c r="V294" s="21" t="str">
        <f>IF(Deployments!BA295="","",Deployments!BA295)</f>
        <v/>
      </c>
      <c r="W294" s="21" t="str">
        <f>IF(Deployments!BC295="","",Deployments!BC295)</f>
        <v/>
      </c>
      <c r="X294" s="21" t="str">
        <f>IF(Deployments!BK295="","",Deployments!BK295)</f>
        <v/>
      </c>
      <c r="Y294" s="21" t="str">
        <f>IF(Deployments!BB295="","",Deployments!BB295)</f>
        <v/>
      </c>
      <c r="Z294" s="21" t="str">
        <f>IF(Deployments!T295="","",Deployments!T295)</f>
        <v/>
      </c>
      <c r="AA294" s="21" t="str">
        <f>IF(Deployments!L295="","",Deployments!L295)</f>
        <v/>
      </c>
    </row>
    <row r="295" spans="1:27">
      <c r="A295" s="22"/>
      <c r="B295" s="22"/>
      <c r="C295" s="21" t="str">
        <f>IF(Deployments!H296="","",Deployments!H296)</f>
        <v/>
      </c>
      <c r="D295" s="21" t="str">
        <f>IF(Deployments!AH296="","",Deployments!AH296)</f>
        <v/>
      </c>
      <c r="E295" s="21" t="str">
        <f>IF(Deployments!I296="","",Deployments!I296)</f>
        <v/>
      </c>
      <c r="F295" s="21" t="str">
        <f>IF(Deployments!J296="","",Deployments!J296)</f>
        <v/>
      </c>
      <c r="G295" s="21" t="str">
        <f>IF(Deployments!K296="","",Deployments!K296)</f>
        <v/>
      </c>
      <c r="H295" s="21" t="str">
        <f>IF(Deployments!A296="","",Deployments!A296)</f>
        <v/>
      </c>
      <c r="I295" s="21" t="str">
        <f>IF(Deployments!AI296="","",Deployments!AI296)</f>
        <v/>
      </c>
      <c r="J295" s="21" t="str">
        <f>IF(Deployments!AJ296="","",Deployments!AJ296)</f>
        <v/>
      </c>
      <c r="K295" s="21" t="str">
        <f>IF(Deployments!AD296="","",Deployments!AD296)</f>
        <v/>
      </c>
      <c r="L295" s="21" t="str">
        <f>IF(Deployments!M296="","",Deployments!M296)</f>
        <v/>
      </c>
      <c r="M295" s="22"/>
      <c r="N295" s="21" t="str">
        <f>IF(Deployments!N296="","",Deployments!N296)</f>
        <v/>
      </c>
      <c r="O295" s="21" t="str">
        <f>IF(Deployments!O296="","",Deployments!O296)</f>
        <v/>
      </c>
      <c r="P295" s="21" t="str">
        <f>IF(Deployments!P296="","",Deployments!P296)</f>
        <v/>
      </c>
      <c r="Q295" s="22"/>
      <c r="R295" s="21" t="str">
        <f>IF(Deployments!AY296="","",Deployments!AY296)</f>
        <v/>
      </c>
      <c r="S295" s="21" t="str">
        <f>IF(Deployments!AX296="","",Deployments!AX296)</f>
        <v/>
      </c>
      <c r="T295" s="21" t="str">
        <f>IF(Deployments!AV296="","",Deployments!AV296)</f>
        <v/>
      </c>
      <c r="U295" s="21" t="str">
        <f>IF(Deployments!AW296="","",Deployments!AW296)</f>
        <v/>
      </c>
      <c r="V295" s="21" t="str">
        <f>IF(Deployments!BA296="","",Deployments!BA296)</f>
        <v/>
      </c>
      <c r="W295" s="21" t="str">
        <f>IF(Deployments!BC296="","",Deployments!BC296)</f>
        <v/>
      </c>
      <c r="X295" s="21" t="str">
        <f>IF(Deployments!BK296="","",Deployments!BK296)</f>
        <v/>
      </c>
      <c r="Y295" s="21" t="str">
        <f>IF(Deployments!BB296="","",Deployments!BB296)</f>
        <v/>
      </c>
      <c r="Z295" s="21" t="str">
        <f>IF(Deployments!T296="","",Deployments!T296)</f>
        <v/>
      </c>
      <c r="AA295" s="21" t="str">
        <f>IF(Deployments!L296="","",Deployments!L296)</f>
        <v/>
      </c>
    </row>
    <row r="296" spans="1:27">
      <c r="A296" s="22"/>
      <c r="B296" s="22"/>
      <c r="C296" s="21" t="str">
        <f>IF(Deployments!H297="","",Deployments!H297)</f>
        <v/>
      </c>
      <c r="D296" s="21" t="str">
        <f>IF(Deployments!AH297="","",Deployments!AH297)</f>
        <v/>
      </c>
      <c r="E296" s="21" t="str">
        <f>IF(Deployments!I297="","",Deployments!I297)</f>
        <v/>
      </c>
      <c r="F296" s="21" t="str">
        <f>IF(Deployments!J297="","",Deployments!J297)</f>
        <v/>
      </c>
      <c r="G296" s="21" t="str">
        <f>IF(Deployments!K297="","",Deployments!K297)</f>
        <v/>
      </c>
      <c r="H296" s="21" t="str">
        <f>IF(Deployments!A297="","",Deployments!A297)</f>
        <v/>
      </c>
      <c r="I296" s="21" t="str">
        <f>IF(Deployments!AI297="","",Deployments!AI297)</f>
        <v/>
      </c>
      <c r="J296" s="21" t="str">
        <f>IF(Deployments!AJ297="","",Deployments!AJ297)</f>
        <v/>
      </c>
      <c r="K296" s="21" t="str">
        <f>IF(Deployments!AD297="","",Deployments!AD297)</f>
        <v/>
      </c>
      <c r="L296" s="21" t="str">
        <f>IF(Deployments!M297="","",Deployments!M297)</f>
        <v/>
      </c>
      <c r="M296" s="22"/>
      <c r="N296" s="21" t="str">
        <f>IF(Deployments!N297="","",Deployments!N297)</f>
        <v/>
      </c>
      <c r="O296" s="21" t="str">
        <f>IF(Deployments!O297="","",Deployments!O297)</f>
        <v/>
      </c>
      <c r="P296" s="21" t="str">
        <f>IF(Deployments!P297="","",Deployments!P297)</f>
        <v/>
      </c>
      <c r="Q296" s="22"/>
      <c r="R296" s="21" t="str">
        <f>IF(Deployments!AY297="","",Deployments!AY297)</f>
        <v/>
      </c>
      <c r="S296" s="21" t="str">
        <f>IF(Deployments!AX297="","",Deployments!AX297)</f>
        <v/>
      </c>
      <c r="T296" s="21" t="str">
        <f>IF(Deployments!AV297="","",Deployments!AV297)</f>
        <v/>
      </c>
      <c r="U296" s="21" t="str">
        <f>IF(Deployments!AW297="","",Deployments!AW297)</f>
        <v/>
      </c>
      <c r="V296" s="21" t="str">
        <f>IF(Deployments!BA297="","",Deployments!BA297)</f>
        <v/>
      </c>
      <c r="W296" s="21" t="str">
        <f>IF(Deployments!BC297="","",Deployments!BC297)</f>
        <v/>
      </c>
      <c r="X296" s="21" t="str">
        <f>IF(Deployments!BK297="","",Deployments!BK297)</f>
        <v/>
      </c>
      <c r="Y296" s="21" t="str">
        <f>IF(Deployments!BB297="","",Deployments!BB297)</f>
        <v/>
      </c>
      <c r="Z296" s="21" t="str">
        <f>IF(Deployments!T297="","",Deployments!T297)</f>
        <v/>
      </c>
      <c r="AA296" s="21" t="str">
        <f>IF(Deployments!L297="","",Deployments!L297)</f>
        <v/>
      </c>
    </row>
    <row r="297" spans="1:27">
      <c r="A297" s="22"/>
      <c r="B297" s="22"/>
      <c r="C297" s="21" t="str">
        <f>IF(Deployments!H298="","",Deployments!H298)</f>
        <v/>
      </c>
      <c r="D297" s="21" t="str">
        <f>IF(Deployments!AH298="","",Deployments!AH298)</f>
        <v/>
      </c>
      <c r="E297" s="21" t="str">
        <f>IF(Deployments!I298="","",Deployments!I298)</f>
        <v/>
      </c>
      <c r="F297" s="21" t="str">
        <f>IF(Deployments!J298="","",Deployments!J298)</f>
        <v/>
      </c>
      <c r="G297" s="21" t="str">
        <f>IF(Deployments!K298="","",Deployments!K298)</f>
        <v/>
      </c>
      <c r="H297" s="21" t="str">
        <f>IF(Deployments!A298="","",Deployments!A298)</f>
        <v/>
      </c>
      <c r="I297" s="21" t="str">
        <f>IF(Deployments!AI298="","",Deployments!AI298)</f>
        <v/>
      </c>
      <c r="J297" s="21" t="str">
        <f>IF(Deployments!AJ298="","",Deployments!AJ298)</f>
        <v/>
      </c>
      <c r="K297" s="21" t="str">
        <f>IF(Deployments!AD298="","",Deployments!AD298)</f>
        <v/>
      </c>
      <c r="L297" s="21" t="str">
        <f>IF(Deployments!M298="","",Deployments!M298)</f>
        <v/>
      </c>
      <c r="M297" s="22"/>
      <c r="N297" s="21" t="str">
        <f>IF(Deployments!N298="","",Deployments!N298)</f>
        <v/>
      </c>
      <c r="O297" s="21" t="str">
        <f>IF(Deployments!O298="","",Deployments!O298)</f>
        <v/>
      </c>
      <c r="P297" s="21" t="str">
        <f>IF(Deployments!P298="","",Deployments!P298)</f>
        <v/>
      </c>
      <c r="Q297" s="22"/>
      <c r="R297" s="21" t="str">
        <f>IF(Deployments!AY298="","",Deployments!AY298)</f>
        <v/>
      </c>
      <c r="S297" s="21" t="str">
        <f>IF(Deployments!AX298="","",Deployments!AX298)</f>
        <v/>
      </c>
      <c r="T297" s="21" t="str">
        <f>IF(Deployments!AV298="","",Deployments!AV298)</f>
        <v/>
      </c>
      <c r="U297" s="21" t="str">
        <f>IF(Deployments!AW298="","",Deployments!AW298)</f>
        <v/>
      </c>
      <c r="V297" s="21" t="str">
        <f>IF(Deployments!BA298="","",Deployments!BA298)</f>
        <v/>
      </c>
      <c r="W297" s="21" t="str">
        <f>IF(Deployments!BC298="","",Deployments!BC298)</f>
        <v/>
      </c>
      <c r="X297" s="21" t="str">
        <f>IF(Deployments!BK298="","",Deployments!BK298)</f>
        <v/>
      </c>
      <c r="Y297" s="21" t="str">
        <f>IF(Deployments!BB298="","",Deployments!BB298)</f>
        <v/>
      </c>
      <c r="Z297" s="21" t="str">
        <f>IF(Deployments!T298="","",Deployments!T298)</f>
        <v/>
      </c>
      <c r="AA297" s="21" t="str">
        <f>IF(Deployments!L298="","",Deployments!L298)</f>
        <v/>
      </c>
    </row>
    <row r="298" spans="1:27">
      <c r="A298" s="22"/>
      <c r="B298" s="22"/>
      <c r="C298" s="21" t="str">
        <f>IF(Deployments!H299="","",Deployments!H299)</f>
        <v/>
      </c>
      <c r="D298" s="21" t="str">
        <f>IF(Deployments!AH299="","",Deployments!AH299)</f>
        <v/>
      </c>
      <c r="E298" s="21" t="str">
        <f>IF(Deployments!I299="","",Deployments!I299)</f>
        <v/>
      </c>
      <c r="F298" s="21" t="str">
        <f>IF(Deployments!J299="","",Deployments!J299)</f>
        <v/>
      </c>
      <c r="G298" s="21" t="str">
        <f>IF(Deployments!K299="","",Deployments!K299)</f>
        <v/>
      </c>
      <c r="H298" s="21" t="str">
        <f>IF(Deployments!A299="","",Deployments!A299)</f>
        <v/>
      </c>
      <c r="I298" s="21" t="str">
        <f>IF(Deployments!AI299="","",Deployments!AI299)</f>
        <v/>
      </c>
      <c r="J298" s="21" t="str">
        <f>IF(Deployments!AJ299="","",Deployments!AJ299)</f>
        <v/>
      </c>
      <c r="K298" s="21" t="str">
        <f>IF(Deployments!AD299="","",Deployments!AD299)</f>
        <v/>
      </c>
      <c r="L298" s="21" t="str">
        <f>IF(Deployments!M299="","",Deployments!M299)</f>
        <v/>
      </c>
      <c r="M298" s="22"/>
      <c r="N298" s="21" t="str">
        <f>IF(Deployments!N299="","",Deployments!N299)</f>
        <v/>
      </c>
      <c r="O298" s="21" t="str">
        <f>IF(Deployments!O299="","",Deployments!O299)</f>
        <v/>
      </c>
      <c r="P298" s="21" t="str">
        <f>IF(Deployments!P299="","",Deployments!P299)</f>
        <v/>
      </c>
      <c r="Q298" s="22"/>
      <c r="R298" s="21" t="str">
        <f>IF(Deployments!AY299="","",Deployments!AY299)</f>
        <v/>
      </c>
      <c r="S298" s="21" t="str">
        <f>IF(Deployments!AX299="","",Deployments!AX299)</f>
        <v/>
      </c>
      <c r="T298" s="21" t="str">
        <f>IF(Deployments!AV299="","",Deployments!AV299)</f>
        <v/>
      </c>
      <c r="U298" s="21" t="str">
        <f>IF(Deployments!AW299="","",Deployments!AW299)</f>
        <v/>
      </c>
      <c r="V298" s="21" t="str">
        <f>IF(Deployments!BA299="","",Deployments!BA299)</f>
        <v/>
      </c>
      <c r="W298" s="21" t="str">
        <f>IF(Deployments!BC299="","",Deployments!BC299)</f>
        <v/>
      </c>
      <c r="X298" s="21" t="str">
        <f>IF(Deployments!BK299="","",Deployments!BK299)</f>
        <v/>
      </c>
      <c r="Y298" s="21" t="str">
        <f>IF(Deployments!BB299="","",Deployments!BB299)</f>
        <v/>
      </c>
      <c r="Z298" s="21" t="str">
        <f>IF(Deployments!T299="","",Deployments!T299)</f>
        <v/>
      </c>
      <c r="AA298" s="21" t="str">
        <f>IF(Deployments!L299="","",Deployments!L299)</f>
        <v/>
      </c>
    </row>
    <row r="299" spans="1:27">
      <c r="A299" s="22"/>
      <c r="B299" s="22"/>
      <c r="C299" s="21" t="str">
        <f>IF(Deployments!H300="","",Deployments!H300)</f>
        <v/>
      </c>
      <c r="D299" s="21" t="str">
        <f>IF(Deployments!AH300="","",Deployments!AH300)</f>
        <v/>
      </c>
      <c r="E299" s="21" t="str">
        <f>IF(Deployments!I300="","",Deployments!I300)</f>
        <v/>
      </c>
      <c r="F299" s="21" t="str">
        <f>IF(Deployments!J300="","",Deployments!J300)</f>
        <v/>
      </c>
      <c r="G299" s="21" t="str">
        <f>IF(Deployments!K300="","",Deployments!K300)</f>
        <v/>
      </c>
      <c r="H299" s="21" t="str">
        <f>IF(Deployments!A300="","",Deployments!A300)</f>
        <v/>
      </c>
      <c r="I299" s="21" t="str">
        <f>IF(Deployments!AI300="","",Deployments!AI300)</f>
        <v/>
      </c>
      <c r="J299" s="21" t="str">
        <f>IF(Deployments!AJ300="","",Deployments!AJ300)</f>
        <v/>
      </c>
      <c r="K299" s="21" t="str">
        <f>IF(Deployments!AD300="","",Deployments!AD300)</f>
        <v/>
      </c>
      <c r="L299" s="21" t="str">
        <f>IF(Deployments!M300="","",Deployments!M300)</f>
        <v/>
      </c>
      <c r="M299" s="22"/>
      <c r="N299" s="21" t="str">
        <f>IF(Deployments!N300="","",Deployments!N300)</f>
        <v/>
      </c>
      <c r="O299" s="21" t="str">
        <f>IF(Deployments!O300="","",Deployments!O300)</f>
        <v/>
      </c>
      <c r="P299" s="21" t="str">
        <f>IF(Deployments!P300="","",Deployments!P300)</f>
        <v/>
      </c>
      <c r="Q299" s="22"/>
      <c r="R299" s="21" t="str">
        <f>IF(Deployments!AY300="","",Deployments!AY300)</f>
        <v/>
      </c>
      <c r="S299" s="21" t="str">
        <f>IF(Deployments!AX300="","",Deployments!AX300)</f>
        <v/>
      </c>
      <c r="T299" s="21" t="str">
        <f>IF(Deployments!AV300="","",Deployments!AV300)</f>
        <v/>
      </c>
      <c r="U299" s="21" t="str">
        <f>IF(Deployments!AW300="","",Deployments!AW300)</f>
        <v/>
      </c>
      <c r="V299" s="21" t="str">
        <f>IF(Deployments!BA300="","",Deployments!BA300)</f>
        <v/>
      </c>
      <c r="W299" s="21" t="str">
        <f>IF(Deployments!BC300="","",Deployments!BC300)</f>
        <v/>
      </c>
      <c r="X299" s="21" t="str">
        <f>IF(Deployments!BK300="","",Deployments!BK300)</f>
        <v/>
      </c>
      <c r="Y299" s="21" t="str">
        <f>IF(Deployments!BB300="","",Deployments!BB300)</f>
        <v/>
      </c>
      <c r="Z299" s="21" t="str">
        <f>IF(Deployments!T300="","",Deployments!T300)</f>
        <v/>
      </c>
      <c r="AA299" s="21" t="str">
        <f>IF(Deployments!L300="","",Deployments!L300)</f>
        <v/>
      </c>
    </row>
    <row r="300" spans="1:27">
      <c r="A300" s="22"/>
      <c r="B300" s="22"/>
      <c r="C300" s="21" t="str">
        <f>IF(Deployments!H301="","",Deployments!H301)</f>
        <v/>
      </c>
      <c r="D300" s="21" t="str">
        <f>IF(Deployments!AH301="","",Deployments!AH301)</f>
        <v/>
      </c>
      <c r="E300" s="21" t="str">
        <f>IF(Deployments!I301="","",Deployments!I301)</f>
        <v/>
      </c>
      <c r="F300" s="21" t="str">
        <f>IF(Deployments!J301="","",Deployments!J301)</f>
        <v/>
      </c>
      <c r="G300" s="21" t="str">
        <f>IF(Deployments!K301="","",Deployments!K301)</f>
        <v/>
      </c>
      <c r="H300" s="21" t="str">
        <f>IF(Deployments!A301="","",Deployments!A301)</f>
        <v/>
      </c>
      <c r="I300" s="21" t="str">
        <f>IF(Deployments!AI301="","",Deployments!AI301)</f>
        <v/>
      </c>
      <c r="J300" s="21" t="str">
        <f>IF(Deployments!AJ301="","",Deployments!AJ301)</f>
        <v/>
      </c>
      <c r="K300" s="21" t="str">
        <f>IF(Deployments!AD301="","",Deployments!AD301)</f>
        <v/>
      </c>
      <c r="L300" s="21" t="str">
        <f>IF(Deployments!M301="","",Deployments!M301)</f>
        <v/>
      </c>
      <c r="M300" s="22"/>
      <c r="N300" s="21" t="str">
        <f>IF(Deployments!N301="","",Deployments!N301)</f>
        <v/>
      </c>
      <c r="O300" s="21" t="str">
        <f>IF(Deployments!O301="","",Deployments!O301)</f>
        <v/>
      </c>
      <c r="P300" s="21" t="str">
        <f>IF(Deployments!P301="","",Deployments!P301)</f>
        <v/>
      </c>
      <c r="Q300" s="22"/>
      <c r="R300" s="21" t="str">
        <f>IF(Deployments!AY301="","",Deployments!AY301)</f>
        <v/>
      </c>
      <c r="S300" s="21" t="str">
        <f>IF(Deployments!AX301="","",Deployments!AX301)</f>
        <v/>
      </c>
      <c r="T300" s="21" t="str">
        <f>IF(Deployments!AV301="","",Deployments!AV301)</f>
        <v/>
      </c>
      <c r="U300" s="21" t="str">
        <f>IF(Deployments!AW301="","",Deployments!AW301)</f>
        <v/>
      </c>
      <c r="V300" s="21" t="str">
        <f>IF(Deployments!BA301="","",Deployments!BA301)</f>
        <v/>
      </c>
      <c r="W300" s="21" t="str">
        <f>IF(Deployments!BC301="","",Deployments!BC301)</f>
        <v/>
      </c>
      <c r="X300" s="21" t="str">
        <f>IF(Deployments!BK301="","",Deployments!BK301)</f>
        <v/>
      </c>
      <c r="Y300" s="21" t="str">
        <f>IF(Deployments!BB301="","",Deployments!BB301)</f>
        <v/>
      </c>
      <c r="Z300" s="21" t="str">
        <f>IF(Deployments!T301="","",Deployments!T301)</f>
        <v/>
      </c>
      <c r="AA300" s="21" t="str">
        <f>IF(Deployments!L301="","",Deployments!L301)</f>
        <v/>
      </c>
    </row>
    <row r="301" spans="1:27">
      <c r="A301" s="22"/>
      <c r="B301" s="22"/>
      <c r="C301" s="21" t="str">
        <f>IF(Deployments!H302="","",Deployments!H302)</f>
        <v/>
      </c>
      <c r="D301" s="21" t="str">
        <f>IF(Deployments!AH302="","",Deployments!AH302)</f>
        <v/>
      </c>
      <c r="E301" s="21" t="str">
        <f>IF(Deployments!I302="","",Deployments!I302)</f>
        <v/>
      </c>
      <c r="F301" s="21" t="str">
        <f>IF(Deployments!J302="","",Deployments!J302)</f>
        <v/>
      </c>
      <c r="G301" s="21" t="str">
        <f>IF(Deployments!K302="","",Deployments!K302)</f>
        <v/>
      </c>
      <c r="H301" s="21" t="str">
        <f>IF(Deployments!A302="","",Deployments!A302)</f>
        <v/>
      </c>
      <c r="I301" s="21" t="str">
        <f>IF(Deployments!AI302="","",Deployments!AI302)</f>
        <v/>
      </c>
      <c r="J301" s="21" t="str">
        <f>IF(Deployments!AJ302="","",Deployments!AJ302)</f>
        <v/>
      </c>
      <c r="K301" s="21" t="str">
        <f>IF(Deployments!AD302="","",Deployments!AD302)</f>
        <v/>
      </c>
      <c r="L301" s="21" t="str">
        <f>IF(Deployments!M302="","",Deployments!M302)</f>
        <v/>
      </c>
      <c r="M301" s="22"/>
      <c r="N301" s="21" t="str">
        <f>IF(Deployments!N302="","",Deployments!N302)</f>
        <v/>
      </c>
      <c r="O301" s="21" t="str">
        <f>IF(Deployments!O302="","",Deployments!O302)</f>
        <v/>
      </c>
      <c r="P301" s="21" t="str">
        <f>IF(Deployments!P302="","",Deployments!P302)</f>
        <v/>
      </c>
      <c r="Q301" s="22"/>
      <c r="R301" s="21" t="str">
        <f>IF(Deployments!AY302="","",Deployments!AY302)</f>
        <v/>
      </c>
      <c r="S301" s="21" t="str">
        <f>IF(Deployments!AX302="","",Deployments!AX302)</f>
        <v/>
      </c>
      <c r="T301" s="21" t="str">
        <f>IF(Deployments!AV302="","",Deployments!AV302)</f>
        <v/>
      </c>
      <c r="U301" s="21" t="str">
        <f>IF(Deployments!AW302="","",Deployments!AW302)</f>
        <v/>
      </c>
      <c r="V301" s="21" t="str">
        <f>IF(Deployments!BA302="","",Deployments!BA302)</f>
        <v/>
      </c>
      <c r="W301" s="21" t="str">
        <f>IF(Deployments!BC302="","",Deployments!BC302)</f>
        <v/>
      </c>
      <c r="X301" s="21" t="str">
        <f>IF(Deployments!BK302="","",Deployments!BK302)</f>
        <v/>
      </c>
      <c r="Y301" s="21" t="str">
        <f>IF(Deployments!BB302="","",Deployments!BB302)</f>
        <v/>
      </c>
      <c r="Z301" s="21" t="str">
        <f>IF(Deployments!T302="","",Deployments!T302)</f>
        <v/>
      </c>
      <c r="AA301" s="21" t="str">
        <f>IF(Deployments!L302="","",Deployments!L302)</f>
        <v/>
      </c>
    </row>
    <row r="302" spans="1:27">
      <c r="A302" s="22"/>
      <c r="B302" s="22"/>
      <c r="C302" s="21" t="str">
        <f>IF(Deployments!H303="","",Deployments!H303)</f>
        <v/>
      </c>
      <c r="D302" s="21" t="str">
        <f>IF(Deployments!AH303="","",Deployments!AH303)</f>
        <v/>
      </c>
      <c r="E302" s="21" t="str">
        <f>IF(Deployments!I303="","",Deployments!I303)</f>
        <v/>
      </c>
      <c r="F302" s="21" t="str">
        <f>IF(Deployments!J303="","",Deployments!J303)</f>
        <v/>
      </c>
      <c r="G302" s="21" t="str">
        <f>IF(Deployments!K303="","",Deployments!K303)</f>
        <v/>
      </c>
      <c r="H302" s="21" t="str">
        <f>IF(Deployments!A303="","",Deployments!A303)</f>
        <v/>
      </c>
      <c r="I302" s="21" t="str">
        <f>IF(Deployments!AI303="","",Deployments!AI303)</f>
        <v/>
      </c>
      <c r="J302" s="21" t="str">
        <f>IF(Deployments!AJ303="","",Deployments!AJ303)</f>
        <v/>
      </c>
      <c r="K302" s="21" t="str">
        <f>IF(Deployments!AD303="","",Deployments!AD303)</f>
        <v/>
      </c>
      <c r="L302" s="21" t="str">
        <f>IF(Deployments!M303="","",Deployments!M303)</f>
        <v/>
      </c>
      <c r="M302" s="22"/>
      <c r="N302" s="21" t="str">
        <f>IF(Deployments!N303="","",Deployments!N303)</f>
        <v/>
      </c>
      <c r="O302" s="21" t="str">
        <f>IF(Deployments!O303="","",Deployments!O303)</f>
        <v/>
      </c>
      <c r="P302" s="21" t="str">
        <f>IF(Deployments!P303="","",Deployments!P303)</f>
        <v/>
      </c>
      <c r="Q302" s="22"/>
      <c r="R302" s="21" t="str">
        <f>IF(Deployments!AY303="","",Deployments!AY303)</f>
        <v/>
      </c>
      <c r="S302" s="21" t="str">
        <f>IF(Deployments!AX303="","",Deployments!AX303)</f>
        <v/>
      </c>
      <c r="T302" s="21" t="str">
        <f>IF(Deployments!AV303="","",Deployments!AV303)</f>
        <v/>
      </c>
      <c r="U302" s="21" t="str">
        <f>IF(Deployments!AW303="","",Deployments!AW303)</f>
        <v/>
      </c>
      <c r="V302" s="21" t="str">
        <f>IF(Deployments!BA303="","",Deployments!BA303)</f>
        <v/>
      </c>
      <c r="W302" s="21" t="str">
        <f>IF(Deployments!BC303="","",Deployments!BC303)</f>
        <v/>
      </c>
      <c r="X302" s="21" t="str">
        <f>IF(Deployments!BK303="","",Deployments!BK303)</f>
        <v/>
      </c>
      <c r="Y302" s="21" t="str">
        <f>IF(Deployments!BB303="","",Deployments!BB303)</f>
        <v/>
      </c>
      <c r="Z302" s="21" t="str">
        <f>IF(Deployments!T303="","",Deployments!T303)</f>
        <v/>
      </c>
      <c r="AA302" s="21" t="str">
        <f>IF(Deployments!L303="","",Deployments!L303)</f>
        <v/>
      </c>
    </row>
    <row r="303" spans="1:27">
      <c r="A303" s="22"/>
      <c r="B303" s="22"/>
      <c r="C303" s="21" t="str">
        <f>IF(Deployments!H304="","",Deployments!H304)</f>
        <v/>
      </c>
      <c r="D303" s="21" t="str">
        <f>IF(Deployments!AH304="","",Deployments!AH304)</f>
        <v/>
      </c>
      <c r="E303" s="21" t="str">
        <f>IF(Deployments!I304="","",Deployments!I304)</f>
        <v/>
      </c>
      <c r="F303" s="21" t="str">
        <f>IF(Deployments!J304="","",Deployments!J304)</f>
        <v/>
      </c>
      <c r="G303" s="21" t="str">
        <f>IF(Deployments!K304="","",Deployments!K304)</f>
        <v/>
      </c>
      <c r="H303" s="21" t="str">
        <f>IF(Deployments!A304="","",Deployments!A304)</f>
        <v/>
      </c>
      <c r="I303" s="21" t="str">
        <f>IF(Deployments!AI304="","",Deployments!AI304)</f>
        <v/>
      </c>
      <c r="J303" s="21" t="str">
        <f>IF(Deployments!AJ304="","",Deployments!AJ304)</f>
        <v/>
      </c>
      <c r="K303" s="21" t="str">
        <f>IF(Deployments!AD304="","",Deployments!AD304)</f>
        <v/>
      </c>
      <c r="L303" s="21" t="str">
        <f>IF(Deployments!M304="","",Deployments!M304)</f>
        <v/>
      </c>
      <c r="M303" s="22"/>
      <c r="N303" s="21" t="str">
        <f>IF(Deployments!N304="","",Deployments!N304)</f>
        <v/>
      </c>
      <c r="O303" s="21" t="str">
        <f>IF(Deployments!O304="","",Deployments!O304)</f>
        <v/>
      </c>
      <c r="P303" s="21" t="str">
        <f>IF(Deployments!P304="","",Deployments!P304)</f>
        <v/>
      </c>
      <c r="Q303" s="22"/>
      <c r="R303" s="21" t="str">
        <f>IF(Deployments!AY304="","",Deployments!AY304)</f>
        <v/>
      </c>
      <c r="S303" s="21" t="str">
        <f>IF(Deployments!AX304="","",Deployments!AX304)</f>
        <v/>
      </c>
      <c r="T303" s="21" t="str">
        <f>IF(Deployments!AV304="","",Deployments!AV304)</f>
        <v/>
      </c>
      <c r="U303" s="21" t="str">
        <f>IF(Deployments!AW304="","",Deployments!AW304)</f>
        <v/>
      </c>
      <c r="V303" s="21" t="str">
        <f>IF(Deployments!BA304="","",Deployments!BA304)</f>
        <v/>
      </c>
      <c r="W303" s="21" t="str">
        <f>IF(Deployments!BC304="","",Deployments!BC304)</f>
        <v/>
      </c>
      <c r="X303" s="21" t="str">
        <f>IF(Deployments!BK304="","",Deployments!BK304)</f>
        <v/>
      </c>
      <c r="Y303" s="21" t="str">
        <f>IF(Deployments!BB304="","",Deployments!BB304)</f>
        <v/>
      </c>
      <c r="Z303" s="21" t="str">
        <f>IF(Deployments!T304="","",Deployments!T304)</f>
        <v/>
      </c>
      <c r="AA303" s="21" t="str">
        <f>IF(Deployments!L304="","",Deployments!L304)</f>
        <v/>
      </c>
    </row>
    <row r="304" spans="1:27">
      <c r="A304" s="22"/>
      <c r="B304" s="22"/>
      <c r="C304" s="21" t="str">
        <f>IF(Deployments!H305="","",Deployments!H305)</f>
        <v/>
      </c>
      <c r="D304" s="21" t="str">
        <f>IF(Deployments!AH305="","",Deployments!AH305)</f>
        <v/>
      </c>
      <c r="E304" s="21" t="str">
        <f>IF(Deployments!I305="","",Deployments!I305)</f>
        <v/>
      </c>
      <c r="F304" s="21" t="str">
        <f>IF(Deployments!J305="","",Deployments!J305)</f>
        <v/>
      </c>
      <c r="G304" s="21" t="str">
        <f>IF(Deployments!K305="","",Deployments!K305)</f>
        <v/>
      </c>
      <c r="H304" s="21" t="str">
        <f>IF(Deployments!A305="","",Deployments!A305)</f>
        <v/>
      </c>
      <c r="I304" s="21" t="str">
        <f>IF(Deployments!AI305="","",Deployments!AI305)</f>
        <v/>
      </c>
      <c r="J304" s="21" t="str">
        <f>IF(Deployments!AJ305="","",Deployments!AJ305)</f>
        <v/>
      </c>
      <c r="K304" s="21" t="str">
        <f>IF(Deployments!AD305="","",Deployments!AD305)</f>
        <v/>
      </c>
      <c r="L304" s="21" t="str">
        <f>IF(Deployments!M305="","",Deployments!M305)</f>
        <v/>
      </c>
      <c r="M304" s="22"/>
      <c r="N304" s="21" t="str">
        <f>IF(Deployments!N305="","",Deployments!N305)</f>
        <v/>
      </c>
      <c r="O304" s="21" t="str">
        <f>IF(Deployments!O305="","",Deployments!O305)</f>
        <v/>
      </c>
      <c r="P304" s="21" t="str">
        <f>IF(Deployments!P305="","",Deployments!P305)</f>
        <v/>
      </c>
      <c r="Q304" s="22"/>
      <c r="R304" s="21" t="str">
        <f>IF(Deployments!AY305="","",Deployments!AY305)</f>
        <v/>
      </c>
      <c r="S304" s="21" t="str">
        <f>IF(Deployments!AX305="","",Deployments!AX305)</f>
        <v/>
      </c>
      <c r="T304" s="21" t="str">
        <f>IF(Deployments!AV305="","",Deployments!AV305)</f>
        <v/>
      </c>
      <c r="U304" s="21" t="str">
        <f>IF(Deployments!AW305="","",Deployments!AW305)</f>
        <v/>
      </c>
      <c r="V304" s="21" t="str">
        <f>IF(Deployments!BA305="","",Deployments!BA305)</f>
        <v/>
      </c>
      <c r="W304" s="21" t="str">
        <f>IF(Deployments!BC305="","",Deployments!BC305)</f>
        <v/>
      </c>
      <c r="X304" s="21" t="str">
        <f>IF(Deployments!BK305="","",Deployments!BK305)</f>
        <v/>
      </c>
      <c r="Y304" s="21" t="str">
        <f>IF(Deployments!BB305="","",Deployments!BB305)</f>
        <v/>
      </c>
      <c r="Z304" s="21" t="str">
        <f>IF(Deployments!T305="","",Deployments!T305)</f>
        <v/>
      </c>
      <c r="AA304" s="21" t="str">
        <f>IF(Deployments!L305="","",Deployments!L305)</f>
        <v/>
      </c>
    </row>
    <row r="305" spans="1:27">
      <c r="A305" s="22"/>
      <c r="B305" s="22"/>
      <c r="C305" s="21" t="str">
        <f>IF(Deployments!H306="","",Deployments!H306)</f>
        <v/>
      </c>
      <c r="D305" s="21" t="str">
        <f>IF(Deployments!AH306="","",Deployments!AH306)</f>
        <v/>
      </c>
      <c r="E305" s="21" t="str">
        <f>IF(Deployments!I306="","",Deployments!I306)</f>
        <v/>
      </c>
      <c r="F305" s="21" t="str">
        <f>IF(Deployments!J306="","",Deployments!J306)</f>
        <v/>
      </c>
      <c r="G305" s="21" t="str">
        <f>IF(Deployments!K306="","",Deployments!K306)</f>
        <v/>
      </c>
      <c r="H305" s="21" t="str">
        <f>IF(Deployments!A306="","",Deployments!A306)</f>
        <v/>
      </c>
      <c r="I305" s="21" t="str">
        <f>IF(Deployments!AI306="","",Deployments!AI306)</f>
        <v/>
      </c>
      <c r="J305" s="21" t="str">
        <f>IF(Deployments!AJ306="","",Deployments!AJ306)</f>
        <v/>
      </c>
      <c r="K305" s="21" t="str">
        <f>IF(Deployments!AD306="","",Deployments!AD306)</f>
        <v/>
      </c>
      <c r="L305" s="21" t="str">
        <f>IF(Deployments!M306="","",Deployments!M306)</f>
        <v/>
      </c>
      <c r="M305" s="22"/>
      <c r="N305" s="21" t="str">
        <f>IF(Deployments!N306="","",Deployments!N306)</f>
        <v/>
      </c>
      <c r="O305" s="21" t="str">
        <f>IF(Deployments!O306="","",Deployments!O306)</f>
        <v/>
      </c>
      <c r="P305" s="21" t="str">
        <f>IF(Deployments!P306="","",Deployments!P306)</f>
        <v/>
      </c>
      <c r="Q305" s="22"/>
      <c r="R305" s="21" t="str">
        <f>IF(Deployments!AY306="","",Deployments!AY306)</f>
        <v/>
      </c>
      <c r="S305" s="21" t="str">
        <f>IF(Deployments!AX306="","",Deployments!AX306)</f>
        <v/>
      </c>
      <c r="T305" s="21" t="str">
        <f>IF(Deployments!AV306="","",Deployments!AV306)</f>
        <v/>
      </c>
      <c r="U305" s="21" t="str">
        <f>IF(Deployments!AW306="","",Deployments!AW306)</f>
        <v/>
      </c>
      <c r="V305" s="21" t="str">
        <f>IF(Deployments!BA306="","",Deployments!BA306)</f>
        <v/>
      </c>
      <c r="W305" s="21" t="str">
        <f>IF(Deployments!BC306="","",Deployments!BC306)</f>
        <v/>
      </c>
      <c r="X305" s="21" t="str">
        <f>IF(Deployments!BK306="","",Deployments!BK306)</f>
        <v/>
      </c>
      <c r="Y305" s="21" t="str">
        <f>IF(Deployments!BB306="","",Deployments!BB306)</f>
        <v/>
      </c>
      <c r="Z305" s="21" t="str">
        <f>IF(Deployments!T306="","",Deployments!T306)</f>
        <v/>
      </c>
      <c r="AA305" s="21" t="str">
        <f>IF(Deployments!L306="","",Deployments!L306)</f>
        <v/>
      </c>
    </row>
    <row r="306" spans="1:27">
      <c r="A306" s="22"/>
      <c r="B306" s="22"/>
      <c r="C306" s="21" t="str">
        <f>IF(Deployments!H307="","",Deployments!H307)</f>
        <v/>
      </c>
      <c r="D306" s="21" t="str">
        <f>IF(Deployments!AH307="","",Deployments!AH307)</f>
        <v/>
      </c>
      <c r="E306" s="21" t="str">
        <f>IF(Deployments!I307="","",Deployments!I307)</f>
        <v/>
      </c>
      <c r="F306" s="21" t="str">
        <f>IF(Deployments!J307="","",Deployments!J307)</f>
        <v/>
      </c>
      <c r="G306" s="21" t="str">
        <f>IF(Deployments!K307="","",Deployments!K307)</f>
        <v/>
      </c>
      <c r="H306" s="21" t="str">
        <f>IF(Deployments!A307="","",Deployments!A307)</f>
        <v/>
      </c>
      <c r="I306" s="21" t="str">
        <f>IF(Deployments!AI307="","",Deployments!AI307)</f>
        <v/>
      </c>
      <c r="J306" s="21" t="str">
        <f>IF(Deployments!AJ307="","",Deployments!AJ307)</f>
        <v/>
      </c>
      <c r="K306" s="21" t="str">
        <f>IF(Deployments!AD307="","",Deployments!AD307)</f>
        <v/>
      </c>
      <c r="L306" s="21" t="str">
        <f>IF(Deployments!M307="","",Deployments!M307)</f>
        <v/>
      </c>
      <c r="M306" s="22"/>
      <c r="N306" s="21" t="str">
        <f>IF(Deployments!N307="","",Deployments!N307)</f>
        <v/>
      </c>
      <c r="O306" s="21" t="str">
        <f>IF(Deployments!O307="","",Deployments!O307)</f>
        <v/>
      </c>
      <c r="P306" s="21" t="str">
        <f>IF(Deployments!P307="","",Deployments!P307)</f>
        <v/>
      </c>
      <c r="Q306" s="22"/>
      <c r="R306" s="21" t="str">
        <f>IF(Deployments!AY307="","",Deployments!AY307)</f>
        <v/>
      </c>
      <c r="S306" s="21" t="str">
        <f>IF(Deployments!AX307="","",Deployments!AX307)</f>
        <v/>
      </c>
      <c r="T306" s="21" t="str">
        <f>IF(Deployments!AV307="","",Deployments!AV307)</f>
        <v/>
      </c>
      <c r="U306" s="21" t="str">
        <f>IF(Deployments!AW307="","",Deployments!AW307)</f>
        <v/>
      </c>
      <c r="V306" s="21" t="str">
        <f>IF(Deployments!BA307="","",Deployments!BA307)</f>
        <v/>
      </c>
      <c r="W306" s="21" t="str">
        <f>IF(Deployments!BC307="","",Deployments!BC307)</f>
        <v/>
      </c>
      <c r="X306" s="21" t="str">
        <f>IF(Deployments!BK307="","",Deployments!BK307)</f>
        <v/>
      </c>
      <c r="Y306" s="21" t="str">
        <f>IF(Deployments!BB307="","",Deployments!BB307)</f>
        <v/>
      </c>
      <c r="Z306" s="21" t="str">
        <f>IF(Deployments!T307="","",Deployments!T307)</f>
        <v/>
      </c>
      <c r="AA306" s="21" t="str">
        <f>IF(Deployments!L307="","",Deployments!L307)</f>
        <v/>
      </c>
    </row>
    <row r="307" spans="1:27">
      <c r="A307" s="22"/>
      <c r="B307" s="22"/>
      <c r="C307" s="21" t="str">
        <f>IF(Deployments!H308="","",Deployments!H308)</f>
        <v/>
      </c>
      <c r="D307" s="21" t="str">
        <f>IF(Deployments!AH308="","",Deployments!AH308)</f>
        <v/>
      </c>
      <c r="E307" s="21" t="str">
        <f>IF(Deployments!I308="","",Deployments!I308)</f>
        <v/>
      </c>
      <c r="F307" s="21" t="str">
        <f>IF(Deployments!J308="","",Deployments!J308)</f>
        <v/>
      </c>
      <c r="G307" s="21" t="str">
        <f>IF(Deployments!K308="","",Deployments!K308)</f>
        <v/>
      </c>
      <c r="H307" s="21" t="str">
        <f>IF(Deployments!A308="","",Deployments!A308)</f>
        <v/>
      </c>
      <c r="I307" s="21" t="str">
        <f>IF(Deployments!AI308="","",Deployments!AI308)</f>
        <v/>
      </c>
      <c r="J307" s="21" t="str">
        <f>IF(Deployments!AJ308="","",Deployments!AJ308)</f>
        <v/>
      </c>
      <c r="K307" s="21" t="str">
        <f>IF(Deployments!AD308="","",Deployments!AD308)</f>
        <v/>
      </c>
      <c r="L307" s="21" t="str">
        <f>IF(Deployments!M308="","",Deployments!M308)</f>
        <v/>
      </c>
      <c r="M307" s="22"/>
      <c r="N307" s="21" t="str">
        <f>IF(Deployments!N308="","",Deployments!N308)</f>
        <v/>
      </c>
      <c r="O307" s="21" t="str">
        <f>IF(Deployments!O308="","",Deployments!O308)</f>
        <v/>
      </c>
      <c r="P307" s="21" t="str">
        <f>IF(Deployments!P308="","",Deployments!P308)</f>
        <v/>
      </c>
      <c r="Q307" s="22"/>
      <c r="R307" s="21" t="str">
        <f>IF(Deployments!AY308="","",Deployments!AY308)</f>
        <v/>
      </c>
      <c r="S307" s="21" t="str">
        <f>IF(Deployments!AX308="","",Deployments!AX308)</f>
        <v/>
      </c>
      <c r="T307" s="21" t="str">
        <f>IF(Deployments!AV308="","",Deployments!AV308)</f>
        <v/>
      </c>
      <c r="U307" s="21" t="str">
        <f>IF(Deployments!AW308="","",Deployments!AW308)</f>
        <v/>
      </c>
      <c r="V307" s="21" t="str">
        <f>IF(Deployments!BA308="","",Deployments!BA308)</f>
        <v/>
      </c>
      <c r="W307" s="21" t="str">
        <f>IF(Deployments!BC308="","",Deployments!BC308)</f>
        <v/>
      </c>
      <c r="X307" s="21" t="str">
        <f>IF(Deployments!BK308="","",Deployments!BK308)</f>
        <v/>
      </c>
      <c r="Y307" s="21" t="str">
        <f>IF(Deployments!BB308="","",Deployments!BB308)</f>
        <v/>
      </c>
      <c r="Z307" s="21" t="str">
        <f>IF(Deployments!T308="","",Deployments!T308)</f>
        <v/>
      </c>
      <c r="AA307" s="21" t="str">
        <f>IF(Deployments!L308="","",Deployments!L308)</f>
        <v/>
      </c>
    </row>
    <row r="308" spans="1:27">
      <c r="A308" s="22"/>
      <c r="B308" s="22"/>
      <c r="C308" s="21" t="str">
        <f>IF(Deployments!H309="","",Deployments!H309)</f>
        <v/>
      </c>
      <c r="D308" s="21" t="str">
        <f>IF(Deployments!AH309="","",Deployments!AH309)</f>
        <v/>
      </c>
      <c r="E308" s="21" t="str">
        <f>IF(Deployments!I309="","",Deployments!I309)</f>
        <v/>
      </c>
      <c r="F308" s="21" t="str">
        <f>IF(Deployments!J309="","",Deployments!J309)</f>
        <v/>
      </c>
      <c r="G308" s="21" t="str">
        <f>IF(Deployments!K309="","",Deployments!K309)</f>
        <v/>
      </c>
      <c r="H308" s="21" t="str">
        <f>IF(Deployments!A309="","",Deployments!A309)</f>
        <v/>
      </c>
      <c r="I308" s="21" t="str">
        <f>IF(Deployments!AI309="","",Deployments!AI309)</f>
        <v/>
      </c>
      <c r="J308" s="21" t="str">
        <f>IF(Deployments!AJ309="","",Deployments!AJ309)</f>
        <v/>
      </c>
      <c r="K308" s="21" t="str">
        <f>IF(Deployments!AD309="","",Deployments!AD309)</f>
        <v/>
      </c>
      <c r="L308" s="21" t="str">
        <f>IF(Deployments!M309="","",Deployments!M309)</f>
        <v/>
      </c>
      <c r="M308" s="22"/>
      <c r="N308" s="21" t="str">
        <f>IF(Deployments!N309="","",Deployments!N309)</f>
        <v/>
      </c>
      <c r="O308" s="21" t="str">
        <f>IF(Deployments!O309="","",Deployments!O309)</f>
        <v/>
      </c>
      <c r="P308" s="21" t="str">
        <f>IF(Deployments!P309="","",Deployments!P309)</f>
        <v/>
      </c>
      <c r="Q308" s="22"/>
      <c r="R308" s="21" t="str">
        <f>IF(Deployments!AY309="","",Deployments!AY309)</f>
        <v/>
      </c>
      <c r="S308" s="21" t="str">
        <f>IF(Deployments!AX309="","",Deployments!AX309)</f>
        <v/>
      </c>
      <c r="T308" s="21" t="str">
        <f>IF(Deployments!AV309="","",Deployments!AV309)</f>
        <v/>
      </c>
      <c r="U308" s="21" t="str">
        <f>IF(Deployments!AW309="","",Deployments!AW309)</f>
        <v/>
      </c>
      <c r="V308" s="21" t="str">
        <f>IF(Deployments!BA309="","",Deployments!BA309)</f>
        <v/>
      </c>
      <c r="W308" s="21" t="str">
        <f>IF(Deployments!BC309="","",Deployments!BC309)</f>
        <v/>
      </c>
      <c r="X308" s="21" t="str">
        <f>IF(Deployments!BK309="","",Deployments!BK309)</f>
        <v/>
      </c>
      <c r="Y308" s="21" t="str">
        <f>IF(Deployments!BB309="","",Deployments!BB309)</f>
        <v/>
      </c>
      <c r="Z308" s="21" t="str">
        <f>IF(Deployments!T309="","",Deployments!T309)</f>
        <v/>
      </c>
      <c r="AA308" s="21" t="str">
        <f>IF(Deployments!L309="","",Deployments!L309)</f>
        <v/>
      </c>
    </row>
    <row r="309" spans="1:27">
      <c r="A309" s="22"/>
      <c r="B309" s="22"/>
      <c r="C309" s="21" t="str">
        <f>IF(Deployments!H310="","",Deployments!H310)</f>
        <v/>
      </c>
      <c r="D309" s="21" t="str">
        <f>IF(Deployments!AH310="","",Deployments!AH310)</f>
        <v/>
      </c>
      <c r="E309" s="21" t="str">
        <f>IF(Deployments!I310="","",Deployments!I310)</f>
        <v/>
      </c>
      <c r="F309" s="21" t="str">
        <f>IF(Deployments!J310="","",Deployments!J310)</f>
        <v/>
      </c>
      <c r="G309" s="21" t="str">
        <f>IF(Deployments!K310="","",Deployments!K310)</f>
        <v/>
      </c>
      <c r="H309" s="21" t="str">
        <f>IF(Deployments!A310="","",Deployments!A310)</f>
        <v/>
      </c>
      <c r="I309" s="21" t="str">
        <f>IF(Deployments!AI310="","",Deployments!AI310)</f>
        <v/>
      </c>
      <c r="J309" s="21" t="str">
        <f>IF(Deployments!AJ310="","",Deployments!AJ310)</f>
        <v/>
      </c>
      <c r="K309" s="21" t="str">
        <f>IF(Deployments!AD310="","",Deployments!AD310)</f>
        <v/>
      </c>
      <c r="L309" s="21" t="str">
        <f>IF(Deployments!M310="","",Deployments!M310)</f>
        <v/>
      </c>
      <c r="M309" s="22"/>
      <c r="N309" s="21" t="str">
        <f>IF(Deployments!N310="","",Deployments!N310)</f>
        <v/>
      </c>
      <c r="O309" s="21" t="str">
        <f>IF(Deployments!O310="","",Deployments!O310)</f>
        <v/>
      </c>
      <c r="P309" s="21" t="str">
        <f>IF(Deployments!P310="","",Deployments!P310)</f>
        <v/>
      </c>
      <c r="Q309" s="22"/>
      <c r="R309" s="21" t="str">
        <f>IF(Deployments!AY310="","",Deployments!AY310)</f>
        <v/>
      </c>
      <c r="S309" s="21" t="str">
        <f>IF(Deployments!AX310="","",Deployments!AX310)</f>
        <v/>
      </c>
      <c r="T309" s="21" t="str">
        <f>IF(Deployments!AV310="","",Deployments!AV310)</f>
        <v/>
      </c>
      <c r="U309" s="21" t="str">
        <f>IF(Deployments!AW310="","",Deployments!AW310)</f>
        <v/>
      </c>
      <c r="V309" s="21" t="str">
        <f>IF(Deployments!BA310="","",Deployments!BA310)</f>
        <v/>
      </c>
      <c r="W309" s="21" t="str">
        <f>IF(Deployments!BC310="","",Deployments!BC310)</f>
        <v/>
      </c>
      <c r="X309" s="21" t="str">
        <f>IF(Deployments!BK310="","",Deployments!BK310)</f>
        <v/>
      </c>
      <c r="Y309" s="21" t="str">
        <f>IF(Deployments!BB310="","",Deployments!BB310)</f>
        <v/>
      </c>
      <c r="Z309" s="21" t="str">
        <f>IF(Deployments!T310="","",Deployments!T310)</f>
        <v/>
      </c>
      <c r="AA309" s="21" t="str">
        <f>IF(Deployments!L310="","",Deployments!L310)</f>
        <v/>
      </c>
    </row>
    <row r="310" spans="1:27">
      <c r="A310" s="22"/>
      <c r="B310" s="22"/>
      <c r="C310" s="21" t="str">
        <f>IF(Deployments!H311="","",Deployments!H311)</f>
        <v/>
      </c>
      <c r="D310" s="21" t="str">
        <f>IF(Deployments!AH311="","",Deployments!AH311)</f>
        <v/>
      </c>
      <c r="E310" s="21" t="str">
        <f>IF(Deployments!I311="","",Deployments!I311)</f>
        <v/>
      </c>
      <c r="F310" s="21" t="str">
        <f>IF(Deployments!J311="","",Deployments!J311)</f>
        <v/>
      </c>
      <c r="G310" s="21" t="str">
        <f>IF(Deployments!K311="","",Deployments!K311)</f>
        <v/>
      </c>
      <c r="H310" s="21" t="str">
        <f>IF(Deployments!A311="","",Deployments!A311)</f>
        <v/>
      </c>
      <c r="I310" s="21" t="str">
        <f>IF(Deployments!AI311="","",Deployments!AI311)</f>
        <v/>
      </c>
      <c r="J310" s="21" t="str">
        <f>IF(Deployments!AJ311="","",Deployments!AJ311)</f>
        <v/>
      </c>
      <c r="K310" s="21" t="str">
        <f>IF(Deployments!AD311="","",Deployments!AD311)</f>
        <v/>
      </c>
      <c r="L310" s="21" t="str">
        <f>IF(Deployments!M311="","",Deployments!M311)</f>
        <v/>
      </c>
      <c r="M310" s="22"/>
      <c r="N310" s="21" t="str">
        <f>IF(Deployments!N311="","",Deployments!N311)</f>
        <v/>
      </c>
      <c r="O310" s="21" t="str">
        <f>IF(Deployments!O311="","",Deployments!O311)</f>
        <v/>
      </c>
      <c r="P310" s="21" t="str">
        <f>IF(Deployments!P311="","",Deployments!P311)</f>
        <v/>
      </c>
      <c r="Q310" s="22"/>
      <c r="R310" s="21" t="str">
        <f>IF(Deployments!AY311="","",Deployments!AY311)</f>
        <v/>
      </c>
      <c r="S310" s="21" t="str">
        <f>IF(Deployments!AX311="","",Deployments!AX311)</f>
        <v/>
      </c>
      <c r="T310" s="21" t="str">
        <f>IF(Deployments!AV311="","",Deployments!AV311)</f>
        <v/>
      </c>
      <c r="U310" s="21" t="str">
        <f>IF(Deployments!AW311="","",Deployments!AW311)</f>
        <v/>
      </c>
      <c r="V310" s="21" t="str">
        <f>IF(Deployments!BA311="","",Deployments!BA311)</f>
        <v/>
      </c>
      <c r="W310" s="21" t="str">
        <f>IF(Deployments!BC311="","",Deployments!BC311)</f>
        <v/>
      </c>
      <c r="X310" s="21" t="str">
        <f>IF(Deployments!BK311="","",Deployments!BK311)</f>
        <v/>
      </c>
      <c r="Y310" s="21" t="str">
        <f>IF(Deployments!BB311="","",Deployments!BB311)</f>
        <v/>
      </c>
      <c r="Z310" s="21" t="str">
        <f>IF(Deployments!T311="","",Deployments!T311)</f>
        <v/>
      </c>
      <c r="AA310" s="21" t="str">
        <f>IF(Deployments!L311="","",Deployments!L311)</f>
        <v/>
      </c>
    </row>
    <row r="311" spans="1:27">
      <c r="A311" s="22"/>
      <c r="B311" s="22"/>
      <c r="C311" s="21" t="str">
        <f>IF(Deployments!H312="","",Deployments!H312)</f>
        <v/>
      </c>
      <c r="D311" s="21" t="str">
        <f>IF(Deployments!AH312="","",Deployments!AH312)</f>
        <v/>
      </c>
      <c r="E311" s="21" t="str">
        <f>IF(Deployments!I312="","",Deployments!I312)</f>
        <v/>
      </c>
      <c r="F311" s="21" t="str">
        <f>IF(Deployments!J312="","",Deployments!J312)</f>
        <v/>
      </c>
      <c r="G311" s="21" t="str">
        <f>IF(Deployments!K312="","",Deployments!K312)</f>
        <v/>
      </c>
      <c r="H311" s="21" t="str">
        <f>IF(Deployments!A312="","",Deployments!A312)</f>
        <v/>
      </c>
      <c r="I311" s="21" t="str">
        <f>IF(Deployments!AI312="","",Deployments!AI312)</f>
        <v/>
      </c>
      <c r="J311" s="21" t="str">
        <f>IF(Deployments!AJ312="","",Deployments!AJ312)</f>
        <v/>
      </c>
      <c r="K311" s="21" t="str">
        <f>IF(Deployments!AD312="","",Deployments!AD312)</f>
        <v/>
      </c>
      <c r="L311" s="21" t="str">
        <f>IF(Deployments!M312="","",Deployments!M312)</f>
        <v/>
      </c>
      <c r="M311" s="22"/>
      <c r="N311" s="21" t="str">
        <f>IF(Deployments!N312="","",Deployments!N312)</f>
        <v/>
      </c>
      <c r="O311" s="21" t="str">
        <f>IF(Deployments!O312="","",Deployments!O312)</f>
        <v/>
      </c>
      <c r="P311" s="21" t="str">
        <f>IF(Deployments!P312="","",Deployments!P312)</f>
        <v/>
      </c>
      <c r="Q311" s="22"/>
      <c r="R311" s="21" t="str">
        <f>IF(Deployments!AY312="","",Deployments!AY312)</f>
        <v/>
      </c>
      <c r="S311" s="21" t="str">
        <f>IF(Deployments!AX312="","",Deployments!AX312)</f>
        <v/>
      </c>
      <c r="T311" s="21" t="str">
        <f>IF(Deployments!AV312="","",Deployments!AV312)</f>
        <v/>
      </c>
      <c r="U311" s="21" t="str">
        <f>IF(Deployments!AW312="","",Deployments!AW312)</f>
        <v/>
      </c>
      <c r="V311" s="21" t="str">
        <f>IF(Deployments!BA312="","",Deployments!BA312)</f>
        <v/>
      </c>
      <c r="W311" s="21" t="str">
        <f>IF(Deployments!BC312="","",Deployments!BC312)</f>
        <v/>
      </c>
      <c r="X311" s="21" t="str">
        <f>IF(Deployments!BK312="","",Deployments!BK312)</f>
        <v/>
      </c>
      <c r="Y311" s="21" t="str">
        <f>IF(Deployments!BB312="","",Deployments!BB312)</f>
        <v/>
      </c>
      <c r="Z311" s="21" t="str">
        <f>IF(Deployments!T312="","",Deployments!T312)</f>
        <v/>
      </c>
      <c r="AA311" s="21" t="str">
        <f>IF(Deployments!L312="","",Deployments!L312)</f>
        <v/>
      </c>
    </row>
    <row r="312" spans="1:27">
      <c r="A312" s="22"/>
      <c r="B312" s="22"/>
      <c r="C312" s="21" t="str">
        <f>IF(Deployments!H313="","",Deployments!H313)</f>
        <v/>
      </c>
      <c r="D312" s="21" t="str">
        <f>IF(Deployments!AH313="","",Deployments!AH313)</f>
        <v/>
      </c>
      <c r="E312" s="21" t="str">
        <f>IF(Deployments!I313="","",Deployments!I313)</f>
        <v/>
      </c>
      <c r="F312" s="21" t="str">
        <f>IF(Deployments!J313="","",Deployments!J313)</f>
        <v/>
      </c>
      <c r="G312" s="21" t="str">
        <f>IF(Deployments!K313="","",Deployments!K313)</f>
        <v/>
      </c>
      <c r="H312" s="21" t="str">
        <f>IF(Deployments!A313="","",Deployments!A313)</f>
        <v/>
      </c>
      <c r="I312" s="21" t="str">
        <f>IF(Deployments!AI313="","",Deployments!AI313)</f>
        <v/>
      </c>
      <c r="J312" s="21" t="str">
        <f>IF(Deployments!AJ313="","",Deployments!AJ313)</f>
        <v/>
      </c>
      <c r="K312" s="21" t="str">
        <f>IF(Deployments!AD313="","",Deployments!AD313)</f>
        <v/>
      </c>
      <c r="L312" s="21" t="str">
        <f>IF(Deployments!M313="","",Deployments!M313)</f>
        <v/>
      </c>
      <c r="M312" s="22"/>
      <c r="N312" s="21" t="str">
        <f>IF(Deployments!N313="","",Deployments!N313)</f>
        <v/>
      </c>
      <c r="O312" s="21" t="str">
        <f>IF(Deployments!O313="","",Deployments!O313)</f>
        <v/>
      </c>
      <c r="P312" s="21" t="str">
        <f>IF(Deployments!P313="","",Deployments!P313)</f>
        <v/>
      </c>
      <c r="Q312" s="22"/>
      <c r="R312" s="21" t="str">
        <f>IF(Deployments!AY313="","",Deployments!AY313)</f>
        <v/>
      </c>
      <c r="S312" s="21" t="str">
        <f>IF(Deployments!AX313="","",Deployments!AX313)</f>
        <v/>
      </c>
      <c r="T312" s="21" t="str">
        <f>IF(Deployments!AV313="","",Deployments!AV313)</f>
        <v/>
      </c>
      <c r="U312" s="21" t="str">
        <f>IF(Deployments!AW313="","",Deployments!AW313)</f>
        <v/>
      </c>
      <c r="V312" s="21" t="str">
        <f>IF(Deployments!BA313="","",Deployments!BA313)</f>
        <v/>
      </c>
      <c r="W312" s="21" t="str">
        <f>IF(Deployments!BC313="","",Deployments!BC313)</f>
        <v/>
      </c>
      <c r="X312" s="21" t="str">
        <f>IF(Deployments!BK313="","",Deployments!BK313)</f>
        <v/>
      </c>
      <c r="Y312" s="21" t="str">
        <f>IF(Deployments!BB313="","",Deployments!BB313)</f>
        <v/>
      </c>
      <c r="Z312" s="21" t="str">
        <f>IF(Deployments!T313="","",Deployments!T313)</f>
        <v/>
      </c>
      <c r="AA312" s="21" t="str">
        <f>IF(Deployments!L313="","",Deployments!L313)</f>
        <v/>
      </c>
    </row>
    <row r="313" spans="1:27">
      <c r="A313" s="22"/>
      <c r="B313" s="22"/>
      <c r="C313" s="21" t="str">
        <f>IF(Deployments!H314="","",Deployments!H314)</f>
        <v/>
      </c>
      <c r="D313" s="21" t="str">
        <f>IF(Deployments!AH314="","",Deployments!AH314)</f>
        <v/>
      </c>
      <c r="E313" s="21" t="str">
        <f>IF(Deployments!I314="","",Deployments!I314)</f>
        <v/>
      </c>
      <c r="F313" s="21" t="str">
        <f>IF(Deployments!J314="","",Deployments!J314)</f>
        <v/>
      </c>
      <c r="G313" s="21" t="str">
        <f>IF(Deployments!K314="","",Deployments!K314)</f>
        <v/>
      </c>
      <c r="H313" s="21" t="str">
        <f>IF(Deployments!A314="","",Deployments!A314)</f>
        <v/>
      </c>
      <c r="I313" s="21" t="str">
        <f>IF(Deployments!AI314="","",Deployments!AI314)</f>
        <v/>
      </c>
      <c r="J313" s="21" t="str">
        <f>IF(Deployments!AJ314="","",Deployments!AJ314)</f>
        <v/>
      </c>
      <c r="K313" s="21" t="str">
        <f>IF(Deployments!AD314="","",Deployments!AD314)</f>
        <v/>
      </c>
      <c r="L313" s="21" t="str">
        <f>IF(Deployments!M314="","",Deployments!M314)</f>
        <v/>
      </c>
      <c r="M313" s="22"/>
      <c r="N313" s="21" t="str">
        <f>IF(Deployments!N314="","",Deployments!N314)</f>
        <v/>
      </c>
      <c r="O313" s="21" t="str">
        <f>IF(Deployments!O314="","",Deployments!O314)</f>
        <v/>
      </c>
      <c r="P313" s="21" t="str">
        <f>IF(Deployments!P314="","",Deployments!P314)</f>
        <v/>
      </c>
      <c r="Q313" s="22"/>
      <c r="R313" s="21" t="str">
        <f>IF(Deployments!AY314="","",Deployments!AY314)</f>
        <v/>
      </c>
      <c r="S313" s="21" t="str">
        <f>IF(Deployments!AX314="","",Deployments!AX314)</f>
        <v/>
      </c>
      <c r="T313" s="21" t="str">
        <f>IF(Deployments!AV314="","",Deployments!AV314)</f>
        <v/>
      </c>
      <c r="U313" s="21" t="str">
        <f>IF(Deployments!AW314="","",Deployments!AW314)</f>
        <v/>
      </c>
      <c r="V313" s="21" t="str">
        <f>IF(Deployments!BA314="","",Deployments!BA314)</f>
        <v/>
      </c>
      <c r="W313" s="21" t="str">
        <f>IF(Deployments!BC314="","",Deployments!BC314)</f>
        <v/>
      </c>
      <c r="X313" s="21" t="str">
        <f>IF(Deployments!BK314="","",Deployments!BK314)</f>
        <v/>
      </c>
      <c r="Y313" s="21" t="str">
        <f>IF(Deployments!BB314="","",Deployments!BB314)</f>
        <v/>
      </c>
      <c r="Z313" s="21" t="str">
        <f>IF(Deployments!T314="","",Deployments!T314)</f>
        <v/>
      </c>
      <c r="AA313" s="21" t="str">
        <f>IF(Deployments!L314="","",Deployments!L314)</f>
        <v/>
      </c>
    </row>
    <row r="314" spans="1:27">
      <c r="A314" s="22"/>
      <c r="B314" s="22"/>
      <c r="C314" s="21" t="str">
        <f>IF(Deployments!H315="","",Deployments!H315)</f>
        <v/>
      </c>
      <c r="D314" s="21" t="str">
        <f>IF(Deployments!AH315="","",Deployments!AH315)</f>
        <v/>
      </c>
      <c r="E314" s="21" t="str">
        <f>IF(Deployments!I315="","",Deployments!I315)</f>
        <v/>
      </c>
      <c r="F314" s="21" t="str">
        <f>IF(Deployments!J315="","",Deployments!J315)</f>
        <v/>
      </c>
      <c r="G314" s="21" t="str">
        <f>IF(Deployments!K315="","",Deployments!K315)</f>
        <v/>
      </c>
      <c r="H314" s="21" t="str">
        <f>IF(Deployments!A315="","",Deployments!A315)</f>
        <v/>
      </c>
      <c r="I314" s="21" t="str">
        <f>IF(Deployments!AI315="","",Deployments!AI315)</f>
        <v/>
      </c>
      <c r="J314" s="21" t="str">
        <f>IF(Deployments!AJ315="","",Deployments!AJ315)</f>
        <v/>
      </c>
      <c r="K314" s="21" t="str">
        <f>IF(Deployments!AD315="","",Deployments!AD315)</f>
        <v/>
      </c>
      <c r="L314" s="21" t="str">
        <f>IF(Deployments!M315="","",Deployments!M315)</f>
        <v/>
      </c>
      <c r="M314" s="22"/>
      <c r="N314" s="21" t="str">
        <f>IF(Deployments!N315="","",Deployments!N315)</f>
        <v/>
      </c>
      <c r="O314" s="21" t="str">
        <f>IF(Deployments!O315="","",Deployments!O315)</f>
        <v/>
      </c>
      <c r="P314" s="21" t="str">
        <f>IF(Deployments!P315="","",Deployments!P315)</f>
        <v/>
      </c>
      <c r="Q314" s="22"/>
      <c r="R314" s="21" t="str">
        <f>IF(Deployments!AY315="","",Deployments!AY315)</f>
        <v/>
      </c>
      <c r="S314" s="21" t="str">
        <f>IF(Deployments!AX315="","",Deployments!AX315)</f>
        <v/>
      </c>
      <c r="T314" s="21" t="str">
        <f>IF(Deployments!AV315="","",Deployments!AV315)</f>
        <v/>
      </c>
      <c r="U314" s="21" t="str">
        <f>IF(Deployments!AW315="","",Deployments!AW315)</f>
        <v/>
      </c>
      <c r="V314" s="21" t="str">
        <f>IF(Deployments!BA315="","",Deployments!BA315)</f>
        <v/>
      </c>
      <c r="W314" s="21" t="str">
        <f>IF(Deployments!BC315="","",Deployments!BC315)</f>
        <v/>
      </c>
      <c r="X314" s="21" t="str">
        <f>IF(Deployments!BK315="","",Deployments!BK315)</f>
        <v/>
      </c>
      <c r="Y314" s="21" t="str">
        <f>IF(Deployments!BB315="","",Deployments!BB315)</f>
        <v/>
      </c>
      <c r="Z314" s="21" t="str">
        <f>IF(Deployments!T315="","",Deployments!T315)</f>
        <v/>
      </c>
      <c r="AA314" s="21" t="str">
        <f>IF(Deployments!L315="","",Deployments!L315)</f>
        <v/>
      </c>
    </row>
    <row r="315" spans="1:27">
      <c r="A315" s="22"/>
      <c r="B315" s="22"/>
      <c r="C315" s="21" t="str">
        <f>IF(Deployments!H316="","",Deployments!H316)</f>
        <v/>
      </c>
      <c r="D315" s="21" t="str">
        <f>IF(Deployments!AH316="","",Deployments!AH316)</f>
        <v/>
      </c>
      <c r="E315" s="21" t="str">
        <f>IF(Deployments!I316="","",Deployments!I316)</f>
        <v/>
      </c>
      <c r="F315" s="21" t="str">
        <f>IF(Deployments!J316="","",Deployments!J316)</f>
        <v/>
      </c>
      <c r="G315" s="21" t="str">
        <f>IF(Deployments!K316="","",Deployments!K316)</f>
        <v/>
      </c>
      <c r="H315" s="21" t="str">
        <f>IF(Deployments!A316="","",Deployments!A316)</f>
        <v/>
      </c>
      <c r="I315" s="21" t="str">
        <f>IF(Deployments!AI316="","",Deployments!AI316)</f>
        <v/>
      </c>
      <c r="J315" s="21" t="str">
        <f>IF(Deployments!AJ316="","",Deployments!AJ316)</f>
        <v/>
      </c>
      <c r="K315" s="21" t="str">
        <f>IF(Deployments!AD316="","",Deployments!AD316)</f>
        <v/>
      </c>
      <c r="L315" s="21" t="str">
        <f>IF(Deployments!M316="","",Deployments!M316)</f>
        <v/>
      </c>
      <c r="M315" s="22"/>
      <c r="N315" s="21" t="str">
        <f>IF(Deployments!N316="","",Deployments!N316)</f>
        <v/>
      </c>
      <c r="O315" s="21" t="str">
        <f>IF(Deployments!O316="","",Deployments!O316)</f>
        <v/>
      </c>
      <c r="P315" s="21" t="str">
        <f>IF(Deployments!P316="","",Deployments!P316)</f>
        <v/>
      </c>
      <c r="Q315" s="22"/>
      <c r="R315" s="21" t="str">
        <f>IF(Deployments!AY316="","",Deployments!AY316)</f>
        <v/>
      </c>
      <c r="S315" s="21" t="str">
        <f>IF(Deployments!AX316="","",Deployments!AX316)</f>
        <v/>
      </c>
      <c r="T315" s="21" t="str">
        <f>IF(Deployments!AV316="","",Deployments!AV316)</f>
        <v/>
      </c>
      <c r="U315" s="21" t="str">
        <f>IF(Deployments!AW316="","",Deployments!AW316)</f>
        <v/>
      </c>
      <c r="V315" s="21" t="str">
        <f>IF(Deployments!BA316="","",Deployments!BA316)</f>
        <v/>
      </c>
      <c r="W315" s="21" t="str">
        <f>IF(Deployments!BC316="","",Deployments!BC316)</f>
        <v/>
      </c>
      <c r="X315" s="21" t="str">
        <f>IF(Deployments!BK316="","",Deployments!BK316)</f>
        <v/>
      </c>
      <c r="Y315" s="21" t="str">
        <f>IF(Deployments!BB316="","",Deployments!BB316)</f>
        <v/>
      </c>
      <c r="Z315" s="21" t="str">
        <f>IF(Deployments!T316="","",Deployments!T316)</f>
        <v/>
      </c>
      <c r="AA315" s="21" t="str">
        <f>IF(Deployments!L316="","",Deployments!L316)</f>
        <v/>
      </c>
    </row>
    <row r="316" spans="1:27">
      <c r="A316" s="22"/>
      <c r="B316" s="22"/>
      <c r="C316" s="21" t="str">
        <f>IF(Deployments!H317="","",Deployments!H317)</f>
        <v/>
      </c>
      <c r="D316" s="21" t="str">
        <f>IF(Deployments!AH317="","",Deployments!AH317)</f>
        <v/>
      </c>
      <c r="E316" s="21" t="str">
        <f>IF(Deployments!I317="","",Deployments!I317)</f>
        <v/>
      </c>
      <c r="F316" s="21" t="str">
        <f>IF(Deployments!J317="","",Deployments!J317)</f>
        <v/>
      </c>
      <c r="G316" s="21" t="str">
        <f>IF(Deployments!K317="","",Deployments!K317)</f>
        <v/>
      </c>
      <c r="H316" s="21" t="str">
        <f>IF(Deployments!A317="","",Deployments!A317)</f>
        <v/>
      </c>
      <c r="I316" s="21" t="str">
        <f>IF(Deployments!AI317="","",Deployments!AI317)</f>
        <v/>
      </c>
      <c r="J316" s="21" t="str">
        <f>IF(Deployments!AJ317="","",Deployments!AJ317)</f>
        <v/>
      </c>
      <c r="K316" s="21" t="str">
        <f>IF(Deployments!AD317="","",Deployments!AD317)</f>
        <v/>
      </c>
      <c r="L316" s="21" t="str">
        <f>IF(Deployments!M317="","",Deployments!M317)</f>
        <v/>
      </c>
      <c r="M316" s="22"/>
      <c r="N316" s="21" t="str">
        <f>IF(Deployments!N317="","",Deployments!N317)</f>
        <v/>
      </c>
      <c r="O316" s="21" t="str">
        <f>IF(Deployments!O317="","",Deployments!O317)</f>
        <v/>
      </c>
      <c r="P316" s="21" t="str">
        <f>IF(Deployments!P317="","",Deployments!P317)</f>
        <v/>
      </c>
      <c r="Q316" s="22"/>
      <c r="R316" s="21" t="str">
        <f>IF(Deployments!AY317="","",Deployments!AY317)</f>
        <v/>
      </c>
      <c r="S316" s="21" t="str">
        <f>IF(Deployments!AX317="","",Deployments!AX317)</f>
        <v/>
      </c>
      <c r="T316" s="21" t="str">
        <f>IF(Deployments!AV317="","",Deployments!AV317)</f>
        <v/>
      </c>
      <c r="U316" s="21" t="str">
        <f>IF(Deployments!AW317="","",Deployments!AW317)</f>
        <v/>
      </c>
      <c r="V316" s="21" t="str">
        <f>IF(Deployments!BA317="","",Deployments!BA317)</f>
        <v/>
      </c>
      <c r="W316" s="21" t="str">
        <f>IF(Deployments!BC317="","",Deployments!BC317)</f>
        <v/>
      </c>
      <c r="X316" s="21" t="str">
        <f>IF(Deployments!BK317="","",Deployments!BK317)</f>
        <v/>
      </c>
      <c r="Y316" s="21" t="str">
        <f>IF(Deployments!BB317="","",Deployments!BB317)</f>
        <v/>
      </c>
      <c r="Z316" s="21" t="str">
        <f>IF(Deployments!T317="","",Deployments!T317)</f>
        <v/>
      </c>
      <c r="AA316" s="21" t="str">
        <f>IF(Deployments!L317="","",Deployments!L317)</f>
        <v/>
      </c>
    </row>
    <row r="317" spans="1:27">
      <c r="A317" s="22"/>
      <c r="B317" s="22"/>
      <c r="C317" s="21" t="str">
        <f>IF(Deployments!H318="","",Deployments!H318)</f>
        <v/>
      </c>
      <c r="D317" s="21" t="str">
        <f>IF(Deployments!AH318="","",Deployments!AH318)</f>
        <v/>
      </c>
      <c r="E317" s="21" t="str">
        <f>IF(Deployments!I318="","",Deployments!I318)</f>
        <v/>
      </c>
      <c r="F317" s="21" t="str">
        <f>IF(Deployments!J318="","",Deployments!J318)</f>
        <v/>
      </c>
      <c r="G317" s="21" t="str">
        <f>IF(Deployments!K318="","",Deployments!K318)</f>
        <v/>
      </c>
      <c r="H317" s="21" t="str">
        <f>IF(Deployments!A318="","",Deployments!A318)</f>
        <v/>
      </c>
      <c r="I317" s="21" t="str">
        <f>IF(Deployments!AI318="","",Deployments!AI318)</f>
        <v/>
      </c>
      <c r="J317" s="21" t="str">
        <f>IF(Deployments!AJ318="","",Deployments!AJ318)</f>
        <v/>
      </c>
      <c r="K317" s="21" t="str">
        <f>IF(Deployments!AD318="","",Deployments!AD318)</f>
        <v/>
      </c>
      <c r="L317" s="21" t="str">
        <f>IF(Deployments!M318="","",Deployments!M318)</f>
        <v/>
      </c>
      <c r="M317" s="22"/>
      <c r="N317" s="21" t="str">
        <f>IF(Deployments!N318="","",Deployments!N318)</f>
        <v/>
      </c>
      <c r="O317" s="21" t="str">
        <f>IF(Deployments!O318="","",Deployments!O318)</f>
        <v/>
      </c>
      <c r="P317" s="21" t="str">
        <f>IF(Deployments!P318="","",Deployments!P318)</f>
        <v/>
      </c>
      <c r="Q317" s="22"/>
      <c r="R317" s="21" t="str">
        <f>IF(Deployments!AY318="","",Deployments!AY318)</f>
        <v/>
      </c>
      <c r="S317" s="21" t="str">
        <f>IF(Deployments!AX318="","",Deployments!AX318)</f>
        <v/>
      </c>
      <c r="T317" s="21" t="str">
        <f>IF(Deployments!AV318="","",Deployments!AV318)</f>
        <v/>
      </c>
      <c r="U317" s="21" t="str">
        <f>IF(Deployments!AW318="","",Deployments!AW318)</f>
        <v/>
      </c>
      <c r="V317" s="21" t="str">
        <f>IF(Deployments!BA318="","",Deployments!BA318)</f>
        <v/>
      </c>
      <c r="W317" s="21" t="str">
        <f>IF(Deployments!BC318="","",Deployments!BC318)</f>
        <v/>
      </c>
      <c r="X317" s="21" t="str">
        <f>IF(Deployments!BK318="","",Deployments!BK318)</f>
        <v/>
      </c>
      <c r="Y317" s="21" t="str">
        <f>IF(Deployments!BB318="","",Deployments!BB318)</f>
        <v/>
      </c>
      <c r="Z317" s="21" t="str">
        <f>IF(Deployments!T318="","",Deployments!T318)</f>
        <v/>
      </c>
      <c r="AA317" s="21" t="str">
        <f>IF(Deployments!L318="","",Deployments!L318)</f>
        <v/>
      </c>
    </row>
    <row r="318" spans="1:27">
      <c r="A318" s="22"/>
      <c r="B318" s="22"/>
      <c r="C318" s="21" t="str">
        <f>IF(Deployments!H319="","",Deployments!H319)</f>
        <v/>
      </c>
      <c r="D318" s="21" t="str">
        <f>IF(Deployments!AH319="","",Deployments!AH319)</f>
        <v/>
      </c>
      <c r="E318" s="21" t="str">
        <f>IF(Deployments!I319="","",Deployments!I319)</f>
        <v/>
      </c>
      <c r="F318" s="21" t="str">
        <f>IF(Deployments!J319="","",Deployments!J319)</f>
        <v/>
      </c>
      <c r="G318" s="21" t="str">
        <f>IF(Deployments!K319="","",Deployments!K319)</f>
        <v/>
      </c>
      <c r="H318" s="21" t="str">
        <f>IF(Deployments!A319="","",Deployments!A319)</f>
        <v/>
      </c>
      <c r="I318" s="21" t="str">
        <f>IF(Deployments!AI319="","",Deployments!AI319)</f>
        <v/>
      </c>
      <c r="J318" s="21" t="str">
        <f>IF(Deployments!AJ319="","",Deployments!AJ319)</f>
        <v/>
      </c>
      <c r="K318" s="21" t="str">
        <f>IF(Deployments!AD319="","",Deployments!AD319)</f>
        <v/>
      </c>
      <c r="L318" s="21" t="str">
        <f>IF(Deployments!M319="","",Deployments!M319)</f>
        <v/>
      </c>
      <c r="M318" s="22"/>
      <c r="N318" s="21" t="str">
        <f>IF(Deployments!N319="","",Deployments!N319)</f>
        <v/>
      </c>
      <c r="O318" s="21" t="str">
        <f>IF(Deployments!O319="","",Deployments!O319)</f>
        <v/>
      </c>
      <c r="P318" s="21" t="str">
        <f>IF(Deployments!P319="","",Deployments!P319)</f>
        <v/>
      </c>
      <c r="Q318" s="22"/>
      <c r="R318" s="21" t="str">
        <f>IF(Deployments!AY319="","",Deployments!AY319)</f>
        <v/>
      </c>
      <c r="S318" s="21" t="str">
        <f>IF(Deployments!AX319="","",Deployments!AX319)</f>
        <v/>
      </c>
      <c r="T318" s="21" t="str">
        <f>IF(Deployments!AV319="","",Deployments!AV319)</f>
        <v/>
      </c>
      <c r="U318" s="21" t="str">
        <f>IF(Deployments!AW319="","",Deployments!AW319)</f>
        <v/>
      </c>
      <c r="V318" s="21" t="str">
        <f>IF(Deployments!BA319="","",Deployments!BA319)</f>
        <v/>
      </c>
      <c r="W318" s="21" t="str">
        <f>IF(Deployments!BC319="","",Deployments!BC319)</f>
        <v/>
      </c>
      <c r="X318" s="21" t="str">
        <f>IF(Deployments!BK319="","",Deployments!BK319)</f>
        <v/>
      </c>
      <c r="Y318" s="21" t="str">
        <f>IF(Deployments!BB319="","",Deployments!BB319)</f>
        <v/>
      </c>
      <c r="Z318" s="21" t="str">
        <f>IF(Deployments!T319="","",Deployments!T319)</f>
        <v/>
      </c>
      <c r="AA318" s="21" t="str">
        <f>IF(Deployments!L319="","",Deployments!L319)</f>
        <v/>
      </c>
    </row>
    <row r="319" spans="1:27">
      <c r="A319" s="22"/>
      <c r="B319" s="22"/>
      <c r="C319" s="21" t="str">
        <f>IF(Deployments!H320="","",Deployments!H320)</f>
        <v/>
      </c>
      <c r="D319" s="21" t="str">
        <f>IF(Deployments!AH320="","",Deployments!AH320)</f>
        <v/>
      </c>
      <c r="E319" s="21" t="str">
        <f>IF(Deployments!I320="","",Deployments!I320)</f>
        <v/>
      </c>
      <c r="F319" s="21" t="str">
        <f>IF(Deployments!J320="","",Deployments!J320)</f>
        <v/>
      </c>
      <c r="G319" s="21" t="str">
        <f>IF(Deployments!K320="","",Deployments!K320)</f>
        <v/>
      </c>
      <c r="H319" s="21" t="str">
        <f>IF(Deployments!A320="","",Deployments!A320)</f>
        <v/>
      </c>
      <c r="I319" s="21" t="str">
        <f>IF(Deployments!AI320="","",Deployments!AI320)</f>
        <v/>
      </c>
      <c r="J319" s="21" t="str">
        <f>IF(Deployments!AJ320="","",Deployments!AJ320)</f>
        <v/>
      </c>
      <c r="K319" s="21" t="str">
        <f>IF(Deployments!AD320="","",Deployments!AD320)</f>
        <v/>
      </c>
      <c r="L319" s="21" t="str">
        <f>IF(Deployments!M320="","",Deployments!M320)</f>
        <v/>
      </c>
      <c r="M319" s="22"/>
      <c r="N319" s="21" t="str">
        <f>IF(Deployments!N320="","",Deployments!N320)</f>
        <v/>
      </c>
      <c r="O319" s="21" t="str">
        <f>IF(Deployments!O320="","",Deployments!O320)</f>
        <v/>
      </c>
      <c r="P319" s="21" t="str">
        <f>IF(Deployments!P320="","",Deployments!P320)</f>
        <v/>
      </c>
      <c r="Q319" s="22"/>
      <c r="R319" s="21" t="str">
        <f>IF(Deployments!AY320="","",Deployments!AY320)</f>
        <v/>
      </c>
      <c r="S319" s="21" t="str">
        <f>IF(Deployments!AX320="","",Deployments!AX320)</f>
        <v/>
      </c>
      <c r="T319" s="21" t="str">
        <f>IF(Deployments!AV320="","",Deployments!AV320)</f>
        <v/>
      </c>
      <c r="U319" s="21" t="str">
        <f>IF(Deployments!AW320="","",Deployments!AW320)</f>
        <v/>
      </c>
      <c r="V319" s="21" t="str">
        <f>IF(Deployments!BA320="","",Deployments!BA320)</f>
        <v/>
      </c>
      <c r="W319" s="21" t="str">
        <f>IF(Deployments!BC320="","",Deployments!BC320)</f>
        <v/>
      </c>
      <c r="X319" s="21" t="str">
        <f>IF(Deployments!BK320="","",Deployments!BK320)</f>
        <v/>
      </c>
      <c r="Y319" s="21" t="str">
        <f>IF(Deployments!BB320="","",Deployments!BB320)</f>
        <v/>
      </c>
      <c r="Z319" s="21" t="str">
        <f>IF(Deployments!T320="","",Deployments!T320)</f>
        <v/>
      </c>
      <c r="AA319" s="21" t="str">
        <f>IF(Deployments!L320="","",Deployments!L320)</f>
        <v/>
      </c>
    </row>
    <row r="320" spans="1:27">
      <c r="A320" s="22"/>
      <c r="B320" s="22"/>
      <c r="C320" s="21" t="str">
        <f>IF(Deployments!H321="","",Deployments!H321)</f>
        <v/>
      </c>
      <c r="D320" s="21" t="str">
        <f>IF(Deployments!AH321="","",Deployments!AH321)</f>
        <v/>
      </c>
      <c r="E320" s="21" t="str">
        <f>IF(Deployments!I321="","",Deployments!I321)</f>
        <v/>
      </c>
      <c r="F320" s="21" t="str">
        <f>IF(Deployments!J321="","",Deployments!J321)</f>
        <v/>
      </c>
      <c r="G320" s="21" t="str">
        <f>IF(Deployments!K321="","",Deployments!K321)</f>
        <v/>
      </c>
      <c r="H320" s="21" t="str">
        <f>IF(Deployments!A321="","",Deployments!A321)</f>
        <v/>
      </c>
      <c r="I320" s="21" t="str">
        <f>IF(Deployments!AI321="","",Deployments!AI321)</f>
        <v/>
      </c>
      <c r="J320" s="21" t="str">
        <f>IF(Deployments!AJ321="","",Deployments!AJ321)</f>
        <v/>
      </c>
      <c r="K320" s="21" t="str">
        <f>IF(Deployments!AD321="","",Deployments!AD321)</f>
        <v/>
      </c>
      <c r="L320" s="21" t="str">
        <f>IF(Deployments!M321="","",Deployments!M321)</f>
        <v/>
      </c>
      <c r="M320" s="22"/>
      <c r="N320" s="21" t="str">
        <f>IF(Deployments!N321="","",Deployments!N321)</f>
        <v/>
      </c>
      <c r="O320" s="21" t="str">
        <f>IF(Deployments!O321="","",Deployments!O321)</f>
        <v/>
      </c>
      <c r="P320" s="21" t="str">
        <f>IF(Deployments!P321="","",Deployments!P321)</f>
        <v/>
      </c>
      <c r="Q320" s="22"/>
      <c r="R320" s="21" t="str">
        <f>IF(Deployments!AY321="","",Deployments!AY321)</f>
        <v/>
      </c>
      <c r="S320" s="21" t="str">
        <f>IF(Deployments!AX321="","",Deployments!AX321)</f>
        <v/>
      </c>
      <c r="T320" s="21" t="str">
        <f>IF(Deployments!AV321="","",Deployments!AV321)</f>
        <v/>
      </c>
      <c r="U320" s="21" t="str">
        <f>IF(Deployments!AW321="","",Deployments!AW321)</f>
        <v/>
      </c>
      <c r="V320" s="21" t="str">
        <f>IF(Deployments!BA321="","",Deployments!BA321)</f>
        <v/>
      </c>
      <c r="W320" s="21" t="str">
        <f>IF(Deployments!BC321="","",Deployments!BC321)</f>
        <v/>
      </c>
      <c r="X320" s="21" t="str">
        <f>IF(Deployments!BK321="","",Deployments!BK321)</f>
        <v/>
      </c>
      <c r="Y320" s="21" t="str">
        <f>IF(Deployments!BB321="","",Deployments!BB321)</f>
        <v/>
      </c>
      <c r="Z320" s="21" t="str">
        <f>IF(Deployments!T321="","",Deployments!T321)</f>
        <v/>
      </c>
      <c r="AA320" s="21" t="str">
        <f>IF(Deployments!L321="","",Deployments!L321)</f>
        <v/>
      </c>
    </row>
    <row r="321" spans="1:27">
      <c r="A321" s="22"/>
      <c r="B321" s="22"/>
      <c r="C321" s="21" t="str">
        <f>IF(Deployments!H322="","",Deployments!H322)</f>
        <v/>
      </c>
      <c r="D321" s="21" t="str">
        <f>IF(Deployments!AH322="","",Deployments!AH322)</f>
        <v/>
      </c>
      <c r="E321" s="21" t="str">
        <f>IF(Deployments!I322="","",Deployments!I322)</f>
        <v/>
      </c>
      <c r="F321" s="21" t="str">
        <f>IF(Deployments!J322="","",Deployments!J322)</f>
        <v/>
      </c>
      <c r="G321" s="21" t="str">
        <f>IF(Deployments!K322="","",Deployments!K322)</f>
        <v/>
      </c>
      <c r="H321" s="21" t="str">
        <f>IF(Deployments!A322="","",Deployments!A322)</f>
        <v/>
      </c>
      <c r="I321" s="21" t="str">
        <f>IF(Deployments!AI322="","",Deployments!AI322)</f>
        <v/>
      </c>
      <c r="J321" s="21" t="str">
        <f>IF(Deployments!AJ322="","",Deployments!AJ322)</f>
        <v/>
      </c>
      <c r="K321" s="21" t="str">
        <f>IF(Deployments!AD322="","",Deployments!AD322)</f>
        <v/>
      </c>
      <c r="L321" s="21" t="str">
        <f>IF(Deployments!M322="","",Deployments!M322)</f>
        <v/>
      </c>
      <c r="M321" s="22"/>
      <c r="N321" s="21" t="str">
        <f>IF(Deployments!N322="","",Deployments!N322)</f>
        <v/>
      </c>
      <c r="O321" s="21" t="str">
        <f>IF(Deployments!O322="","",Deployments!O322)</f>
        <v/>
      </c>
      <c r="P321" s="21" t="str">
        <f>IF(Deployments!P322="","",Deployments!P322)</f>
        <v/>
      </c>
      <c r="Q321" s="22"/>
      <c r="R321" s="21" t="str">
        <f>IF(Deployments!AY322="","",Deployments!AY322)</f>
        <v/>
      </c>
      <c r="S321" s="21" t="str">
        <f>IF(Deployments!AX322="","",Deployments!AX322)</f>
        <v/>
      </c>
      <c r="T321" s="21" t="str">
        <f>IF(Deployments!AV322="","",Deployments!AV322)</f>
        <v/>
      </c>
      <c r="U321" s="21" t="str">
        <f>IF(Deployments!AW322="","",Deployments!AW322)</f>
        <v/>
      </c>
      <c r="V321" s="21" t="str">
        <f>IF(Deployments!BA322="","",Deployments!BA322)</f>
        <v/>
      </c>
      <c r="W321" s="21" t="str">
        <f>IF(Deployments!BC322="","",Deployments!BC322)</f>
        <v/>
      </c>
      <c r="X321" s="21" t="str">
        <f>IF(Deployments!BK322="","",Deployments!BK322)</f>
        <v/>
      </c>
      <c r="Y321" s="21" t="str">
        <f>IF(Deployments!BB322="","",Deployments!BB322)</f>
        <v/>
      </c>
      <c r="Z321" s="21" t="str">
        <f>IF(Deployments!T322="","",Deployments!T322)</f>
        <v/>
      </c>
      <c r="AA321" s="21" t="str">
        <f>IF(Deployments!L322="","",Deployments!L322)</f>
        <v/>
      </c>
    </row>
    <row r="322" spans="1:27">
      <c r="A322" s="22"/>
      <c r="B322" s="22"/>
      <c r="C322" s="21" t="str">
        <f>IF(Deployments!H323="","",Deployments!H323)</f>
        <v/>
      </c>
      <c r="D322" s="21" t="str">
        <f>IF(Deployments!AH323="","",Deployments!AH323)</f>
        <v/>
      </c>
      <c r="E322" s="21" t="str">
        <f>IF(Deployments!I323="","",Deployments!I323)</f>
        <v/>
      </c>
      <c r="F322" s="21" t="str">
        <f>IF(Deployments!J323="","",Deployments!J323)</f>
        <v/>
      </c>
      <c r="G322" s="21" t="str">
        <f>IF(Deployments!K323="","",Deployments!K323)</f>
        <v/>
      </c>
      <c r="H322" s="21" t="str">
        <f>IF(Deployments!A323="","",Deployments!A323)</f>
        <v/>
      </c>
      <c r="I322" s="21" t="str">
        <f>IF(Deployments!AI323="","",Deployments!AI323)</f>
        <v/>
      </c>
      <c r="J322" s="21" t="str">
        <f>IF(Deployments!AJ323="","",Deployments!AJ323)</f>
        <v/>
      </c>
      <c r="K322" s="21" t="str">
        <f>IF(Deployments!AD323="","",Deployments!AD323)</f>
        <v/>
      </c>
      <c r="L322" s="21" t="str">
        <f>IF(Deployments!M323="","",Deployments!M323)</f>
        <v/>
      </c>
      <c r="M322" s="22"/>
      <c r="N322" s="21" t="str">
        <f>IF(Deployments!N323="","",Deployments!N323)</f>
        <v/>
      </c>
      <c r="O322" s="21" t="str">
        <f>IF(Deployments!O323="","",Deployments!O323)</f>
        <v/>
      </c>
      <c r="P322" s="21" t="str">
        <f>IF(Deployments!P323="","",Deployments!P323)</f>
        <v/>
      </c>
      <c r="Q322" s="22"/>
      <c r="R322" s="21" t="str">
        <f>IF(Deployments!AY323="","",Deployments!AY323)</f>
        <v/>
      </c>
      <c r="S322" s="21" t="str">
        <f>IF(Deployments!AX323="","",Deployments!AX323)</f>
        <v/>
      </c>
      <c r="T322" s="21" t="str">
        <f>IF(Deployments!AV323="","",Deployments!AV323)</f>
        <v/>
      </c>
      <c r="U322" s="21" t="str">
        <f>IF(Deployments!AW323="","",Deployments!AW323)</f>
        <v/>
      </c>
      <c r="V322" s="21" t="str">
        <f>IF(Deployments!BA323="","",Deployments!BA323)</f>
        <v/>
      </c>
      <c r="W322" s="21" t="str">
        <f>IF(Deployments!BC323="","",Deployments!BC323)</f>
        <v/>
      </c>
      <c r="X322" s="21" t="str">
        <f>IF(Deployments!BK323="","",Deployments!BK323)</f>
        <v/>
      </c>
      <c r="Y322" s="21" t="str">
        <f>IF(Deployments!BB323="","",Deployments!BB323)</f>
        <v/>
      </c>
      <c r="Z322" s="21" t="str">
        <f>IF(Deployments!T323="","",Deployments!T323)</f>
        <v/>
      </c>
      <c r="AA322" s="21" t="str">
        <f>IF(Deployments!L323="","",Deployments!L323)</f>
        <v/>
      </c>
    </row>
    <row r="323" spans="1:27">
      <c r="A323" s="22"/>
      <c r="B323" s="22"/>
      <c r="C323" s="21" t="str">
        <f>IF(Deployments!H324="","",Deployments!H324)</f>
        <v/>
      </c>
      <c r="D323" s="21" t="str">
        <f>IF(Deployments!AH324="","",Deployments!AH324)</f>
        <v/>
      </c>
      <c r="E323" s="21" t="str">
        <f>IF(Deployments!I324="","",Deployments!I324)</f>
        <v/>
      </c>
      <c r="F323" s="21" t="str">
        <f>IF(Deployments!J324="","",Deployments!J324)</f>
        <v/>
      </c>
      <c r="G323" s="21" t="str">
        <f>IF(Deployments!K324="","",Deployments!K324)</f>
        <v/>
      </c>
      <c r="H323" s="21" t="str">
        <f>IF(Deployments!A324="","",Deployments!A324)</f>
        <v/>
      </c>
      <c r="I323" s="21" t="str">
        <f>IF(Deployments!AI324="","",Deployments!AI324)</f>
        <v/>
      </c>
      <c r="J323" s="21" t="str">
        <f>IF(Deployments!AJ324="","",Deployments!AJ324)</f>
        <v/>
      </c>
      <c r="K323" s="21" t="str">
        <f>IF(Deployments!AD324="","",Deployments!AD324)</f>
        <v/>
      </c>
      <c r="L323" s="21" t="str">
        <f>IF(Deployments!M324="","",Deployments!M324)</f>
        <v/>
      </c>
      <c r="M323" s="22"/>
      <c r="N323" s="21" t="str">
        <f>IF(Deployments!N324="","",Deployments!N324)</f>
        <v/>
      </c>
      <c r="O323" s="21" t="str">
        <f>IF(Deployments!O324="","",Deployments!O324)</f>
        <v/>
      </c>
      <c r="P323" s="21" t="str">
        <f>IF(Deployments!P324="","",Deployments!P324)</f>
        <v/>
      </c>
      <c r="Q323" s="22"/>
      <c r="R323" s="21" t="str">
        <f>IF(Deployments!AY324="","",Deployments!AY324)</f>
        <v/>
      </c>
      <c r="S323" s="21" t="str">
        <f>IF(Deployments!AX324="","",Deployments!AX324)</f>
        <v/>
      </c>
      <c r="T323" s="21" t="str">
        <f>IF(Deployments!AV324="","",Deployments!AV324)</f>
        <v/>
      </c>
      <c r="U323" s="21" t="str">
        <f>IF(Deployments!AW324="","",Deployments!AW324)</f>
        <v/>
      </c>
      <c r="V323" s="21" t="str">
        <f>IF(Deployments!BA324="","",Deployments!BA324)</f>
        <v/>
      </c>
      <c r="W323" s="21" t="str">
        <f>IF(Deployments!BC324="","",Deployments!BC324)</f>
        <v/>
      </c>
      <c r="X323" s="21" t="str">
        <f>IF(Deployments!BK324="","",Deployments!BK324)</f>
        <v/>
      </c>
      <c r="Y323" s="21" t="str">
        <f>IF(Deployments!BB324="","",Deployments!BB324)</f>
        <v/>
      </c>
      <c r="Z323" s="21" t="str">
        <f>IF(Deployments!T324="","",Deployments!T324)</f>
        <v/>
      </c>
      <c r="AA323" s="21" t="str">
        <f>IF(Deployments!L324="","",Deployments!L324)</f>
        <v/>
      </c>
    </row>
    <row r="324" spans="1:27">
      <c r="A324" s="22"/>
      <c r="B324" s="22"/>
      <c r="C324" s="21" t="str">
        <f>IF(Deployments!H325="","",Deployments!H325)</f>
        <v/>
      </c>
      <c r="D324" s="21" t="str">
        <f>IF(Deployments!AH325="","",Deployments!AH325)</f>
        <v/>
      </c>
      <c r="E324" s="21" t="str">
        <f>IF(Deployments!I325="","",Deployments!I325)</f>
        <v/>
      </c>
      <c r="F324" s="21" t="str">
        <f>IF(Deployments!J325="","",Deployments!J325)</f>
        <v/>
      </c>
      <c r="G324" s="21" t="str">
        <f>IF(Deployments!K325="","",Deployments!K325)</f>
        <v/>
      </c>
      <c r="H324" s="21" t="str">
        <f>IF(Deployments!A325="","",Deployments!A325)</f>
        <v/>
      </c>
      <c r="I324" s="21" t="str">
        <f>IF(Deployments!AI325="","",Deployments!AI325)</f>
        <v/>
      </c>
      <c r="J324" s="21" t="str">
        <f>IF(Deployments!AJ325="","",Deployments!AJ325)</f>
        <v/>
      </c>
      <c r="K324" s="21" t="str">
        <f>IF(Deployments!AD325="","",Deployments!AD325)</f>
        <v/>
      </c>
      <c r="L324" s="21" t="str">
        <f>IF(Deployments!M325="","",Deployments!M325)</f>
        <v/>
      </c>
      <c r="M324" s="22"/>
      <c r="N324" s="21" t="str">
        <f>IF(Deployments!N325="","",Deployments!N325)</f>
        <v/>
      </c>
      <c r="O324" s="21" t="str">
        <f>IF(Deployments!O325="","",Deployments!O325)</f>
        <v/>
      </c>
      <c r="P324" s="21" t="str">
        <f>IF(Deployments!P325="","",Deployments!P325)</f>
        <v/>
      </c>
      <c r="Q324" s="22"/>
      <c r="R324" s="21" t="str">
        <f>IF(Deployments!AY325="","",Deployments!AY325)</f>
        <v/>
      </c>
      <c r="S324" s="21" t="str">
        <f>IF(Deployments!AX325="","",Deployments!AX325)</f>
        <v/>
      </c>
      <c r="T324" s="21" t="str">
        <f>IF(Deployments!AV325="","",Deployments!AV325)</f>
        <v/>
      </c>
      <c r="U324" s="21" t="str">
        <f>IF(Deployments!AW325="","",Deployments!AW325)</f>
        <v/>
      </c>
      <c r="V324" s="21" t="str">
        <f>IF(Deployments!BA325="","",Deployments!BA325)</f>
        <v/>
      </c>
      <c r="W324" s="21" t="str">
        <f>IF(Deployments!BC325="","",Deployments!BC325)</f>
        <v/>
      </c>
      <c r="X324" s="21" t="str">
        <f>IF(Deployments!BK325="","",Deployments!BK325)</f>
        <v/>
      </c>
      <c r="Y324" s="21" t="str">
        <f>IF(Deployments!BB325="","",Deployments!BB325)</f>
        <v/>
      </c>
      <c r="Z324" s="21" t="str">
        <f>IF(Deployments!T325="","",Deployments!T325)</f>
        <v/>
      </c>
      <c r="AA324" s="21" t="str">
        <f>IF(Deployments!L325="","",Deployments!L325)</f>
        <v/>
      </c>
    </row>
    <row r="325" spans="1:27">
      <c r="A325" s="22"/>
      <c r="B325" s="22"/>
      <c r="C325" s="21" t="str">
        <f>IF(Deployments!H326="","",Deployments!H326)</f>
        <v/>
      </c>
      <c r="D325" s="21" t="str">
        <f>IF(Deployments!AH326="","",Deployments!AH326)</f>
        <v/>
      </c>
      <c r="E325" s="21" t="str">
        <f>IF(Deployments!I326="","",Deployments!I326)</f>
        <v/>
      </c>
      <c r="F325" s="21" t="str">
        <f>IF(Deployments!J326="","",Deployments!J326)</f>
        <v/>
      </c>
      <c r="G325" s="21" t="str">
        <f>IF(Deployments!K326="","",Deployments!K326)</f>
        <v/>
      </c>
      <c r="H325" s="21" t="str">
        <f>IF(Deployments!A326="","",Deployments!A326)</f>
        <v/>
      </c>
      <c r="I325" s="21" t="str">
        <f>IF(Deployments!AI326="","",Deployments!AI326)</f>
        <v/>
      </c>
      <c r="J325" s="21" t="str">
        <f>IF(Deployments!AJ326="","",Deployments!AJ326)</f>
        <v/>
      </c>
      <c r="K325" s="21" t="str">
        <f>IF(Deployments!AD326="","",Deployments!AD326)</f>
        <v/>
      </c>
      <c r="L325" s="21" t="str">
        <f>IF(Deployments!M326="","",Deployments!M326)</f>
        <v/>
      </c>
      <c r="M325" s="22"/>
      <c r="N325" s="21" t="str">
        <f>IF(Deployments!N326="","",Deployments!N326)</f>
        <v/>
      </c>
      <c r="O325" s="21" t="str">
        <f>IF(Deployments!O326="","",Deployments!O326)</f>
        <v/>
      </c>
      <c r="P325" s="21" t="str">
        <f>IF(Deployments!P326="","",Deployments!P326)</f>
        <v/>
      </c>
      <c r="Q325" s="22"/>
      <c r="R325" s="21" t="str">
        <f>IF(Deployments!AY326="","",Deployments!AY326)</f>
        <v/>
      </c>
      <c r="S325" s="21" t="str">
        <f>IF(Deployments!AX326="","",Deployments!AX326)</f>
        <v/>
      </c>
      <c r="T325" s="21" t="str">
        <f>IF(Deployments!AV326="","",Deployments!AV326)</f>
        <v/>
      </c>
      <c r="U325" s="21" t="str">
        <f>IF(Deployments!AW326="","",Deployments!AW326)</f>
        <v/>
      </c>
      <c r="V325" s="21" t="str">
        <f>IF(Deployments!BA326="","",Deployments!BA326)</f>
        <v/>
      </c>
      <c r="W325" s="21" t="str">
        <f>IF(Deployments!BC326="","",Deployments!BC326)</f>
        <v/>
      </c>
      <c r="X325" s="21" t="str">
        <f>IF(Deployments!BK326="","",Deployments!BK326)</f>
        <v/>
      </c>
      <c r="Y325" s="21" t="str">
        <f>IF(Deployments!BB326="","",Deployments!BB326)</f>
        <v/>
      </c>
      <c r="Z325" s="21" t="str">
        <f>IF(Deployments!T326="","",Deployments!T326)</f>
        <v/>
      </c>
      <c r="AA325" s="21" t="str">
        <f>IF(Deployments!L326="","",Deployments!L326)</f>
        <v/>
      </c>
    </row>
    <row r="326" spans="1:27">
      <c r="A326" s="22"/>
      <c r="B326" s="22"/>
      <c r="C326" s="21" t="str">
        <f>IF(Deployments!H327="","",Deployments!H327)</f>
        <v/>
      </c>
      <c r="D326" s="21" t="str">
        <f>IF(Deployments!AH327="","",Deployments!AH327)</f>
        <v/>
      </c>
      <c r="E326" s="21" t="str">
        <f>IF(Deployments!I327="","",Deployments!I327)</f>
        <v/>
      </c>
      <c r="F326" s="21" t="str">
        <f>IF(Deployments!J327="","",Deployments!J327)</f>
        <v/>
      </c>
      <c r="G326" s="21" t="str">
        <f>IF(Deployments!K327="","",Deployments!K327)</f>
        <v/>
      </c>
      <c r="H326" s="21" t="str">
        <f>IF(Deployments!A327="","",Deployments!A327)</f>
        <v/>
      </c>
      <c r="I326" s="21" t="str">
        <f>IF(Deployments!AI327="","",Deployments!AI327)</f>
        <v/>
      </c>
      <c r="J326" s="21" t="str">
        <f>IF(Deployments!AJ327="","",Deployments!AJ327)</f>
        <v/>
      </c>
      <c r="K326" s="21" t="str">
        <f>IF(Deployments!AD327="","",Deployments!AD327)</f>
        <v/>
      </c>
      <c r="L326" s="21" t="str">
        <f>IF(Deployments!M327="","",Deployments!M327)</f>
        <v/>
      </c>
      <c r="M326" s="22"/>
      <c r="N326" s="21" t="str">
        <f>IF(Deployments!N327="","",Deployments!N327)</f>
        <v/>
      </c>
      <c r="O326" s="21" t="str">
        <f>IF(Deployments!O327="","",Deployments!O327)</f>
        <v/>
      </c>
      <c r="P326" s="21" t="str">
        <f>IF(Deployments!P327="","",Deployments!P327)</f>
        <v/>
      </c>
      <c r="Q326" s="22"/>
      <c r="R326" s="21" t="str">
        <f>IF(Deployments!AY327="","",Deployments!AY327)</f>
        <v/>
      </c>
      <c r="S326" s="21" t="str">
        <f>IF(Deployments!AX327="","",Deployments!AX327)</f>
        <v/>
      </c>
      <c r="T326" s="21" t="str">
        <f>IF(Deployments!AV327="","",Deployments!AV327)</f>
        <v/>
      </c>
      <c r="U326" s="21" t="str">
        <f>IF(Deployments!AW327="","",Deployments!AW327)</f>
        <v/>
      </c>
      <c r="V326" s="21" t="str">
        <f>IF(Deployments!BA327="","",Deployments!BA327)</f>
        <v/>
      </c>
      <c r="W326" s="21" t="str">
        <f>IF(Deployments!BC327="","",Deployments!BC327)</f>
        <v/>
      </c>
      <c r="X326" s="21" t="str">
        <f>IF(Deployments!BK327="","",Deployments!BK327)</f>
        <v/>
      </c>
      <c r="Y326" s="21" t="str">
        <f>IF(Deployments!BB327="","",Deployments!BB327)</f>
        <v/>
      </c>
      <c r="Z326" s="21" t="str">
        <f>IF(Deployments!T327="","",Deployments!T327)</f>
        <v/>
      </c>
      <c r="AA326" s="21" t="str">
        <f>IF(Deployments!L327="","",Deployments!L327)</f>
        <v/>
      </c>
    </row>
    <row r="327" spans="1:27">
      <c r="A327" s="22"/>
      <c r="B327" s="22"/>
      <c r="C327" s="21" t="str">
        <f>IF(Deployments!H328="","",Deployments!H328)</f>
        <v/>
      </c>
      <c r="D327" s="21" t="str">
        <f>IF(Deployments!AH328="","",Deployments!AH328)</f>
        <v/>
      </c>
      <c r="E327" s="21" t="str">
        <f>IF(Deployments!I328="","",Deployments!I328)</f>
        <v/>
      </c>
      <c r="F327" s="21" t="str">
        <f>IF(Deployments!J328="","",Deployments!J328)</f>
        <v/>
      </c>
      <c r="G327" s="21" t="str">
        <f>IF(Deployments!K328="","",Deployments!K328)</f>
        <v/>
      </c>
      <c r="H327" s="21" t="str">
        <f>IF(Deployments!A328="","",Deployments!A328)</f>
        <v/>
      </c>
      <c r="I327" s="21" t="str">
        <f>IF(Deployments!AI328="","",Deployments!AI328)</f>
        <v/>
      </c>
      <c r="J327" s="21" t="str">
        <f>IF(Deployments!AJ328="","",Deployments!AJ328)</f>
        <v/>
      </c>
      <c r="K327" s="21" t="str">
        <f>IF(Deployments!AD328="","",Deployments!AD328)</f>
        <v/>
      </c>
      <c r="L327" s="21" t="str">
        <f>IF(Deployments!M328="","",Deployments!M328)</f>
        <v/>
      </c>
      <c r="M327" s="22"/>
      <c r="N327" s="21" t="str">
        <f>IF(Deployments!N328="","",Deployments!N328)</f>
        <v/>
      </c>
      <c r="O327" s="21" t="str">
        <f>IF(Deployments!O328="","",Deployments!O328)</f>
        <v/>
      </c>
      <c r="P327" s="21" t="str">
        <f>IF(Deployments!P328="","",Deployments!P328)</f>
        <v/>
      </c>
      <c r="Q327" s="22"/>
      <c r="R327" s="21" t="str">
        <f>IF(Deployments!AY328="","",Deployments!AY328)</f>
        <v/>
      </c>
      <c r="S327" s="21" t="str">
        <f>IF(Deployments!AX328="","",Deployments!AX328)</f>
        <v/>
      </c>
      <c r="T327" s="21" t="str">
        <f>IF(Deployments!AV328="","",Deployments!AV328)</f>
        <v/>
      </c>
      <c r="U327" s="21" t="str">
        <f>IF(Deployments!AW328="","",Deployments!AW328)</f>
        <v/>
      </c>
      <c r="V327" s="21" t="str">
        <f>IF(Deployments!BA328="","",Deployments!BA328)</f>
        <v/>
      </c>
      <c r="W327" s="21" t="str">
        <f>IF(Deployments!BC328="","",Deployments!BC328)</f>
        <v/>
      </c>
      <c r="X327" s="21" t="str">
        <f>IF(Deployments!BK328="","",Deployments!BK328)</f>
        <v/>
      </c>
      <c r="Y327" s="21" t="str">
        <f>IF(Deployments!BB328="","",Deployments!BB328)</f>
        <v/>
      </c>
      <c r="Z327" s="21" t="str">
        <f>IF(Deployments!T328="","",Deployments!T328)</f>
        <v/>
      </c>
      <c r="AA327" s="21" t="str">
        <f>IF(Deployments!L328="","",Deployments!L328)</f>
        <v/>
      </c>
    </row>
    <row r="328" spans="1:27">
      <c r="A328" s="22"/>
      <c r="B328" s="22"/>
      <c r="C328" s="21" t="str">
        <f>IF(Deployments!H329="","",Deployments!H329)</f>
        <v/>
      </c>
      <c r="D328" s="21" t="str">
        <f>IF(Deployments!AH329="","",Deployments!AH329)</f>
        <v/>
      </c>
      <c r="E328" s="21" t="str">
        <f>IF(Deployments!I329="","",Deployments!I329)</f>
        <v/>
      </c>
      <c r="F328" s="21" t="str">
        <f>IF(Deployments!J329="","",Deployments!J329)</f>
        <v/>
      </c>
      <c r="G328" s="21" t="str">
        <f>IF(Deployments!K329="","",Deployments!K329)</f>
        <v/>
      </c>
      <c r="H328" s="21" t="str">
        <f>IF(Deployments!A329="","",Deployments!A329)</f>
        <v/>
      </c>
      <c r="I328" s="21" t="str">
        <f>IF(Deployments!AI329="","",Deployments!AI329)</f>
        <v/>
      </c>
      <c r="J328" s="21" t="str">
        <f>IF(Deployments!AJ329="","",Deployments!AJ329)</f>
        <v/>
      </c>
      <c r="K328" s="21" t="str">
        <f>IF(Deployments!AD329="","",Deployments!AD329)</f>
        <v/>
      </c>
      <c r="L328" s="21" t="str">
        <f>IF(Deployments!M329="","",Deployments!M329)</f>
        <v/>
      </c>
      <c r="M328" s="22"/>
      <c r="N328" s="21" t="str">
        <f>IF(Deployments!N329="","",Deployments!N329)</f>
        <v/>
      </c>
      <c r="O328" s="21" t="str">
        <f>IF(Deployments!O329="","",Deployments!O329)</f>
        <v/>
      </c>
      <c r="P328" s="21" t="str">
        <f>IF(Deployments!P329="","",Deployments!P329)</f>
        <v/>
      </c>
      <c r="Q328" s="22"/>
      <c r="R328" s="21" t="str">
        <f>IF(Deployments!AY329="","",Deployments!AY329)</f>
        <v/>
      </c>
      <c r="S328" s="21" t="str">
        <f>IF(Deployments!AX329="","",Deployments!AX329)</f>
        <v/>
      </c>
      <c r="T328" s="21" t="str">
        <f>IF(Deployments!AV329="","",Deployments!AV329)</f>
        <v/>
      </c>
      <c r="U328" s="21" t="str">
        <f>IF(Deployments!AW329="","",Deployments!AW329)</f>
        <v/>
      </c>
      <c r="V328" s="21" t="str">
        <f>IF(Deployments!BA329="","",Deployments!BA329)</f>
        <v/>
      </c>
      <c r="W328" s="21" t="str">
        <f>IF(Deployments!BC329="","",Deployments!BC329)</f>
        <v/>
      </c>
      <c r="X328" s="21" t="str">
        <f>IF(Deployments!BK329="","",Deployments!BK329)</f>
        <v/>
      </c>
      <c r="Y328" s="21" t="str">
        <f>IF(Deployments!BB329="","",Deployments!BB329)</f>
        <v/>
      </c>
      <c r="Z328" s="21" t="str">
        <f>IF(Deployments!T329="","",Deployments!T329)</f>
        <v/>
      </c>
      <c r="AA328" s="21" t="str">
        <f>IF(Deployments!L329="","",Deployments!L329)</f>
        <v/>
      </c>
    </row>
    <row r="329" spans="1:27">
      <c r="A329" s="22"/>
      <c r="B329" s="22"/>
      <c r="C329" s="21" t="str">
        <f>IF(Deployments!H330="","",Deployments!H330)</f>
        <v/>
      </c>
      <c r="D329" s="21" t="str">
        <f>IF(Deployments!AH330="","",Deployments!AH330)</f>
        <v/>
      </c>
      <c r="E329" s="21" t="str">
        <f>IF(Deployments!I330="","",Deployments!I330)</f>
        <v/>
      </c>
      <c r="F329" s="21" t="str">
        <f>IF(Deployments!J330="","",Deployments!J330)</f>
        <v/>
      </c>
      <c r="G329" s="21" t="str">
        <f>IF(Deployments!K330="","",Deployments!K330)</f>
        <v/>
      </c>
      <c r="H329" s="21" t="str">
        <f>IF(Deployments!A330="","",Deployments!A330)</f>
        <v/>
      </c>
      <c r="I329" s="21" t="str">
        <f>IF(Deployments!AI330="","",Deployments!AI330)</f>
        <v/>
      </c>
      <c r="J329" s="21" t="str">
        <f>IF(Deployments!AJ330="","",Deployments!AJ330)</f>
        <v/>
      </c>
      <c r="K329" s="21" t="str">
        <f>IF(Deployments!AD330="","",Deployments!AD330)</f>
        <v/>
      </c>
      <c r="L329" s="21" t="str">
        <f>IF(Deployments!M330="","",Deployments!M330)</f>
        <v/>
      </c>
      <c r="M329" s="22"/>
      <c r="N329" s="21" t="str">
        <f>IF(Deployments!N330="","",Deployments!N330)</f>
        <v/>
      </c>
      <c r="O329" s="21" t="str">
        <f>IF(Deployments!O330="","",Deployments!O330)</f>
        <v/>
      </c>
      <c r="P329" s="21" t="str">
        <f>IF(Deployments!P330="","",Deployments!P330)</f>
        <v/>
      </c>
      <c r="Q329" s="22"/>
      <c r="R329" s="21" t="str">
        <f>IF(Deployments!AY330="","",Deployments!AY330)</f>
        <v/>
      </c>
      <c r="S329" s="21" t="str">
        <f>IF(Deployments!AX330="","",Deployments!AX330)</f>
        <v/>
      </c>
      <c r="T329" s="21" t="str">
        <f>IF(Deployments!AV330="","",Deployments!AV330)</f>
        <v/>
      </c>
      <c r="U329" s="21" t="str">
        <f>IF(Deployments!AW330="","",Deployments!AW330)</f>
        <v/>
      </c>
      <c r="V329" s="21" t="str">
        <f>IF(Deployments!BA330="","",Deployments!BA330)</f>
        <v/>
      </c>
      <c r="W329" s="21" t="str">
        <f>IF(Deployments!BC330="","",Deployments!BC330)</f>
        <v/>
      </c>
      <c r="X329" s="21" t="str">
        <f>IF(Deployments!BK330="","",Deployments!BK330)</f>
        <v/>
      </c>
      <c r="Y329" s="21" t="str">
        <f>IF(Deployments!BB330="","",Deployments!BB330)</f>
        <v/>
      </c>
      <c r="Z329" s="21" t="str">
        <f>IF(Deployments!T330="","",Deployments!T330)</f>
        <v/>
      </c>
      <c r="AA329" s="21" t="str">
        <f>IF(Deployments!L330="","",Deployments!L330)</f>
        <v/>
      </c>
    </row>
    <row r="330" spans="1:27">
      <c r="A330" s="22"/>
      <c r="B330" s="22"/>
      <c r="C330" s="21" t="str">
        <f>IF(Deployments!H331="","",Deployments!H331)</f>
        <v/>
      </c>
      <c r="D330" s="21" t="str">
        <f>IF(Deployments!AH331="","",Deployments!AH331)</f>
        <v/>
      </c>
      <c r="E330" s="21" t="str">
        <f>IF(Deployments!I331="","",Deployments!I331)</f>
        <v/>
      </c>
      <c r="F330" s="21" t="str">
        <f>IF(Deployments!J331="","",Deployments!J331)</f>
        <v/>
      </c>
      <c r="G330" s="21" t="str">
        <f>IF(Deployments!K331="","",Deployments!K331)</f>
        <v/>
      </c>
      <c r="H330" s="21" t="str">
        <f>IF(Deployments!A331="","",Deployments!A331)</f>
        <v/>
      </c>
      <c r="I330" s="21" t="str">
        <f>IF(Deployments!AI331="","",Deployments!AI331)</f>
        <v/>
      </c>
      <c r="J330" s="21" t="str">
        <f>IF(Deployments!AJ331="","",Deployments!AJ331)</f>
        <v/>
      </c>
      <c r="K330" s="21" t="str">
        <f>IF(Deployments!AD331="","",Deployments!AD331)</f>
        <v/>
      </c>
      <c r="L330" s="21" t="str">
        <f>IF(Deployments!M331="","",Deployments!M331)</f>
        <v/>
      </c>
      <c r="M330" s="22"/>
      <c r="N330" s="21" t="str">
        <f>IF(Deployments!N331="","",Deployments!N331)</f>
        <v/>
      </c>
      <c r="O330" s="21" t="str">
        <f>IF(Deployments!O331="","",Deployments!O331)</f>
        <v/>
      </c>
      <c r="P330" s="21" t="str">
        <f>IF(Deployments!P331="","",Deployments!P331)</f>
        <v/>
      </c>
      <c r="Q330" s="22"/>
      <c r="R330" s="21" t="str">
        <f>IF(Deployments!AY331="","",Deployments!AY331)</f>
        <v/>
      </c>
      <c r="S330" s="21" t="str">
        <f>IF(Deployments!AX331="","",Deployments!AX331)</f>
        <v/>
      </c>
      <c r="T330" s="21" t="str">
        <f>IF(Deployments!AV331="","",Deployments!AV331)</f>
        <v/>
      </c>
      <c r="U330" s="21" t="str">
        <f>IF(Deployments!AW331="","",Deployments!AW331)</f>
        <v/>
      </c>
      <c r="V330" s="21" t="str">
        <f>IF(Deployments!BA331="","",Deployments!BA331)</f>
        <v/>
      </c>
      <c r="W330" s="21" t="str">
        <f>IF(Deployments!BC331="","",Deployments!BC331)</f>
        <v/>
      </c>
      <c r="X330" s="21" t="str">
        <f>IF(Deployments!BK331="","",Deployments!BK331)</f>
        <v/>
      </c>
      <c r="Y330" s="21" t="str">
        <f>IF(Deployments!BB331="","",Deployments!BB331)</f>
        <v/>
      </c>
      <c r="Z330" s="21" t="str">
        <f>IF(Deployments!T331="","",Deployments!T331)</f>
        <v/>
      </c>
      <c r="AA330" s="21" t="str">
        <f>IF(Deployments!L331="","",Deployments!L331)</f>
        <v/>
      </c>
    </row>
    <row r="331" spans="1:27">
      <c r="A331" s="22"/>
      <c r="B331" s="22"/>
      <c r="C331" s="21" t="str">
        <f>IF(Deployments!H332="","",Deployments!H332)</f>
        <v/>
      </c>
      <c r="D331" s="21" t="str">
        <f>IF(Deployments!AH332="","",Deployments!AH332)</f>
        <v/>
      </c>
      <c r="E331" s="21" t="str">
        <f>IF(Deployments!I332="","",Deployments!I332)</f>
        <v/>
      </c>
      <c r="F331" s="21" t="str">
        <f>IF(Deployments!J332="","",Deployments!J332)</f>
        <v/>
      </c>
      <c r="G331" s="21" t="str">
        <f>IF(Deployments!K332="","",Deployments!K332)</f>
        <v/>
      </c>
      <c r="H331" s="21" t="str">
        <f>IF(Deployments!A332="","",Deployments!A332)</f>
        <v/>
      </c>
      <c r="I331" s="21" t="str">
        <f>IF(Deployments!AI332="","",Deployments!AI332)</f>
        <v/>
      </c>
      <c r="J331" s="21" t="str">
        <f>IF(Deployments!AJ332="","",Deployments!AJ332)</f>
        <v/>
      </c>
      <c r="K331" s="21" t="str">
        <f>IF(Deployments!AD332="","",Deployments!AD332)</f>
        <v/>
      </c>
      <c r="L331" s="21" t="str">
        <f>IF(Deployments!M332="","",Deployments!M332)</f>
        <v/>
      </c>
      <c r="M331" s="22"/>
      <c r="N331" s="21" t="str">
        <f>IF(Deployments!N332="","",Deployments!N332)</f>
        <v/>
      </c>
      <c r="O331" s="21" t="str">
        <f>IF(Deployments!O332="","",Deployments!O332)</f>
        <v/>
      </c>
      <c r="P331" s="21" t="str">
        <f>IF(Deployments!P332="","",Deployments!P332)</f>
        <v/>
      </c>
      <c r="Q331" s="22"/>
      <c r="R331" s="21" t="str">
        <f>IF(Deployments!AY332="","",Deployments!AY332)</f>
        <v/>
      </c>
      <c r="S331" s="21" t="str">
        <f>IF(Deployments!AX332="","",Deployments!AX332)</f>
        <v/>
      </c>
      <c r="T331" s="21" t="str">
        <f>IF(Deployments!AV332="","",Deployments!AV332)</f>
        <v/>
      </c>
      <c r="U331" s="21" t="str">
        <f>IF(Deployments!AW332="","",Deployments!AW332)</f>
        <v/>
      </c>
      <c r="V331" s="21" t="str">
        <f>IF(Deployments!BA332="","",Deployments!BA332)</f>
        <v/>
      </c>
      <c r="W331" s="21" t="str">
        <f>IF(Deployments!BC332="","",Deployments!BC332)</f>
        <v/>
      </c>
      <c r="X331" s="21" t="str">
        <f>IF(Deployments!BK332="","",Deployments!BK332)</f>
        <v/>
      </c>
      <c r="Y331" s="21" t="str">
        <f>IF(Deployments!BB332="","",Deployments!BB332)</f>
        <v/>
      </c>
      <c r="Z331" s="21" t="str">
        <f>IF(Deployments!T332="","",Deployments!T332)</f>
        <v/>
      </c>
      <c r="AA331" s="21" t="str">
        <f>IF(Deployments!L332="","",Deployments!L332)</f>
        <v/>
      </c>
    </row>
    <row r="332" spans="1:27">
      <c r="A332" s="22"/>
      <c r="B332" s="22"/>
      <c r="C332" s="21" t="str">
        <f>IF(Deployments!H333="","",Deployments!H333)</f>
        <v/>
      </c>
      <c r="D332" s="21" t="str">
        <f>IF(Deployments!AH333="","",Deployments!AH333)</f>
        <v/>
      </c>
      <c r="E332" s="21" t="str">
        <f>IF(Deployments!I333="","",Deployments!I333)</f>
        <v/>
      </c>
      <c r="F332" s="21" t="str">
        <f>IF(Deployments!J333="","",Deployments!J333)</f>
        <v/>
      </c>
      <c r="G332" s="21" t="str">
        <f>IF(Deployments!K333="","",Deployments!K333)</f>
        <v/>
      </c>
      <c r="H332" s="21" t="str">
        <f>IF(Deployments!A333="","",Deployments!A333)</f>
        <v/>
      </c>
      <c r="I332" s="21" t="str">
        <f>IF(Deployments!AI333="","",Deployments!AI333)</f>
        <v/>
      </c>
      <c r="J332" s="21" t="str">
        <f>IF(Deployments!AJ333="","",Deployments!AJ333)</f>
        <v/>
      </c>
      <c r="K332" s="21" t="str">
        <f>IF(Deployments!AD333="","",Deployments!AD333)</f>
        <v/>
      </c>
      <c r="L332" s="21" t="str">
        <f>IF(Deployments!M333="","",Deployments!M333)</f>
        <v/>
      </c>
      <c r="M332" s="22"/>
      <c r="N332" s="21" t="str">
        <f>IF(Deployments!N333="","",Deployments!N333)</f>
        <v/>
      </c>
      <c r="O332" s="21" t="str">
        <f>IF(Deployments!O333="","",Deployments!O333)</f>
        <v/>
      </c>
      <c r="P332" s="21" t="str">
        <f>IF(Deployments!P333="","",Deployments!P333)</f>
        <v/>
      </c>
      <c r="Q332" s="22"/>
      <c r="R332" s="21" t="str">
        <f>IF(Deployments!AY333="","",Deployments!AY333)</f>
        <v/>
      </c>
      <c r="S332" s="21" t="str">
        <f>IF(Deployments!AX333="","",Deployments!AX333)</f>
        <v/>
      </c>
      <c r="T332" s="21" t="str">
        <f>IF(Deployments!AV333="","",Deployments!AV333)</f>
        <v/>
      </c>
      <c r="U332" s="21" t="str">
        <f>IF(Deployments!AW333="","",Deployments!AW333)</f>
        <v/>
      </c>
      <c r="V332" s="21" t="str">
        <f>IF(Deployments!BA333="","",Deployments!BA333)</f>
        <v/>
      </c>
      <c r="W332" s="21" t="str">
        <f>IF(Deployments!BC333="","",Deployments!BC333)</f>
        <v/>
      </c>
      <c r="X332" s="21" t="str">
        <f>IF(Deployments!BK333="","",Deployments!BK333)</f>
        <v/>
      </c>
      <c r="Y332" s="21" t="str">
        <f>IF(Deployments!BB333="","",Deployments!BB333)</f>
        <v/>
      </c>
      <c r="Z332" s="21" t="str">
        <f>IF(Deployments!T333="","",Deployments!T333)</f>
        <v/>
      </c>
      <c r="AA332" s="21" t="str">
        <f>IF(Deployments!L333="","",Deployments!L333)</f>
        <v/>
      </c>
    </row>
    <row r="333" spans="1:27">
      <c r="A333" s="22"/>
      <c r="B333" s="22"/>
      <c r="C333" s="21" t="str">
        <f>IF(Deployments!H334="","",Deployments!H334)</f>
        <v/>
      </c>
      <c r="D333" s="21" t="str">
        <f>IF(Deployments!AH334="","",Deployments!AH334)</f>
        <v/>
      </c>
      <c r="E333" s="21" t="str">
        <f>IF(Deployments!I334="","",Deployments!I334)</f>
        <v/>
      </c>
      <c r="F333" s="21" t="str">
        <f>IF(Deployments!J334="","",Deployments!J334)</f>
        <v/>
      </c>
      <c r="G333" s="21" t="str">
        <f>IF(Deployments!K334="","",Deployments!K334)</f>
        <v/>
      </c>
      <c r="H333" s="21" t="str">
        <f>IF(Deployments!A334="","",Deployments!A334)</f>
        <v/>
      </c>
      <c r="I333" s="21" t="str">
        <f>IF(Deployments!AI334="","",Deployments!AI334)</f>
        <v/>
      </c>
      <c r="J333" s="21" t="str">
        <f>IF(Deployments!AJ334="","",Deployments!AJ334)</f>
        <v/>
      </c>
      <c r="K333" s="21" t="str">
        <f>IF(Deployments!AD334="","",Deployments!AD334)</f>
        <v/>
      </c>
      <c r="L333" s="21" t="str">
        <f>IF(Deployments!M334="","",Deployments!M334)</f>
        <v/>
      </c>
      <c r="M333" s="22"/>
      <c r="N333" s="21" t="str">
        <f>IF(Deployments!N334="","",Deployments!N334)</f>
        <v/>
      </c>
      <c r="O333" s="21" t="str">
        <f>IF(Deployments!O334="","",Deployments!O334)</f>
        <v/>
      </c>
      <c r="P333" s="21" t="str">
        <f>IF(Deployments!P334="","",Deployments!P334)</f>
        <v/>
      </c>
      <c r="Q333" s="22"/>
      <c r="R333" s="21" t="str">
        <f>IF(Deployments!AY334="","",Deployments!AY334)</f>
        <v/>
      </c>
      <c r="S333" s="21" t="str">
        <f>IF(Deployments!AX334="","",Deployments!AX334)</f>
        <v/>
      </c>
      <c r="T333" s="21" t="str">
        <f>IF(Deployments!AV334="","",Deployments!AV334)</f>
        <v/>
      </c>
      <c r="U333" s="21" t="str">
        <f>IF(Deployments!AW334="","",Deployments!AW334)</f>
        <v/>
      </c>
      <c r="V333" s="21" t="str">
        <f>IF(Deployments!BA334="","",Deployments!BA334)</f>
        <v/>
      </c>
      <c r="W333" s="21" t="str">
        <f>IF(Deployments!BC334="","",Deployments!BC334)</f>
        <v/>
      </c>
      <c r="X333" s="21" t="str">
        <f>IF(Deployments!BK334="","",Deployments!BK334)</f>
        <v/>
      </c>
      <c r="Y333" s="21" t="str">
        <f>IF(Deployments!BB334="","",Deployments!BB334)</f>
        <v/>
      </c>
      <c r="Z333" s="21" t="str">
        <f>IF(Deployments!T334="","",Deployments!T334)</f>
        <v/>
      </c>
      <c r="AA333" s="21" t="str">
        <f>IF(Deployments!L334="","",Deployments!L334)</f>
        <v/>
      </c>
    </row>
    <row r="334" spans="1:27">
      <c r="A334" s="22"/>
      <c r="B334" s="22"/>
      <c r="C334" s="21" t="str">
        <f>IF(Deployments!H335="","",Deployments!H335)</f>
        <v/>
      </c>
      <c r="D334" s="21" t="str">
        <f>IF(Deployments!AH335="","",Deployments!AH335)</f>
        <v/>
      </c>
      <c r="E334" s="21" t="str">
        <f>IF(Deployments!I335="","",Deployments!I335)</f>
        <v/>
      </c>
      <c r="F334" s="21" t="str">
        <f>IF(Deployments!J335="","",Deployments!J335)</f>
        <v/>
      </c>
      <c r="G334" s="21" t="str">
        <f>IF(Deployments!K335="","",Deployments!K335)</f>
        <v/>
      </c>
      <c r="H334" s="21" t="str">
        <f>IF(Deployments!A335="","",Deployments!A335)</f>
        <v/>
      </c>
      <c r="I334" s="21" t="str">
        <f>IF(Deployments!AI335="","",Deployments!AI335)</f>
        <v/>
      </c>
      <c r="J334" s="21" t="str">
        <f>IF(Deployments!AJ335="","",Deployments!AJ335)</f>
        <v/>
      </c>
      <c r="K334" s="21" t="str">
        <f>IF(Deployments!AD335="","",Deployments!AD335)</f>
        <v/>
      </c>
      <c r="L334" s="21" t="str">
        <f>IF(Deployments!M335="","",Deployments!M335)</f>
        <v/>
      </c>
      <c r="M334" s="22"/>
      <c r="N334" s="21" t="str">
        <f>IF(Deployments!N335="","",Deployments!N335)</f>
        <v/>
      </c>
      <c r="O334" s="21" t="str">
        <f>IF(Deployments!O335="","",Deployments!O335)</f>
        <v/>
      </c>
      <c r="P334" s="21" t="str">
        <f>IF(Deployments!P335="","",Deployments!P335)</f>
        <v/>
      </c>
      <c r="Q334" s="22"/>
      <c r="R334" s="21" t="str">
        <f>IF(Deployments!AY335="","",Deployments!AY335)</f>
        <v/>
      </c>
      <c r="S334" s="21" t="str">
        <f>IF(Deployments!AX335="","",Deployments!AX335)</f>
        <v/>
      </c>
      <c r="T334" s="21" t="str">
        <f>IF(Deployments!AV335="","",Deployments!AV335)</f>
        <v/>
      </c>
      <c r="U334" s="21" t="str">
        <f>IF(Deployments!AW335="","",Deployments!AW335)</f>
        <v/>
      </c>
      <c r="V334" s="21" t="str">
        <f>IF(Deployments!BA335="","",Deployments!BA335)</f>
        <v/>
      </c>
      <c r="W334" s="21" t="str">
        <f>IF(Deployments!BC335="","",Deployments!BC335)</f>
        <v/>
      </c>
      <c r="X334" s="21" t="str">
        <f>IF(Deployments!BK335="","",Deployments!BK335)</f>
        <v/>
      </c>
      <c r="Y334" s="21" t="str">
        <f>IF(Deployments!BB335="","",Deployments!BB335)</f>
        <v/>
      </c>
      <c r="Z334" s="21" t="str">
        <f>IF(Deployments!T335="","",Deployments!T335)</f>
        <v/>
      </c>
      <c r="AA334" s="21" t="str">
        <f>IF(Deployments!L335="","",Deployments!L335)</f>
        <v/>
      </c>
    </row>
    <row r="335" spans="1:27">
      <c r="A335" s="22"/>
      <c r="B335" s="22"/>
      <c r="C335" s="21" t="str">
        <f>IF(Deployments!H336="","",Deployments!H336)</f>
        <v/>
      </c>
      <c r="D335" s="21" t="str">
        <f>IF(Deployments!AH336="","",Deployments!AH336)</f>
        <v/>
      </c>
      <c r="E335" s="21" t="str">
        <f>IF(Deployments!I336="","",Deployments!I336)</f>
        <v/>
      </c>
      <c r="F335" s="21" t="str">
        <f>IF(Deployments!J336="","",Deployments!J336)</f>
        <v/>
      </c>
      <c r="G335" s="21" t="str">
        <f>IF(Deployments!K336="","",Deployments!K336)</f>
        <v/>
      </c>
      <c r="H335" s="21" t="str">
        <f>IF(Deployments!A336="","",Deployments!A336)</f>
        <v/>
      </c>
      <c r="I335" s="21" t="str">
        <f>IF(Deployments!AI336="","",Deployments!AI336)</f>
        <v/>
      </c>
      <c r="J335" s="21" t="str">
        <f>IF(Deployments!AJ336="","",Deployments!AJ336)</f>
        <v/>
      </c>
      <c r="K335" s="21" t="str">
        <f>IF(Deployments!AD336="","",Deployments!AD336)</f>
        <v/>
      </c>
      <c r="L335" s="21" t="str">
        <f>IF(Deployments!M336="","",Deployments!M336)</f>
        <v/>
      </c>
      <c r="M335" s="22"/>
      <c r="N335" s="21" t="str">
        <f>IF(Deployments!N336="","",Deployments!N336)</f>
        <v/>
      </c>
      <c r="O335" s="21" t="str">
        <f>IF(Deployments!O336="","",Deployments!O336)</f>
        <v/>
      </c>
      <c r="P335" s="21" t="str">
        <f>IF(Deployments!P336="","",Deployments!P336)</f>
        <v/>
      </c>
      <c r="Q335" s="22"/>
      <c r="R335" s="21" t="str">
        <f>IF(Deployments!AY336="","",Deployments!AY336)</f>
        <v/>
      </c>
      <c r="S335" s="21" t="str">
        <f>IF(Deployments!AX336="","",Deployments!AX336)</f>
        <v/>
      </c>
      <c r="T335" s="21" t="str">
        <f>IF(Deployments!AV336="","",Deployments!AV336)</f>
        <v/>
      </c>
      <c r="U335" s="21" t="str">
        <f>IF(Deployments!AW336="","",Deployments!AW336)</f>
        <v/>
      </c>
      <c r="V335" s="21" t="str">
        <f>IF(Deployments!BA336="","",Deployments!BA336)</f>
        <v/>
      </c>
      <c r="W335" s="21" t="str">
        <f>IF(Deployments!BC336="","",Deployments!BC336)</f>
        <v/>
      </c>
      <c r="X335" s="21" t="str">
        <f>IF(Deployments!BK336="","",Deployments!BK336)</f>
        <v/>
      </c>
      <c r="Y335" s="21" t="str">
        <f>IF(Deployments!BB336="","",Deployments!BB336)</f>
        <v/>
      </c>
      <c r="Z335" s="21" t="str">
        <f>IF(Deployments!T336="","",Deployments!T336)</f>
        <v/>
      </c>
      <c r="AA335" s="21" t="str">
        <f>IF(Deployments!L336="","",Deployments!L336)</f>
        <v/>
      </c>
    </row>
    <row r="336" spans="1:27">
      <c r="A336" s="22"/>
      <c r="B336" s="22"/>
      <c r="C336" s="21" t="str">
        <f>IF(Deployments!H337="","",Deployments!H337)</f>
        <v/>
      </c>
      <c r="D336" s="21" t="str">
        <f>IF(Deployments!AH337="","",Deployments!AH337)</f>
        <v/>
      </c>
      <c r="E336" s="21" t="str">
        <f>IF(Deployments!I337="","",Deployments!I337)</f>
        <v/>
      </c>
      <c r="F336" s="21" t="str">
        <f>IF(Deployments!J337="","",Deployments!J337)</f>
        <v/>
      </c>
      <c r="G336" s="21" t="str">
        <f>IF(Deployments!K337="","",Deployments!K337)</f>
        <v/>
      </c>
      <c r="H336" s="21" t="str">
        <f>IF(Deployments!A337="","",Deployments!A337)</f>
        <v/>
      </c>
      <c r="I336" s="21" t="str">
        <f>IF(Deployments!AI337="","",Deployments!AI337)</f>
        <v/>
      </c>
      <c r="J336" s="21" t="str">
        <f>IF(Deployments!AJ337="","",Deployments!AJ337)</f>
        <v/>
      </c>
      <c r="K336" s="21" t="str">
        <f>IF(Deployments!AD337="","",Deployments!AD337)</f>
        <v/>
      </c>
      <c r="L336" s="21" t="str">
        <f>IF(Deployments!M337="","",Deployments!M337)</f>
        <v/>
      </c>
      <c r="M336" s="22"/>
      <c r="N336" s="21" t="str">
        <f>IF(Deployments!N337="","",Deployments!N337)</f>
        <v/>
      </c>
      <c r="O336" s="21" t="str">
        <f>IF(Deployments!O337="","",Deployments!O337)</f>
        <v/>
      </c>
      <c r="P336" s="21" t="str">
        <f>IF(Deployments!P337="","",Deployments!P337)</f>
        <v/>
      </c>
      <c r="Q336" s="22"/>
      <c r="R336" s="21" t="str">
        <f>IF(Deployments!AY337="","",Deployments!AY337)</f>
        <v/>
      </c>
      <c r="S336" s="21" t="str">
        <f>IF(Deployments!AX337="","",Deployments!AX337)</f>
        <v/>
      </c>
      <c r="T336" s="21" t="str">
        <f>IF(Deployments!AV337="","",Deployments!AV337)</f>
        <v/>
      </c>
      <c r="U336" s="21" t="str">
        <f>IF(Deployments!AW337="","",Deployments!AW337)</f>
        <v/>
      </c>
      <c r="V336" s="21" t="str">
        <f>IF(Deployments!BA337="","",Deployments!BA337)</f>
        <v/>
      </c>
      <c r="W336" s="21" t="str">
        <f>IF(Deployments!BC337="","",Deployments!BC337)</f>
        <v/>
      </c>
      <c r="X336" s="21" t="str">
        <f>IF(Deployments!BK337="","",Deployments!BK337)</f>
        <v/>
      </c>
      <c r="Y336" s="21" t="str">
        <f>IF(Deployments!BB337="","",Deployments!BB337)</f>
        <v/>
      </c>
      <c r="Z336" s="21" t="str">
        <f>IF(Deployments!T337="","",Deployments!T337)</f>
        <v/>
      </c>
      <c r="AA336" s="21" t="str">
        <f>IF(Deployments!L337="","",Deployments!L337)</f>
        <v/>
      </c>
    </row>
    <row r="337" spans="1:27">
      <c r="A337" s="22"/>
      <c r="B337" s="22"/>
      <c r="C337" s="21" t="str">
        <f>IF(Deployments!H338="","",Deployments!H338)</f>
        <v/>
      </c>
      <c r="D337" s="21" t="str">
        <f>IF(Deployments!AH338="","",Deployments!AH338)</f>
        <v/>
      </c>
      <c r="E337" s="21" t="str">
        <f>IF(Deployments!I338="","",Deployments!I338)</f>
        <v/>
      </c>
      <c r="F337" s="21" t="str">
        <f>IF(Deployments!J338="","",Deployments!J338)</f>
        <v/>
      </c>
      <c r="G337" s="21" t="str">
        <f>IF(Deployments!K338="","",Deployments!K338)</f>
        <v/>
      </c>
      <c r="H337" s="21" t="str">
        <f>IF(Deployments!A338="","",Deployments!A338)</f>
        <v/>
      </c>
      <c r="I337" s="21" t="str">
        <f>IF(Deployments!AI338="","",Deployments!AI338)</f>
        <v/>
      </c>
      <c r="J337" s="21" t="str">
        <f>IF(Deployments!AJ338="","",Deployments!AJ338)</f>
        <v/>
      </c>
      <c r="K337" s="21" t="str">
        <f>IF(Deployments!AD338="","",Deployments!AD338)</f>
        <v/>
      </c>
      <c r="L337" s="21" t="str">
        <f>IF(Deployments!M338="","",Deployments!M338)</f>
        <v/>
      </c>
      <c r="M337" s="22"/>
      <c r="N337" s="21" t="str">
        <f>IF(Deployments!N338="","",Deployments!N338)</f>
        <v/>
      </c>
      <c r="O337" s="21" t="str">
        <f>IF(Deployments!O338="","",Deployments!O338)</f>
        <v/>
      </c>
      <c r="P337" s="21" t="str">
        <f>IF(Deployments!P338="","",Deployments!P338)</f>
        <v/>
      </c>
      <c r="Q337" s="22"/>
      <c r="R337" s="21" t="str">
        <f>IF(Deployments!AY338="","",Deployments!AY338)</f>
        <v/>
      </c>
      <c r="S337" s="21" t="str">
        <f>IF(Deployments!AX338="","",Deployments!AX338)</f>
        <v/>
      </c>
      <c r="T337" s="21" t="str">
        <f>IF(Deployments!AV338="","",Deployments!AV338)</f>
        <v/>
      </c>
      <c r="U337" s="21" t="str">
        <f>IF(Deployments!AW338="","",Deployments!AW338)</f>
        <v/>
      </c>
      <c r="V337" s="21" t="str">
        <f>IF(Deployments!BA338="","",Deployments!BA338)</f>
        <v/>
      </c>
      <c r="W337" s="21" t="str">
        <f>IF(Deployments!BC338="","",Deployments!BC338)</f>
        <v/>
      </c>
      <c r="X337" s="21" t="str">
        <f>IF(Deployments!BK338="","",Deployments!BK338)</f>
        <v/>
      </c>
      <c r="Y337" s="21" t="str">
        <f>IF(Deployments!BB338="","",Deployments!BB338)</f>
        <v/>
      </c>
      <c r="Z337" s="21" t="str">
        <f>IF(Deployments!T338="","",Deployments!T338)</f>
        <v/>
      </c>
      <c r="AA337" s="21" t="str">
        <f>IF(Deployments!L338="","",Deployments!L338)</f>
        <v/>
      </c>
    </row>
    <row r="338" spans="1:27">
      <c r="A338" s="22"/>
      <c r="B338" s="22"/>
      <c r="C338" s="21" t="str">
        <f>IF(Deployments!H339="","",Deployments!H339)</f>
        <v/>
      </c>
      <c r="D338" s="21" t="str">
        <f>IF(Deployments!AH339="","",Deployments!AH339)</f>
        <v/>
      </c>
      <c r="E338" s="21" t="str">
        <f>IF(Deployments!I339="","",Deployments!I339)</f>
        <v/>
      </c>
      <c r="F338" s="21" t="str">
        <f>IF(Deployments!J339="","",Deployments!J339)</f>
        <v/>
      </c>
      <c r="G338" s="21" t="str">
        <f>IF(Deployments!K339="","",Deployments!K339)</f>
        <v/>
      </c>
      <c r="H338" s="21" t="str">
        <f>IF(Deployments!A339="","",Deployments!A339)</f>
        <v/>
      </c>
      <c r="I338" s="21" t="str">
        <f>IF(Deployments!AI339="","",Deployments!AI339)</f>
        <v/>
      </c>
      <c r="J338" s="21" t="str">
        <f>IF(Deployments!AJ339="","",Deployments!AJ339)</f>
        <v/>
      </c>
      <c r="K338" s="21" t="str">
        <f>IF(Deployments!AD339="","",Deployments!AD339)</f>
        <v/>
      </c>
      <c r="L338" s="21" t="str">
        <f>IF(Deployments!M339="","",Deployments!M339)</f>
        <v/>
      </c>
      <c r="M338" s="22"/>
      <c r="N338" s="21" t="str">
        <f>IF(Deployments!N339="","",Deployments!N339)</f>
        <v/>
      </c>
      <c r="O338" s="21" t="str">
        <f>IF(Deployments!O339="","",Deployments!O339)</f>
        <v/>
      </c>
      <c r="P338" s="21" t="str">
        <f>IF(Deployments!P339="","",Deployments!P339)</f>
        <v/>
      </c>
      <c r="Q338" s="22"/>
      <c r="R338" s="21" t="str">
        <f>IF(Deployments!AY339="","",Deployments!AY339)</f>
        <v/>
      </c>
      <c r="S338" s="21" t="str">
        <f>IF(Deployments!AX339="","",Deployments!AX339)</f>
        <v/>
      </c>
      <c r="T338" s="21" t="str">
        <f>IF(Deployments!AV339="","",Deployments!AV339)</f>
        <v/>
      </c>
      <c r="U338" s="21" t="str">
        <f>IF(Deployments!AW339="","",Deployments!AW339)</f>
        <v/>
      </c>
      <c r="V338" s="21" t="str">
        <f>IF(Deployments!BA339="","",Deployments!BA339)</f>
        <v/>
      </c>
      <c r="W338" s="21" t="str">
        <f>IF(Deployments!BC339="","",Deployments!BC339)</f>
        <v/>
      </c>
      <c r="X338" s="21" t="str">
        <f>IF(Deployments!BK339="","",Deployments!BK339)</f>
        <v/>
      </c>
      <c r="Y338" s="21" t="str">
        <f>IF(Deployments!BB339="","",Deployments!BB339)</f>
        <v/>
      </c>
      <c r="Z338" s="21" t="str">
        <f>IF(Deployments!T339="","",Deployments!T339)</f>
        <v/>
      </c>
      <c r="AA338" s="21" t="str">
        <f>IF(Deployments!L339="","",Deployments!L339)</f>
        <v/>
      </c>
    </row>
    <row r="339" spans="1:27">
      <c r="A339" s="22"/>
      <c r="B339" s="22"/>
      <c r="C339" s="21" t="str">
        <f>IF(Deployments!H340="","",Deployments!H340)</f>
        <v/>
      </c>
      <c r="D339" s="21" t="str">
        <f>IF(Deployments!AH340="","",Deployments!AH340)</f>
        <v/>
      </c>
      <c r="E339" s="21" t="str">
        <f>IF(Deployments!I340="","",Deployments!I340)</f>
        <v/>
      </c>
      <c r="F339" s="21" t="str">
        <f>IF(Deployments!J340="","",Deployments!J340)</f>
        <v/>
      </c>
      <c r="G339" s="21" t="str">
        <f>IF(Deployments!K340="","",Deployments!K340)</f>
        <v/>
      </c>
      <c r="H339" s="21" t="str">
        <f>IF(Deployments!A340="","",Deployments!A340)</f>
        <v/>
      </c>
      <c r="I339" s="21" t="str">
        <f>IF(Deployments!AI340="","",Deployments!AI340)</f>
        <v/>
      </c>
      <c r="J339" s="21" t="str">
        <f>IF(Deployments!AJ340="","",Deployments!AJ340)</f>
        <v/>
      </c>
      <c r="K339" s="21" t="str">
        <f>IF(Deployments!AD340="","",Deployments!AD340)</f>
        <v/>
      </c>
      <c r="L339" s="21" t="str">
        <f>IF(Deployments!M340="","",Deployments!M340)</f>
        <v/>
      </c>
      <c r="M339" s="22"/>
      <c r="N339" s="21" t="str">
        <f>IF(Deployments!N340="","",Deployments!N340)</f>
        <v/>
      </c>
      <c r="O339" s="21" t="str">
        <f>IF(Deployments!O340="","",Deployments!O340)</f>
        <v/>
      </c>
      <c r="P339" s="21" t="str">
        <f>IF(Deployments!P340="","",Deployments!P340)</f>
        <v/>
      </c>
      <c r="Q339" s="22"/>
      <c r="R339" s="21" t="str">
        <f>IF(Deployments!AY340="","",Deployments!AY340)</f>
        <v/>
      </c>
      <c r="S339" s="21" t="str">
        <f>IF(Deployments!AX340="","",Deployments!AX340)</f>
        <v/>
      </c>
      <c r="T339" s="21" t="str">
        <f>IF(Deployments!AV340="","",Deployments!AV340)</f>
        <v/>
      </c>
      <c r="U339" s="21" t="str">
        <f>IF(Deployments!AW340="","",Deployments!AW340)</f>
        <v/>
      </c>
      <c r="V339" s="21" t="str">
        <f>IF(Deployments!BA340="","",Deployments!BA340)</f>
        <v/>
      </c>
      <c r="W339" s="21" t="str">
        <f>IF(Deployments!BC340="","",Deployments!BC340)</f>
        <v/>
      </c>
      <c r="X339" s="21" t="str">
        <f>IF(Deployments!BK340="","",Deployments!BK340)</f>
        <v/>
      </c>
      <c r="Y339" s="21" t="str">
        <f>IF(Deployments!BB340="","",Deployments!BB340)</f>
        <v/>
      </c>
      <c r="Z339" s="21" t="str">
        <f>IF(Deployments!T340="","",Deployments!T340)</f>
        <v/>
      </c>
      <c r="AA339" s="21" t="str">
        <f>IF(Deployments!L340="","",Deployments!L340)</f>
        <v/>
      </c>
    </row>
    <row r="340" spans="1:27">
      <c r="A340" s="22"/>
      <c r="B340" s="22"/>
      <c r="C340" s="21" t="str">
        <f>IF(Deployments!H341="","",Deployments!H341)</f>
        <v/>
      </c>
      <c r="D340" s="21" t="str">
        <f>IF(Deployments!AH341="","",Deployments!AH341)</f>
        <v/>
      </c>
      <c r="E340" s="21" t="str">
        <f>IF(Deployments!I341="","",Deployments!I341)</f>
        <v/>
      </c>
      <c r="F340" s="21" t="str">
        <f>IF(Deployments!J341="","",Deployments!J341)</f>
        <v/>
      </c>
      <c r="G340" s="21" t="str">
        <f>IF(Deployments!K341="","",Deployments!K341)</f>
        <v/>
      </c>
      <c r="H340" s="21" t="str">
        <f>IF(Deployments!A341="","",Deployments!A341)</f>
        <v/>
      </c>
      <c r="I340" s="21" t="str">
        <f>IF(Deployments!AI341="","",Deployments!AI341)</f>
        <v/>
      </c>
      <c r="J340" s="21" t="str">
        <f>IF(Deployments!AJ341="","",Deployments!AJ341)</f>
        <v/>
      </c>
      <c r="K340" s="21" t="str">
        <f>IF(Deployments!AD341="","",Deployments!AD341)</f>
        <v/>
      </c>
      <c r="L340" s="21" t="str">
        <f>IF(Deployments!M341="","",Deployments!M341)</f>
        <v/>
      </c>
      <c r="M340" s="22"/>
      <c r="N340" s="21" t="str">
        <f>IF(Deployments!N341="","",Deployments!N341)</f>
        <v/>
      </c>
      <c r="O340" s="21" t="str">
        <f>IF(Deployments!O341="","",Deployments!O341)</f>
        <v/>
      </c>
      <c r="P340" s="21" t="str">
        <f>IF(Deployments!P341="","",Deployments!P341)</f>
        <v/>
      </c>
      <c r="Q340" s="22"/>
      <c r="R340" s="21" t="str">
        <f>IF(Deployments!AY341="","",Deployments!AY341)</f>
        <v/>
      </c>
      <c r="S340" s="21" t="str">
        <f>IF(Deployments!AX341="","",Deployments!AX341)</f>
        <v/>
      </c>
      <c r="T340" s="21" t="str">
        <f>IF(Deployments!AV341="","",Deployments!AV341)</f>
        <v/>
      </c>
      <c r="U340" s="21" t="str">
        <f>IF(Deployments!AW341="","",Deployments!AW341)</f>
        <v/>
      </c>
      <c r="V340" s="21" t="str">
        <f>IF(Deployments!BA341="","",Deployments!BA341)</f>
        <v/>
      </c>
      <c r="W340" s="21" t="str">
        <f>IF(Deployments!BC341="","",Deployments!BC341)</f>
        <v/>
      </c>
      <c r="X340" s="21" t="str">
        <f>IF(Deployments!BK341="","",Deployments!BK341)</f>
        <v/>
      </c>
      <c r="Y340" s="21" t="str">
        <f>IF(Deployments!BB341="","",Deployments!BB341)</f>
        <v/>
      </c>
      <c r="Z340" s="21" t="str">
        <f>IF(Deployments!T341="","",Deployments!T341)</f>
        <v/>
      </c>
      <c r="AA340" s="21" t="str">
        <f>IF(Deployments!L341="","",Deployments!L341)</f>
        <v/>
      </c>
    </row>
    <row r="341" spans="1:27">
      <c r="A341" s="22"/>
      <c r="B341" s="22"/>
      <c r="C341" s="21" t="str">
        <f>IF(Deployments!H342="","",Deployments!H342)</f>
        <v/>
      </c>
      <c r="D341" s="21" t="str">
        <f>IF(Deployments!AH342="","",Deployments!AH342)</f>
        <v/>
      </c>
      <c r="E341" s="21" t="str">
        <f>IF(Deployments!I342="","",Deployments!I342)</f>
        <v/>
      </c>
      <c r="F341" s="21" t="str">
        <f>IF(Deployments!J342="","",Deployments!J342)</f>
        <v/>
      </c>
      <c r="G341" s="21" t="str">
        <f>IF(Deployments!K342="","",Deployments!K342)</f>
        <v/>
      </c>
      <c r="H341" s="21" t="str">
        <f>IF(Deployments!A342="","",Deployments!A342)</f>
        <v/>
      </c>
      <c r="I341" s="21" t="str">
        <f>IF(Deployments!AI342="","",Deployments!AI342)</f>
        <v/>
      </c>
      <c r="J341" s="21" t="str">
        <f>IF(Deployments!AJ342="","",Deployments!AJ342)</f>
        <v/>
      </c>
      <c r="K341" s="21" t="str">
        <f>IF(Deployments!AD342="","",Deployments!AD342)</f>
        <v/>
      </c>
      <c r="L341" s="21" t="str">
        <f>IF(Deployments!M342="","",Deployments!M342)</f>
        <v/>
      </c>
      <c r="M341" s="22"/>
      <c r="N341" s="21" t="str">
        <f>IF(Deployments!N342="","",Deployments!N342)</f>
        <v/>
      </c>
      <c r="O341" s="21" t="str">
        <f>IF(Deployments!O342="","",Deployments!O342)</f>
        <v/>
      </c>
      <c r="P341" s="21" t="str">
        <f>IF(Deployments!P342="","",Deployments!P342)</f>
        <v/>
      </c>
      <c r="Q341" s="22"/>
      <c r="R341" s="21" t="str">
        <f>IF(Deployments!AY342="","",Deployments!AY342)</f>
        <v/>
      </c>
      <c r="S341" s="21" t="str">
        <f>IF(Deployments!AX342="","",Deployments!AX342)</f>
        <v/>
      </c>
      <c r="T341" s="21" t="str">
        <f>IF(Deployments!AV342="","",Deployments!AV342)</f>
        <v/>
      </c>
      <c r="U341" s="21" t="str">
        <f>IF(Deployments!AW342="","",Deployments!AW342)</f>
        <v/>
      </c>
      <c r="V341" s="21" t="str">
        <f>IF(Deployments!BA342="","",Deployments!BA342)</f>
        <v/>
      </c>
      <c r="W341" s="21" t="str">
        <f>IF(Deployments!BC342="","",Deployments!BC342)</f>
        <v/>
      </c>
      <c r="X341" s="21" t="str">
        <f>IF(Deployments!BK342="","",Deployments!BK342)</f>
        <v/>
      </c>
      <c r="Y341" s="21" t="str">
        <f>IF(Deployments!BB342="","",Deployments!BB342)</f>
        <v/>
      </c>
      <c r="Z341" s="21" t="str">
        <f>IF(Deployments!T342="","",Deployments!T342)</f>
        <v/>
      </c>
      <c r="AA341" s="21" t="str">
        <f>IF(Deployments!L342="","",Deployments!L342)</f>
        <v/>
      </c>
    </row>
    <row r="342" spans="1:27">
      <c r="A342" s="22"/>
      <c r="B342" s="22"/>
      <c r="C342" s="21" t="str">
        <f>IF(Deployments!H343="","",Deployments!H343)</f>
        <v/>
      </c>
      <c r="D342" s="21" t="str">
        <f>IF(Deployments!AH343="","",Deployments!AH343)</f>
        <v/>
      </c>
      <c r="E342" s="21" t="str">
        <f>IF(Deployments!I343="","",Deployments!I343)</f>
        <v/>
      </c>
      <c r="F342" s="21" t="str">
        <f>IF(Deployments!J343="","",Deployments!J343)</f>
        <v/>
      </c>
      <c r="G342" s="21" t="str">
        <f>IF(Deployments!K343="","",Deployments!K343)</f>
        <v/>
      </c>
      <c r="H342" s="21" t="str">
        <f>IF(Deployments!A343="","",Deployments!A343)</f>
        <v/>
      </c>
      <c r="I342" s="21" t="str">
        <f>IF(Deployments!AI343="","",Deployments!AI343)</f>
        <v/>
      </c>
      <c r="J342" s="21" t="str">
        <f>IF(Deployments!AJ343="","",Deployments!AJ343)</f>
        <v/>
      </c>
      <c r="K342" s="21" t="str">
        <f>IF(Deployments!AD343="","",Deployments!AD343)</f>
        <v/>
      </c>
      <c r="L342" s="21" t="str">
        <f>IF(Deployments!M343="","",Deployments!M343)</f>
        <v/>
      </c>
      <c r="M342" s="22"/>
      <c r="N342" s="21" t="str">
        <f>IF(Deployments!N343="","",Deployments!N343)</f>
        <v/>
      </c>
      <c r="O342" s="21" t="str">
        <f>IF(Deployments!O343="","",Deployments!O343)</f>
        <v/>
      </c>
      <c r="P342" s="21" t="str">
        <f>IF(Deployments!P343="","",Deployments!P343)</f>
        <v/>
      </c>
      <c r="Q342" s="22"/>
      <c r="R342" s="21" t="str">
        <f>IF(Deployments!AY343="","",Deployments!AY343)</f>
        <v/>
      </c>
      <c r="S342" s="21" t="str">
        <f>IF(Deployments!AX343="","",Deployments!AX343)</f>
        <v/>
      </c>
      <c r="T342" s="21" t="str">
        <f>IF(Deployments!AV343="","",Deployments!AV343)</f>
        <v/>
      </c>
      <c r="U342" s="21" t="str">
        <f>IF(Deployments!AW343="","",Deployments!AW343)</f>
        <v/>
      </c>
      <c r="V342" s="21" t="str">
        <f>IF(Deployments!BA343="","",Deployments!BA343)</f>
        <v/>
      </c>
      <c r="W342" s="21" t="str">
        <f>IF(Deployments!BC343="","",Deployments!BC343)</f>
        <v/>
      </c>
      <c r="X342" s="21" t="str">
        <f>IF(Deployments!BK343="","",Deployments!BK343)</f>
        <v/>
      </c>
      <c r="Y342" s="21" t="str">
        <f>IF(Deployments!BB343="","",Deployments!BB343)</f>
        <v/>
      </c>
      <c r="Z342" s="21" t="str">
        <f>IF(Deployments!T343="","",Deployments!T343)</f>
        <v/>
      </c>
      <c r="AA342" s="21" t="str">
        <f>IF(Deployments!L343="","",Deployments!L343)</f>
        <v/>
      </c>
    </row>
    <row r="343" spans="1:27">
      <c r="A343" s="22"/>
      <c r="B343" s="22"/>
      <c r="C343" s="21" t="str">
        <f>IF(Deployments!H344="","",Deployments!H344)</f>
        <v/>
      </c>
      <c r="D343" s="21" t="str">
        <f>IF(Deployments!AH344="","",Deployments!AH344)</f>
        <v/>
      </c>
      <c r="E343" s="21" t="str">
        <f>IF(Deployments!I344="","",Deployments!I344)</f>
        <v/>
      </c>
      <c r="F343" s="21" t="str">
        <f>IF(Deployments!J344="","",Deployments!J344)</f>
        <v/>
      </c>
      <c r="G343" s="21" t="str">
        <f>IF(Deployments!K344="","",Deployments!K344)</f>
        <v/>
      </c>
      <c r="H343" s="21" t="str">
        <f>IF(Deployments!A344="","",Deployments!A344)</f>
        <v/>
      </c>
      <c r="I343" s="21" t="str">
        <f>IF(Deployments!AI344="","",Deployments!AI344)</f>
        <v/>
      </c>
      <c r="J343" s="21" t="str">
        <f>IF(Deployments!AJ344="","",Deployments!AJ344)</f>
        <v/>
      </c>
      <c r="K343" s="21" t="str">
        <f>IF(Deployments!AD344="","",Deployments!AD344)</f>
        <v/>
      </c>
      <c r="L343" s="21" t="str">
        <f>IF(Deployments!M344="","",Deployments!M344)</f>
        <v/>
      </c>
      <c r="M343" s="22"/>
      <c r="N343" s="21" t="str">
        <f>IF(Deployments!N344="","",Deployments!N344)</f>
        <v/>
      </c>
      <c r="O343" s="21" t="str">
        <f>IF(Deployments!O344="","",Deployments!O344)</f>
        <v/>
      </c>
      <c r="P343" s="21" t="str">
        <f>IF(Deployments!P344="","",Deployments!P344)</f>
        <v/>
      </c>
      <c r="Q343" s="22"/>
      <c r="R343" s="21" t="str">
        <f>IF(Deployments!AY344="","",Deployments!AY344)</f>
        <v/>
      </c>
      <c r="S343" s="21" t="str">
        <f>IF(Deployments!AX344="","",Deployments!AX344)</f>
        <v/>
      </c>
      <c r="T343" s="21" t="str">
        <f>IF(Deployments!AV344="","",Deployments!AV344)</f>
        <v/>
      </c>
      <c r="U343" s="21" t="str">
        <f>IF(Deployments!AW344="","",Deployments!AW344)</f>
        <v/>
      </c>
      <c r="V343" s="21" t="str">
        <f>IF(Deployments!BA344="","",Deployments!BA344)</f>
        <v/>
      </c>
      <c r="W343" s="21" t="str">
        <f>IF(Deployments!BC344="","",Deployments!BC344)</f>
        <v/>
      </c>
      <c r="X343" s="21" t="str">
        <f>IF(Deployments!BK344="","",Deployments!BK344)</f>
        <v/>
      </c>
      <c r="Y343" s="21" t="str">
        <f>IF(Deployments!BB344="","",Deployments!BB344)</f>
        <v/>
      </c>
      <c r="Z343" s="21" t="str">
        <f>IF(Deployments!T344="","",Deployments!T344)</f>
        <v/>
      </c>
      <c r="AA343" s="21" t="str">
        <f>IF(Deployments!L344="","",Deployments!L344)</f>
        <v/>
      </c>
    </row>
    <row r="344" spans="1:27">
      <c r="A344" s="22"/>
      <c r="B344" s="22"/>
      <c r="C344" s="21" t="str">
        <f>IF(Deployments!H345="","",Deployments!H345)</f>
        <v/>
      </c>
      <c r="D344" s="21" t="str">
        <f>IF(Deployments!AH345="","",Deployments!AH345)</f>
        <v/>
      </c>
      <c r="E344" s="21" t="str">
        <f>IF(Deployments!I345="","",Deployments!I345)</f>
        <v/>
      </c>
      <c r="F344" s="21" t="str">
        <f>IF(Deployments!J345="","",Deployments!J345)</f>
        <v/>
      </c>
      <c r="G344" s="21" t="str">
        <f>IF(Deployments!K345="","",Deployments!K345)</f>
        <v/>
      </c>
      <c r="H344" s="21" t="str">
        <f>IF(Deployments!A345="","",Deployments!A345)</f>
        <v/>
      </c>
      <c r="I344" s="21" t="str">
        <f>IF(Deployments!AI345="","",Deployments!AI345)</f>
        <v/>
      </c>
      <c r="J344" s="21" t="str">
        <f>IF(Deployments!AJ345="","",Deployments!AJ345)</f>
        <v/>
      </c>
      <c r="K344" s="21" t="str">
        <f>IF(Deployments!AD345="","",Deployments!AD345)</f>
        <v/>
      </c>
      <c r="L344" s="21" t="str">
        <f>IF(Deployments!M345="","",Deployments!M345)</f>
        <v/>
      </c>
      <c r="M344" s="22"/>
      <c r="N344" s="21" t="str">
        <f>IF(Deployments!N345="","",Deployments!N345)</f>
        <v/>
      </c>
      <c r="O344" s="21" t="str">
        <f>IF(Deployments!O345="","",Deployments!O345)</f>
        <v/>
      </c>
      <c r="P344" s="21" t="str">
        <f>IF(Deployments!P345="","",Deployments!P345)</f>
        <v/>
      </c>
      <c r="Q344" s="22"/>
      <c r="R344" s="21" t="str">
        <f>IF(Deployments!AY345="","",Deployments!AY345)</f>
        <v/>
      </c>
      <c r="S344" s="21" t="str">
        <f>IF(Deployments!AX345="","",Deployments!AX345)</f>
        <v/>
      </c>
      <c r="T344" s="21" t="str">
        <f>IF(Deployments!AV345="","",Deployments!AV345)</f>
        <v/>
      </c>
      <c r="U344" s="21" t="str">
        <f>IF(Deployments!AW345="","",Deployments!AW345)</f>
        <v/>
      </c>
      <c r="V344" s="21" t="str">
        <f>IF(Deployments!BA345="","",Deployments!BA345)</f>
        <v/>
      </c>
      <c r="W344" s="21" t="str">
        <f>IF(Deployments!BC345="","",Deployments!BC345)</f>
        <v/>
      </c>
      <c r="X344" s="21" t="str">
        <f>IF(Deployments!BK345="","",Deployments!BK345)</f>
        <v/>
      </c>
      <c r="Y344" s="21" t="str">
        <f>IF(Deployments!BB345="","",Deployments!BB345)</f>
        <v/>
      </c>
      <c r="Z344" s="21" t="str">
        <f>IF(Deployments!T345="","",Deployments!T345)</f>
        <v/>
      </c>
      <c r="AA344" s="21" t="str">
        <f>IF(Deployments!L345="","",Deployments!L345)</f>
        <v/>
      </c>
    </row>
    <row r="345" spans="1:27">
      <c r="A345" s="22"/>
      <c r="B345" s="22"/>
      <c r="C345" s="21" t="str">
        <f>IF(Deployments!H346="","",Deployments!H346)</f>
        <v/>
      </c>
      <c r="D345" s="21" t="str">
        <f>IF(Deployments!AH346="","",Deployments!AH346)</f>
        <v/>
      </c>
      <c r="E345" s="21" t="str">
        <f>IF(Deployments!I346="","",Deployments!I346)</f>
        <v/>
      </c>
      <c r="F345" s="21" t="str">
        <f>IF(Deployments!J346="","",Deployments!J346)</f>
        <v/>
      </c>
      <c r="G345" s="21" t="str">
        <f>IF(Deployments!K346="","",Deployments!K346)</f>
        <v/>
      </c>
      <c r="H345" s="21" t="str">
        <f>IF(Deployments!A346="","",Deployments!A346)</f>
        <v/>
      </c>
      <c r="I345" s="21" t="str">
        <f>IF(Deployments!AI346="","",Deployments!AI346)</f>
        <v/>
      </c>
      <c r="J345" s="21" t="str">
        <f>IF(Deployments!AJ346="","",Deployments!AJ346)</f>
        <v/>
      </c>
      <c r="K345" s="21" t="str">
        <f>IF(Deployments!AD346="","",Deployments!AD346)</f>
        <v/>
      </c>
      <c r="L345" s="21" t="str">
        <f>IF(Deployments!M346="","",Deployments!M346)</f>
        <v/>
      </c>
      <c r="M345" s="22"/>
      <c r="N345" s="21" t="str">
        <f>IF(Deployments!N346="","",Deployments!N346)</f>
        <v/>
      </c>
      <c r="O345" s="21" t="str">
        <f>IF(Deployments!O346="","",Deployments!O346)</f>
        <v/>
      </c>
      <c r="P345" s="21" t="str">
        <f>IF(Deployments!P346="","",Deployments!P346)</f>
        <v/>
      </c>
      <c r="Q345" s="22"/>
      <c r="R345" s="21" t="str">
        <f>IF(Deployments!AY346="","",Deployments!AY346)</f>
        <v/>
      </c>
      <c r="S345" s="21" t="str">
        <f>IF(Deployments!AX346="","",Deployments!AX346)</f>
        <v/>
      </c>
      <c r="T345" s="21" t="str">
        <f>IF(Deployments!AV346="","",Deployments!AV346)</f>
        <v/>
      </c>
      <c r="U345" s="21" t="str">
        <f>IF(Deployments!AW346="","",Deployments!AW346)</f>
        <v/>
      </c>
      <c r="V345" s="21" t="str">
        <f>IF(Deployments!BA346="","",Deployments!BA346)</f>
        <v/>
      </c>
      <c r="W345" s="21" t="str">
        <f>IF(Deployments!BC346="","",Deployments!BC346)</f>
        <v/>
      </c>
      <c r="X345" s="21" t="str">
        <f>IF(Deployments!BK346="","",Deployments!BK346)</f>
        <v/>
      </c>
      <c r="Y345" s="21" t="str">
        <f>IF(Deployments!BB346="","",Deployments!BB346)</f>
        <v/>
      </c>
      <c r="Z345" s="21" t="str">
        <f>IF(Deployments!T346="","",Deployments!T346)</f>
        <v/>
      </c>
      <c r="AA345" s="21" t="str">
        <f>IF(Deployments!L346="","",Deployments!L346)</f>
        <v/>
      </c>
    </row>
    <row r="346" spans="1:27">
      <c r="A346" s="22"/>
      <c r="B346" s="22"/>
      <c r="C346" s="21" t="str">
        <f>IF(Deployments!H347="","",Deployments!H347)</f>
        <v/>
      </c>
      <c r="D346" s="21" t="str">
        <f>IF(Deployments!AH347="","",Deployments!AH347)</f>
        <v/>
      </c>
      <c r="E346" s="21" t="str">
        <f>IF(Deployments!I347="","",Deployments!I347)</f>
        <v/>
      </c>
      <c r="F346" s="21" t="str">
        <f>IF(Deployments!J347="","",Deployments!J347)</f>
        <v/>
      </c>
      <c r="G346" s="21" t="str">
        <f>IF(Deployments!K347="","",Deployments!K347)</f>
        <v/>
      </c>
      <c r="H346" s="21" t="str">
        <f>IF(Deployments!A347="","",Deployments!A347)</f>
        <v/>
      </c>
      <c r="I346" s="21" t="str">
        <f>IF(Deployments!AI347="","",Deployments!AI347)</f>
        <v/>
      </c>
      <c r="J346" s="21" t="str">
        <f>IF(Deployments!AJ347="","",Deployments!AJ347)</f>
        <v/>
      </c>
      <c r="K346" s="21" t="str">
        <f>IF(Deployments!AD347="","",Deployments!AD347)</f>
        <v/>
      </c>
      <c r="L346" s="21" t="str">
        <f>IF(Deployments!M347="","",Deployments!M347)</f>
        <v/>
      </c>
      <c r="M346" s="22"/>
      <c r="N346" s="21" t="str">
        <f>IF(Deployments!N347="","",Deployments!N347)</f>
        <v/>
      </c>
      <c r="O346" s="21" t="str">
        <f>IF(Deployments!O347="","",Deployments!O347)</f>
        <v/>
      </c>
      <c r="P346" s="21" t="str">
        <f>IF(Deployments!P347="","",Deployments!P347)</f>
        <v/>
      </c>
      <c r="Q346" s="22"/>
      <c r="R346" s="21" t="str">
        <f>IF(Deployments!AY347="","",Deployments!AY347)</f>
        <v/>
      </c>
      <c r="S346" s="21" t="str">
        <f>IF(Deployments!AX347="","",Deployments!AX347)</f>
        <v/>
      </c>
      <c r="T346" s="21" t="str">
        <f>IF(Deployments!AV347="","",Deployments!AV347)</f>
        <v/>
      </c>
      <c r="U346" s="21" t="str">
        <f>IF(Deployments!AW347="","",Deployments!AW347)</f>
        <v/>
      </c>
      <c r="V346" s="21" t="str">
        <f>IF(Deployments!BA347="","",Deployments!BA347)</f>
        <v/>
      </c>
      <c r="W346" s="21" t="str">
        <f>IF(Deployments!BC347="","",Deployments!BC347)</f>
        <v/>
      </c>
      <c r="X346" s="21" t="str">
        <f>IF(Deployments!BK347="","",Deployments!BK347)</f>
        <v/>
      </c>
      <c r="Y346" s="21" t="str">
        <f>IF(Deployments!BB347="","",Deployments!BB347)</f>
        <v/>
      </c>
      <c r="Z346" s="21" t="str">
        <f>IF(Deployments!T347="","",Deployments!T347)</f>
        <v/>
      </c>
      <c r="AA346" s="21" t="str">
        <f>IF(Deployments!L347="","",Deployments!L347)</f>
        <v/>
      </c>
    </row>
    <row r="347" spans="1:27">
      <c r="A347" s="22"/>
      <c r="B347" s="22"/>
      <c r="C347" s="21" t="str">
        <f>IF(Deployments!H348="","",Deployments!H348)</f>
        <v/>
      </c>
      <c r="D347" s="21" t="str">
        <f>IF(Deployments!AH348="","",Deployments!AH348)</f>
        <v/>
      </c>
      <c r="E347" s="21" t="str">
        <f>IF(Deployments!I348="","",Deployments!I348)</f>
        <v/>
      </c>
      <c r="F347" s="21" t="str">
        <f>IF(Deployments!J348="","",Deployments!J348)</f>
        <v/>
      </c>
      <c r="G347" s="21" t="str">
        <f>IF(Deployments!K348="","",Deployments!K348)</f>
        <v/>
      </c>
      <c r="H347" s="21" t="str">
        <f>IF(Deployments!A348="","",Deployments!A348)</f>
        <v/>
      </c>
      <c r="I347" s="21" t="str">
        <f>IF(Deployments!AI348="","",Deployments!AI348)</f>
        <v/>
      </c>
      <c r="J347" s="21" t="str">
        <f>IF(Deployments!AJ348="","",Deployments!AJ348)</f>
        <v/>
      </c>
      <c r="K347" s="21" t="str">
        <f>IF(Deployments!AD348="","",Deployments!AD348)</f>
        <v/>
      </c>
      <c r="L347" s="21" t="str">
        <f>IF(Deployments!M348="","",Deployments!M348)</f>
        <v/>
      </c>
      <c r="M347" s="22"/>
      <c r="N347" s="21" t="str">
        <f>IF(Deployments!N348="","",Deployments!N348)</f>
        <v/>
      </c>
      <c r="O347" s="21" t="str">
        <f>IF(Deployments!O348="","",Deployments!O348)</f>
        <v/>
      </c>
      <c r="P347" s="21" t="str">
        <f>IF(Deployments!P348="","",Deployments!P348)</f>
        <v/>
      </c>
      <c r="Q347" s="22"/>
      <c r="R347" s="21" t="str">
        <f>IF(Deployments!AY348="","",Deployments!AY348)</f>
        <v/>
      </c>
      <c r="S347" s="21" t="str">
        <f>IF(Deployments!AX348="","",Deployments!AX348)</f>
        <v/>
      </c>
      <c r="T347" s="21" t="str">
        <f>IF(Deployments!AV348="","",Deployments!AV348)</f>
        <v/>
      </c>
      <c r="U347" s="21" t="str">
        <f>IF(Deployments!AW348="","",Deployments!AW348)</f>
        <v/>
      </c>
      <c r="V347" s="21" t="str">
        <f>IF(Deployments!BA348="","",Deployments!BA348)</f>
        <v/>
      </c>
      <c r="W347" s="21" t="str">
        <f>IF(Deployments!BC348="","",Deployments!BC348)</f>
        <v/>
      </c>
      <c r="X347" s="21" t="str">
        <f>IF(Deployments!BK348="","",Deployments!BK348)</f>
        <v/>
      </c>
      <c r="Y347" s="21" t="str">
        <f>IF(Deployments!BB348="","",Deployments!BB348)</f>
        <v/>
      </c>
      <c r="Z347" s="21" t="str">
        <f>IF(Deployments!T348="","",Deployments!T348)</f>
        <v/>
      </c>
      <c r="AA347" s="21" t="str">
        <f>IF(Deployments!L348="","",Deployments!L348)</f>
        <v/>
      </c>
    </row>
    <row r="348" spans="1:27">
      <c r="A348" s="22"/>
      <c r="B348" s="22"/>
      <c r="C348" s="21" t="str">
        <f>IF(Deployments!H349="","",Deployments!H349)</f>
        <v/>
      </c>
      <c r="D348" s="21" t="str">
        <f>IF(Deployments!AH349="","",Deployments!AH349)</f>
        <v/>
      </c>
      <c r="E348" s="21" t="str">
        <f>IF(Deployments!I349="","",Deployments!I349)</f>
        <v/>
      </c>
      <c r="F348" s="21" t="str">
        <f>IF(Deployments!J349="","",Deployments!J349)</f>
        <v/>
      </c>
      <c r="G348" s="21" t="str">
        <f>IF(Deployments!K349="","",Deployments!K349)</f>
        <v/>
      </c>
      <c r="H348" s="21" t="str">
        <f>IF(Deployments!A349="","",Deployments!A349)</f>
        <v/>
      </c>
      <c r="I348" s="21" t="str">
        <f>IF(Deployments!AI349="","",Deployments!AI349)</f>
        <v/>
      </c>
      <c r="J348" s="21" t="str">
        <f>IF(Deployments!AJ349="","",Deployments!AJ349)</f>
        <v/>
      </c>
      <c r="K348" s="21" t="str">
        <f>IF(Deployments!AD349="","",Deployments!AD349)</f>
        <v/>
      </c>
      <c r="L348" s="21" t="str">
        <f>IF(Deployments!M349="","",Deployments!M349)</f>
        <v/>
      </c>
      <c r="M348" s="22"/>
      <c r="N348" s="21" t="str">
        <f>IF(Deployments!N349="","",Deployments!N349)</f>
        <v/>
      </c>
      <c r="O348" s="21" t="str">
        <f>IF(Deployments!O349="","",Deployments!O349)</f>
        <v/>
      </c>
      <c r="P348" s="21" t="str">
        <f>IF(Deployments!P349="","",Deployments!P349)</f>
        <v/>
      </c>
      <c r="Q348" s="22"/>
      <c r="R348" s="21" t="str">
        <f>IF(Deployments!AY349="","",Deployments!AY349)</f>
        <v/>
      </c>
      <c r="S348" s="21" t="str">
        <f>IF(Deployments!AX349="","",Deployments!AX349)</f>
        <v/>
      </c>
      <c r="T348" s="21" t="str">
        <f>IF(Deployments!AV349="","",Deployments!AV349)</f>
        <v/>
      </c>
      <c r="U348" s="21" t="str">
        <f>IF(Deployments!AW349="","",Deployments!AW349)</f>
        <v/>
      </c>
      <c r="V348" s="21" t="str">
        <f>IF(Deployments!BA349="","",Deployments!BA349)</f>
        <v/>
      </c>
      <c r="W348" s="21" t="str">
        <f>IF(Deployments!BC349="","",Deployments!BC349)</f>
        <v/>
      </c>
      <c r="X348" s="21" t="str">
        <f>IF(Deployments!BK349="","",Deployments!BK349)</f>
        <v/>
      </c>
      <c r="Y348" s="21" t="str">
        <f>IF(Deployments!BB349="","",Deployments!BB349)</f>
        <v/>
      </c>
      <c r="Z348" s="21" t="str">
        <f>IF(Deployments!T349="","",Deployments!T349)</f>
        <v/>
      </c>
      <c r="AA348" s="21" t="str">
        <f>IF(Deployments!L349="","",Deployments!L349)</f>
        <v/>
      </c>
    </row>
    <row r="349" spans="1:27">
      <c r="A349" s="22"/>
      <c r="B349" s="22"/>
      <c r="C349" s="21" t="str">
        <f>IF(Deployments!H350="","",Deployments!H350)</f>
        <v/>
      </c>
      <c r="D349" s="21" t="str">
        <f>IF(Deployments!AH350="","",Deployments!AH350)</f>
        <v/>
      </c>
      <c r="E349" s="21" t="str">
        <f>IF(Deployments!I350="","",Deployments!I350)</f>
        <v/>
      </c>
      <c r="F349" s="21" t="str">
        <f>IF(Deployments!J350="","",Deployments!J350)</f>
        <v/>
      </c>
      <c r="G349" s="21" t="str">
        <f>IF(Deployments!K350="","",Deployments!K350)</f>
        <v/>
      </c>
      <c r="H349" s="21" t="str">
        <f>IF(Deployments!A350="","",Deployments!A350)</f>
        <v/>
      </c>
      <c r="I349" s="21" t="str">
        <f>IF(Deployments!AI350="","",Deployments!AI350)</f>
        <v/>
      </c>
      <c r="J349" s="21" t="str">
        <f>IF(Deployments!AJ350="","",Deployments!AJ350)</f>
        <v/>
      </c>
      <c r="K349" s="21" t="str">
        <f>IF(Deployments!AD350="","",Deployments!AD350)</f>
        <v/>
      </c>
      <c r="L349" s="21" t="str">
        <f>IF(Deployments!M350="","",Deployments!M350)</f>
        <v/>
      </c>
      <c r="M349" s="22"/>
      <c r="N349" s="21" t="str">
        <f>IF(Deployments!N350="","",Deployments!N350)</f>
        <v/>
      </c>
      <c r="O349" s="21" t="str">
        <f>IF(Deployments!O350="","",Deployments!O350)</f>
        <v/>
      </c>
      <c r="P349" s="21" t="str">
        <f>IF(Deployments!P350="","",Deployments!P350)</f>
        <v/>
      </c>
      <c r="Q349" s="22"/>
      <c r="R349" s="21" t="str">
        <f>IF(Deployments!AY350="","",Deployments!AY350)</f>
        <v/>
      </c>
      <c r="S349" s="21" t="str">
        <f>IF(Deployments!AX350="","",Deployments!AX350)</f>
        <v/>
      </c>
      <c r="T349" s="21" t="str">
        <f>IF(Deployments!AV350="","",Deployments!AV350)</f>
        <v/>
      </c>
      <c r="U349" s="21" t="str">
        <f>IF(Deployments!AW350="","",Deployments!AW350)</f>
        <v/>
      </c>
      <c r="V349" s="21" t="str">
        <f>IF(Deployments!BA350="","",Deployments!BA350)</f>
        <v/>
      </c>
      <c r="W349" s="21" t="str">
        <f>IF(Deployments!BC350="","",Deployments!BC350)</f>
        <v/>
      </c>
      <c r="X349" s="21" t="str">
        <f>IF(Deployments!BK350="","",Deployments!BK350)</f>
        <v/>
      </c>
      <c r="Y349" s="21" t="str">
        <f>IF(Deployments!BB350="","",Deployments!BB350)</f>
        <v/>
      </c>
      <c r="Z349" s="21" t="str">
        <f>IF(Deployments!T350="","",Deployments!T350)</f>
        <v/>
      </c>
      <c r="AA349" s="21" t="str">
        <f>IF(Deployments!L350="","",Deployments!L350)</f>
        <v/>
      </c>
    </row>
    <row r="350" spans="1:27">
      <c r="A350" s="22"/>
      <c r="B350" s="22"/>
      <c r="C350" s="21" t="str">
        <f>IF(Deployments!H351="","",Deployments!H351)</f>
        <v/>
      </c>
      <c r="D350" s="21" t="str">
        <f>IF(Deployments!AH351="","",Deployments!AH351)</f>
        <v/>
      </c>
      <c r="E350" s="21" t="str">
        <f>IF(Deployments!I351="","",Deployments!I351)</f>
        <v/>
      </c>
      <c r="F350" s="21" t="str">
        <f>IF(Deployments!J351="","",Deployments!J351)</f>
        <v/>
      </c>
      <c r="G350" s="21" t="str">
        <f>IF(Deployments!K351="","",Deployments!K351)</f>
        <v/>
      </c>
      <c r="H350" s="21" t="str">
        <f>IF(Deployments!A351="","",Deployments!A351)</f>
        <v/>
      </c>
      <c r="I350" s="21" t="str">
        <f>IF(Deployments!AI351="","",Deployments!AI351)</f>
        <v/>
      </c>
      <c r="J350" s="21" t="str">
        <f>IF(Deployments!AJ351="","",Deployments!AJ351)</f>
        <v/>
      </c>
      <c r="K350" s="21" t="str">
        <f>IF(Deployments!AD351="","",Deployments!AD351)</f>
        <v/>
      </c>
      <c r="L350" s="21" t="str">
        <f>IF(Deployments!M351="","",Deployments!M351)</f>
        <v/>
      </c>
      <c r="M350" s="22"/>
      <c r="N350" s="21" t="str">
        <f>IF(Deployments!N351="","",Deployments!N351)</f>
        <v/>
      </c>
      <c r="O350" s="21" t="str">
        <f>IF(Deployments!O351="","",Deployments!O351)</f>
        <v/>
      </c>
      <c r="P350" s="21" t="str">
        <f>IF(Deployments!P351="","",Deployments!P351)</f>
        <v/>
      </c>
      <c r="Q350" s="22"/>
      <c r="R350" s="21" t="str">
        <f>IF(Deployments!AY351="","",Deployments!AY351)</f>
        <v/>
      </c>
      <c r="S350" s="21" t="str">
        <f>IF(Deployments!AX351="","",Deployments!AX351)</f>
        <v/>
      </c>
      <c r="T350" s="21" t="str">
        <f>IF(Deployments!AV351="","",Deployments!AV351)</f>
        <v/>
      </c>
      <c r="U350" s="21" t="str">
        <f>IF(Deployments!AW351="","",Deployments!AW351)</f>
        <v/>
      </c>
      <c r="V350" s="21" t="str">
        <f>IF(Deployments!BA351="","",Deployments!BA351)</f>
        <v/>
      </c>
      <c r="W350" s="21" t="str">
        <f>IF(Deployments!BC351="","",Deployments!BC351)</f>
        <v/>
      </c>
      <c r="X350" s="21" t="str">
        <f>IF(Deployments!BK351="","",Deployments!BK351)</f>
        <v/>
      </c>
      <c r="Y350" s="21" t="str">
        <f>IF(Deployments!BB351="","",Deployments!BB351)</f>
        <v/>
      </c>
      <c r="Z350" s="21" t="str">
        <f>IF(Deployments!T351="","",Deployments!T351)</f>
        <v/>
      </c>
      <c r="AA350" s="21" t="str">
        <f>IF(Deployments!L351="","",Deployments!L351)</f>
        <v/>
      </c>
    </row>
    <row r="351" spans="1:27">
      <c r="A351" s="22"/>
      <c r="B351" s="22"/>
      <c r="C351" s="21" t="str">
        <f>IF(Deployments!H352="","",Deployments!H352)</f>
        <v/>
      </c>
      <c r="D351" s="21" t="str">
        <f>IF(Deployments!AH352="","",Deployments!AH352)</f>
        <v/>
      </c>
      <c r="E351" s="21" t="str">
        <f>IF(Deployments!I352="","",Deployments!I352)</f>
        <v/>
      </c>
      <c r="F351" s="21" t="str">
        <f>IF(Deployments!J352="","",Deployments!J352)</f>
        <v/>
      </c>
      <c r="G351" s="21" t="str">
        <f>IF(Deployments!K352="","",Deployments!K352)</f>
        <v/>
      </c>
      <c r="H351" s="21" t="str">
        <f>IF(Deployments!A352="","",Deployments!A352)</f>
        <v/>
      </c>
      <c r="I351" s="21" t="str">
        <f>IF(Deployments!AI352="","",Deployments!AI352)</f>
        <v/>
      </c>
      <c r="J351" s="21" t="str">
        <f>IF(Deployments!AJ352="","",Deployments!AJ352)</f>
        <v/>
      </c>
      <c r="K351" s="21" t="str">
        <f>IF(Deployments!AD352="","",Deployments!AD352)</f>
        <v/>
      </c>
      <c r="L351" s="21" t="str">
        <f>IF(Deployments!M352="","",Deployments!M352)</f>
        <v/>
      </c>
      <c r="M351" s="22"/>
      <c r="N351" s="21" t="str">
        <f>IF(Deployments!N352="","",Deployments!N352)</f>
        <v/>
      </c>
      <c r="O351" s="21" t="str">
        <f>IF(Deployments!O352="","",Deployments!O352)</f>
        <v/>
      </c>
      <c r="P351" s="21" t="str">
        <f>IF(Deployments!P352="","",Deployments!P352)</f>
        <v/>
      </c>
      <c r="Q351" s="22"/>
      <c r="R351" s="21" t="str">
        <f>IF(Deployments!AY352="","",Deployments!AY352)</f>
        <v/>
      </c>
      <c r="S351" s="21" t="str">
        <f>IF(Deployments!AX352="","",Deployments!AX352)</f>
        <v/>
      </c>
      <c r="T351" s="21" t="str">
        <f>IF(Deployments!AV352="","",Deployments!AV352)</f>
        <v/>
      </c>
      <c r="U351" s="21" t="str">
        <f>IF(Deployments!AW352="","",Deployments!AW352)</f>
        <v/>
      </c>
      <c r="V351" s="21" t="str">
        <f>IF(Deployments!BA352="","",Deployments!BA352)</f>
        <v/>
      </c>
      <c r="W351" s="21" t="str">
        <f>IF(Deployments!BC352="","",Deployments!BC352)</f>
        <v/>
      </c>
      <c r="X351" s="21" t="str">
        <f>IF(Deployments!BK352="","",Deployments!BK352)</f>
        <v/>
      </c>
      <c r="Y351" s="21" t="str">
        <f>IF(Deployments!BB352="","",Deployments!BB352)</f>
        <v/>
      </c>
      <c r="Z351" s="21" t="str">
        <f>IF(Deployments!T352="","",Deployments!T352)</f>
        <v/>
      </c>
      <c r="AA351" s="21" t="str">
        <f>IF(Deployments!L352="","",Deployments!L352)</f>
        <v/>
      </c>
    </row>
    <row r="352" spans="1:27">
      <c r="A352" s="22"/>
      <c r="B352" s="22"/>
      <c r="C352" s="21" t="str">
        <f>IF(Deployments!H353="","",Deployments!H353)</f>
        <v/>
      </c>
      <c r="D352" s="21" t="str">
        <f>IF(Deployments!AH353="","",Deployments!AH353)</f>
        <v/>
      </c>
      <c r="E352" s="21" t="str">
        <f>IF(Deployments!I353="","",Deployments!I353)</f>
        <v/>
      </c>
      <c r="F352" s="21" t="str">
        <f>IF(Deployments!J353="","",Deployments!J353)</f>
        <v/>
      </c>
      <c r="G352" s="21" t="str">
        <f>IF(Deployments!K353="","",Deployments!K353)</f>
        <v/>
      </c>
      <c r="H352" s="21" t="str">
        <f>IF(Deployments!A353="","",Deployments!A353)</f>
        <v/>
      </c>
      <c r="I352" s="21" t="str">
        <f>IF(Deployments!AI353="","",Deployments!AI353)</f>
        <v/>
      </c>
      <c r="J352" s="21" t="str">
        <f>IF(Deployments!AJ353="","",Deployments!AJ353)</f>
        <v/>
      </c>
      <c r="K352" s="21" t="str">
        <f>IF(Deployments!AD353="","",Deployments!AD353)</f>
        <v/>
      </c>
      <c r="L352" s="21" t="str">
        <f>IF(Deployments!M353="","",Deployments!M353)</f>
        <v/>
      </c>
      <c r="M352" s="22"/>
      <c r="N352" s="21" t="str">
        <f>IF(Deployments!N353="","",Deployments!N353)</f>
        <v/>
      </c>
      <c r="O352" s="21" t="str">
        <f>IF(Deployments!O353="","",Deployments!O353)</f>
        <v/>
      </c>
      <c r="P352" s="21" t="str">
        <f>IF(Deployments!P353="","",Deployments!P353)</f>
        <v/>
      </c>
      <c r="Q352" s="22"/>
      <c r="R352" s="21" t="str">
        <f>IF(Deployments!AY353="","",Deployments!AY353)</f>
        <v/>
      </c>
      <c r="S352" s="21" t="str">
        <f>IF(Deployments!AX353="","",Deployments!AX353)</f>
        <v/>
      </c>
      <c r="T352" s="21" t="str">
        <f>IF(Deployments!AV353="","",Deployments!AV353)</f>
        <v/>
      </c>
      <c r="U352" s="21" t="str">
        <f>IF(Deployments!AW353="","",Deployments!AW353)</f>
        <v/>
      </c>
      <c r="V352" s="21" t="str">
        <f>IF(Deployments!BA353="","",Deployments!BA353)</f>
        <v/>
      </c>
      <c r="W352" s="21" t="str">
        <f>IF(Deployments!BC353="","",Deployments!BC353)</f>
        <v/>
      </c>
      <c r="X352" s="21" t="str">
        <f>IF(Deployments!BK353="","",Deployments!BK353)</f>
        <v/>
      </c>
      <c r="Y352" s="21" t="str">
        <f>IF(Deployments!BB353="","",Deployments!BB353)</f>
        <v/>
      </c>
      <c r="Z352" s="21" t="str">
        <f>IF(Deployments!T353="","",Deployments!T353)</f>
        <v/>
      </c>
      <c r="AA352" s="21" t="str">
        <f>IF(Deployments!L353="","",Deployments!L353)</f>
        <v/>
      </c>
    </row>
    <row r="353" spans="1:27">
      <c r="A353" s="22"/>
      <c r="B353" s="22"/>
      <c r="C353" s="21" t="str">
        <f>IF(Deployments!H354="","",Deployments!H354)</f>
        <v/>
      </c>
      <c r="D353" s="21" t="str">
        <f>IF(Deployments!AH354="","",Deployments!AH354)</f>
        <v/>
      </c>
      <c r="E353" s="21" t="str">
        <f>IF(Deployments!I354="","",Deployments!I354)</f>
        <v/>
      </c>
      <c r="F353" s="21" t="str">
        <f>IF(Deployments!J354="","",Deployments!J354)</f>
        <v/>
      </c>
      <c r="G353" s="21" t="str">
        <f>IF(Deployments!K354="","",Deployments!K354)</f>
        <v/>
      </c>
      <c r="H353" s="21" t="str">
        <f>IF(Deployments!A354="","",Deployments!A354)</f>
        <v/>
      </c>
      <c r="I353" s="21" t="str">
        <f>IF(Deployments!AI354="","",Deployments!AI354)</f>
        <v/>
      </c>
      <c r="J353" s="21" t="str">
        <f>IF(Deployments!AJ354="","",Deployments!AJ354)</f>
        <v/>
      </c>
      <c r="K353" s="21" t="str">
        <f>IF(Deployments!AD354="","",Deployments!AD354)</f>
        <v/>
      </c>
      <c r="L353" s="21" t="str">
        <f>IF(Deployments!M354="","",Deployments!M354)</f>
        <v/>
      </c>
      <c r="M353" s="22"/>
      <c r="N353" s="21" t="str">
        <f>IF(Deployments!N354="","",Deployments!N354)</f>
        <v/>
      </c>
      <c r="O353" s="21" t="str">
        <f>IF(Deployments!O354="","",Deployments!O354)</f>
        <v/>
      </c>
      <c r="P353" s="21" t="str">
        <f>IF(Deployments!P354="","",Deployments!P354)</f>
        <v/>
      </c>
      <c r="Q353" s="22"/>
      <c r="R353" s="21" t="str">
        <f>IF(Deployments!AY354="","",Deployments!AY354)</f>
        <v/>
      </c>
      <c r="S353" s="21" t="str">
        <f>IF(Deployments!AX354="","",Deployments!AX354)</f>
        <v/>
      </c>
      <c r="T353" s="21" t="str">
        <f>IF(Deployments!AV354="","",Deployments!AV354)</f>
        <v/>
      </c>
      <c r="U353" s="21" t="str">
        <f>IF(Deployments!AW354="","",Deployments!AW354)</f>
        <v/>
      </c>
      <c r="V353" s="21" t="str">
        <f>IF(Deployments!BA354="","",Deployments!BA354)</f>
        <v/>
      </c>
      <c r="W353" s="21" t="str">
        <f>IF(Deployments!BC354="","",Deployments!BC354)</f>
        <v/>
      </c>
      <c r="X353" s="21" t="str">
        <f>IF(Deployments!BK354="","",Deployments!BK354)</f>
        <v/>
      </c>
      <c r="Y353" s="21" t="str">
        <f>IF(Deployments!BB354="","",Deployments!BB354)</f>
        <v/>
      </c>
      <c r="Z353" s="21" t="str">
        <f>IF(Deployments!T354="","",Deployments!T354)</f>
        <v/>
      </c>
      <c r="AA353" s="21" t="str">
        <f>IF(Deployments!L354="","",Deployments!L354)</f>
        <v/>
      </c>
    </row>
    <row r="354" spans="1:27">
      <c r="A354" s="22"/>
      <c r="B354" s="22"/>
      <c r="C354" s="21" t="str">
        <f>IF(Deployments!H355="","",Deployments!H355)</f>
        <v/>
      </c>
      <c r="D354" s="21" t="str">
        <f>IF(Deployments!AH355="","",Deployments!AH355)</f>
        <v/>
      </c>
      <c r="E354" s="21" t="str">
        <f>IF(Deployments!I355="","",Deployments!I355)</f>
        <v/>
      </c>
      <c r="F354" s="21" t="str">
        <f>IF(Deployments!J355="","",Deployments!J355)</f>
        <v/>
      </c>
      <c r="G354" s="21" t="str">
        <f>IF(Deployments!K355="","",Deployments!K355)</f>
        <v/>
      </c>
      <c r="H354" s="21" t="str">
        <f>IF(Deployments!A355="","",Deployments!A355)</f>
        <v/>
      </c>
      <c r="I354" s="21" t="str">
        <f>IF(Deployments!AI355="","",Deployments!AI355)</f>
        <v/>
      </c>
      <c r="J354" s="21" t="str">
        <f>IF(Deployments!AJ355="","",Deployments!AJ355)</f>
        <v/>
      </c>
      <c r="K354" s="21" t="str">
        <f>IF(Deployments!AD355="","",Deployments!AD355)</f>
        <v/>
      </c>
      <c r="L354" s="21" t="str">
        <f>IF(Deployments!M355="","",Deployments!M355)</f>
        <v/>
      </c>
      <c r="M354" s="22"/>
      <c r="N354" s="21" t="str">
        <f>IF(Deployments!N355="","",Deployments!N355)</f>
        <v/>
      </c>
      <c r="O354" s="21" t="str">
        <f>IF(Deployments!O355="","",Deployments!O355)</f>
        <v/>
      </c>
      <c r="P354" s="21" t="str">
        <f>IF(Deployments!P355="","",Deployments!P355)</f>
        <v/>
      </c>
      <c r="Q354" s="22"/>
      <c r="R354" s="21" t="str">
        <f>IF(Deployments!AY355="","",Deployments!AY355)</f>
        <v/>
      </c>
      <c r="S354" s="21" t="str">
        <f>IF(Deployments!AX355="","",Deployments!AX355)</f>
        <v/>
      </c>
      <c r="T354" s="21" t="str">
        <f>IF(Deployments!AV355="","",Deployments!AV355)</f>
        <v/>
      </c>
      <c r="U354" s="21" t="str">
        <f>IF(Deployments!AW355="","",Deployments!AW355)</f>
        <v/>
      </c>
      <c r="V354" s="21" t="str">
        <f>IF(Deployments!BA355="","",Deployments!BA355)</f>
        <v/>
      </c>
      <c r="W354" s="21" t="str">
        <f>IF(Deployments!BC355="","",Deployments!BC355)</f>
        <v/>
      </c>
      <c r="X354" s="21" t="str">
        <f>IF(Deployments!BK355="","",Deployments!BK355)</f>
        <v/>
      </c>
      <c r="Y354" s="21" t="str">
        <f>IF(Deployments!BB355="","",Deployments!BB355)</f>
        <v/>
      </c>
      <c r="Z354" s="21" t="str">
        <f>IF(Deployments!T355="","",Deployments!T355)</f>
        <v/>
      </c>
      <c r="AA354" s="21" t="str">
        <f>IF(Deployments!L355="","",Deployments!L355)</f>
        <v/>
      </c>
    </row>
    <row r="355" spans="1:27">
      <c r="A355" s="22"/>
      <c r="B355" s="22"/>
      <c r="C355" s="21" t="str">
        <f>IF(Deployments!H356="","",Deployments!H356)</f>
        <v/>
      </c>
      <c r="D355" s="21" t="str">
        <f>IF(Deployments!AH356="","",Deployments!AH356)</f>
        <v/>
      </c>
      <c r="E355" s="21" t="str">
        <f>IF(Deployments!I356="","",Deployments!I356)</f>
        <v/>
      </c>
      <c r="F355" s="21" t="str">
        <f>IF(Deployments!J356="","",Deployments!J356)</f>
        <v/>
      </c>
      <c r="G355" s="21" t="str">
        <f>IF(Deployments!K356="","",Deployments!K356)</f>
        <v/>
      </c>
      <c r="H355" s="21" t="str">
        <f>IF(Deployments!A356="","",Deployments!A356)</f>
        <v/>
      </c>
      <c r="I355" s="21" t="str">
        <f>IF(Deployments!AI356="","",Deployments!AI356)</f>
        <v/>
      </c>
      <c r="J355" s="21" t="str">
        <f>IF(Deployments!AJ356="","",Deployments!AJ356)</f>
        <v/>
      </c>
      <c r="K355" s="21" t="str">
        <f>IF(Deployments!AD356="","",Deployments!AD356)</f>
        <v/>
      </c>
      <c r="L355" s="21" t="str">
        <f>IF(Deployments!M356="","",Deployments!M356)</f>
        <v/>
      </c>
      <c r="M355" s="22"/>
      <c r="N355" s="21" t="str">
        <f>IF(Deployments!N356="","",Deployments!N356)</f>
        <v/>
      </c>
      <c r="O355" s="21" t="str">
        <f>IF(Deployments!O356="","",Deployments!O356)</f>
        <v/>
      </c>
      <c r="P355" s="21" t="str">
        <f>IF(Deployments!P356="","",Deployments!P356)</f>
        <v/>
      </c>
      <c r="Q355" s="22"/>
      <c r="R355" s="21" t="str">
        <f>IF(Deployments!AY356="","",Deployments!AY356)</f>
        <v/>
      </c>
      <c r="S355" s="21" t="str">
        <f>IF(Deployments!AX356="","",Deployments!AX356)</f>
        <v/>
      </c>
      <c r="T355" s="21" t="str">
        <f>IF(Deployments!AV356="","",Deployments!AV356)</f>
        <v/>
      </c>
      <c r="U355" s="21" t="str">
        <f>IF(Deployments!AW356="","",Deployments!AW356)</f>
        <v/>
      </c>
      <c r="V355" s="21" t="str">
        <f>IF(Deployments!BA356="","",Deployments!BA356)</f>
        <v/>
      </c>
      <c r="W355" s="21" t="str">
        <f>IF(Deployments!BC356="","",Deployments!BC356)</f>
        <v/>
      </c>
      <c r="X355" s="21" t="str">
        <f>IF(Deployments!BK356="","",Deployments!BK356)</f>
        <v/>
      </c>
      <c r="Y355" s="21" t="str">
        <f>IF(Deployments!BB356="","",Deployments!BB356)</f>
        <v/>
      </c>
      <c r="Z355" s="21" t="str">
        <f>IF(Deployments!T356="","",Deployments!T356)</f>
        <v/>
      </c>
      <c r="AA355" s="21" t="str">
        <f>IF(Deployments!L356="","",Deployments!L356)</f>
        <v/>
      </c>
    </row>
    <row r="356" spans="1:27">
      <c r="A356" s="22"/>
      <c r="B356" s="22"/>
      <c r="C356" s="21" t="str">
        <f>IF(Deployments!H357="","",Deployments!H357)</f>
        <v/>
      </c>
      <c r="D356" s="21" t="str">
        <f>IF(Deployments!AH357="","",Deployments!AH357)</f>
        <v/>
      </c>
      <c r="E356" s="21" t="str">
        <f>IF(Deployments!I357="","",Deployments!I357)</f>
        <v/>
      </c>
      <c r="F356" s="21" t="str">
        <f>IF(Deployments!J357="","",Deployments!J357)</f>
        <v/>
      </c>
      <c r="G356" s="21" t="str">
        <f>IF(Deployments!K357="","",Deployments!K357)</f>
        <v/>
      </c>
      <c r="H356" s="21" t="str">
        <f>IF(Deployments!A357="","",Deployments!A357)</f>
        <v/>
      </c>
      <c r="I356" s="21" t="str">
        <f>IF(Deployments!AI357="","",Deployments!AI357)</f>
        <v/>
      </c>
      <c r="J356" s="21" t="str">
        <f>IF(Deployments!AJ357="","",Deployments!AJ357)</f>
        <v/>
      </c>
      <c r="K356" s="21" t="str">
        <f>IF(Deployments!AD357="","",Deployments!AD357)</f>
        <v/>
      </c>
      <c r="L356" s="21" t="str">
        <f>IF(Deployments!M357="","",Deployments!M357)</f>
        <v/>
      </c>
      <c r="M356" s="22"/>
      <c r="N356" s="21" t="str">
        <f>IF(Deployments!N357="","",Deployments!N357)</f>
        <v/>
      </c>
      <c r="O356" s="21" t="str">
        <f>IF(Deployments!O357="","",Deployments!O357)</f>
        <v/>
      </c>
      <c r="P356" s="21" t="str">
        <f>IF(Deployments!P357="","",Deployments!P357)</f>
        <v/>
      </c>
      <c r="Q356" s="22"/>
      <c r="R356" s="21" t="str">
        <f>IF(Deployments!AY357="","",Deployments!AY357)</f>
        <v/>
      </c>
      <c r="S356" s="21" t="str">
        <f>IF(Deployments!AX357="","",Deployments!AX357)</f>
        <v/>
      </c>
      <c r="T356" s="21" t="str">
        <f>IF(Deployments!AV357="","",Deployments!AV357)</f>
        <v/>
      </c>
      <c r="U356" s="21" t="str">
        <f>IF(Deployments!AW357="","",Deployments!AW357)</f>
        <v/>
      </c>
      <c r="V356" s="21" t="str">
        <f>IF(Deployments!BA357="","",Deployments!BA357)</f>
        <v/>
      </c>
      <c r="W356" s="21" t="str">
        <f>IF(Deployments!BC357="","",Deployments!BC357)</f>
        <v/>
      </c>
      <c r="X356" s="21" t="str">
        <f>IF(Deployments!BK357="","",Deployments!BK357)</f>
        <v/>
      </c>
      <c r="Y356" s="21" t="str">
        <f>IF(Deployments!BB357="","",Deployments!BB357)</f>
        <v/>
      </c>
      <c r="Z356" s="21" t="str">
        <f>IF(Deployments!T357="","",Deployments!T357)</f>
        <v/>
      </c>
      <c r="AA356" s="21" t="str">
        <f>IF(Deployments!L357="","",Deployments!L357)</f>
        <v/>
      </c>
    </row>
    <row r="357" spans="1:27">
      <c r="A357" s="22"/>
      <c r="B357" s="22"/>
      <c r="C357" s="21" t="str">
        <f>IF(Deployments!H358="","",Deployments!H358)</f>
        <v/>
      </c>
      <c r="D357" s="21" t="str">
        <f>IF(Deployments!AH358="","",Deployments!AH358)</f>
        <v/>
      </c>
      <c r="E357" s="21" t="str">
        <f>IF(Deployments!I358="","",Deployments!I358)</f>
        <v/>
      </c>
      <c r="F357" s="21" t="str">
        <f>IF(Deployments!J358="","",Deployments!J358)</f>
        <v/>
      </c>
      <c r="G357" s="21" t="str">
        <f>IF(Deployments!K358="","",Deployments!K358)</f>
        <v/>
      </c>
      <c r="H357" s="21" t="str">
        <f>IF(Deployments!A358="","",Deployments!A358)</f>
        <v/>
      </c>
      <c r="I357" s="21" t="str">
        <f>IF(Deployments!AI358="","",Deployments!AI358)</f>
        <v/>
      </c>
      <c r="J357" s="21" t="str">
        <f>IF(Deployments!AJ358="","",Deployments!AJ358)</f>
        <v/>
      </c>
      <c r="K357" s="21" t="str">
        <f>IF(Deployments!AD358="","",Deployments!AD358)</f>
        <v/>
      </c>
      <c r="L357" s="21" t="str">
        <f>IF(Deployments!M358="","",Deployments!M358)</f>
        <v/>
      </c>
      <c r="M357" s="22"/>
      <c r="N357" s="21" t="str">
        <f>IF(Deployments!N358="","",Deployments!N358)</f>
        <v/>
      </c>
      <c r="O357" s="21" t="str">
        <f>IF(Deployments!O358="","",Deployments!O358)</f>
        <v/>
      </c>
      <c r="P357" s="21" t="str">
        <f>IF(Deployments!P358="","",Deployments!P358)</f>
        <v/>
      </c>
      <c r="Q357" s="22"/>
      <c r="R357" s="21" t="str">
        <f>IF(Deployments!AY358="","",Deployments!AY358)</f>
        <v/>
      </c>
      <c r="S357" s="21" t="str">
        <f>IF(Deployments!AX358="","",Deployments!AX358)</f>
        <v/>
      </c>
      <c r="T357" s="21" t="str">
        <f>IF(Deployments!AV358="","",Deployments!AV358)</f>
        <v/>
      </c>
      <c r="U357" s="21" t="str">
        <f>IF(Deployments!AW358="","",Deployments!AW358)</f>
        <v/>
      </c>
      <c r="V357" s="21" t="str">
        <f>IF(Deployments!BA358="","",Deployments!BA358)</f>
        <v/>
      </c>
      <c r="W357" s="21" t="str">
        <f>IF(Deployments!BC358="","",Deployments!BC358)</f>
        <v/>
      </c>
      <c r="X357" s="21" t="str">
        <f>IF(Deployments!BK358="","",Deployments!BK358)</f>
        <v/>
      </c>
      <c r="Y357" s="21" t="str">
        <f>IF(Deployments!BB358="","",Deployments!BB358)</f>
        <v/>
      </c>
      <c r="Z357" s="21" t="str">
        <f>IF(Deployments!T358="","",Deployments!T358)</f>
        <v/>
      </c>
      <c r="AA357" s="21" t="str">
        <f>IF(Deployments!L358="","",Deployments!L358)</f>
        <v/>
      </c>
    </row>
    <row r="358" spans="1:27">
      <c r="A358" s="22"/>
      <c r="B358" s="22"/>
      <c r="C358" s="21" t="str">
        <f>IF(Deployments!H359="","",Deployments!H359)</f>
        <v/>
      </c>
      <c r="D358" s="21" t="str">
        <f>IF(Deployments!AH359="","",Deployments!AH359)</f>
        <v/>
      </c>
      <c r="E358" s="21" t="str">
        <f>IF(Deployments!I359="","",Deployments!I359)</f>
        <v/>
      </c>
      <c r="F358" s="21" t="str">
        <f>IF(Deployments!J359="","",Deployments!J359)</f>
        <v/>
      </c>
      <c r="G358" s="21" t="str">
        <f>IF(Deployments!K359="","",Deployments!K359)</f>
        <v/>
      </c>
      <c r="H358" s="21" t="str">
        <f>IF(Deployments!A359="","",Deployments!A359)</f>
        <v/>
      </c>
      <c r="I358" s="21" t="str">
        <f>IF(Deployments!AI359="","",Deployments!AI359)</f>
        <v/>
      </c>
      <c r="J358" s="21" t="str">
        <f>IF(Deployments!AJ359="","",Deployments!AJ359)</f>
        <v/>
      </c>
      <c r="K358" s="21" t="str">
        <f>IF(Deployments!AD359="","",Deployments!AD359)</f>
        <v/>
      </c>
      <c r="L358" s="21" t="str">
        <f>IF(Deployments!M359="","",Deployments!M359)</f>
        <v/>
      </c>
      <c r="M358" s="22"/>
      <c r="N358" s="21" t="str">
        <f>IF(Deployments!N359="","",Deployments!N359)</f>
        <v/>
      </c>
      <c r="O358" s="21" t="str">
        <f>IF(Deployments!O359="","",Deployments!O359)</f>
        <v/>
      </c>
      <c r="P358" s="21" t="str">
        <f>IF(Deployments!P359="","",Deployments!P359)</f>
        <v/>
      </c>
      <c r="Q358" s="22"/>
      <c r="R358" s="21" t="str">
        <f>IF(Deployments!AY359="","",Deployments!AY359)</f>
        <v/>
      </c>
      <c r="S358" s="21" t="str">
        <f>IF(Deployments!AX359="","",Deployments!AX359)</f>
        <v/>
      </c>
      <c r="T358" s="21" t="str">
        <f>IF(Deployments!AV359="","",Deployments!AV359)</f>
        <v/>
      </c>
      <c r="U358" s="21" t="str">
        <f>IF(Deployments!AW359="","",Deployments!AW359)</f>
        <v/>
      </c>
      <c r="V358" s="21" t="str">
        <f>IF(Deployments!BA359="","",Deployments!BA359)</f>
        <v/>
      </c>
      <c r="W358" s="21" t="str">
        <f>IF(Deployments!BC359="","",Deployments!BC359)</f>
        <v/>
      </c>
      <c r="X358" s="21" t="str">
        <f>IF(Deployments!BK359="","",Deployments!BK359)</f>
        <v/>
      </c>
      <c r="Y358" s="21" t="str">
        <f>IF(Deployments!BB359="","",Deployments!BB359)</f>
        <v/>
      </c>
      <c r="Z358" s="21" t="str">
        <f>IF(Deployments!T359="","",Deployments!T359)</f>
        <v/>
      </c>
      <c r="AA358" s="21" t="str">
        <f>IF(Deployments!L359="","",Deployments!L359)</f>
        <v/>
      </c>
    </row>
    <row r="359" spans="1:27">
      <c r="A359" s="22"/>
      <c r="B359" s="22"/>
      <c r="C359" s="21" t="str">
        <f>IF(Deployments!H360="","",Deployments!H360)</f>
        <v/>
      </c>
      <c r="D359" s="21" t="str">
        <f>IF(Deployments!AH360="","",Deployments!AH360)</f>
        <v/>
      </c>
      <c r="E359" s="21" t="str">
        <f>IF(Deployments!I360="","",Deployments!I360)</f>
        <v/>
      </c>
      <c r="F359" s="21" t="str">
        <f>IF(Deployments!J360="","",Deployments!J360)</f>
        <v/>
      </c>
      <c r="G359" s="21" t="str">
        <f>IF(Deployments!K360="","",Deployments!K360)</f>
        <v/>
      </c>
      <c r="H359" s="21" t="str">
        <f>IF(Deployments!A360="","",Deployments!A360)</f>
        <v/>
      </c>
      <c r="I359" s="21" t="str">
        <f>IF(Deployments!AI360="","",Deployments!AI360)</f>
        <v/>
      </c>
      <c r="J359" s="21" t="str">
        <f>IF(Deployments!AJ360="","",Deployments!AJ360)</f>
        <v/>
      </c>
      <c r="K359" s="21" t="str">
        <f>IF(Deployments!AD360="","",Deployments!AD360)</f>
        <v/>
      </c>
      <c r="L359" s="21" t="str">
        <f>IF(Deployments!M360="","",Deployments!M360)</f>
        <v/>
      </c>
      <c r="M359" s="22"/>
      <c r="N359" s="21" t="str">
        <f>IF(Deployments!N360="","",Deployments!N360)</f>
        <v/>
      </c>
      <c r="O359" s="21" t="str">
        <f>IF(Deployments!O360="","",Deployments!O360)</f>
        <v/>
      </c>
      <c r="P359" s="21" t="str">
        <f>IF(Deployments!P360="","",Deployments!P360)</f>
        <v/>
      </c>
      <c r="Q359" s="22"/>
      <c r="R359" s="21" t="str">
        <f>IF(Deployments!AY360="","",Deployments!AY360)</f>
        <v/>
      </c>
      <c r="S359" s="21" t="str">
        <f>IF(Deployments!AX360="","",Deployments!AX360)</f>
        <v/>
      </c>
      <c r="T359" s="21" t="str">
        <f>IF(Deployments!AV360="","",Deployments!AV360)</f>
        <v/>
      </c>
      <c r="U359" s="21" t="str">
        <f>IF(Deployments!AW360="","",Deployments!AW360)</f>
        <v/>
      </c>
      <c r="V359" s="21" t="str">
        <f>IF(Deployments!BA360="","",Deployments!BA360)</f>
        <v/>
      </c>
      <c r="W359" s="21" t="str">
        <f>IF(Deployments!BC360="","",Deployments!BC360)</f>
        <v/>
      </c>
      <c r="X359" s="21" t="str">
        <f>IF(Deployments!BK360="","",Deployments!BK360)</f>
        <v/>
      </c>
      <c r="Y359" s="21" t="str">
        <f>IF(Deployments!BB360="","",Deployments!BB360)</f>
        <v/>
      </c>
      <c r="Z359" s="21" t="str">
        <f>IF(Deployments!T360="","",Deployments!T360)</f>
        <v/>
      </c>
      <c r="AA359" s="21" t="str">
        <f>IF(Deployments!L360="","",Deployments!L360)</f>
        <v/>
      </c>
    </row>
    <row r="360" spans="1:27">
      <c r="A360" s="22"/>
      <c r="B360" s="22"/>
      <c r="C360" s="21" t="str">
        <f>IF(Deployments!H361="","",Deployments!H361)</f>
        <v/>
      </c>
      <c r="D360" s="21" t="str">
        <f>IF(Deployments!AH361="","",Deployments!AH361)</f>
        <v/>
      </c>
      <c r="E360" s="21" t="str">
        <f>IF(Deployments!I361="","",Deployments!I361)</f>
        <v/>
      </c>
      <c r="F360" s="21" t="str">
        <f>IF(Deployments!J361="","",Deployments!J361)</f>
        <v/>
      </c>
      <c r="G360" s="21" t="str">
        <f>IF(Deployments!K361="","",Deployments!K361)</f>
        <v/>
      </c>
      <c r="H360" s="21" t="str">
        <f>IF(Deployments!A361="","",Deployments!A361)</f>
        <v/>
      </c>
      <c r="I360" s="21" t="str">
        <f>IF(Deployments!AI361="","",Deployments!AI361)</f>
        <v/>
      </c>
      <c r="J360" s="21" t="str">
        <f>IF(Deployments!AJ361="","",Deployments!AJ361)</f>
        <v/>
      </c>
      <c r="K360" s="21" t="str">
        <f>IF(Deployments!AD361="","",Deployments!AD361)</f>
        <v/>
      </c>
      <c r="L360" s="21" t="str">
        <f>IF(Deployments!M361="","",Deployments!M361)</f>
        <v/>
      </c>
      <c r="M360" s="22"/>
      <c r="N360" s="21" t="str">
        <f>IF(Deployments!N361="","",Deployments!N361)</f>
        <v/>
      </c>
      <c r="O360" s="21" t="str">
        <f>IF(Deployments!O361="","",Deployments!O361)</f>
        <v/>
      </c>
      <c r="P360" s="21" t="str">
        <f>IF(Deployments!P361="","",Deployments!P361)</f>
        <v/>
      </c>
      <c r="Q360" s="22"/>
      <c r="R360" s="21" t="str">
        <f>IF(Deployments!AY361="","",Deployments!AY361)</f>
        <v/>
      </c>
      <c r="S360" s="21" t="str">
        <f>IF(Deployments!AX361="","",Deployments!AX361)</f>
        <v/>
      </c>
      <c r="T360" s="21" t="str">
        <f>IF(Deployments!AV361="","",Deployments!AV361)</f>
        <v/>
      </c>
      <c r="U360" s="21" t="str">
        <f>IF(Deployments!AW361="","",Deployments!AW361)</f>
        <v/>
      </c>
      <c r="V360" s="21" t="str">
        <f>IF(Deployments!BA361="","",Deployments!BA361)</f>
        <v/>
      </c>
      <c r="W360" s="21" t="str">
        <f>IF(Deployments!BC361="","",Deployments!BC361)</f>
        <v/>
      </c>
      <c r="X360" s="21" t="str">
        <f>IF(Deployments!BK361="","",Deployments!BK361)</f>
        <v/>
      </c>
      <c r="Y360" s="21" t="str">
        <f>IF(Deployments!BB361="","",Deployments!BB361)</f>
        <v/>
      </c>
      <c r="Z360" s="21" t="str">
        <f>IF(Deployments!T361="","",Deployments!T361)</f>
        <v/>
      </c>
      <c r="AA360" s="21" t="str">
        <f>IF(Deployments!L361="","",Deployments!L361)</f>
        <v/>
      </c>
    </row>
    <row r="361" spans="1:27">
      <c r="A361" s="22"/>
      <c r="B361" s="22"/>
      <c r="C361" s="21" t="str">
        <f>IF(Deployments!H362="","",Deployments!H362)</f>
        <v/>
      </c>
      <c r="D361" s="21" t="str">
        <f>IF(Deployments!AH362="","",Deployments!AH362)</f>
        <v/>
      </c>
      <c r="E361" s="21" t="str">
        <f>IF(Deployments!I362="","",Deployments!I362)</f>
        <v/>
      </c>
      <c r="F361" s="21" t="str">
        <f>IF(Deployments!J362="","",Deployments!J362)</f>
        <v/>
      </c>
      <c r="G361" s="21" t="str">
        <f>IF(Deployments!K362="","",Deployments!K362)</f>
        <v/>
      </c>
      <c r="H361" s="21" t="str">
        <f>IF(Deployments!A362="","",Deployments!A362)</f>
        <v/>
      </c>
      <c r="I361" s="21" t="str">
        <f>IF(Deployments!AI362="","",Deployments!AI362)</f>
        <v/>
      </c>
      <c r="J361" s="21" t="str">
        <f>IF(Deployments!AJ362="","",Deployments!AJ362)</f>
        <v/>
      </c>
      <c r="K361" s="21" t="str">
        <f>IF(Deployments!AD362="","",Deployments!AD362)</f>
        <v/>
      </c>
      <c r="L361" s="21" t="str">
        <f>IF(Deployments!M362="","",Deployments!M362)</f>
        <v/>
      </c>
      <c r="M361" s="22"/>
      <c r="N361" s="21" t="str">
        <f>IF(Deployments!N362="","",Deployments!N362)</f>
        <v/>
      </c>
      <c r="O361" s="21" t="str">
        <f>IF(Deployments!O362="","",Deployments!O362)</f>
        <v/>
      </c>
      <c r="P361" s="21" t="str">
        <f>IF(Deployments!P362="","",Deployments!P362)</f>
        <v/>
      </c>
      <c r="Q361" s="22"/>
      <c r="R361" s="21" t="str">
        <f>IF(Deployments!AY362="","",Deployments!AY362)</f>
        <v/>
      </c>
      <c r="S361" s="21" t="str">
        <f>IF(Deployments!AX362="","",Deployments!AX362)</f>
        <v/>
      </c>
      <c r="T361" s="21" t="str">
        <f>IF(Deployments!AV362="","",Deployments!AV362)</f>
        <v/>
      </c>
      <c r="U361" s="21" t="str">
        <f>IF(Deployments!AW362="","",Deployments!AW362)</f>
        <v/>
      </c>
      <c r="V361" s="21" t="str">
        <f>IF(Deployments!BA362="","",Deployments!BA362)</f>
        <v/>
      </c>
      <c r="W361" s="21" t="str">
        <f>IF(Deployments!BC362="","",Deployments!BC362)</f>
        <v/>
      </c>
      <c r="X361" s="21" t="str">
        <f>IF(Deployments!BK362="","",Deployments!BK362)</f>
        <v/>
      </c>
      <c r="Y361" s="21" t="str">
        <f>IF(Deployments!BB362="","",Deployments!BB362)</f>
        <v/>
      </c>
      <c r="Z361" s="21" t="str">
        <f>IF(Deployments!T362="","",Deployments!T362)</f>
        <v/>
      </c>
      <c r="AA361" s="21" t="str">
        <f>IF(Deployments!L362="","",Deployments!L362)</f>
        <v/>
      </c>
    </row>
    <row r="362" spans="1:27">
      <c r="A362" s="22"/>
      <c r="B362" s="22"/>
      <c r="C362" s="21" t="str">
        <f>IF(Deployments!H363="","",Deployments!H363)</f>
        <v/>
      </c>
      <c r="D362" s="21" t="str">
        <f>IF(Deployments!AH363="","",Deployments!AH363)</f>
        <v/>
      </c>
      <c r="E362" s="21" t="str">
        <f>IF(Deployments!I363="","",Deployments!I363)</f>
        <v/>
      </c>
      <c r="F362" s="21" t="str">
        <f>IF(Deployments!J363="","",Deployments!J363)</f>
        <v/>
      </c>
      <c r="G362" s="21" t="str">
        <f>IF(Deployments!K363="","",Deployments!K363)</f>
        <v/>
      </c>
      <c r="H362" s="21" t="str">
        <f>IF(Deployments!A363="","",Deployments!A363)</f>
        <v/>
      </c>
      <c r="I362" s="21" t="str">
        <f>IF(Deployments!AI363="","",Deployments!AI363)</f>
        <v/>
      </c>
      <c r="J362" s="21" t="str">
        <f>IF(Deployments!AJ363="","",Deployments!AJ363)</f>
        <v/>
      </c>
      <c r="K362" s="21" t="str">
        <f>IF(Deployments!AD363="","",Deployments!AD363)</f>
        <v/>
      </c>
      <c r="L362" s="21" t="str">
        <f>IF(Deployments!M363="","",Deployments!M363)</f>
        <v/>
      </c>
      <c r="M362" s="22"/>
      <c r="N362" s="21" t="str">
        <f>IF(Deployments!N363="","",Deployments!N363)</f>
        <v/>
      </c>
      <c r="O362" s="21" t="str">
        <f>IF(Deployments!O363="","",Deployments!O363)</f>
        <v/>
      </c>
      <c r="P362" s="21" t="str">
        <f>IF(Deployments!P363="","",Deployments!P363)</f>
        <v/>
      </c>
      <c r="Q362" s="22"/>
      <c r="R362" s="21" t="str">
        <f>IF(Deployments!AY363="","",Deployments!AY363)</f>
        <v/>
      </c>
      <c r="S362" s="21" t="str">
        <f>IF(Deployments!AX363="","",Deployments!AX363)</f>
        <v/>
      </c>
      <c r="T362" s="21" t="str">
        <f>IF(Deployments!AV363="","",Deployments!AV363)</f>
        <v/>
      </c>
      <c r="U362" s="21" t="str">
        <f>IF(Deployments!AW363="","",Deployments!AW363)</f>
        <v/>
      </c>
      <c r="V362" s="21" t="str">
        <f>IF(Deployments!BA363="","",Deployments!BA363)</f>
        <v/>
      </c>
      <c r="W362" s="21" t="str">
        <f>IF(Deployments!BC363="","",Deployments!BC363)</f>
        <v/>
      </c>
      <c r="X362" s="21" t="str">
        <f>IF(Deployments!BK363="","",Deployments!BK363)</f>
        <v/>
      </c>
      <c r="Y362" s="21" t="str">
        <f>IF(Deployments!BB363="","",Deployments!BB363)</f>
        <v/>
      </c>
      <c r="Z362" s="21" t="str">
        <f>IF(Deployments!T363="","",Deployments!T363)</f>
        <v/>
      </c>
      <c r="AA362" s="21" t="str">
        <f>IF(Deployments!L363="","",Deployments!L363)</f>
        <v/>
      </c>
    </row>
    <row r="363" spans="1:27">
      <c r="A363" s="22"/>
      <c r="B363" s="22"/>
      <c r="C363" s="21" t="str">
        <f>IF(Deployments!H364="","",Deployments!H364)</f>
        <v/>
      </c>
      <c r="D363" s="21" t="str">
        <f>IF(Deployments!AH364="","",Deployments!AH364)</f>
        <v/>
      </c>
      <c r="E363" s="21" t="str">
        <f>IF(Deployments!I364="","",Deployments!I364)</f>
        <v/>
      </c>
      <c r="F363" s="21" t="str">
        <f>IF(Deployments!J364="","",Deployments!J364)</f>
        <v/>
      </c>
      <c r="G363" s="21" t="str">
        <f>IF(Deployments!K364="","",Deployments!K364)</f>
        <v/>
      </c>
      <c r="H363" s="21" t="str">
        <f>IF(Deployments!A364="","",Deployments!A364)</f>
        <v/>
      </c>
      <c r="I363" s="21" t="str">
        <f>IF(Deployments!AI364="","",Deployments!AI364)</f>
        <v/>
      </c>
      <c r="J363" s="21" t="str">
        <f>IF(Deployments!AJ364="","",Deployments!AJ364)</f>
        <v/>
      </c>
      <c r="K363" s="21" t="str">
        <f>IF(Deployments!AD364="","",Deployments!AD364)</f>
        <v/>
      </c>
      <c r="L363" s="21" t="str">
        <f>IF(Deployments!M364="","",Deployments!M364)</f>
        <v/>
      </c>
      <c r="M363" s="22"/>
      <c r="N363" s="21" t="str">
        <f>IF(Deployments!N364="","",Deployments!N364)</f>
        <v/>
      </c>
      <c r="O363" s="21" t="str">
        <f>IF(Deployments!O364="","",Deployments!O364)</f>
        <v/>
      </c>
      <c r="P363" s="21" t="str">
        <f>IF(Deployments!P364="","",Deployments!P364)</f>
        <v/>
      </c>
      <c r="Q363" s="22"/>
      <c r="R363" s="21" t="str">
        <f>IF(Deployments!AY364="","",Deployments!AY364)</f>
        <v/>
      </c>
      <c r="S363" s="21" t="str">
        <f>IF(Deployments!AX364="","",Deployments!AX364)</f>
        <v/>
      </c>
      <c r="T363" s="21" t="str">
        <f>IF(Deployments!AV364="","",Deployments!AV364)</f>
        <v/>
      </c>
      <c r="U363" s="21" t="str">
        <f>IF(Deployments!AW364="","",Deployments!AW364)</f>
        <v/>
      </c>
      <c r="V363" s="21" t="str">
        <f>IF(Deployments!BA364="","",Deployments!BA364)</f>
        <v/>
      </c>
      <c r="W363" s="21" t="str">
        <f>IF(Deployments!BC364="","",Deployments!BC364)</f>
        <v/>
      </c>
      <c r="X363" s="21" t="str">
        <f>IF(Deployments!BK364="","",Deployments!BK364)</f>
        <v/>
      </c>
      <c r="Y363" s="21" t="str">
        <f>IF(Deployments!BB364="","",Deployments!BB364)</f>
        <v/>
      </c>
      <c r="Z363" s="21" t="str">
        <f>IF(Deployments!T364="","",Deployments!T364)</f>
        <v/>
      </c>
      <c r="AA363" s="21" t="str">
        <f>IF(Deployments!L364="","",Deployments!L364)</f>
        <v/>
      </c>
    </row>
    <row r="364" spans="1:27">
      <c r="A364" s="22"/>
      <c r="B364" s="22"/>
      <c r="C364" s="21" t="str">
        <f>IF(Deployments!H365="","",Deployments!H365)</f>
        <v/>
      </c>
      <c r="D364" s="21" t="str">
        <f>IF(Deployments!AH365="","",Deployments!AH365)</f>
        <v/>
      </c>
      <c r="E364" s="21" t="str">
        <f>IF(Deployments!I365="","",Deployments!I365)</f>
        <v/>
      </c>
      <c r="F364" s="21" t="str">
        <f>IF(Deployments!J365="","",Deployments!J365)</f>
        <v/>
      </c>
      <c r="G364" s="21" t="str">
        <f>IF(Deployments!K365="","",Deployments!K365)</f>
        <v/>
      </c>
      <c r="H364" s="21" t="str">
        <f>IF(Deployments!A365="","",Deployments!A365)</f>
        <v/>
      </c>
      <c r="I364" s="21" t="str">
        <f>IF(Deployments!AI365="","",Deployments!AI365)</f>
        <v/>
      </c>
      <c r="J364" s="21" t="str">
        <f>IF(Deployments!AJ365="","",Deployments!AJ365)</f>
        <v/>
      </c>
      <c r="K364" s="21" t="str">
        <f>IF(Deployments!AD365="","",Deployments!AD365)</f>
        <v/>
      </c>
      <c r="L364" s="21" t="str">
        <f>IF(Deployments!M365="","",Deployments!M365)</f>
        <v/>
      </c>
      <c r="M364" s="22"/>
      <c r="N364" s="21" t="str">
        <f>IF(Deployments!N365="","",Deployments!N365)</f>
        <v/>
      </c>
      <c r="O364" s="21" t="str">
        <f>IF(Deployments!O365="","",Deployments!O365)</f>
        <v/>
      </c>
      <c r="P364" s="21" t="str">
        <f>IF(Deployments!P365="","",Deployments!P365)</f>
        <v/>
      </c>
      <c r="Q364" s="22"/>
      <c r="R364" s="21" t="str">
        <f>IF(Deployments!AY365="","",Deployments!AY365)</f>
        <v/>
      </c>
      <c r="S364" s="21" t="str">
        <f>IF(Deployments!AX365="","",Deployments!AX365)</f>
        <v/>
      </c>
      <c r="T364" s="21" t="str">
        <f>IF(Deployments!AV365="","",Deployments!AV365)</f>
        <v/>
      </c>
      <c r="U364" s="21" t="str">
        <f>IF(Deployments!AW365="","",Deployments!AW365)</f>
        <v/>
      </c>
      <c r="V364" s="21" t="str">
        <f>IF(Deployments!BA365="","",Deployments!BA365)</f>
        <v/>
      </c>
      <c r="W364" s="21" t="str">
        <f>IF(Deployments!BC365="","",Deployments!BC365)</f>
        <v/>
      </c>
      <c r="X364" s="21" t="str">
        <f>IF(Deployments!BK365="","",Deployments!BK365)</f>
        <v/>
      </c>
      <c r="Y364" s="21" t="str">
        <f>IF(Deployments!BB365="","",Deployments!BB365)</f>
        <v/>
      </c>
      <c r="Z364" s="21" t="str">
        <f>IF(Deployments!T365="","",Deployments!T365)</f>
        <v/>
      </c>
      <c r="AA364" s="21" t="str">
        <f>IF(Deployments!L365="","",Deployments!L365)</f>
        <v/>
      </c>
    </row>
    <row r="365" spans="1:27">
      <c r="A365" s="22"/>
      <c r="B365" s="22"/>
      <c r="C365" s="21" t="str">
        <f>IF(Deployments!H366="","",Deployments!H366)</f>
        <v/>
      </c>
      <c r="D365" s="21" t="str">
        <f>IF(Deployments!AH366="","",Deployments!AH366)</f>
        <v/>
      </c>
      <c r="E365" s="21" t="str">
        <f>IF(Deployments!I366="","",Deployments!I366)</f>
        <v/>
      </c>
      <c r="F365" s="21" t="str">
        <f>IF(Deployments!J366="","",Deployments!J366)</f>
        <v/>
      </c>
      <c r="G365" s="21" t="str">
        <f>IF(Deployments!K366="","",Deployments!K366)</f>
        <v/>
      </c>
      <c r="H365" s="21" t="str">
        <f>IF(Deployments!A366="","",Deployments!A366)</f>
        <v/>
      </c>
      <c r="I365" s="21" t="str">
        <f>IF(Deployments!AI366="","",Deployments!AI366)</f>
        <v/>
      </c>
      <c r="J365" s="21" t="str">
        <f>IF(Deployments!AJ366="","",Deployments!AJ366)</f>
        <v/>
      </c>
      <c r="K365" s="21" t="str">
        <f>IF(Deployments!AD366="","",Deployments!AD366)</f>
        <v/>
      </c>
      <c r="L365" s="21" t="str">
        <f>IF(Deployments!M366="","",Deployments!M366)</f>
        <v/>
      </c>
      <c r="M365" s="22"/>
      <c r="N365" s="21" t="str">
        <f>IF(Deployments!N366="","",Deployments!N366)</f>
        <v/>
      </c>
      <c r="O365" s="21" t="str">
        <f>IF(Deployments!O366="","",Deployments!O366)</f>
        <v/>
      </c>
      <c r="P365" s="21" t="str">
        <f>IF(Deployments!P366="","",Deployments!P366)</f>
        <v/>
      </c>
      <c r="Q365" s="22"/>
      <c r="R365" s="21" t="str">
        <f>IF(Deployments!AY366="","",Deployments!AY366)</f>
        <v/>
      </c>
      <c r="S365" s="21" t="str">
        <f>IF(Deployments!AX366="","",Deployments!AX366)</f>
        <v/>
      </c>
      <c r="T365" s="21" t="str">
        <f>IF(Deployments!AV366="","",Deployments!AV366)</f>
        <v/>
      </c>
      <c r="U365" s="21" t="str">
        <f>IF(Deployments!AW366="","",Deployments!AW366)</f>
        <v/>
      </c>
      <c r="V365" s="21" t="str">
        <f>IF(Deployments!BA366="","",Deployments!BA366)</f>
        <v/>
      </c>
      <c r="W365" s="21" t="str">
        <f>IF(Deployments!BC366="","",Deployments!BC366)</f>
        <v/>
      </c>
      <c r="X365" s="21" t="str">
        <f>IF(Deployments!BK366="","",Deployments!BK366)</f>
        <v/>
      </c>
      <c r="Y365" s="21" t="str">
        <f>IF(Deployments!BB366="","",Deployments!BB366)</f>
        <v/>
      </c>
      <c r="Z365" s="21" t="str">
        <f>IF(Deployments!T366="","",Deployments!T366)</f>
        <v/>
      </c>
      <c r="AA365" s="21" t="str">
        <f>IF(Deployments!L366="","",Deployments!L366)</f>
        <v/>
      </c>
    </row>
    <row r="366" spans="1:27">
      <c r="A366" s="22"/>
      <c r="B366" s="22"/>
      <c r="C366" s="21" t="str">
        <f>IF(Deployments!H367="","",Deployments!H367)</f>
        <v/>
      </c>
      <c r="D366" s="21" t="str">
        <f>IF(Deployments!AH367="","",Deployments!AH367)</f>
        <v/>
      </c>
      <c r="E366" s="21" t="str">
        <f>IF(Deployments!I367="","",Deployments!I367)</f>
        <v/>
      </c>
      <c r="F366" s="21" t="str">
        <f>IF(Deployments!J367="","",Deployments!J367)</f>
        <v/>
      </c>
      <c r="G366" s="21" t="str">
        <f>IF(Deployments!K367="","",Deployments!K367)</f>
        <v/>
      </c>
      <c r="H366" s="21" t="str">
        <f>IF(Deployments!A367="","",Deployments!A367)</f>
        <v/>
      </c>
      <c r="I366" s="21" t="str">
        <f>IF(Deployments!AI367="","",Deployments!AI367)</f>
        <v/>
      </c>
      <c r="J366" s="21" t="str">
        <f>IF(Deployments!AJ367="","",Deployments!AJ367)</f>
        <v/>
      </c>
      <c r="K366" s="21" t="str">
        <f>IF(Deployments!AD367="","",Deployments!AD367)</f>
        <v/>
      </c>
      <c r="L366" s="21" t="str">
        <f>IF(Deployments!M367="","",Deployments!M367)</f>
        <v/>
      </c>
      <c r="M366" s="22"/>
      <c r="N366" s="21" t="str">
        <f>IF(Deployments!N367="","",Deployments!N367)</f>
        <v/>
      </c>
      <c r="O366" s="21" t="str">
        <f>IF(Deployments!O367="","",Deployments!O367)</f>
        <v/>
      </c>
      <c r="P366" s="21" t="str">
        <f>IF(Deployments!P367="","",Deployments!P367)</f>
        <v/>
      </c>
      <c r="Q366" s="22"/>
      <c r="R366" s="21" t="str">
        <f>IF(Deployments!AY367="","",Deployments!AY367)</f>
        <v/>
      </c>
      <c r="S366" s="21" t="str">
        <f>IF(Deployments!AX367="","",Deployments!AX367)</f>
        <v/>
      </c>
      <c r="T366" s="21" t="str">
        <f>IF(Deployments!AV367="","",Deployments!AV367)</f>
        <v/>
      </c>
      <c r="U366" s="21" t="str">
        <f>IF(Deployments!AW367="","",Deployments!AW367)</f>
        <v/>
      </c>
      <c r="V366" s="21" t="str">
        <f>IF(Deployments!BA367="","",Deployments!BA367)</f>
        <v/>
      </c>
      <c r="W366" s="21" t="str">
        <f>IF(Deployments!BC367="","",Deployments!BC367)</f>
        <v/>
      </c>
      <c r="X366" s="21" t="str">
        <f>IF(Deployments!BK367="","",Deployments!BK367)</f>
        <v/>
      </c>
      <c r="Y366" s="21" t="str">
        <f>IF(Deployments!BB367="","",Deployments!BB367)</f>
        <v/>
      </c>
      <c r="Z366" s="21" t="str">
        <f>IF(Deployments!T367="","",Deployments!T367)</f>
        <v/>
      </c>
      <c r="AA366" s="21" t="str">
        <f>IF(Deployments!L367="","",Deployments!L367)</f>
        <v/>
      </c>
    </row>
    <row r="367" spans="1:27">
      <c r="A367" s="22"/>
      <c r="B367" s="22"/>
      <c r="C367" s="21" t="str">
        <f>IF(Deployments!H368="","",Deployments!H368)</f>
        <v/>
      </c>
      <c r="D367" s="21" t="str">
        <f>IF(Deployments!AH368="","",Deployments!AH368)</f>
        <v/>
      </c>
      <c r="E367" s="21" t="str">
        <f>IF(Deployments!I368="","",Deployments!I368)</f>
        <v/>
      </c>
      <c r="F367" s="21" t="str">
        <f>IF(Deployments!J368="","",Deployments!J368)</f>
        <v/>
      </c>
      <c r="G367" s="21" t="str">
        <f>IF(Deployments!K368="","",Deployments!K368)</f>
        <v/>
      </c>
      <c r="H367" s="21" t="str">
        <f>IF(Deployments!A368="","",Deployments!A368)</f>
        <v/>
      </c>
      <c r="I367" s="21" t="str">
        <f>IF(Deployments!AI368="","",Deployments!AI368)</f>
        <v/>
      </c>
      <c r="J367" s="21" t="str">
        <f>IF(Deployments!AJ368="","",Deployments!AJ368)</f>
        <v/>
      </c>
      <c r="K367" s="21" t="str">
        <f>IF(Deployments!AD368="","",Deployments!AD368)</f>
        <v/>
      </c>
      <c r="L367" s="21" t="str">
        <f>IF(Deployments!M368="","",Deployments!M368)</f>
        <v/>
      </c>
      <c r="M367" s="22"/>
      <c r="N367" s="21" t="str">
        <f>IF(Deployments!N368="","",Deployments!N368)</f>
        <v/>
      </c>
      <c r="O367" s="21" t="str">
        <f>IF(Deployments!O368="","",Deployments!O368)</f>
        <v/>
      </c>
      <c r="P367" s="21" t="str">
        <f>IF(Deployments!P368="","",Deployments!P368)</f>
        <v/>
      </c>
      <c r="Q367" s="22"/>
      <c r="R367" s="21" t="str">
        <f>IF(Deployments!AY368="","",Deployments!AY368)</f>
        <v/>
      </c>
      <c r="S367" s="21" t="str">
        <f>IF(Deployments!AX368="","",Deployments!AX368)</f>
        <v/>
      </c>
      <c r="T367" s="21" t="str">
        <f>IF(Deployments!AV368="","",Deployments!AV368)</f>
        <v/>
      </c>
      <c r="U367" s="21" t="str">
        <f>IF(Deployments!AW368="","",Deployments!AW368)</f>
        <v/>
      </c>
      <c r="V367" s="21" t="str">
        <f>IF(Deployments!BA368="","",Deployments!BA368)</f>
        <v/>
      </c>
      <c r="W367" s="21" t="str">
        <f>IF(Deployments!BC368="","",Deployments!BC368)</f>
        <v/>
      </c>
      <c r="X367" s="21" t="str">
        <f>IF(Deployments!BK368="","",Deployments!BK368)</f>
        <v/>
      </c>
      <c r="Y367" s="21" t="str">
        <f>IF(Deployments!BB368="","",Deployments!BB368)</f>
        <v/>
      </c>
      <c r="Z367" s="21" t="str">
        <f>IF(Deployments!T368="","",Deployments!T368)</f>
        <v/>
      </c>
      <c r="AA367" s="21" t="str">
        <f>IF(Deployments!L368="","",Deployments!L368)</f>
        <v/>
      </c>
    </row>
    <row r="368" spans="1:27">
      <c r="A368" s="22"/>
      <c r="B368" s="22"/>
      <c r="C368" s="21" t="str">
        <f>IF(Deployments!H369="","",Deployments!H369)</f>
        <v/>
      </c>
      <c r="D368" s="21" t="str">
        <f>IF(Deployments!AH369="","",Deployments!AH369)</f>
        <v/>
      </c>
      <c r="E368" s="21" t="str">
        <f>IF(Deployments!I369="","",Deployments!I369)</f>
        <v/>
      </c>
      <c r="F368" s="21" t="str">
        <f>IF(Deployments!J369="","",Deployments!J369)</f>
        <v/>
      </c>
      <c r="G368" s="21" t="str">
        <f>IF(Deployments!K369="","",Deployments!K369)</f>
        <v/>
      </c>
      <c r="H368" s="21" t="str">
        <f>IF(Deployments!A369="","",Deployments!A369)</f>
        <v/>
      </c>
      <c r="I368" s="21" t="str">
        <f>IF(Deployments!AI369="","",Deployments!AI369)</f>
        <v/>
      </c>
      <c r="J368" s="21" t="str">
        <f>IF(Deployments!AJ369="","",Deployments!AJ369)</f>
        <v/>
      </c>
      <c r="K368" s="21" t="str">
        <f>IF(Deployments!AD369="","",Deployments!AD369)</f>
        <v/>
      </c>
      <c r="L368" s="21" t="str">
        <f>IF(Deployments!M369="","",Deployments!M369)</f>
        <v/>
      </c>
      <c r="M368" s="22"/>
      <c r="N368" s="21" t="str">
        <f>IF(Deployments!N369="","",Deployments!N369)</f>
        <v/>
      </c>
      <c r="O368" s="21" t="str">
        <f>IF(Deployments!O369="","",Deployments!O369)</f>
        <v/>
      </c>
      <c r="P368" s="21" t="str">
        <f>IF(Deployments!P369="","",Deployments!P369)</f>
        <v/>
      </c>
      <c r="Q368" s="22"/>
      <c r="R368" s="21" t="str">
        <f>IF(Deployments!AY369="","",Deployments!AY369)</f>
        <v/>
      </c>
      <c r="S368" s="21" t="str">
        <f>IF(Deployments!AX369="","",Deployments!AX369)</f>
        <v/>
      </c>
      <c r="T368" s="21" t="str">
        <f>IF(Deployments!AV369="","",Deployments!AV369)</f>
        <v/>
      </c>
      <c r="U368" s="21" t="str">
        <f>IF(Deployments!AW369="","",Deployments!AW369)</f>
        <v/>
      </c>
      <c r="V368" s="21" t="str">
        <f>IF(Deployments!BA369="","",Deployments!BA369)</f>
        <v/>
      </c>
      <c r="W368" s="21" t="str">
        <f>IF(Deployments!BC369="","",Deployments!BC369)</f>
        <v/>
      </c>
      <c r="X368" s="21" t="str">
        <f>IF(Deployments!BK369="","",Deployments!BK369)</f>
        <v/>
      </c>
      <c r="Y368" s="21" t="str">
        <f>IF(Deployments!BB369="","",Deployments!BB369)</f>
        <v/>
      </c>
      <c r="Z368" s="21" t="str">
        <f>IF(Deployments!T369="","",Deployments!T369)</f>
        <v/>
      </c>
      <c r="AA368" s="21" t="str">
        <f>IF(Deployments!L369="","",Deployments!L369)</f>
        <v/>
      </c>
    </row>
    <row r="369" spans="1:27">
      <c r="A369" s="22"/>
      <c r="B369" s="22"/>
      <c r="C369" s="21" t="str">
        <f>IF(Deployments!H370="","",Deployments!H370)</f>
        <v/>
      </c>
      <c r="D369" s="21" t="str">
        <f>IF(Deployments!AH370="","",Deployments!AH370)</f>
        <v/>
      </c>
      <c r="E369" s="21" t="str">
        <f>IF(Deployments!I370="","",Deployments!I370)</f>
        <v/>
      </c>
      <c r="F369" s="21" t="str">
        <f>IF(Deployments!J370="","",Deployments!J370)</f>
        <v/>
      </c>
      <c r="G369" s="21" t="str">
        <f>IF(Deployments!K370="","",Deployments!K370)</f>
        <v/>
      </c>
      <c r="H369" s="21" t="str">
        <f>IF(Deployments!A370="","",Deployments!A370)</f>
        <v/>
      </c>
      <c r="I369" s="21" t="str">
        <f>IF(Deployments!AI370="","",Deployments!AI370)</f>
        <v/>
      </c>
      <c r="J369" s="21" t="str">
        <f>IF(Deployments!AJ370="","",Deployments!AJ370)</f>
        <v/>
      </c>
      <c r="K369" s="21" t="str">
        <f>IF(Deployments!AD370="","",Deployments!AD370)</f>
        <v/>
      </c>
      <c r="L369" s="21" t="str">
        <f>IF(Deployments!M370="","",Deployments!M370)</f>
        <v/>
      </c>
      <c r="M369" s="22"/>
      <c r="N369" s="21" t="str">
        <f>IF(Deployments!N370="","",Deployments!N370)</f>
        <v/>
      </c>
      <c r="O369" s="21" t="str">
        <f>IF(Deployments!O370="","",Deployments!O370)</f>
        <v/>
      </c>
      <c r="P369" s="21" t="str">
        <f>IF(Deployments!P370="","",Deployments!P370)</f>
        <v/>
      </c>
      <c r="Q369" s="22"/>
      <c r="R369" s="21" t="str">
        <f>IF(Deployments!AY370="","",Deployments!AY370)</f>
        <v/>
      </c>
      <c r="S369" s="21" t="str">
        <f>IF(Deployments!AX370="","",Deployments!AX370)</f>
        <v/>
      </c>
      <c r="T369" s="21" t="str">
        <f>IF(Deployments!AV370="","",Deployments!AV370)</f>
        <v/>
      </c>
      <c r="U369" s="21" t="str">
        <f>IF(Deployments!AW370="","",Deployments!AW370)</f>
        <v/>
      </c>
      <c r="V369" s="21" t="str">
        <f>IF(Deployments!BA370="","",Deployments!BA370)</f>
        <v/>
      </c>
      <c r="W369" s="21" t="str">
        <f>IF(Deployments!BC370="","",Deployments!BC370)</f>
        <v/>
      </c>
      <c r="X369" s="21" t="str">
        <f>IF(Deployments!BK370="","",Deployments!BK370)</f>
        <v/>
      </c>
      <c r="Y369" s="21" t="str">
        <f>IF(Deployments!BB370="","",Deployments!BB370)</f>
        <v/>
      </c>
      <c r="Z369" s="21" t="str">
        <f>IF(Deployments!T370="","",Deployments!T370)</f>
        <v/>
      </c>
      <c r="AA369" s="21" t="str">
        <f>IF(Deployments!L370="","",Deployments!L370)</f>
        <v/>
      </c>
    </row>
    <row r="370" spans="1:27">
      <c r="A370" s="22"/>
      <c r="B370" s="22"/>
      <c r="C370" s="21" t="str">
        <f>IF(Deployments!H371="","",Deployments!H371)</f>
        <v/>
      </c>
      <c r="D370" s="21" t="str">
        <f>IF(Deployments!AH371="","",Deployments!AH371)</f>
        <v/>
      </c>
      <c r="E370" s="21" t="str">
        <f>IF(Deployments!I371="","",Deployments!I371)</f>
        <v/>
      </c>
      <c r="F370" s="21" t="str">
        <f>IF(Deployments!J371="","",Deployments!J371)</f>
        <v/>
      </c>
      <c r="G370" s="21" t="str">
        <f>IF(Deployments!K371="","",Deployments!K371)</f>
        <v/>
      </c>
      <c r="H370" s="21" t="str">
        <f>IF(Deployments!A371="","",Deployments!A371)</f>
        <v/>
      </c>
      <c r="I370" s="21" t="str">
        <f>IF(Deployments!AI371="","",Deployments!AI371)</f>
        <v/>
      </c>
      <c r="J370" s="21" t="str">
        <f>IF(Deployments!AJ371="","",Deployments!AJ371)</f>
        <v/>
      </c>
      <c r="K370" s="21" t="str">
        <f>IF(Deployments!AD371="","",Deployments!AD371)</f>
        <v/>
      </c>
      <c r="L370" s="21" t="str">
        <f>IF(Deployments!M371="","",Deployments!M371)</f>
        <v/>
      </c>
      <c r="M370" s="22"/>
      <c r="N370" s="21" t="str">
        <f>IF(Deployments!N371="","",Deployments!N371)</f>
        <v/>
      </c>
      <c r="O370" s="21" t="str">
        <f>IF(Deployments!O371="","",Deployments!O371)</f>
        <v/>
      </c>
      <c r="P370" s="21" t="str">
        <f>IF(Deployments!P371="","",Deployments!P371)</f>
        <v/>
      </c>
      <c r="Q370" s="22"/>
      <c r="R370" s="21" t="str">
        <f>IF(Deployments!AY371="","",Deployments!AY371)</f>
        <v/>
      </c>
      <c r="S370" s="21" t="str">
        <f>IF(Deployments!AX371="","",Deployments!AX371)</f>
        <v/>
      </c>
      <c r="T370" s="21" t="str">
        <f>IF(Deployments!AV371="","",Deployments!AV371)</f>
        <v/>
      </c>
      <c r="U370" s="21" t="str">
        <f>IF(Deployments!AW371="","",Deployments!AW371)</f>
        <v/>
      </c>
      <c r="V370" s="21" t="str">
        <f>IF(Deployments!BA371="","",Deployments!BA371)</f>
        <v/>
      </c>
      <c r="W370" s="21" t="str">
        <f>IF(Deployments!BC371="","",Deployments!BC371)</f>
        <v/>
      </c>
      <c r="X370" s="21" t="str">
        <f>IF(Deployments!BK371="","",Deployments!BK371)</f>
        <v/>
      </c>
      <c r="Y370" s="21" t="str">
        <f>IF(Deployments!BB371="","",Deployments!BB371)</f>
        <v/>
      </c>
      <c r="Z370" s="21" t="str">
        <f>IF(Deployments!T371="","",Deployments!T371)</f>
        <v/>
      </c>
      <c r="AA370" s="21" t="str">
        <f>IF(Deployments!L371="","",Deployments!L371)</f>
        <v/>
      </c>
    </row>
    <row r="371" spans="1:27">
      <c r="A371" s="22"/>
      <c r="B371" s="22"/>
      <c r="C371" s="21" t="str">
        <f>IF(Deployments!H372="","",Deployments!H372)</f>
        <v/>
      </c>
      <c r="D371" s="21" t="str">
        <f>IF(Deployments!AH372="","",Deployments!AH372)</f>
        <v/>
      </c>
      <c r="E371" s="21" t="str">
        <f>IF(Deployments!I372="","",Deployments!I372)</f>
        <v/>
      </c>
      <c r="F371" s="21" t="str">
        <f>IF(Deployments!J372="","",Deployments!J372)</f>
        <v/>
      </c>
      <c r="G371" s="21" t="str">
        <f>IF(Deployments!K372="","",Deployments!K372)</f>
        <v/>
      </c>
      <c r="H371" s="21" t="str">
        <f>IF(Deployments!A372="","",Deployments!A372)</f>
        <v/>
      </c>
      <c r="I371" s="21" t="str">
        <f>IF(Deployments!AI372="","",Deployments!AI372)</f>
        <v/>
      </c>
      <c r="J371" s="21" t="str">
        <f>IF(Deployments!AJ372="","",Deployments!AJ372)</f>
        <v/>
      </c>
      <c r="K371" s="21" t="str">
        <f>IF(Deployments!AD372="","",Deployments!AD372)</f>
        <v/>
      </c>
      <c r="L371" s="21" t="str">
        <f>IF(Deployments!M372="","",Deployments!M372)</f>
        <v/>
      </c>
      <c r="M371" s="22"/>
      <c r="N371" s="21" t="str">
        <f>IF(Deployments!N372="","",Deployments!N372)</f>
        <v/>
      </c>
      <c r="O371" s="21" t="str">
        <f>IF(Deployments!O372="","",Deployments!O372)</f>
        <v/>
      </c>
      <c r="P371" s="21" t="str">
        <f>IF(Deployments!P372="","",Deployments!P372)</f>
        <v/>
      </c>
      <c r="Q371" s="22"/>
      <c r="R371" s="21" t="str">
        <f>IF(Deployments!AY372="","",Deployments!AY372)</f>
        <v/>
      </c>
      <c r="S371" s="21" t="str">
        <f>IF(Deployments!AX372="","",Deployments!AX372)</f>
        <v/>
      </c>
      <c r="T371" s="21" t="str">
        <f>IF(Deployments!AV372="","",Deployments!AV372)</f>
        <v/>
      </c>
      <c r="U371" s="21" t="str">
        <f>IF(Deployments!AW372="","",Deployments!AW372)</f>
        <v/>
      </c>
      <c r="V371" s="21" t="str">
        <f>IF(Deployments!BA372="","",Deployments!BA372)</f>
        <v/>
      </c>
      <c r="W371" s="21" t="str">
        <f>IF(Deployments!BC372="","",Deployments!BC372)</f>
        <v/>
      </c>
      <c r="X371" s="21" t="str">
        <f>IF(Deployments!BK372="","",Deployments!BK372)</f>
        <v/>
      </c>
      <c r="Y371" s="21" t="str">
        <f>IF(Deployments!BB372="","",Deployments!BB372)</f>
        <v/>
      </c>
      <c r="Z371" s="21" t="str">
        <f>IF(Deployments!T372="","",Deployments!T372)</f>
        <v/>
      </c>
      <c r="AA371" s="21" t="str">
        <f>IF(Deployments!L372="","",Deployments!L372)</f>
        <v/>
      </c>
    </row>
    <row r="372" spans="1:27">
      <c r="A372" s="22"/>
      <c r="B372" s="22"/>
      <c r="C372" s="21" t="str">
        <f>IF(Deployments!H373="","",Deployments!H373)</f>
        <v/>
      </c>
      <c r="D372" s="21" t="str">
        <f>IF(Deployments!AH373="","",Deployments!AH373)</f>
        <v/>
      </c>
      <c r="E372" s="21" t="str">
        <f>IF(Deployments!I373="","",Deployments!I373)</f>
        <v/>
      </c>
      <c r="F372" s="21" t="str">
        <f>IF(Deployments!J373="","",Deployments!J373)</f>
        <v/>
      </c>
      <c r="G372" s="21" t="str">
        <f>IF(Deployments!K373="","",Deployments!K373)</f>
        <v/>
      </c>
      <c r="H372" s="21" t="str">
        <f>IF(Deployments!A373="","",Deployments!A373)</f>
        <v/>
      </c>
      <c r="I372" s="21" t="str">
        <f>IF(Deployments!AI373="","",Deployments!AI373)</f>
        <v/>
      </c>
      <c r="J372" s="21" t="str">
        <f>IF(Deployments!AJ373="","",Deployments!AJ373)</f>
        <v/>
      </c>
      <c r="K372" s="21" t="str">
        <f>IF(Deployments!AD373="","",Deployments!AD373)</f>
        <v/>
      </c>
      <c r="L372" s="21" t="str">
        <f>IF(Deployments!M373="","",Deployments!M373)</f>
        <v/>
      </c>
      <c r="M372" s="22"/>
      <c r="N372" s="21" t="str">
        <f>IF(Deployments!N373="","",Deployments!N373)</f>
        <v/>
      </c>
      <c r="O372" s="21" t="str">
        <f>IF(Deployments!O373="","",Deployments!O373)</f>
        <v/>
      </c>
      <c r="P372" s="21" t="str">
        <f>IF(Deployments!P373="","",Deployments!P373)</f>
        <v/>
      </c>
      <c r="Q372" s="22"/>
      <c r="R372" s="21" t="str">
        <f>IF(Deployments!AY373="","",Deployments!AY373)</f>
        <v/>
      </c>
      <c r="S372" s="21" t="str">
        <f>IF(Deployments!AX373="","",Deployments!AX373)</f>
        <v/>
      </c>
      <c r="T372" s="21" t="str">
        <f>IF(Deployments!AV373="","",Deployments!AV373)</f>
        <v/>
      </c>
      <c r="U372" s="21" t="str">
        <f>IF(Deployments!AW373="","",Deployments!AW373)</f>
        <v/>
      </c>
      <c r="V372" s="21" t="str">
        <f>IF(Deployments!BA373="","",Deployments!BA373)</f>
        <v/>
      </c>
      <c r="W372" s="21" t="str">
        <f>IF(Deployments!BC373="","",Deployments!BC373)</f>
        <v/>
      </c>
      <c r="X372" s="21" t="str">
        <f>IF(Deployments!BK373="","",Deployments!BK373)</f>
        <v/>
      </c>
      <c r="Y372" s="21" t="str">
        <f>IF(Deployments!BB373="","",Deployments!BB373)</f>
        <v/>
      </c>
      <c r="Z372" s="21" t="str">
        <f>IF(Deployments!T373="","",Deployments!T373)</f>
        <v/>
      </c>
      <c r="AA372" s="21" t="str">
        <f>IF(Deployments!L373="","",Deployments!L373)</f>
        <v/>
      </c>
    </row>
    <row r="373" spans="1:27">
      <c r="A373" s="22"/>
      <c r="B373" s="22"/>
      <c r="C373" s="21" t="str">
        <f>IF(Deployments!H374="","",Deployments!H374)</f>
        <v/>
      </c>
      <c r="D373" s="21" t="str">
        <f>IF(Deployments!AH374="","",Deployments!AH374)</f>
        <v/>
      </c>
      <c r="E373" s="21" t="str">
        <f>IF(Deployments!I374="","",Deployments!I374)</f>
        <v/>
      </c>
      <c r="F373" s="21" t="str">
        <f>IF(Deployments!J374="","",Deployments!J374)</f>
        <v/>
      </c>
      <c r="G373" s="21" t="str">
        <f>IF(Deployments!K374="","",Deployments!K374)</f>
        <v/>
      </c>
      <c r="H373" s="21" t="str">
        <f>IF(Deployments!A374="","",Deployments!A374)</f>
        <v/>
      </c>
      <c r="I373" s="21" t="str">
        <f>IF(Deployments!AI374="","",Deployments!AI374)</f>
        <v/>
      </c>
      <c r="J373" s="21" t="str">
        <f>IF(Deployments!AJ374="","",Deployments!AJ374)</f>
        <v/>
      </c>
      <c r="K373" s="21" t="str">
        <f>IF(Deployments!AD374="","",Deployments!AD374)</f>
        <v/>
      </c>
      <c r="L373" s="21" t="str">
        <f>IF(Deployments!M374="","",Deployments!M374)</f>
        <v/>
      </c>
      <c r="M373" s="22"/>
      <c r="N373" s="21" t="str">
        <f>IF(Deployments!N374="","",Deployments!N374)</f>
        <v/>
      </c>
      <c r="O373" s="21" t="str">
        <f>IF(Deployments!O374="","",Deployments!O374)</f>
        <v/>
      </c>
      <c r="P373" s="21" t="str">
        <f>IF(Deployments!P374="","",Deployments!P374)</f>
        <v/>
      </c>
      <c r="Q373" s="22"/>
      <c r="R373" s="21" t="str">
        <f>IF(Deployments!AY374="","",Deployments!AY374)</f>
        <v/>
      </c>
      <c r="S373" s="21" t="str">
        <f>IF(Deployments!AX374="","",Deployments!AX374)</f>
        <v/>
      </c>
      <c r="T373" s="21" t="str">
        <f>IF(Deployments!AV374="","",Deployments!AV374)</f>
        <v/>
      </c>
      <c r="U373" s="21" t="str">
        <f>IF(Deployments!AW374="","",Deployments!AW374)</f>
        <v/>
      </c>
      <c r="V373" s="21" t="str">
        <f>IF(Deployments!BA374="","",Deployments!BA374)</f>
        <v/>
      </c>
      <c r="W373" s="21" t="str">
        <f>IF(Deployments!BC374="","",Deployments!BC374)</f>
        <v/>
      </c>
      <c r="X373" s="21" t="str">
        <f>IF(Deployments!BK374="","",Deployments!BK374)</f>
        <v/>
      </c>
      <c r="Y373" s="21" t="str">
        <f>IF(Deployments!BB374="","",Deployments!BB374)</f>
        <v/>
      </c>
      <c r="Z373" s="21" t="str">
        <f>IF(Deployments!T374="","",Deployments!T374)</f>
        <v/>
      </c>
      <c r="AA373" s="21" t="str">
        <f>IF(Deployments!L374="","",Deployments!L374)</f>
        <v/>
      </c>
    </row>
    <row r="374" spans="1:27">
      <c r="A374" s="22"/>
      <c r="B374" s="22"/>
      <c r="C374" s="21" t="str">
        <f>IF(Deployments!H375="","",Deployments!H375)</f>
        <v/>
      </c>
      <c r="D374" s="21" t="str">
        <f>IF(Deployments!AH375="","",Deployments!AH375)</f>
        <v/>
      </c>
      <c r="E374" s="21" t="str">
        <f>IF(Deployments!I375="","",Deployments!I375)</f>
        <v/>
      </c>
      <c r="F374" s="21" t="str">
        <f>IF(Deployments!J375="","",Deployments!J375)</f>
        <v/>
      </c>
      <c r="G374" s="21" t="str">
        <f>IF(Deployments!K375="","",Deployments!K375)</f>
        <v/>
      </c>
      <c r="H374" s="21" t="str">
        <f>IF(Deployments!A375="","",Deployments!A375)</f>
        <v/>
      </c>
      <c r="I374" s="21" t="str">
        <f>IF(Deployments!AI375="","",Deployments!AI375)</f>
        <v/>
      </c>
      <c r="J374" s="21" t="str">
        <f>IF(Deployments!AJ375="","",Deployments!AJ375)</f>
        <v/>
      </c>
      <c r="K374" s="21" t="str">
        <f>IF(Deployments!AD375="","",Deployments!AD375)</f>
        <v/>
      </c>
      <c r="L374" s="21" t="str">
        <f>IF(Deployments!M375="","",Deployments!M375)</f>
        <v/>
      </c>
      <c r="M374" s="22"/>
      <c r="N374" s="21" t="str">
        <f>IF(Deployments!N375="","",Deployments!N375)</f>
        <v/>
      </c>
      <c r="O374" s="21" t="str">
        <f>IF(Deployments!O375="","",Deployments!O375)</f>
        <v/>
      </c>
      <c r="P374" s="21" t="str">
        <f>IF(Deployments!P375="","",Deployments!P375)</f>
        <v/>
      </c>
      <c r="Q374" s="22"/>
      <c r="R374" s="21" t="str">
        <f>IF(Deployments!AY375="","",Deployments!AY375)</f>
        <v/>
      </c>
      <c r="S374" s="21" t="str">
        <f>IF(Deployments!AX375="","",Deployments!AX375)</f>
        <v/>
      </c>
      <c r="T374" s="21" t="str">
        <f>IF(Deployments!AV375="","",Deployments!AV375)</f>
        <v/>
      </c>
      <c r="U374" s="21" t="str">
        <f>IF(Deployments!AW375="","",Deployments!AW375)</f>
        <v/>
      </c>
      <c r="V374" s="21" t="str">
        <f>IF(Deployments!BA375="","",Deployments!BA375)</f>
        <v/>
      </c>
      <c r="W374" s="21" t="str">
        <f>IF(Deployments!BC375="","",Deployments!BC375)</f>
        <v/>
      </c>
      <c r="X374" s="21" t="str">
        <f>IF(Deployments!BK375="","",Deployments!BK375)</f>
        <v/>
      </c>
      <c r="Y374" s="21" t="str">
        <f>IF(Deployments!BB375="","",Deployments!BB375)</f>
        <v/>
      </c>
      <c r="Z374" s="21" t="str">
        <f>IF(Deployments!T375="","",Deployments!T375)</f>
        <v/>
      </c>
      <c r="AA374" s="21" t="str">
        <f>IF(Deployments!L375="","",Deployments!L375)</f>
        <v/>
      </c>
    </row>
    <row r="375" spans="1:27">
      <c r="A375" s="22"/>
      <c r="B375" s="22"/>
      <c r="C375" s="21" t="str">
        <f>IF(Deployments!H376="","",Deployments!H376)</f>
        <v/>
      </c>
      <c r="D375" s="21" t="str">
        <f>IF(Deployments!AH376="","",Deployments!AH376)</f>
        <v/>
      </c>
      <c r="E375" s="21" t="str">
        <f>IF(Deployments!I376="","",Deployments!I376)</f>
        <v/>
      </c>
      <c r="F375" s="21" t="str">
        <f>IF(Deployments!J376="","",Deployments!J376)</f>
        <v/>
      </c>
      <c r="G375" s="21" t="str">
        <f>IF(Deployments!K376="","",Deployments!K376)</f>
        <v/>
      </c>
      <c r="H375" s="21" t="str">
        <f>IF(Deployments!A376="","",Deployments!A376)</f>
        <v/>
      </c>
      <c r="I375" s="21" t="str">
        <f>IF(Deployments!AI376="","",Deployments!AI376)</f>
        <v/>
      </c>
      <c r="J375" s="21" t="str">
        <f>IF(Deployments!AJ376="","",Deployments!AJ376)</f>
        <v/>
      </c>
      <c r="K375" s="21" t="str">
        <f>IF(Deployments!AD376="","",Deployments!AD376)</f>
        <v/>
      </c>
      <c r="L375" s="21" t="str">
        <f>IF(Deployments!M376="","",Deployments!M376)</f>
        <v/>
      </c>
      <c r="M375" s="22"/>
      <c r="N375" s="21" t="str">
        <f>IF(Deployments!N376="","",Deployments!N376)</f>
        <v/>
      </c>
      <c r="O375" s="21" t="str">
        <f>IF(Deployments!O376="","",Deployments!O376)</f>
        <v/>
      </c>
      <c r="P375" s="21" t="str">
        <f>IF(Deployments!P376="","",Deployments!P376)</f>
        <v/>
      </c>
      <c r="Q375" s="22"/>
      <c r="R375" s="21" t="str">
        <f>IF(Deployments!AY376="","",Deployments!AY376)</f>
        <v/>
      </c>
      <c r="S375" s="21" t="str">
        <f>IF(Deployments!AX376="","",Deployments!AX376)</f>
        <v/>
      </c>
      <c r="T375" s="21" t="str">
        <f>IF(Deployments!AV376="","",Deployments!AV376)</f>
        <v/>
      </c>
      <c r="U375" s="21" t="str">
        <f>IF(Deployments!AW376="","",Deployments!AW376)</f>
        <v/>
      </c>
      <c r="V375" s="21" t="str">
        <f>IF(Deployments!BA376="","",Deployments!BA376)</f>
        <v/>
      </c>
      <c r="W375" s="21" t="str">
        <f>IF(Deployments!BC376="","",Deployments!BC376)</f>
        <v/>
      </c>
      <c r="X375" s="21" t="str">
        <f>IF(Deployments!BK376="","",Deployments!BK376)</f>
        <v/>
      </c>
      <c r="Y375" s="21" t="str">
        <f>IF(Deployments!BB376="","",Deployments!BB376)</f>
        <v/>
      </c>
      <c r="Z375" s="21" t="str">
        <f>IF(Deployments!T376="","",Deployments!T376)</f>
        <v/>
      </c>
      <c r="AA375" s="21" t="str">
        <f>IF(Deployments!L376="","",Deployments!L376)</f>
        <v/>
      </c>
    </row>
    <row r="376" spans="1:27">
      <c r="A376" s="22"/>
      <c r="B376" s="22"/>
      <c r="C376" s="21" t="str">
        <f>IF(Deployments!H377="","",Deployments!H377)</f>
        <v/>
      </c>
      <c r="D376" s="21" t="str">
        <f>IF(Deployments!AH377="","",Deployments!AH377)</f>
        <v/>
      </c>
      <c r="E376" s="21" t="str">
        <f>IF(Deployments!I377="","",Deployments!I377)</f>
        <v/>
      </c>
      <c r="F376" s="21" t="str">
        <f>IF(Deployments!J377="","",Deployments!J377)</f>
        <v/>
      </c>
      <c r="G376" s="21" t="str">
        <f>IF(Deployments!K377="","",Deployments!K377)</f>
        <v/>
      </c>
      <c r="H376" s="21" t="str">
        <f>IF(Deployments!A377="","",Deployments!A377)</f>
        <v/>
      </c>
      <c r="I376" s="21" t="str">
        <f>IF(Deployments!AI377="","",Deployments!AI377)</f>
        <v/>
      </c>
      <c r="J376" s="21" t="str">
        <f>IF(Deployments!AJ377="","",Deployments!AJ377)</f>
        <v/>
      </c>
      <c r="K376" s="21" t="str">
        <f>IF(Deployments!AD377="","",Deployments!AD377)</f>
        <v/>
      </c>
      <c r="L376" s="21" t="str">
        <f>IF(Deployments!M377="","",Deployments!M377)</f>
        <v/>
      </c>
      <c r="M376" s="22"/>
      <c r="N376" s="21" t="str">
        <f>IF(Deployments!N377="","",Deployments!N377)</f>
        <v/>
      </c>
      <c r="O376" s="21" t="str">
        <f>IF(Deployments!O377="","",Deployments!O377)</f>
        <v/>
      </c>
      <c r="P376" s="21" t="str">
        <f>IF(Deployments!P377="","",Deployments!P377)</f>
        <v/>
      </c>
      <c r="Q376" s="22"/>
      <c r="R376" s="21" t="str">
        <f>IF(Deployments!AY377="","",Deployments!AY377)</f>
        <v/>
      </c>
      <c r="S376" s="21" t="str">
        <f>IF(Deployments!AX377="","",Deployments!AX377)</f>
        <v/>
      </c>
      <c r="T376" s="21" t="str">
        <f>IF(Deployments!AV377="","",Deployments!AV377)</f>
        <v/>
      </c>
      <c r="U376" s="21" t="str">
        <f>IF(Deployments!AW377="","",Deployments!AW377)</f>
        <v/>
      </c>
      <c r="V376" s="21" t="str">
        <f>IF(Deployments!BA377="","",Deployments!BA377)</f>
        <v/>
      </c>
      <c r="W376" s="21" t="str">
        <f>IF(Deployments!BC377="","",Deployments!BC377)</f>
        <v/>
      </c>
      <c r="X376" s="21" t="str">
        <f>IF(Deployments!BK377="","",Deployments!BK377)</f>
        <v/>
      </c>
      <c r="Y376" s="21" t="str">
        <f>IF(Deployments!BB377="","",Deployments!BB377)</f>
        <v/>
      </c>
      <c r="Z376" s="21" t="str">
        <f>IF(Deployments!T377="","",Deployments!T377)</f>
        <v/>
      </c>
      <c r="AA376" s="21" t="str">
        <f>IF(Deployments!L377="","",Deployments!L377)</f>
        <v/>
      </c>
    </row>
    <row r="377" spans="1:27">
      <c r="A377" s="22"/>
      <c r="B377" s="22"/>
      <c r="C377" s="21" t="str">
        <f>IF(Deployments!H378="","",Deployments!H378)</f>
        <v/>
      </c>
      <c r="D377" s="21" t="str">
        <f>IF(Deployments!AH378="","",Deployments!AH378)</f>
        <v/>
      </c>
      <c r="E377" s="21" t="str">
        <f>IF(Deployments!I378="","",Deployments!I378)</f>
        <v/>
      </c>
      <c r="F377" s="21" t="str">
        <f>IF(Deployments!J378="","",Deployments!J378)</f>
        <v/>
      </c>
      <c r="G377" s="21" t="str">
        <f>IF(Deployments!K378="","",Deployments!K378)</f>
        <v/>
      </c>
      <c r="H377" s="21" t="str">
        <f>IF(Deployments!A378="","",Deployments!A378)</f>
        <v/>
      </c>
      <c r="I377" s="21" t="str">
        <f>IF(Deployments!AI378="","",Deployments!AI378)</f>
        <v/>
      </c>
      <c r="J377" s="21" t="str">
        <f>IF(Deployments!AJ378="","",Deployments!AJ378)</f>
        <v/>
      </c>
      <c r="K377" s="21" t="str">
        <f>IF(Deployments!AD378="","",Deployments!AD378)</f>
        <v/>
      </c>
      <c r="L377" s="21" t="str">
        <f>IF(Deployments!M378="","",Deployments!M378)</f>
        <v/>
      </c>
      <c r="M377" s="22"/>
      <c r="N377" s="21" t="str">
        <f>IF(Deployments!N378="","",Deployments!N378)</f>
        <v/>
      </c>
      <c r="O377" s="21" t="str">
        <f>IF(Deployments!O378="","",Deployments!O378)</f>
        <v/>
      </c>
      <c r="P377" s="21" t="str">
        <f>IF(Deployments!P378="","",Deployments!P378)</f>
        <v/>
      </c>
      <c r="Q377" s="22"/>
      <c r="R377" s="21" t="str">
        <f>IF(Deployments!AY378="","",Deployments!AY378)</f>
        <v/>
      </c>
      <c r="S377" s="21" t="str">
        <f>IF(Deployments!AX378="","",Deployments!AX378)</f>
        <v/>
      </c>
      <c r="T377" s="21" t="str">
        <f>IF(Deployments!AV378="","",Deployments!AV378)</f>
        <v/>
      </c>
      <c r="U377" s="21" t="str">
        <f>IF(Deployments!AW378="","",Deployments!AW378)</f>
        <v/>
      </c>
      <c r="V377" s="21" t="str">
        <f>IF(Deployments!BA378="","",Deployments!BA378)</f>
        <v/>
      </c>
      <c r="W377" s="21" t="str">
        <f>IF(Deployments!BC378="","",Deployments!BC378)</f>
        <v/>
      </c>
      <c r="X377" s="21" t="str">
        <f>IF(Deployments!BK378="","",Deployments!BK378)</f>
        <v/>
      </c>
      <c r="Y377" s="21" t="str">
        <f>IF(Deployments!BB378="","",Deployments!BB378)</f>
        <v/>
      </c>
      <c r="Z377" s="21" t="str">
        <f>IF(Deployments!T378="","",Deployments!T378)</f>
        <v/>
      </c>
      <c r="AA377" s="21" t="str">
        <f>IF(Deployments!L378="","",Deployments!L378)</f>
        <v/>
      </c>
    </row>
    <row r="378" spans="1:27">
      <c r="A378" s="22"/>
      <c r="B378" s="22"/>
      <c r="C378" s="21" t="str">
        <f>IF(Deployments!H379="","",Deployments!H379)</f>
        <v/>
      </c>
      <c r="D378" s="21" t="str">
        <f>IF(Deployments!AH379="","",Deployments!AH379)</f>
        <v/>
      </c>
      <c r="E378" s="21" t="str">
        <f>IF(Deployments!I379="","",Deployments!I379)</f>
        <v/>
      </c>
      <c r="F378" s="21" t="str">
        <f>IF(Deployments!J379="","",Deployments!J379)</f>
        <v/>
      </c>
      <c r="G378" s="21" t="str">
        <f>IF(Deployments!K379="","",Deployments!K379)</f>
        <v/>
      </c>
      <c r="H378" s="21" t="str">
        <f>IF(Deployments!A379="","",Deployments!A379)</f>
        <v/>
      </c>
      <c r="I378" s="21" t="str">
        <f>IF(Deployments!AI379="","",Deployments!AI379)</f>
        <v/>
      </c>
      <c r="J378" s="21" t="str">
        <f>IF(Deployments!AJ379="","",Deployments!AJ379)</f>
        <v/>
      </c>
      <c r="K378" s="21" t="str">
        <f>IF(Deployments!AD379="","",Deployments!AD379)</f>
        <v/>
      </c>
      <c r="L378" s="21" t="str">
        <f>IF(Deployments!M379="","",Deployments!M379)</f>
        <v/>
      </c>
      <c r="M378" s="22"/>
      <c r="N378" s="21" t="str">
        <f>IF(Deployments!N379="","",Deployments!N379)</f>
        <v/>
      </c>
      <c r="O378" s="21" t="str">
        <f>IF(Deployments!O379="","",Deployments!O379)</f>
        <v/>
      </c>
      <c r="P378" s="21" t="str">
        <f>IF(Deployments!P379="","",Deployments!P379)</f>
        <v/>
      </c>
      <c r="Q378" s="22"/>
      <c r="R378" s="21" t="str">
        <f>IF(Deployments!AY379="","",Deployments!AY379)</f>
        <v/>
      </c>
      <c r="S378" s="21" t="str">
        <f>IF(Deployments!AX379="","",Deployments!AX379)</f>
        <v/>
      </c>
      <c r="T378" s="21" t="str">
        <f>IF(Deployments!AV379="","",Deployments!AV379)</f>
        <v/>
      </c>
      <c r="U378" s="21" t="str">
        <f>IF(Deployments!AW379="","",Deployments!AW379)</f>
        <v/>
      </c>
      <c r="V378" s="21" t="str">
        <f>IF(Deployments!BA379="","",Deployments!BA379)</f>
        <v/>
      </c>
      <c r="W378" s="21" t="str">
        <f>IF(Deployments!BC379="","",Deployments!BC379)</f>
        <v/>
      </c>
      <c r="X378" s="21" t="str">
        <f>IF(Deployments!BK379="","",Deployments!BK379)</f>
        <v/>
      </c>
      <c r="Y378" s="21" t="str">
        <f>IF(Deployments!BB379="","",Deployments!BB379)</f>
        <v/>
      </c>
      <c r="Z378" s="21" t="str">
        <f>IF(Deployments!T379="","",Deployments!T379)</f>
        <v/>
      </c>
      <c r="AA378" s="21" t="str">
        <f>IF(Deployments!L379="","",Deployments!L379)</f>
        <v/>
      </c>
    </row>
    <row r="379" spans="1:27">
      <c r="A379" s="22"/>
      <c r="B379" s="22"/>
      <c r="C379" s="21" t="str">
        <f>IF(Deployments!H380="","",Deployments!H380)</f>
        <v/>
      </c>
      <c r="D379" s="21" t="str">
        <f>IF(Deployments!AH380="","",Deployments!AH380)</f>
        <v/>
      </c>
      <c r="E379" s="21" t="str">
        <f>IF(Deployments!I380="","",Deployments!I380)</f>
        <v/>
      </c>
      <c r="F379" s="21" t="str">
        <f>IF(Deployments!J380="","",Deployments!J380)</f>
        <v/>
      </c>
      <c r="G379" s="21" t="str">
        <f>IF(Deployments!K380="","",Deployments!K380)</f>
        <v/>
      </c>
      <c r="H379" s="21" t="str">
        <f>IF(Deployments!A380="","",Deployments!A380)</f>
        <v/>
      </c>
      <c r="I379" s="21" t="str">
        <f>IF(Deployments!AI380="","",Deployments!AI380)</f>
        <v/>
      </c>
      <c r="J379" s="21" t="str">
        <f>IF(Deployments!AJ380="","",Deployments!AJ380)</f>
        <v/>
      </c>
      <c r="K379" s="21" t="str">
        <f>IF(Deployments!AD380="","",Deployments!AD380)</f>
        <v/>
      </c>
      <c r="L379" s="21" t="str">
        <f>IF(Deployments!M380="","",Deployments!M380)</f>
        <v/>
      </c>
      <c r="M379" s="22"/>
      <c r="N379" s="21" t="str">
        <f>IF(Deployments!N380="","",Deployments!N380)</f>
        <v/>
      </c>
      <c r="O379" s="21" t="str">
        <f>IF(Deployments!O380="","",Deployments!O380)</f>
        <v/>
      </c>
      <c r="P379" s="21" t="str">
        <f>IF(Deployments!P380="","",Deployments!P380)</f>
        <v/>
      </c>
      <c r="Q379" s="22"/>
      <c r="R379" s="21" t="str">
        <f>IF(Deployments!AY380="","",Deployments!AY380)</f>
        <v/>
      </c>
      <c r="S379" s="21" t="str">
        <f>IF(Deployments!AX380="","",Deployments!AX380)</f>
        <v/>
      </c>
      <c r="T379" s="21" t="str">
        <f>IF(Deployments!AV380="","",Deployments!AV380)</f>
        <v/>
      </c>
      <c r="U379" s="21" t="str">
        <f>IF(Deployments!AW380="","",Deployments!AW380)</f>
        <v/>
      </c>
      <c r="V379" s="21" t="str">
        <f>IF(Deployments!BA380="","",Deployments!BA380)</f>
        <v/>
      </c>
      <c r="W379" s="21" t="str">
        <f>IF(Deployments!BC380="","",Deployments!BC380)</f>
        <v/>
      </c>
      <c r="X379" s="21" t="str">
        <f>IF(Deployments!BK380="","",Deployments!BK380)</f>
        <v/>
      </c>
      <c r="Y379" s="21" t="str">
        <f>IF(Deployments!BB380="","",Deployments!BB380)</f>
        <v/>
      </c>
      <c r="Z379" s="21" t="str">
        <f>IF(Deployments!T380="","",Deployments!T380)</f>
        <v/>
      </c>
      <c r="AA379" s="21" t="str">
        <f>IF(Deployments!L380="","",Deployments!L380)</f>
        <v/>
      </c>
    </row>
    <row r="380" spans="1:27">
      <c r="A380" s="22"/>
      <c r="B380" s="22"/>
      <c r="C380" s="21" t="str">
        <f>IF(Deployments!H381="","",Deployments!H381)</f>
        <v/>
      </c>
      <c r="D380" s="21" t="str">
        <f>IF(Deployments!AH381="","",Deployments!AH381)</f>
        <v/>
      </c>
      <c r="E380" s="21" t="str">
        <f>IF(Deployments!I381="","",Deployments!I381)</f>
        <v/>
      </c>
      <c r="F380" s="21" t="str">
        <f>IF(Deployments!J381="","",Deployments!J381)</f>
        <v/>
      </c>
      <c r="G380" s="21" t="str">
        <f>IF(Deployments!K381="","",Deployments!K381)</f>
        <v/>
      </c>
      <c r="H380" s="21" t="str">
        <f>IF(Deployments!A381="","",Deployments!A381)</f>
        <v/>
      </c>
      <c r="I380" s="21" t="str">
        <f>IF(Deployments!AI381="","",Deployments!AI381)</f>
        <v/>
      </c>
      <c r="J380" s="21" t="str">
        <f>IF(Deployments!AJ381="","",Deployments!AJ381)</f>
        <v/>
      </c>
      <c r="K380" s="21" t="str">
        <f>IF(Deployments!AD381="","",Deployments!AD381)</f>
        <v/>
      </c>
      <c r="L380" s="21" t="str">
        <f>IF(Deployments!M381="","",Deployments!M381)</f>
        <v/>
      </c>
      <c r="M380" s="22"/>
      <c r="N380" s="21" t="str">
        <f>IF(Deployments!N381="","",Deployments!N381)</f>
        <v/>
      </c>
      <c r="O380" s="21" t="str">
        <f>IF(Deployments!O381="","",Deployments!O381)</f>
        <v/>
      </c>
      <c r="P380" s="21" t="str">
        <f>IF(Deployments!P381="","",Deployments!P381)</f>
        <v/>
      </c>
      <c r="Q380" s="22"/>
      <c r="R380" s="21" t="str">
        <f>IF(Deployments!AY381="","",Deployments!AY381)</f>
        <v/>
      </c>
      <c r="S380" s="21" t="str">
        <f>IF(Deployments!AX381="","",Deployments!AX381)</f>
        <v/>
      </c>
      <c r="T380" s="21" t="str">
        <f>IF(Deployments!AV381="","",Deployments!AV381)</f>
        <v/>
      </c>
      <c r="U380" s="21" t="str">
        <f>IF(Deployments!AW381="","",Deployments!AW381)</f>
        <v/>
      </c>
      <c r="V380" s="21" t="str">
        <f>IF(Deployments!BA381="","",Deployments!BA381)</f>
        <v/>
      </c>
      <c r="W380" s="21" t="str">
        <f>IF(Deployments!BC381="","",Deployments!BC381)</f>
        <v/>
      </c>
      <c r="X380" s="21" t="str">
        <f>IF(Deployments!BK381="","",Deployments!BK381)</f>
        <v/>
      </c>
      <c r="Y380" s="21" t="str">
        <f>IF(Deployments!BB381="","",Deployments!BB381)</f>
        <v/>
      </c>
      <c r="Z380" s="21" t="str">
        <f>IF(Deployments!T381="","",Deployments!T381)</f>
        <v/>
      </c>
      <c r="AA380" s="21" t="str">
        <f>IF(Deployments!L381="","",Deployments!L381)</f>
        <v/>
      </c>
    </row>
    <row r="381" spans="1:27">
      <c r="A381" s="22"/>
      <c r="B381" s="22"/>
      <c r="C381" s="21" t="str">
        <f>IF(Deployments!H382="","",Deployments!H382)</f>
        <v/>
      </c>
      <c r="D381" s="21" t="str">
        <f>IF(Deployments!AH382="","",Deployments!AH382)</f>
        <v/>
      </c>
      <c r="E381" s="21" t="str">
        <f>IF(Deployments!I382="","",Deployments!I382)</f>
        <v/>
      </c>
      <c r="F381" s="21" t="str">
        <f>IF(Deployments!J382="","",Deployments!J382)</f>
        <v/>
      </c>
      <c r="G381" s="21" t="str">
        <f>IF(Deployments!K382="","",Deployments!K382)</f>
        <v/>
      </c>
      <c r="H381" s="21" t="str">
        <f>IF(Deployments!A382="","",Deployments!A382)</f>
        <v/>
      </c>
      <c r="I381" s="21" t="str">
        <f>IF(Deployments!AI382="","",Deployments!AI382)</f>
        <v/>
      </c>
      <c r="J381" s="21" t="str">
        <f>IF(Deployments!AJ382="","",Deployments!AJ382)</f>
        <v/>
      </c>
      <c r="K381" s="21" t="str">
        <f>IF(Deployments!AD382="","",Deployments!AD382)</f>
        <v/>
      </c>
      <c r="L381" s="21" t="str">
        <f>IF(Deployments!M382="","",Deployments!M382)</f>
        <v/>
      </c>
      <c r="M381" s="22"/>
      <c r="N381" s="21" t="str">
        <f>IF(Deployments!N382="","",Deployments!N382)</f>
        <v/>
      </c>
      <c r="O381" s="21" t="str">
        <f>IF(Deployments!O382="","",Deployments!O382)</f>
        <v/>
      </c>
      <c r="P381" s="21" t="str">
        <f>IF(Deployments!P382="","",Deployments!P382)</f>
        <v/>
      </c>
      <c r="Q381" s="22"/>
      <c r="R381" s="21" t="str">
        <f>IF(Deployments!AY382="","",Deployments!AY382)</f>
        <v/>
      </c>
      <c r="S381" s="21" t="str">
        <f>IF(Deployments!AX382="","",Deployments!AX382)</f>
        <v/>
      </c>
      <c r="T381" s="21" t="str">
        <f>IF(Deployments!AV382="","",Deployments!AV382)</f>
        <v/>
      </c>
      <c r="U381" s="21" t="str">
        <f>IF(Deployments!AW382="","",Deployments!AW382)</f>
        <v/>
      </c>
      <c r="V381" s="21" t="str">
        <f>IF(Deployments!BA382="","",Deployments!BA382)</f>
        <v/>
      </c>
      <c r="W381" s="21" t="str">
        <f>IF(Deployments!BC382="","",Deployments!BC382)</f>
        <v/>
      </c>
      <c r="X381" s="21" t="str">
        <f>IF(Deployments!BK382="","",Deployments!BK382)</f>
        <v/>
      </c>
      <c r="Y381" s="21" t="str">
        <f>IF(Deployments!BB382="","",Deployments!BB382)</f>
        <v/>
      </c>
      <c r="Z381" s="21" t="str">
        <f>IF(Deployments!T382="","",Deployments!T382)</f>
        <v/>
      </c>
      <c r="AA381" s="21" t="str">
        <f>IF(Deployments!L382="","",Deployments!L382)</f>
        <v/>
      </c>
    </row>
    <row r="382" spans="1:27">
      <c r="A382" s="22"/>
      <c r="B382" s="22"/>
      <c r="C382" s="21" t="str">
        <f>IF(Deployments!H383="","",Deployments!H383)</f>
        <v/>
      </c>
      <c r="D382" s="21" t="str">
        <f>IF(Deployments!AH383="","",Deployments!AH383)</f>
        <v/>
      </c>
      <c r="E382" s="21" t="str">
        <f>IF(Deployments!I383="","",Deployments!I383)</f>
        <v/>
      </c>
      <c r="F382" s="21" t="str">
        <f>IF(Deployments!J383="","",Deployments!J383)</f>
        <v/>
      </c>
      <c r="G382" s="21" t="str">
        <f>IF(Deployments!K383="","",Deployments!K383)</f>
        <v/>
      </c>
      <c r="H382" s="21" t="str">
        <f>IF(Deployments!A383="","",Deployments!A383)</f>
        <v/>
      </c>
      <c r="I382" s="21" t="str">
        <f>IF(Deployments!AI383="","",Deployments!AI383)</f>
        <v/>
      </c>
      <c r="J382" s="21" t="str">
        <f>IF(Deployments!AJ383="","",Deployments!AJ383)</f>
        <v/>
      </c>
      <c r="K382" s="21" t="str">
        <f>IF(Deployments!AD383="","",Deployments!AD383)</f>
        <v/>
      </c>
      <c r="L382" s="21" t="str">
        <f>IF(Deployments!M383="","",Deployments!M383)</f>
        <v/>
      </c>
      <c r="M382" s="22"/>
      <c r="N382" s="21" t="str">
        <f>IF(Deployments!N383="","",Deployments!N383)</f>
        <v/>
      </c>
      <c r="O382" s="21" t="str">
        <f>IF(Deployments!O383="","",Deployments!O383)</f>
        <v/>
      </c>
      <c r="P382" s="21" t="str">
        <f>IF(Deployments!P383="","",Deployments!P383)</f>
        <v/>
      </c>
      <c r="Q382" s="22"/>
      <c r="R382" s="21" t="str">
        <f>IF(Deployments!AY383="","",Deployments!AY383)</f>
        <v/>
      </c>
      <c r="S382" s="21" t="str">
        <f>IF(Deployments!AX383="","",Deployments!AX383)</f>
        <v/>
      </c>
      <c r="T382" s="21" t="str">
        <f>IF(Deployments!AV383="","",Deployments!AV383)</f>
        <v/>
      </c>
      <c r="U382" s="21" t="str">
        <f>IF(Deployments!AW383="","",Deployments!AW383)</f>
        <v/>
      </c>
      <c r="V382" s="21" t="str">
        <f>IF(Deployments!BA383="","",Deployments!BA383)</f>
        <v/>
      </c>
      <c r="W382" s="21" t="str">
        <f>IF(Deployments!BC383="","",Deployments!BC383)</f>
        <v/>
      </c>
      <c r="X382" s="21" t="str">
        <f>IF(Deployments!BK383="","",Deployments!BK383)</f>
        <v/>
      </c>
      <c r="Y382" s="21" t="str">
        <f>IF(Deployments!BB383="","",Deployments!BB383)</f>
        <v/>
      </c>
      <c r="Z382" s="21" t="str">
        <f>IF(Deployments!T383="","",Deployments!T383)</f>
        <v/>
      </c>
      <c r="AA382" s="21" t="str">
        <f>IF(Deployments!L383="","",Deployments!L383)</f>
        <v/>
      </c>
    </row>
    <row r="383" spans="1:27">
      <c r="A383" s="22"/>
      <c r="B383" s="22"/>
      <c r="C383" s="21" t="str">
        <f>IF(Deployments!H384="","",Deployments!H384)</f>
        <v/>
      </c>
      <c r="D383" s="21" t="str">
        <f>IF(Deployments!AH384="","",Deployments!AH384)</f>
        <v/>
      </c>
      <c r="E383" s="21" t="str">
        <f>IF(Deployments!I384="","",Deployments!I384)</f>
        <v/>
      </c>
      <c r="F383" s="21" t="str">
        <f>IF(Deployments!J384="","",Deployments!J384)</f>
        <v/>
      </c>
      <c r="G383" s="21" t="str">
        <f>IF(Deployments!K384="","",Deployments!K384)</f>
        <v/>
      </c>
      <c r="H383" s="21" t="str">
        <f>IF(Deployments!A384="","",Deployments!A384)</f>
        <v/>
      </c>
      <c r="I383" s="21" t="str">
        <f>IF(Deployments!AI384="","",Deployments!AI384)</f>
        <v/>
      </c>
      <c r="J383" s="21" t="str">
        <f>IF(Deployments!AJ384="","",Deployments!AJ384)</f>
        <v/>
      </c>
      <c r="K383" s="21" t="str">
        <f>IF(Deployments!AD384="","",Deployments!AD384)</f>
        <v/>
      </c>
      <c r="L383" s="21" t="str">
        <f>IF(Deployments!M384="","",Deployments!M384)</f>
        <v/>
      </c>
      <c r="M383" s="22"/>
      <c r="N383" s="21" t="str">
        <f>IF(Deployments!N384="","",Deployments!N384)</f>
        <v/>
      </c>
      <c r="O383" s="21" t="str">
        <f>IF(Deployments!O384="","",Deployments!O384)</f>
        <v/>
      </c>
      <c r="P383" s="21" t="str">
        <f>IF(Deployments!P384="","",Deployments!P384)</f>
        <v/>
      </c>
      <c r="Q383" s="22"/>
      <c r="R383" s="21" t="str">
        <f>IF(Deployments!AY384="","",Deployments!AY384)</f>
        <v/>
      </c>
      <c r="S383" s="21" t="str">
        <f>IF(Deployments!AX384="","",Deployments!AX384)</f>
        <v/>
      </c>
      <c r="T383" s="21" t="str">
        <f>IF(Deployments!AV384="","",Deployments!AV384)</f>
        <v/>
      </c>
      <c r="U383" s="21" t="str">
        <f>IF(Deployments!AW384="","",Deployments!AW384)</f>
        <v/>
      </c>
      <c r="V383" s="21" t="str">
        <f>IF(Deployments!BA384="","",Deployments!BA384)</f>
        <v/>
      </c>
      <c r="W383" s="21" t="str">
        <f>IF(Deployments!BC384="","",Deployments!BC384)</f>
        <v/>
      </c>
      <c r="X383" s="21" t="str">
        <f>IF(Deployments!BK384="","",Deployments!BK384)</f>
        <v/>
      </c>
      <c r="Y383" s="21" t="str">
        <f>IF(Deployments!BB384="","",Deployments!BB384)</f>
        <v/>
      </c>
      <c r="Z383" s="21" t="str">
        <f>IF(Deployments!T384="","",Deployments!T384)</f>
        <v/>
      </c>
      <c r="AA383" s="21" t="str">
        <f>IF(Deployments!L384="","",Deployments!L384)</f>
        <v/>
      </c>
    </row>
    <row r="384" spans="1:27">
      <c r="A384" s="22"/>
      <c r="B384" s="22"/>
      <c r="C384" s="21" t="str">
        <f>IF(Deployments!H385="","",Deployments!H385)</f>
        <v/>
      </c>
      <c r="D384" s="21" t="str">
        <f>IF(Deployments!AH385="","",Deployments!AH385)</f>
        <v/>
      </c>
      <c r="E384" s="21" t="str">
        <f>IF(Deployments!I385="","",Deployments!I385)</f>
        <v/>
      </c>
      <c r="F384" s="21" t="str">
        <f>IF(Deployments!J385="","",Deployments!J385)</f>
        <v/>
      </c>
      <c r="G384" s="21" t="str">
        <f>IF(Deployments!K385="","",Deployments!K385)</f>
        <v/>
      </c>
      <c r="H384" s="21" t="str">
        <f>IF(Deployments!A385="","",Deployments!A385)</f>
        <v/>
      </c>
      <c r="I384" s="21" t="str">
        <f>IF(Deployments!AI385="","",Deployments!AI385)</f>
        <v/>
      </c>
      <c r="J384" s="21" t="str">
        <f>IF(Deployments!AJ385="","",Deployments!AJ385)</f>
        <v/>
      </c>
      <c r="K384" s="21" t="str">
        <f>IF(Deployments!AD385="","",Deployments!AD385)</f>
        <v/>
      </c>
      <c r="L384" s="21" t="str">
        <f>IF(Deployments!M385="","",Deployments!M385)</f>
        <v/>
      </c>
      <c r="M384" s="22"/>
      <c r="N384" s="21" t="str">
        <f>IF(Deployments!N385="","",Deployments!N385)</f>
        <v/>
      </c>
      <c r="O384" s="21" t="str">
        <f>IF(Deployments!O385="","",Deployments!O385)</f>
        <v/>
      </c>
      <c r="P384" s="21" t="str">
        <f>IF(Deployments!P385="","",Deployments!P385)</f>
        <v/>
      </c>
      <c r="Q384" s="22"/>
      <c r="R384" s="21" t="str">
        <f>IF(Deployments!AY385="","",Deployments!AY385)</f>
        <v/>
      </c>
      <c r="S384" s="21" t="str">
        <f>IF(Deployments!AX385="","",Deployments!AX385)</f>
        <v/>
      </c>
      <c r="T384" s="21" t="str">
        <f>IF(Deployments!AV385="","",Deployments!AV385)</f>
        <v/>
      </c>
      <c r="U384" s="21" t="str">
        <f>IF(Deployments!AW385="","",Deployments!AW385)</f>
        <v/>
      </c>
      <c r="V384" s="21" t="str">
        <f>IF(Deployments!BA385="","",Deployments!BA385)</f>
        <v/>
      </c>
      <c r="W384" s="21" t="str">
        <f>IF(Deployments!BC385="","",Deployments!BC385)</f>
        <v/>
      </c>
      <c r="X384" s="21" t="str">
        <f>IF(Deployments!BK385="","",Deployments!BK385)</f>
        <v/>
      </c>
      <c r="Y384" s="21" t="str">
        <f>IF(Deployments!BB385="","",Deployments!BB385)</f>
        <v/>
      </c>
      <c r="Z384" s="21" t="str">
        <f>IF(Deployments!T385="","",Deployments!T385)</f>
        <v/>
      </c>
      <c r="AA384" s="21" t="str">
        <f>IF(Deployments!L385="","",Deployments!L385)</f>
        <v/>
      </c>
    </row>
    <row r="385" spans="1:27">
      <c r="A385" s="22"/>
      <c r="B385" s="22"/>
      <c r="C385" s="21" t="str">
        <f>IF(Deployments!H386="","",Deployments!H386)</f>
        <v/>
      </c>
      <c r="D385" s="21" t="str">
        <f>IF(Deployments!AH386="","",Deployments!AH386)</f>
        <v/>
      </c>
      <c r="E385" s="21" t="str">
        <f>IF(Deployments!I386="","",Deployments!I386)</f>
        <v/>
      </c>
      <c r="F385" s="21" t="str">
        <f>IF(Deployments!J386="","",Deployments!J386)</f>
        <v/>
      </c>
      <c r="G385" s="21" t="str">
        <f>IF(Deployments!K386="","",Deployments!K386)</f>
        <v/>
      </c>
      <c r="H385" s="21" t="str">
        <f>IF(Deployments!A386="","",Deployments!A386)</f>
        <v/>
      </c>
      <c r="I385" s="21" t="str">
        <f>IF(Deployments!AI386="","",Deployments!AI386)</f>
        <v/>
      </c>
      <c r="J385" s="21" t="str">
        <f>IF(Deployments!AJ386="","",Deployments!AJ386)</f>
        <v/>
      </c>
      <c r="K385" s="21" t="str">
        <f>IF(Deployments!AD386="","",Deployments!AD386)</f>
        <v/>
      </c>
      <c r="L385" s="21" t="str">
        <f>IF(Deployments!M386="","",Deployments!M386)</f>
        <v/>
      </c>
      <c r="M385" s="22"/>
      <c r="N385" s="21" t="str">
        <f>IF(Deployments!N386="","",Deployments!N386)</f>
        <v/>
      </c>
      <c r="O385" s="21" t="str">
        <f>IF(Deployments!O386="","",Deployments!O386)</f>
        <v/>
      </c>
      <c r="P385" s="21" t="str">
        <f>IF(Deployments!P386="","",Deployments!P386)</f>
        <v/>
      </c>
      <c r="Q385" s="22"/>
      <c r="R385" s="21" t="str">
        <f>IF(Deployments!AY386="","",Deployments!AY386)</f>
        <v/>
      </c>
      <c r="S385" s="21" t="str">
        <f>IF(Deployments!AX386="","",Deployments!AX386)</f>
        <v/>
      </c>
      <c r="T385" s="21" t="str">
        <f>IF(Deployments!AV386="","",Deployments!AV386)</f>
        <v/>
      </c>
      <c r="U385" s="21" t="str">
        <f>IF(Deployments!AW386="","",Deployments!AW386)</f>
        <v/>
      </c>
      <c r="V385" s="21" t="str">
        <f>IF(Deployments!BA386="","",Deployments!BA386)</f>
        <v/>
      </c>
      <c r="W385" s="21" t="str">
        <f>IF(Deployments!BC386="","",Deployments!BC386)</f>
        <v/>
      </c>
      <c r="X385" s="21" t="str">
        <f>IF(Deployments!BK386="","",Deployments!BK386)</f>
        <v/>
      </c>
      <c r="Y385" s="21" t="str">
        <f>IF(Deployments!BB386="","",Deployments!BB386)</f>
        <v/>
      </c>
      <c r="Z385" s="21" t="str">
        <f>IF(Deployments!T386="","",Deployments!T386)</f>
        <v/>
      </c>
      <c r="AA385" s="21" t="str">
        <f>IF(Deployments!L386="","",Deployments!L386)</f>
        <v/>
      </c>
    </row>
    <row r="386" spans="1:27">
      <c r="A386" s="22"/>
      <c r="B386" s="22"/>
      <c r="C386" s="21" t="str">
        <f>IF(Deployments!H387="","",Deployments!H387)</f>
        <v/>
      </c>
      <c r="D386" s="21" t="str">
        <f>IF(Deployments!AH387="","",Deployments!AH387)</f>
        <v/>
      </c>
      <c r="E386" s="21" t="str">
        <f>IF(Deployments!I387="","",Deployments!I387)</f>
        <v/>
      </c>
      <c r="F386" s="21" t="str">
        <f>IF(Deployments!J387="","",Deployments!J387)</f>
        <v/>
      </c>
      <c r="G386" s="21" t="str">
        <f>IF(Deployments!K387="","",Deployments!K387)</f>
        <v/>
      </c>
      <c r="H386" s="21" t="str">
        <f>IF(Deployments!A387="","",Deployments!A387)</f>
        <v/>
      </c>
      <c r="I386" s="21" t="str">
        <f>IF(Deployments!AI387="","",Deployments!AI387)</f>
        <v/>
      </c>
      <c r="J386" s="21" t="str">
        <f>IF(Deployments!AJ387="","",Deployments!AJ387)</f>
        <v/>
      </c>
      <c r="K386" s="21" t="str">
        <f>IF(Deployments!AD387="","",Deployments!AD387)</f>
        <v/>
      </c>
      <c r="L386" s="21" t="str">
        <f>IF(Deployments!M387="","",Deployments!M387)</f>
        <v/>
      </c>
      <c r="M386" s="22"/>
      <c r="N386" s="21" t="str">
        <f>IF(Deployments!N387="","",Deployments!N387)</f>
        <v/>
      </c>
      <c r="O386" s="21" t="str">
        <f>IF(Deployments!O387="","",Deployments!O387)</f>
        <v/>
      </c>
      <c r="P386" s="21" t="str">
        <f>IF(Deployments!P387="","",Deployments!P387)</f>
        <v/>
      </c>
      <c r="Q386" s="22"/>
      <c r="R386" s="21" t="str">
        <f>IF(Deployments!AY387="","",Deployments!AY387)</f>
        <v/>
      </c>
      <c r="S386" s="21" t="str">
        <f>IF(Deployments!AX387="","",Deployments!AX387)</f>
        <v/>
      </c>
      <c r="T386" s="21" t="str">
        <f>IF(Deployments!AV387="","",Deployments!AV387)</f>
        <v/>
      </c>
      <c r="U386" s="21" t="str">
        <f>IF(Deployments!AW387="","",Deployments!AW387)</f>
        <v/>
      </c>
      <c r="V386" s="21" t="str">
        <f>IF(Deployments!BA387="","",Deployments!BA387)</f>
        <v/>
      </c>
      <c r="W386" s="21" t="str">
        <f>IF(Deployments!BC387="","",Deployments!BC387)</f>
        <v/>
      </c>
      <c r="X386" s="21" t="str">
        <f>IF(Deployments!BK387="","",Deployments!BK387)</f>
        <v/>
      </c>
      <c r="Y386" s="21" t="str">
        <f>IF(Deployments!BB387="","",Deployments!BB387)</f>
        <v/>
      </c>
      <c r="Z386" s="21" t="str">
        <f>IF(Deployments!T387="","",Deployments!T387)</f>
        <v/>
      </c>
      <c r="AA386" s="21" t="str">
        <f>IF(Deployments!L387="","",Deployments!L387)</f>
        <v/>
      </c>
    </row>
    <row r="387" spans="1:27">
      <c r="A387" s="22"/>
      <c r="B387" s="22"/>
      <c r="C387" s="21" t="str">
        <f>IF(Deployments!H388="","",Deployments!H388)</f>
        <v/>
      </c>
      <c r="D387" s="21" t="str">
        <f>IF(Deployments!AH388="","",Deployments!AH388)</f>
        <v/>
      </c>
      <c r="E387" s="21" t="str">
        <f>IF(Deployments!I388="","",Deployments!I388)</f>
        <v/>
      </c>
      <c r="F387" s="21" t="str">
        <f>IF(Deployments!J388="","",Deployments!J388)</f>
        <v/>
      </c>
      <c r="G387" s="21" t="str">
        <f>IF(Deployments!K388="","",Deployments!K388)</f>
        <v/>
      </c>
      <c r="H387" s="21" t="str">
        <f>IF(Deployments!A388="","",Deployments!A388)</f>
        <v/>
      </c>
      <c r="I387" s="21" t="str">
        <f>IF(Deployments!AI388="","",Deployments!AI388)</f>
        <v/>
      </c>
      <c r="J387" s="21" t="str">
        <f>IF(Deployments!AJ388="","",Deployments!AJ388)</f>
        <v/>
      </c>
      <c r="K387" s="21" t="str">
        <f>IF(Deployments!AD388="","",Deployments!AD388)</f>
        <v/>
      </c>
      <c r="L387" s="21" t="str">
        <f>IF(Deployments!M388="","",Deployments!M388)</f>
        <v/>
      </c>
      <c r="M387" s="22"/>
      <c r="N387" s="21" t="str">
        <f>IF(Deployments!N388="","",Deployments!N388)</f>
        <v/>
      </c>
      <c r="O387" s="21" t="str">
        <f>IF(Deployments!O388="","",Deployments!O388)</f>
        <v/>
      </c>
      <c r="P387" s="21" t="str">
        <f>IF(Deployments!P388="","",Deployments!P388)</f>
        <v/>
      </c>
      <c r="Q387" s="22"/>
      <c r="R387" s="21" t="str">
        <f>IF(Deployments!AY388="","",Deployments!AY388)</f>
        <v/>
      </c>
      <c r="S387" s="21" t="str">
        <f>IF(Deployments!AX388="","",Deployments!AX388)</f>
        <v/>
      </c>
      <c r="T387" s="21" t="str">
        <f>IF(Deployments!AV388="","",Deployments!AV388)</f>
        <v/>
      </c>
      <c r="U387" s="21" t="str">
        <f>IF(Deployments!AW388="","",Deployments!AW388)</f>
        <v/>
      </c>
      <c r="V387" s="21" t="str">
        <f>IF(Deployments!BA388="","",Deployments!BA388)</f>
        <v/>
      </c>
      <c r="W387" s="21" t="str">
        <f>IF(Deployments!BC388="","",Deployments!BC388)</f>
        <v/>
      </c>
      <c r="X387" s="21" t="str">
        <f>IF(Deployments!BK388="","",Deployments!BK388)</f>
        <v/>
      </c>
      <c r="Y387" s="21" t="str">
        <f>IF(Deployments!BB388="","",Deployments!BB388)</f>
        <v/>
      </c>
      <c r="Z387" s="21" t="str">
        <f>IF(Deployments!T388="","",Deployments!T388)</f>
        <v/>
      </c>
      <c r="AA387" s="21" t="str">
        <f>IF(Deployments!L388="","",Deployments!L388)</f>
        <v/>
      </c>
    </row>
    <row r="388" spans="1:27">
      <c r="A388" s="22"/>
      <c r="B388" s="22"/>
      <c r="C388" s="21" t="str">
        <f>IF(Deployments!H389="","",Deployments!H389)</f>
        <v/>
      </c>
      <c r="D388" s="21" t="str">
        <f>IF(Deployments!AH389="","",Deployments!AH389)</f>
        <v/>
      </c>
      <c r="E388" s="21" t="str">
        <f>IF(Deployments!I389="","",Deployments!I389)</f>
        <v/>
      </c>
      <c r="F388" s="21" t="str">
        <f>IF(Deployments!J389="","",Deployments!J389)</f>
        <v/>
      </c>
      <c r="G388" s="21" t="str">
        <f>IF(Deployments!K389="","",Deployments!K389)</f>
        <v/>
      </c>
      <c r="H388" s="21" t="str">
        <f>IF(Deployments!A389="","",Deployments!A389)</f>
        <v/>
      </c>
      <c r="I388" s="21" t="str">
        <f>IF(Deployments!AI389="","",Deployments!AI389)</f>
        <v/>
      </c>
      <c r="J388" s="21" t="str">
        <f>IF(Deployments!AJ389="","",Deployments!AJ389)</f>
        <v/>
      </c>
      <c r="K388" s="21" t="str">
        <f>IF(Deployments!AD389="","",Deployments!AD389)</f>
        <v/>
      </c>
      <c r="L388" s="21" t="str">
        <f>IF(Deployments!M389="","",Deployments!M389)</f>
        <v/>
      </c>
      <c r="M388" s="22"/>
      <c r="N388" s="21" t="str">
        <f>IF(Deployments!N389="","",Deployments!N389)</f>
        <v/>
      </c>
      <c r="O388" s="21" t="str">
        <f>IF(Deployments!O389="","",Deployments!O389)</f>
        <v/>
      </c>
      <c r="P388" s="21" t="str">
        <f>IF(Deployments!P389="","",Deployments!P389)</f>
        <v/>
      </c>
      <c r="Q388" s="22"/>
      <c r="R388" s="21" t="str">
        <f>IF(Deployments!AY389="","",Deployments!AY389)</f>
        <v/>
      </c>
      <c r="S388" s="21" t="str">
        <f>IF(Deployments!AX389="","",Deployments!AX389)</f>
        <v/>
      </c>
      <c r="T388" s="21" t="str">
        <f>IF(Deployments!AV389="","",Deployments!AV389)</f>
        <v/>
      </c>
      <c r="U388" s="21" t="str">
        <f>IF(Deployments!AW389="","",Deployments!AW389)</f>
        <v/>
      </c>
      <c r="V388" s="21" t="str">
        <f>IF(Deployments!BA389="","",Deployments!BA389)</f>
        <v/>
      </c>
      <c r="W388" s="21" t="str">
        <f>IF(Deployments!BC389="","",Deployments!BC389)</f>
        <v/>
      </c>
      <c r="X388" s="21" t="str">
        <f>IF(Deployments!BK389="","",Deployments!BK389)</f>
        <v/>
      </c>
      <c r="Y388" s="21" t="str">
        <f>IF(Deployments!BB389="","",Deployments!BB389)</f>
        <v/>
      </c>
      <c r="Z388" s="21" t="str">
        <f>IF(Deployments!T389="","",Deployments!T389)</f>
        <v/>
      </c>
      <c r="AA388" s="21" t="str">
        <f>IF(Deployments!L389="","",Deployments!L389)</f>
        <v/>
      </c>
    </row>
    <row r="389" spans="1:27">
      <c r="A389" s="22"/>
      <c r="B389" s="22"/>
      <c r="C389" s="21" t="str">
        <f>IF(Deployments!H390="","",Deployments!H390)</f>
        <v/>
      </c>
      <c r="D389" s="21" t="str">
        <f>IF(Deployments!AH390="","",Deployments!AH390)</f>
        <v/>
      </c>
      <c r="E389" s="21" t="str">
        <f>IF(Deployments!I390="","",Deployments!I390)</f>
        <v/>
      </c>
      <c r="F389" s="21" t="str">
        <f>IF(Deployments!J390="","",Deployments!J390)</f>
        <v/>
      </c>
      <c r="G389" s="21" t="str">
        <f>IF(Deployments!K390="","",Deployments!K390)</f>
        <v/>
      </c>
      <c r="H389" s="21" t="str">
        <f>IF(Deployments!A390="","",Deployments!A390)</f>
        <v/>
      </c>
      <c r="I389" s="21" t="str">
        <f>IF(Deployments!AI390="","",Deployments!AI390)</f>
        <v/>
      </c>
      <c r="J389" s="21" t="str">
        <f>IF(Deployments!AJ390="","",Deployments!AJ390)</f>
        <v/>
      </c>
      <c r="K389" s="21" t="str">
        <f>IF(Deployments!AD390="","",Deployments!AD390)</f>
        <v/>
      </c>
      <c r="L389" s="21" t="str">
        <f>IF(Deployments!M390="","",Deployments!M390)</f>
        <v/>
      </c>
      <c r="M389" s="22"/>
      <c r="N389" s="21" t="str">
        <f>IF(Deployments!N390="","",Deployments!N390)</f>
        <v/>
      </c>
      <c r="O389" s="21" t="str">
        <f>IF(Deployments!O390="","",Deployments!O390)</f>
        <v/>
      </c>
      <c r="P389" s="21" t="str">
        <f>IF(Deployments!P390="","",Deployments!P390)</f>
        <v/>
      </c>
      <c r="Q389" s="22"/>
      <c r="R389" s="21" t="str">
        <f>IF(Deployments!AY390="","",Deployments!AY390)</f>
        <v/>
      </c>
      <c r="S389" s="21" t="str">
        <f>IF(Deployments!AX390="","",Deployments!AX390)</f>
        <v/>
      </c>
      <c r="T389" s="21" t="str">
        <f>IF(Deployments!AV390="","",Deployments!AV390)</f>
        <v/>
      </c>
      <c r="U389" s="21" t="str">
        <f>IF(Deployments!AW390="","",Deployments!AW390)</f>
        <v/>
      </c>
      <c r="V389" s="21" t="str">
        <f>IF(Deployments!BA390="","",Deployments!BA390)</f>
        <v/>
      </c>
      <c r="W389" s="21" t="str">
        <f>IF(Deployments!BC390="","",Deployments!BC390)</f>
        <v/>
      </c>
      <c r="X389" s="21" t="str">
        <f>IF(Deployments!BK390="","",Deployments!BK390)</f>
        <v/>
      </c>
      <c r="Y389" s="21" t="str">
        <f>IF(Deployments!BB390="","",Deployments!BB390)</f>
        <v/>
      </c>
      <c r="Z389" s="21" t="str">
        <f>IF(Deployments!T390="","",Deployments!T390)</f>
        <v/>
      </c>
      <c r="AA389" s="21" t="str">
        <f>IF(Deployments!L390="","",Deployments!L390)</f>
        <v/>
      </c>
    </row>
    <row r="390" spans="1:27">
      <c r="A390" s="22"/>
      <c r="B390" s="22"/>
      <c r="C390" s="21" t="str">
        <f>IF(Deployments!H391="","",Deployments!H391)</f>
        <v/>
      </c>
      <c r="D390" s="21" t="str">
        <f>IF(Deployments!AH391="","",Deployments!AH391)</f>
        <v/>
      </c>
      <c r="E390" s="21" t="str">
        <f>IF(Deployments!I391="","",Deployments!I391)</f>
        <v/>
      </c>
      <c r="F390" s="21" t="str">
        <f>IF(Deployments!J391="","",Deployments!J391)</f>
        <v/>
      </c>
      <c r="G390" s="21" t="str">
        <f>IF(Deployments!K391="","",Deployments!K391)</f>
        <v/>
      </c>
      <c r="H390" s="21" t="str">
        <f>IF(Deployments!A391="","",Deployments!A391)</f>
        <v/>
      </c>
      <c r="I390" s="21" t="str">
        <f>IF(Deployments!AI391="","",Deployments!AI391)</f>
        <v/>
      </c>
      <c r="J390" s="21" t="str">
        <f>IF(Deployments!AJ391="","",Deployments!AJ391)</f>
        <v/>
      </c>
      <c r="K390" s="21" t="str">
        <f>IF(Deployments!AD391="","",Deployments!AD391)</f>
        <v/>
      </c>
      <c r="L390" s="21" t="str">
        <f>IF(Deployments!M391="","",Deployments!M391)</f>
        <v/>
      </c>
      <c r="M390" s="22"/>
      <c r="N390" s="21" t="str">
        <f>IF(Deployments!N391="","",Deployments!N391)</f>
        <v/>
      </c>
      <c r="O390" s="21" t="str">
        <f>IF(Deployments!O391="","",Deployments!O391)</f>
        <v/>
      </c>
      <c r="P390" s="21" t="str">
        <f>IF(Deployments!P391="","",Deployments!P391)</f>
        <v/>
      </c>
      <c r="Q390" s="22"/>
      <c r="R390" s="21" t="str">
        <f>IF(Deployments!AY391="","",Deployments!AY391)</f>
        <v/>
      </c>
      <c r="S390" s="21" t="str">
        <f>IF(Deployments!AX391="","",Deployments!AX391)</f>
        <v/>
      </c>
      <c r="T390" s="21" t="str">
        <f>IF(Deployments!AV391="","",Deployments!AV391)</f>
        <v/>
      </c>
      <c r="U390" s="21" t="str">
        <f>IF(Deployments!AW391="","",Deployments!AW391)</f>
        <v/>
      </c>
      <c r="V390" s="21" t="str">
        <f>IF(Deployments!BA391="","",Deployments!BA391)</f>
        <v/>
      </c>
      <c r="W390" s="21" t="str">
        <f>IF(Deployments!BC391="","",Deployments!BC391)</f>
        <v/>
      </c>
      <c r="X390" s="21" t="str">
        <f>IF(Deployments!BK391="","",Deployments!BK391)</f>
        <v/>
      </c>
      <c r="Y390" s="21" t="str">
        <f>IF(Deployments!BB391="","",Deployments!BB391)</f>
        <v/>
      </c>
      <c r="Z390" s="21" t="str">
        <f>IF(Deployments!T391="","",Deployments!T391)</f>
        <v/>
      </c>
      <c r="AA390" s="21" t="str">
        <f>IF(Deployments!L391="","",Deployments!L391)</f>
        <v/>
      </c>
    </row>
    <row r="391" spans="1:27">
      <c r="A391" s="22"/>
      <c r="B391" s="22"/>
      <c r="C391" s="21" t="str">
        <f>IF(Deployments!H392="","",Deployments!H392)</f>
        <v/>
      </c>
      <c r="D391" s="21" t="str">
        <f>IF(Deployments!AH392="","",Deployments!AH392)</f>
        <v/>
      </c>
      <c r="E391" s="21" t="str">
        <f>IF(Deployments!I392="","",Deployments!I392)</f>
        <v/>
      </c>
      <c r="F391" s="21" t="str">
        <f>IF(Deployments!J392="","",Deployments!J392)</f>
        <v/>
      </c>
      <c r="G391" s="21" t="str">
        <f>IF(Deployments!K392="","",Deployments!K392)</f>
        <v/>
      </c>
      <c r="H391" s="21" t="str">
        <f>IF(Deployments!A392="","",Deployments!A392)</f>
        <v/>
      </c>
      <c r="I391" s="21" t="str">
        <f>IF(Deployments!AI392="","",Deployments!AI392)</f>
        <v/>
      </c>
      <c r="J391" s="21" t="str">
        <f>IF(Deployments!AJ392="","",Deployments!AJ392)</f>
        <v/>
      </c>
      <c r="K391" s="21" t="str">
        <f>IF(Deployments!AD392="","",Deployments!AD392)</f>
        <v/>
      </c>
      <c r="L391" s="21" t="str">
        <f>IF(Deployments!M392="","",Deployments!M392)</f>
        <v/>
      </c>
      <c r="M391" s="22"/>
      <c r="N391" s="21" t="str">
        <f>IF(Deployments!N392="","",Deployments!N392)</f>
        <v/>
      </c>
      <c r="O391" s="21" t="str">
        <f>IF(Deployments!O392="","",Deployments!O392)</f>
        <v/>
      </c>
      <c r="P391" s="21" t="str">
        <f>IF(Deployments!P392="","",Deployments!P392)</f>
        <v/>
      </c>
      <c r="Q391" s="22"/>
      <c r="R391" s="21" t="str">
        <f>IF(Deployments!AY392="","",Deployments!AY392)</f>
        <v/>
      </c>
      <c r="S391" s="21" t="str">
        <f>IF(Deployments!AX392="","",Deployments!AX392)</f>
        <v/>
      </c>
      <c r="T391" s="21" t="str">
        <f>IF(Deployments!AV392="","",Deployments!AV392)</f>
        <v/>
      </c>
      <c r="U391" s="21" t="str">
        <f>IF(Deployments!AW392="","",Deployments!AW392)</f>
        <v/>
      </c>
      <c r="V391" s="21" t="str">
        <f>IF(Deployments!BA392="","",Deployments!BA392)</f>
        <v/>
      </c>
      <c r="W391" s="21" t="str">
        <f>IF(Deployments!BC392="","",Deployments!BC392)</f>
        <v/>
      </c>
      <c r="X391" s="21" t="str">
        <f>IF(Deployments!BK392="","",Deployments!BK392)</f>
        <v/>
      </c>
      <c r="Y391" s="21" t="str">
        <f>IF(Deployments!BB392="","",Deployments!BB392)</f>
        <v/>
      </c>
      <c r="Z391" s="21" t="str">
        <f>IF(Deployments!T392="","",Deployments!T392)</f>
        <v/>
      </c>
      <c r="AA391" s="21" t="str">
        <f>IF(Deployments!L392="","",Deployments!L392)</f>
        <v/>
      </c>
    </row>
    <row r="392" spans="1:27">
      <c r="A392" s="22"/>
      <c r="B392" s="22"/>
      <c r="C392" s="21" t="str">
        <f>IF(Deployments!H393="","",Deployments!H393)</f>
        <v/>
      </c>
      <c r="D392" s="21" t="str">
        <f>IF(Deployments!AH393="","",Deployments!AH393)</f>
        <v/>
      </c>
      <c r="E392" s="21" t="str">
        <f>IF(Deployments!I393="","",Deployments!I393)</f>
        <v/>
      </c>
      <c r="F392" s="21" t="str">
        <f>IF(Deployments!J393="","",Deployments!J393)</f>
        <v/>
      </c>
      <c r="G392" s="21" t="str">
        <f>IF(Deployments!K393="","",Deployments!K393)</f>
        <v/>
      </c>
      <c r="H392" s="21" t="str">
        <f>IF(Deployments!A393="","",Deployments!A393)</f>
        <v/>
      </c>
      <c r="I392" s="21" t="str">
        <f>IF(Deployments!AI393="","",Deployments!AI393)</f>
        <v/>
      </c>
      <c r="J392" s="21" t="str">
        <f>IF(Deployments!AJ393="","",Deployments!AJ393)</f>
        <v/>
      </c>
      <c r="K392" s="21" t="str">
        <f>IF(Deployments!AD393="","",Deployments!AD393)</f>
        <v/>
      </c>
      <c r="L392" s="21" t="str">
        <f>IF(Deployments!M393="","",Deployments!M393)</f>
        <v/>
      </c>
      <c r="M392" s="22"/>
      <c r="N392" s="21" t="str">
        <f>IF(Deployments!N393="","",Deployments!N393)</f>
        <v/>
      </c>
      <c r="O392" s="21" t="str">
        <f>IF(Deployments!O393="","",Deployments!O393)</f>
        <v/>
      </c>
      <c r="P392" s="21" t="str">
        <f>IF(Deployments!P393="","",Deployments!P393)</f>
        <v/>
      </c>
      <c r="Q392" s="22"/>
      <c r="R392" s="21" t="str">
        <f>IF(Deployments!AY393="","",Deployments!AY393)</f>
        <v/>
      </c>
      <c r="S392" s="21" t="str">
        <f>IF(Deployments!AX393="","",Deployments!AX393)</f>
        <v/>
      </c>
      <c r="T392" s="21" t="str">
        <f>IF(Deployments!AV393="","",Deployments!AV393)</f>
        <v/>
      </c>
      <c r="U392" s="21" t="str">
        <f>IF(Deployments!AW393="","",Deployments!AW393)</f>
        <v/>
      </c>
      <c r="V392" s="21" t="str">
        <f>IF(Deployments!BA393="","",Deployments!BA393)</f>
        <v/>
      </c>
      <c r="W392" s="21" t="str">
        <f>IF(Deployments!BC393="","",Deployments!BC393)</f>
        <v/>
      </c>
      <c r="X392" s="21" t="str">
        <f>IF(Deployments!BK393="","",Deployments!BK393)</f>
        <v/>
      </c>
      <c r="Y392" s="21" t="str">
        <f>IF(Deployments!BB393="","",Deployments!BB393)</f>
        <v/>
      </c>
      <c r="Z392" s="21" t="str">
        <f>IF(Deployments!T393="","",Deployments!T393)</f>
        <v/>
      </c>
      <c r="AA392" s="21" t="str">
        <f>IF(Deployments!L393="","",Deployments!L393)</f>
        <v/>
      </c>
    </row>
    <row r="393" spans="1:27">
      <c r="A393" s="22"/>
      <c r="B393" s="22"/>
      <c r="C393" s="21" t="str">
        <f>IF(Deployments!H394="","",Deployments!H394)</f>
        <v/>
      </c>
      <c r="D393" s="21" t="str">
        <f>IF(Deployments!AH394="","",Deployments!AH394)</f>
        <v/>
      </c>
      <c r="E393" s="21" t="str">
        <f>IF(Deployments!I394="","",Deployments!I394)</f>
        <v/>
      </c>
      <c r="F393" s="21" t="str">
        <f>IF(Deployments!J394="","",Deployments!J394)</f>
        <v/>
      </c>
      <c r="G393" s="21" t="str">
        <f>IF(Deployments!K394="","",Deployments!K394)</f>
        <v/>
      </c>
      <c r="H393" s="21" t="str">
        <f>IF(Deployments!A394="","",Deployments!A394)</f>
        <v/>
      </c>
      <c r="I393" s="21" t="str">
        <f>IF(Deployments!AI394="","",Deployments!AI394)</f>
        <v/>
      </c>
      <c r="J393" s="21" t="str">
        <f>IF(Deployments!AJ394="","",Deployments!AJ394)</f>
        <v/>
      </c>
      <c r="K393" s="21" t="str">
        <f>IF(Deployments!AD394="","",Deployments!AD394)</f>
        <v/>
      </c>
      <c r="L393" s="21" t="str">
        <f>IF(Deployments!M394="","",Deployments!M394)</f>
        <v/>
      </c>
      <c r="M393" s="22"/>
      <c r="N393" s="21" t="str">
        <f>IF(Deployments!N394="","",Deployments!N394)</f>
        <v/>
      </c>
      <c r="O393" s="21" t="str">
        <f>IF(Deployments!O394="","",Deployments!O394)</f>
        <v/>
      </c>
      <c r="P393" s="21" t="str">
        <f>IF(Deployments!P394="","",Deployments!P394)</f>
        <v/>
      </c>
      <c r="Q393" s="22"/>
      <c r="R393" s="21" t="str">
        <f>IF(Deployments!AY394="","",Deployments!AY394)</f>
        <v/>
      </c>
      <c r="S393" s="21" t="str">
        <f>IF(Deployments!AX394="","",Deployments!AX394)</f>
        <v/>
      </c>
      <c r="T393" s="21" t="str">
        <f>IF(Deployments!AV394="","",Deployments!AV394)</f>
        <v/>
      </c>
      <c r="U393" s="21" t="str">
        <f>IF(Deployments!AW394="","",Deployments!AW394)</f>
        <v/>
      </c>
      <c r="V393" s="21" t="str">
        <f>IF(Deployments!BA394="","",Deployments!BA394)</f>
        <v/>
      </c>
      <c r="W393" s="21" t="str">
        <f>IF(Deployments!BC394="","",Deployments!BC394)</f>
        <v/>
      </c>
      <c r="X393" s="21" t="str">
        <f>IF(Deployments!BK394="","",Deployments!BK394)</f>
        <v/>
      </c>
      <c r="Y393" s="21" t="str">
        <f>IF(Deployments!BB394="","",Deployments!BB394)</f>
        <v/>
      </c>
      <c r="Z393" s="21" t="str">
        <f>IF(Deployments!T394="","",Deployments!T394)</f>
        <v/>
      </c>
      <c r="AA393" s="21" t="str">
        <f>IF(Deployments!L394="","",Deployments!L394)</f>
        <v/>
      </c>
    </row>
    <row r="394" spans="1:27">
      <c r="A394" s="22"/>
      <c r="B394" s="22"/>
      <c r="C394" s="21" t="str">
        <f>IF(Deployments!H395="","",Deployments!H395)</f>
        <v/>
      </c>
      <c r="D394" s="21" t="str">
        <f>IF(Deployments!AH395="","",Deployments!AH395)</f>
        <v/>
      </c>
      <c r="E394" s="21" t="str">
        <f>IF(Deployments!I395="","",Deployments!I395)</f>
        <v/>
      </c>
      <c r="F394" s="21" t="str">
        <f>IF(Deployments!J395="","",Deployments!J395)</f>
        <v/>
      </c>
      <c r="G394" s="21" t="str">
        <f>IF(Deployments!K395="","",Deployments!K395)</f>
        <v/>
      </c>
      <c r="H394" s="21" t="str">
        <f>IF(Deployments!A395="","",Deployments!A395)</f>
        <v/>
      </c>
      <c r="I394" s="21" t="str">
        <f>IF(Deployments!AI395="","",Deployments!AI395)</f>
        <v/>
      </c>
      <c r="J394" s="21" t="str">
        <f>IF(Deployments!AJ395="","",Deployments!AJ395)</f>
        <v/>
      </c>
      <c r="K394" s="21" t="str">
        <f>IF(Deployments!AD395="","",Deployments!AD395)</f>
        <v/>
      </c>
      <c r="L394" s="21" t="str">
        <f>IF(Deployments!M395="","",Deployments!M395)</f>
        <v/>
      </c>
      <c r="M394" s="22"/>
      <c r="N394" s="21" t="str">
        <f>IF(Deployments!N395="","",Deployments!N395)</f>
        <v/>
      </c>
      <c r="O394" s="21" t="str">
        <f>IF(Deployments!O395="","",Deployments!O395)</f>
        <v/>
      </c>
      <c r="P394" s="21" t="str">
        <f>IF(Deployments!P395="","",Deployments!P395)</f>
        <v/>
      </c>
      <c r="Q394" s="22"/>
      <c r="R394" s="21" t="str">
        <f>IF(Deployments!AY395="","",Deployments!AY395)</f>
        <v/>
      </c>
      <c r="S394" s="21" t="str">
        <f>IF(Deployments!AX395="","",Deployments!AX395)</f>
        <v/>
      </c>
      <c r="T394" s="21" t="str">
        <f>IF(Deployments!AV395="","",Deployments!AV395)</f>
        <v/>
      </c>
      <c r="U394" s="21" t="str">
        <f>IF(Deployments!AW395="","",Deployments!AW395)</f>
        <v/>
      </c>
      <c r="V394" s="21" t="str">
        <f>IF(Deployments!BA395="","",Deployments!BA395)</f>
        <v/>
      </c>
      <c r="W394" s="21" t="str">
        <f>IF(Deployments!BC395="","",Deployments!BC395)</f>
        <v/>
      </c>
      <c r="X394" s="21" t="str">
        <f>IF(Deployments!BK395="","",Deployments!BK395)</f>
        <v/>
      </c>
      <c r="Y394" s="21" t="str">
        <f>IF(Deployments!BB395="","",Deployments!BB395)</f>
        <v/>
      </c>
      <c r="Z394" s="21" t="str">
        <f>IF(Deployments!T395="","",Deployments!T395)</f>
        <v/>
      </c>
      <c r="AA394" s="21" t="str">
        <f>IF(Deployments!L395="","",Deployments!L395)</f>
        <v/>
      </c>
    </row>
    <row r="395" spans="1:27">
      <c r="A395" s="22"/>
      <c r="B395" s="22"/>
      <c r="C395" s="21" t="str">
        <f>IF(Deployments!H396="","",Deployments!H396)</f>
        <v/>
      </c>
      <c r="D395" s="21" t="str">
        <f>IF(Deployments!AH396="","",Deployments!AH396)</f>
        <v/>
      </c>
      <c r="E395" s="21" t="str">
        <f>IF(Deployments!I396="","",Deployments!I396)</f>
        <v/>
      </c>
      <c r="F395" s="21" t="str">
        <f>IF(Deployments!J396="","",Deployments!J396)</f>
        <v/>
      </c>
      <c r="G395" s="21" t="str">
        <f>IF(Deployments!K396="","",Deployments!K396)</f>
        <v/>
      </c>
      <c r="H395" s="21" t="str">
        <f>IF(Deployments!A396="","",Deployments!A396)</f>
        <v/>
      </c>
      <c r="I395" s="21" t="str">
        <f>IF(Deployments!AI396="","",Deployments!AI396)</f>
        <v/>
      </c>
      <c r="J395" s="21" t="str">
        <f>IF(Deployments!AJ396="","",Deployments!AJ396)</f>
        <v/>
      </c>
      <c r="K395" s="21" t="str">
        <f>IF(Deployments!AD396="","",Deployments!AD396)</f>
        <v/>
      </c>
      <c r="L395" s="21" t="str">
        <f>IF(Deployments!M396="","",Deployments!M396)</f>
        <v/>
      </c>
      <c r="M395" s="22"/>
      <c r="N395" s="21" t="str">
        <f>IF(Deployments!N396="","",Deployments!N396)</f>
        <v/>
      </c>
      <c r="O395" s="21" t="str">
        <f>IF(Deployments!O396="","",Deployments!O396)</f>
        <v/>
      </c>
      <c r="P395" s="21" t="str">
        <f>IF(Deployments!P396="","",Deployments!P396)</f>
        <v/>
      </c>
      <c r="Q395" s="22"/>
      <c r="R395" s="21" t="str">
        <f>IF(Deployments!AY396="","",Deployments!AY396)</f>
        <v/>
      </c>
      <c r="S395" s="21" t="str">
        <f>IF(Deployments!AX396="","",Deployments!AX396)</f>
        <v/>
      </c>
      <c r="T395" s="21" t="str">
        <f>IF(Deployments!AV396="","",Deployments!AV396)</f>
        <v/>
      </c>
      <c r="U395" s="21" t="str">
        <f>IF(Deployments!AW396="","",Deployments!AW396)</f>
        <v/>
      </c>
      <c r="V395" s="21" t="str">
        <f>IF(Deployments!BA396="","",Deployments!BA396)</f>
        <v/>
      </c>
      <c r="W395" s="21" t="str">
        <f>IF(Deployments!BC396="","",Deployments!BC396)</f>
        <v/>
      </c>
      <c r="X395" s="21" t="str">
        <f>IF(Deployments!BK396="","",Deployments!BK396)</f>
        <v/>
      </c>
      <c r="Y395" s="21" t="str">
        <f>IF(Deployments!BB396="","",Deployments!BB396)</f>
        <v/>
      </c>
      <c r="Z395" s="21" t="str">
        <f>IF(Deployments!T396="","",Deployments!T396)</f>
        <v/>
      </c>
      <c r="AA395" s="21" t="str">
        <f>IF(Deployments!L396="","",Deployments!L396)</f>
        <v/>
      </c>
    </row>
    <row r="396" spans="1:27">
      <c r="A396" s="22"/>
      <c r="B396" s="22"/>
      <c r="C396" s="21" t="str">
        <f>IF(Deployments!H397="","",Deployments!H397)</f>
        <v/>
      </c>
      <c r="D396" s="21" t="str">
        <f>IF(Deployments!AH397="","",Deployments!AH397)</f>
        <v/>
      </c>
      <c r="E396" s="21" t="str">
        <f>IF(Deployments!I397="","",Deployments!I397)</f>
        <v/>
      </c>
      <c r="F396" s="21" t="str">
        <f>IF(Deployments!J397="","",Deployments!J397)</f>
        <v/>
      </c>
      <c r="G396" s="21" t="str">
        <f>IF(Deployments!K397="","",Deployments!K397)</f>
        <v/>
      </c>
      <c r="H396" s="21" t="str">
        <f>IF(Deployments!A397="","",Deployments!A397)</f>
        <v/>
      </c>
      <c r="I396" s="21" t="str">
        <f>IF(Deployments!AI397="","",Deployments!AI397)</f>
        <v/>
      </c>
      <c r="J396" s="21" t="str">
        <f>IF(Deployments!AJ397="","",Deployments!AJ397)</f>
        <v/>
      </c>
      <c r="K396" s="21" t="str">
        <f>IF(Deployments!AD397="","",Deployments!AD397)</f>
        <v/>
      </c>
      <c r="L396" s="21" t="str">
        <f>IF(Deployments!M397="","",Deployments!M397)</f>
        <v/>
      </c>
      <c r="M396" s="22"/>
      <c r="N396" s="21" t="str">
        <f>IF(Deployments!N397="","",Deployments!N397)</f>
        <v/>
      </c>
      <c r="O396" s="21" t="str">
        <f>IF(Deployments!O397="","",Deployments!O397)</f>
        <v/>
      </c>
      <c r="P396" s="21" t="str">
        <f>IF(Deployments!P397="","",Deployments!P397)</f>
        <v/>
      </c>
      <c r="Q396" s="22"/>
      <c r="R396" s="21" t="str">
        <f>IF(Deployments!AY397="","",Deployments!AY397)</f>
        <v/>
      </c>
      <c r="S396" s="21" t="str">
        <f>IF(Deployments!AX397="","",Deployments!AX397)</f>
        <v/>
      </c>
      <c r="T396" s="21" t="str">
        <f>IF(Deployments!AV397="","",Deployments!AV397)</f>
        <v/>
      </c>
      <c r="U396" s="21" t="str">
        <f>IF(Deployments!AW397="","",Deployments!AW397)</f>
        <v/>
      </c>
      <c r="V396" s="21" t="str">
        <f>IF(Deployments!BA397="","",Deployments!BA397)</f>
        <v/>
      </c>
      <c r="W396" s="21" t="str">
        <f>IF(Deployments!BC397="","",Deployments!BC397)</f>
        <v/>
      </c>
      <c r="X396" s="21" t="str">
        <f>IF(Deployments!BK397="","",Deployments!BK397)</f>
        <v/>
      </c>
      <c r="Y396" s="21" t="str">
        <f>IF(Deployments!BB397="","",Deployments!BB397)</f>
        <v/>
      </c>
      <c r="Z396" s="21" t="str">
        <f>IF(Deployments!T397="","",Deployments!T397)</f>
        <v/>
      </c>
      <c r="AA396" s="21" t="str">
        <f>IF(Deployments!L397="","",Deployments!L397)</f>
        <v/>
      </c>
    </row>
    <row r="397" spans="1:27">
      <c r="A397" s="22"/>
      <c r="B397" s="22"/>
      <c r="C397" s="21" t="str">
        <f>IF(Deployments!H398="","",Deployments!H398)</f>
        <v/>
      </c>
      <c r="D397" s="21" t="str">
        <f>IF(Deployments!AH398="","",Deployments!AH398)</f>
        <v/>
      </c>
      <c r="E397" s="21" t="str">
        <f>IF(Deployments!I398="","",Deployments!I398)</f>
        <v/>
      </c>
      <c r="F397" s="21" t="str">
        <f>IF(Deployments!J398="","",Deployments!J398)</f>
        <v/>
      </c>
      <c r="G397" s="21" t="str">
        <f>IF(Deployments!K398="","",Deployments!K398)</f>
        <v/>
      </c>
      <c r="H397" s="21" t="str">
        <f>IF(Deployments!A398="","",Deployments!A398)</f>
        <v/>
      </c>
      <c r="I397" s="21" t="str">
        <f>IF(Deployments!AI398="","",Deployments!AI398)</f>
        <v/>
      </c>
      <c r="J397" s="21" t="str">
        <f>IF(Deployments!AJ398="","",Deployments!AJ398)</f>
        <v/>
      </c>
      <c r="K397" s="21" t="str">
        <f>IF(Deployments!AD398="","",Deployments!AD398)</f>
        <v/>
      </c>
      <c r="L397" s="21" t="str">
        <f>IF(Deployments!M398="","",Deployments!M398)</f>
        <v/>
      </c>
      <c r="M397" s="22"/>
      <c r="N397" s="21" t="str">
        <f>IF(Deployments!N398="","",Deployments!N398)</f>
        <v/>
      </c>
      <c r="O397" s="21" t="str">
        <f>IF(Deployments!O398="","",Deployments!O398)</f>
        <v/>
      </c>
      <c r="P397" s="21" t="str">
        <f>IF(Deployments!P398="","",Deployments!P398)</f>
        <v/>
      </c>
      <c r="Q397" s="22"/>
      <c r="R397" s="21" t="str">
        <f>IF(Deployments!AY398="","",Deployments!AY398)</f>
        <v/>
      </c>
      <c r="S397" s="21" t="str">
        <f>IF(Deployments!AX398="","",Deployments!AX398)</f>
        <v/>
      </c>
      <c r="T397" s="21" t="str">
        <f>IF(Deployments!AV398="","",Deployments!AV398)</f>
        <v/>
      </c>
      <c r="U397" s="21" t="str">
        <f>IF(Deployments!AW398="","",Deployments!AW398)</f>
        <v/>
      </c>
      <c r="V397" s="21" t="str">
        <f>IF(Deployments!BA398="","",Deployments!BA398)</f>
        <v/>
      </c>
      <c r="W397" s="21" t="str">
        <f>IF(Deployments!BC398="","",Deployments!BC398)</f>
        <v/>
      </c>
      <c r="X397" s="21" t="str">
        <f>IF(Deployments!BK398="","",Deployments!BK398)</f>
        <v/>
      </c>
      <c r="Y397" s="21" t="str">
        <f>IF(Deployments!BB398="","",Deployments!BB398)</f>
        <v/>
      </c>
      <c r="Z397" s="21" t="str">
        <f>IF(Deployments!T398="","",Deployments!T398)</f>
        <v/>
      </c>
      <c r="AA397" s="21" t="str">
        <f>IF(Deployments!L398="","",Deployments!L398)</f>
        <v/>
      </c>
    </row>
    <row r="398" spans="1:27">
      <c r="A398" s="22"/>
      <c r="B398" s="22"/>
      <c r="C398" s="21" t="str">
        <f>IF(Deployments!H399="","",Deployments!H399)</f>
        <v/>
      </c>
      <c r="D398" s="21" t="str">
        <f>IF(Deployments!AH399="","",Deployments!AH399)</f>
        <v/>
      </c>
      <c r="E398" s="21" t="str">
        <f>IF(Deployments!I399="","",Deployments!I399)</f>
        <v/>
      </c>
      <c r="F398" s="21" t="str">
        <f>IF(Deployments!J399="","",Deployments!J399)</f>
        <v/>
      </c>
      <c r="G398" s="21" t="str">
        <f>IF(Deployments!K399="","",Deployments!K399)</f>
        <v/>
      </c>
      <c r="H398" s="21" t="str">
        <f>IF(Deployments!A399="","",Deployments!A399)</f>
        <v/>
      </c>
      <c r="I398" s="21" t="str">
        <f>IF(Deployments!AI399="","",Deployments!AI399)</f>
        <v/>
      </c>
      <c r="J398" s="21" t="str">
        <f>IF(Deployments!AJ399="","",Deployments!AJ399)</f>
        <v/>
      </c>
      <c r="K398" s="21" t="str">
        <f>IF(Deployments!AD399="","",Deployments!AD399)</f>
        <v/>
      </c>
      <c r="L398" s="21" t="str">
        <f>IF(Deployments!M399="","",Deployments!M399)</f>
        <v/>
      </c>
      <c r="M398" s="22"/>
      <c r="N398" s="21" t="str">
        <f>IF(Deployments!N399="","",Deployments!N399)</f>
        <v/>
      </c>
      <c r="O398" s="21" t="str">
        <f>IF(Deployments!O399="","",Deployments!O399)</f>
        <v/>
      </c>
      <c r="P398" s="21" t="str">
        <f>IF(Deployments!P399="","",Deployments!P399)</f>
        <v/>
      </c>
      <c r="Q398" s="22"/>
      <c r="R398" s="21" t="str">
        <f>IF(Deployments!AY399="","",Deployments!AY399)</f>
        <v/>
      </c>
      <c r="S398" s="21" t="str">
        <f>IF(Deployments!AX399="","",Deployments!AX399)</f>
        <v/>
      </c>
      <c r="T398" s="21" t="str">
        <f>IF(Deployments!AV399="","",Deployments!AV399)</f>
        <v/>
      </c>
      <c r="U398" s="21" t="str">
        <f>IF(Deployments!AW399="","",Deployments!AW399)</f>
        <v/>
      </c>
      <c r="V398" s="21" t="str">
        <f>IF(Deployments!BA399="","",Deployments!BA399)</f>
        <v/>
      </c>
      <c r="W398" s="21" t="str">
        <f>IF(Deployments!BC399="","",Deployments!BC399)</f>
        <v/>
      </c>
      <c r="X398" s="21" t="str">
        <f>IF(Deployments!BK399="","",Deployments!BK399)</f>
        <v/>
      </c>
      <c r="Y398" s="21" t="str">
        <f>IF(Deployments!BB399="","",Deployments!BB399)</f>
        <v/>
      </c>
      <c r="Z398" s="21" t="str">
        <f>IF(Deployments!T399="","",Deployments!T399)</f>
        <v/>
      </c>
      <c r="AA398" s="21" t="str">
        <f>IF(Deployments!L399="","",Deployments!L399)</f>
        <v/>
      </c>
    </row>
    <row r="399" spans="1:27">
      <c r="A399" s="22"/>
      <c r="B399" s="22"/>
      <c r="C399" s="21" t="str">
        <f>IF(Deployments!H400="","",Deployments!H400)</f>
        <v/>
      </c>
      <c r="D399" s="21" t="str">
        <f>IF(Deployments!AH400="","",Deployments!AH400)</f>
        <v/>
      </c>
      <c r="E399" s="21" t="str">
        <f>IF(Deployments!I400="","",Deployments!I400)</f>
        <v/>
      </c>
      <c r="F399" s="21" t="str">
        <f>IF(Deployments!J400="","",Deployments!J400)</f>
        <v/>
      </c>
      <c r="G399" s="21" t="str">
        <f>IF(Deployments!K400="","",Deployments!K400)</f>
        <v/>
      </c>
      <c r="H399" s="21" t="str">
        <f>IF(Deployments!A400="","",Deployments!A400)</f>
        <v/>
      </c>
      <c r="I399" s="21" t="str">
        <f>IF(Deployments!AI400="","",Deployments!AI400)</f>
        <v/>
      </c>
      <c r="J399" s="21" t="str">
        <f>IF(Deployments!AJ400="","",Deployments!AJ400)</f>
        <v/>
      </c>
      <c r="K399" s="21" t="str">
        <f>IF(Deployments!AD400="","",Deployments!AD400)</f>
        <v/>
      </c>
      <c r="L399" s="21" t="str">
        <f>IF(Deployments!M400="","",Deployments!M400)</f>
        <v/>
      </c>
      <c r="M399" s="22"/>
      <c r="N399" s="21" t="str">
        <f>IF(Deployments!N400="","",Deployments!N400)</f>
        <v/>
      </c>
      <c r="O399" s="21" t="str">
        <f>IF(Deployments!O400="","",Deployments!O400)</f>
        <v/>
      </c>
      <c r="P399" s="21" t="str">
        <f>IF(Deployments!P400="","",Deployments!P400)</f>
        <v/>
      </c>
      <c r="Q399" s="22"/>
      <c r="R399" s="21" t="str">
        <f>IF(Deployments!AY400="","",Deployments!AY400)</f>
        <v/>
      </c>
      <c r="S399" s="21" t="str">
        <f>IF(Deployments!AX400="","",Deployments!AX400)</f>
        <v/>
      </c>
      <c r="T399" s="21" t="str">
        <f>IF(Deployments!AV400="","",Deployments!AV400)</f>
        <v/>
      </c>
      <c r="U399" s="21" t="str">
        <f>IF(Deployments!AW400="","",Deployments!AW400)</f>
        <v/>
      </c>
      <c r="V399" s="21" t="str">
        <f>IF(Deployments!BA400="","",Deployments!BA400)</f>
        <v/>
      </c>
      <c r="W399" s="21" t="str">
        <f>IF(Deployments!BC400="","",Deployments!BC400)</f>
        <v/>
      </c>
      <c r="X399" s="21" t="str">
        <f>IF(Deployments!BK400="","",Deployments!BK400)</f>
        <v/>
      </c>
      <c r="Y399" s="21" t="str">
        <f>IF(Deployments!BB400="","",Deployments!BB400)</f>
        <v/>
      </c>
      <c r="Z399" s="21" t="str">
        <f>IF(Deployments!T400="","",Deployments!T400)</f>
        <v/>
      </c>
      <c r="AA399" s="21" t="str">
        <f>IF(Deployments!L400="","",Deployments!L400)</f>
        <v/>
      </c>
    </row>
    <row r="400" spans="1:27">
      <c r="A400" s="22"/>
      <c r="B400" s="22"/>
      <c r="C400" s="21" t="str">
        <f>IF(Deployments!H401="","",Deployments!H401)</f>
        <v/>
      </c>
      <c r="D400" s="21" t="str">
        <f>IF(Deployments!AH401="","",Deployments!AH401)</f>
        <v/>
      </c>
      <c r="E400" s="21" t="str">
        <f>IF(Deployments!I401="","",Deployments!I401)</f>
        <v/>
      </c>
      <c r="F400" s="21" t="str">
        <f>IF(Deployments!J401="","",Deployments!J401)</f>
        <v/>
      </c>
      <c r="G400" s="21" t="str">
        <f>IF(Deployments!K401="","",Deployments!K401)</f>
        <v/>
      </c>
      <c r="H400" s="21" t="str">
        <f>IF(Deployments!A401="","",Deployments!A401)</f>
        <v/>
      </c>
      <c r="I400" s="21" t="str">
        <f>IF(Deployments!AI401="","",Deployments!AI401)</f>
        <v/>
      </c>
      <c r="J400" s="21" t="str">
        <f>IF(Deployments!AJ401="","",Deployments!AJ401)</f>
        <v/>
      </c>
      <c r="K400" s="21" t="str">
        <f>IF(Deployments!AD401="","",Deployments!AD401)</f>
        <v/>
      </c>
      <c r="L400" s="21" t="str">
        <f>IF(Deployments!M401="","",Deployments!M401)</f>
        <v/>
      </c>
      <c r="M400" s="22"/>
      <c r="N400" s="21" t="str">
        <f>IF(Deployments!N401="","",Deployments!N401)</f>
        <v/>
      </c>
      <c r="O400" s="21" t="str">
        <f>IF(Deployments!O401="","",Deployments!O401)</f>
        <v/>
      </c>
      <c r="P400" s="21" t="str">
        <f>IF(Deployments!P401="","",Deployments!P401)</f>
        <v/>
      </c>
      <c r="Q400" s="22"/>
      <c r="R400" s="21" t="str">
        <f>IF(Deployments!AY401="","",Deployments!AY401)</f>
        <v/>
      </c>
      <c r="S400" s="21" t="str">
        <f>IF(Deployments!AX401="","",Deployments!AX401)</f>
        <v/>
      </c>
      <c r="T400" s="21" t="str">
        <f>IF(Deployments!AV401="","",Deployments!AV401)</f>
        <v/>
      </c>
      <c r="U400" s="21" t="str">
        <f>IF(Deployments!AW401="","",Deployments!AW401)</f>
        <v/>
      </c>
      <c r="V400" s="21" t="str">
        <f>IF(Deployments!BA401="","",Deployments!BA401)</f>
        <v/>
      </c>
      <c r="W400" s="21" t="str">
        <f>IF(Deployments!BC401="","",Deployments!BC401)</f>
        <v/>
      </c>
      <c r="X400" s="21" t="str">
        <f>IF(Deployments!BK401="","",Deployments!BK401)</f>
        <v/>
      </c>
      <c r="Y400" s="21" t="str">
        <f>IF(Deployments!BB401="","",Deployments!BB401)</f>
        <v/>
      </c>
      <c r="Z400" s="21" t="str">
        <f>IF(Deployments!T401="","",Deployments!T401)</f>
        <v/>
      </c>
      <c r="AA400" s="21" t="str">
        <f>IF(Deployments!L401="","",Deployments!L401)</f>
        <v/>
      </c>
    </row>
    <row r="401" spans="1:27">
      <c r="A401" s="22"/>
      <c r="B401" s="22"/>
      <c r="C401" s="21" t="str">
        <f>IF(Deployments!H402="","",Deployments!H402)</f>
        <v/>
      </c>
      <c r="D401" s="21" t="str">
        <f>IF(Deployments!AH402="","",Deployments!AH402)</f>
        <v/>
      </c>
      <c r="E401" s="21" t="str">
        <f>IF(Deployments!I402="","",Deployments!I402)</f>
        <v/>
      </c>
      <c r="F401" s="21" t="str">
        <f>IF(Deployments!J402="","",Deployments!J402)</f>
        <v/>
      </c>
      <c r="G401" s="21" t="str">
        <f>IF(Deployments!K402="","",Deployments!K402)</f>
        <v/>
      </c>
      <c r="H401" s="21" t="str">
        <f>IF(Deployments!A402="","",Deployments!A402)</f>
        <v/>
      </c>
      <c r="I401" s="21" t="str">
        <f>IF(Deployments!AI402="","",Deployments!AI402)</f>
        <v/>
      </c>
      <c r="J401" s="21" t="str">
        <f>IF(Deployments!AJ402="","",Deployments!AJ402)</f>
        <v/>
      </c>
      <c r="K401" s="21" t="str">
        <f>IF(Deployments!AD402="","",Deployments!AD402)</f>
        <v/>
      </c>
      <c r="L401" s="21" t="str">
        <f>IF(Deployments!M402="","",Deployments!M402)</f>
        <v/>
      </c>
      <c r="M401" s="22"/>
      <c r="N401" s="21" t="str">
        <f>IF(Deployments!N402="","",Deployments!N402)</f>
        <v/>
      </c>
      <c r="O401" s="21" t="str">
        <f>IF(Deployments!O402="","",Deployments!O402)</f>
        <v/>
      </c>
      <c r="P401" s="21" t="str">
        <f>IF(Deployments!P402="","",Deployments!P402)</f>
        <v/>
      </c>
      <c r="Q401" s="22"/>
      <c r="R401" s="21" t="str">
        <f>IF(Deployments!AY402="","",Deployments!AY402)</f>
        <v/>
      </c>
      <c r="S401" s="21" t="str">
        <f>IF(Deployments!AX402="","",Deployments!AX402)</f>
        <v/>
      </c>
      <c r="T401" s="21" t="str">
        <f>IF(Deployments!AV402="","",Deployments!AV402)</f>
        <v/>
      </c>
      <c r="U401" s="21" t="str">
        <f>IF(Deployments!AW402="","",Deployments!AW402)</f>
        <v/>
      </c>
      <c r="V401" s="21" t="str">
        <f>IF(Deployments!BA402="","",Deployments!BA402)</f>
        <v/>
      </c>
      <c r="W401" s="21" t="str">
        <f>IF(Deployments!BC402="","",Deployments!BC402)</f>
        <v/>
      </c>
      <c r="X401" s="21" t="str">
        <f>IF(Deployments!BK402="","",Deployments!BK402)</f>
        <v/>
      </c>
      <c r="Y401" s="21" t="str">
        <f>IF(Deployments!BB402="","",Deployments!BB402)</f>
        <v/>
      </c>
      <c r="Z401" s="21" t="str">
        <f>IF(Deployments!T402="","",Deployments!T402)</f>
        <v/>
      </c>
      <c r="AA401" s="21" t="str">
        <f>IF(Deployments!L402="","",Deployments!L402)</f>
        <v/>
      </c>
    </row>
    <row r="402" spans="1:27">
      <c r="A402" s="22"/>
      <c r="B402" s="22"/>
      <c r="C402" s="21" t="str">
        <f>IF(Deployments!H403="","",Deployments!H403)</f>
        <v/>
      </c>
      <c r="D402" s="21" t="str">
        <f>IF(Deployments!AH403="","",Deployments!AH403)</f>
        <v/>
      </c>
      <c r="E402" s="21" t="str">
        <f>IF(Deployments!I403="","",Deployments!I403)</f>
        <v/>
      </c>
      <c r="F402" s="21" t="str">
        <f>IF(Deployments!J403="","",Deployments!J403)</f>
        <v/>
      </c>
      <c r="G402" s="21" t="str">
        <f>IF(Deployments!K403="","",Deployments!K403)</f>
        <v/>
      </c>
      <c r="H402" s="21" t="str">
        <f>IF(Deployments!A403="","",Deployments!A403)</f>
        <v/>
      </c>
      <c r="I402" s="21" t="str">
        <f>IF(Deployments!AI403="","",Deployments!AI403)</f>
        <v/>
      </c>
      <c r="J402" s="21" t="str">
        <f>IF(Deployments!AJ403="","",Deployments!AJ403)</f>
        <v/>
      </c>
      <c r="K402" s="21" t="str">
        <f>IF(Deployments!AD403="","",Deployments!AD403)</f>
        <v/>
      </c>
      <c r="L402" s="21" t="str">
        <f>IF(Deployments!M403="","",Deployments!M403)</f>
        <v/>
      </c>
      <c r="M402" s="22"/>
      <c r="N402" s="21" t="str">
        <f>IF(Deployments!N403="","",Deployments!N403)</f>
        <v/>
      </c>
      <c r="O402" s="21" t="str">
        <f>IF(Deployments!O403="","",Deployments!O403)</f>
        <v/>
      </c>
      <c r="P402" s="21" t="str">
        <f>IF(Deployments!P403="","",Deployments!P403)</f>
        <v/>
      </c>
      <c r="Q402" s="22"/>
      <c r="R402" s="21" t="str">
        <f>IF(Deployments!AY403="","",Deployments!AY403)</f>
        <v/>
      </c>
      <c r="S402" s="21" t="str">
        <f>IF(Deployments!AX403="","",Deployments!AX403)</f>
        <v/>
      </c>
      <c r="T402" s="21" t="str">
        <f>IF(Deployments!AV403="","",Deployments!AV403)</f>
        <v/>
      </c>
      <c r="U402" s="21" t="str">
        <f>IF(Deployments!AW403="","",Deployments!AW403)</f>
        <v/>
      </c>
      <c r="V402" s="21" t="str">
        <f>IF(Deployments!BA403="","",Deployments!BA403)</f>
        <v/>
      </c>
      <c r="W402" s="21" t="str">
        <f>IF(Deployments!BC403="","",Deployments!BC403)</f>
        <v/>
      </c>
      <c r="X402" s="21" t="str">
        <f>IF(Deployments!BK403="","",Deployments!BK403)</f>
        <v/>
      </c>
      <c r="Y402" s="21" t="str">
        <f>IF(Deployments!BB403="","",Deployments!BB403)</f>
        <v/>
      </c>
      <c r="Z402" s="21" t="str">
        <f>IF(Deployments!T403="","",Deployments!T403)</f>
        <v/>
      </c>
      <c r="AA402" s="21" t="str">
        <f>IF(Deployments!L403="","",Deployments!L403)</f>
        <v/>
      </c>
    </row>
    <row r="403" spans="1:27">
      <c r="A403" s="22"/>
      <c r="B403" s="22"/>
      <c r="C403" s="21" t="str">
        <f>IF(Deployments!H404="","",Deployments!H404)</f>
        <v/>
      </c>
      <c r="D403" s="21" t="str">
        <f>IF(Deployments!AH404="","",Deployments!AH404)</f>
        <v/>
      </c>
      <c r="E403" s="21" t="str">
        <f>IF(Deployments!I404="","",Deployments!I404)</f>
        <v/>
      </c>
      <c r="F403" s="21" t="str">
        <f>IF(Deployments!J404="","",Deployments!J404)</f>
        <v/>
      </c>
      <c r="G403" s="21" t="str">
        <f>IF(Deployments!K404="","",Deployments!K404)</f>
        <v/>
      </c>
      <c r="H403" s="21" t="str">
        <f>IF(Deployments!A404="","",Deployments!A404)</f>
        <v/>
      </c>
      <c r="I403" s="21" t="str">
        <f>IF(Deployments!AI404="","",Deployments!AI404)</f>
        <v/>
      </c>
      <c r="J403" s="21" t="str">
        <f>IF(Deployments!AJ404="","",Deployments!AJ404)</f>
        <v/>
      </c>
      <c r="K403" s="21" t="str">
        <f>IF(Deployments!AD404="","",Deployments!AD404)</f>
        <v/>
      </c>
      <c r="L403" s="21" t="str">
        <f>IF(Deployments!M404="","",Deployments!M404)</f>
        <v/>
      </c>
      <c r="M403" s="22"/>
      <c r="N403" s="21" t="str">
        <f>IF(Deployments!N404="","",Deployments!N404)</f>
        <v/>
      </c>
      <c r="O403" s="21" t="str">
        <f>IF(Deployments!O404="","",Deployments!O404)</f>
        <v/>
      </c>
      <c r="P403" s="21" t="str">
        <f>IF(Deployments!P404="","",Deployments!P404)</f>
        <v/>
      </c>
      <c r="Q403" s="22"/>
      <c r="R403" s="21" t="str">
        <f>IF(Deployments!AY404="","",Deployments!AY404)</f>
        <v/>
      </c>
      <c r="S403" s="21" t="str">
        <f>IF(Deployments!AX404="","",Deployments!AX404)</f>
        <v/>
      </c>
      <c r="T403" s="21" t="str">
        <f>IF(Deployments!AV404="","",Deployments!AV404)</f>
        <v/>
      </c>
      <c r="U403" s="21" t="str">
        <f>IF(Deployments!AW404="","",Deployments!AW404)</f>
        <v/>
      </c>
      <c r="V403" s="21" t="str">
        <f>IF(Deployments!BA404="","",Deployments!BA404)</f>
        <v/>
      </c>
      <c r="W403" s="21" t="str">
        <f>IF(Deployments!BC404="","",Deployments!BC404)</f>
        <v/>
      </c>
      <c r="X403" s="21" t="str">
        <f>IF(Deployments!BK404="","",Deployments!BK404)</f>
        <v/>
      </c>
      <c r="Y403" s="21" t="str">
        <f>IF(Deployments!BB404="","",Deployments!BB404)</f>
        <v/>
      </c>
      <c r="Z403" s="21" t="str">
        <f>IF(Deployments!T404="","",Deployments!T404)</f>
        <v/>
      </c>
      <c r="AA403" s="21" t="str">
        <f>IF(Deployments!L404="","",Deployments!L404)</f>
        <v/>
      </c>
    </row>
    <row r="404" spans="1:27">
      <c r="A404" s="22"/>
      <c r="B404" s="22"/>
      <c r="C404" s="21" t="str">
        <f>IF(Deployments!H405="","",Deployments!H405)</f>
        <v/>
      </c>
      <c r="D404" s="21" t="str">
        <f>IF(Deployments!AH405="","",Deployments!AH405)</f>
        <v/>
      </c>
      <c r="E404" s="21" t="str">
        <f>IF(Deployments!I405="","",Deployments!I405)</f>
        <v/>
      </c>
      <c r="F404" s="21" t="str">
        <f>IF(Deployments!J405="","",Deployments!J405)</f>
        <v/>
      </c>
      <c r="G404" s="21" t="str">
        <f>IF(Deployments!K405="","",Deployments!K405)</f>
        <v/>
      </c>
      <c r="H404" s="21" t="str">
        <f>IF(Deployments!A405="","",Deployments!A405)</f>
        <v/>
      </c>
      <c r="I404" s="21" t="str">
        <f>IF(Deployments!AI405="","",Deployments!AI405)</f>
        <v/>
      </c>
      <c r="J404" s="21" t="str">
        <f>IF(Deployments!AJ405="","",Deployments!AJ405)</f>
        <v/>
      </c>
      <c r="K404" s="21" t="str">
        <f>IF(Deployments!AD405="","",Deployments!AD405)</f>
        <v/>
      </c>
      <c r="L404" s="21" t="str">
        <f>IF(Deployments!M405="","",Deployments!M405)</f>
        <v/>
      </c>
      <c r="M404" s="22"/>
      <c r="N404" s="21" t="str">
        <f>IF(Deployments!N405="","",Deployments!N405)</f>
        <v/>
      </c>
      <c r="O404" s="21" t="str">
        <f>IF(Deployments!O405="","",Deployments!O405)</f>
        <v/>
      </c>
      <c r="P404" s="21" t="str">
        <f>IF(Deployments!P405="","",Deployments!P405)</f>
        <v/>
      </c>
      <c r="Q404" s="22"/>
      <c r="R404" s="21" t="str">
        <f>IF(Deployments!AY405="","",Deployments!AY405)</f>
        <v/>
      </c>
      <c r="S404" s="21" t="str">
        <f>IF(Deployments!AX405="","",Deployments!AX405)</f>
        <v/>
      </c>
      <c r="T404" s="21" t="str">
        <f>IF(Deployments!AV405="","",Deployments!AV405)</f>
        <v/>
      </c>
      <c r="U404" s="21" t="str">
        <f>IF(Deployments!AW405="","",Deployments!AW405)</f>
        <v/>
      </c>
      <c r="V404" s="21" t="str">
        <f>IF(Deployments!BA405="","",Deployments!BA405)</f>
        <v/>
      </c>
      <c r="W404" s="21" t="str">
        <f>IF(Deployments!BC405="","",Deployments!BC405)</f>
        <v/>
      </c>
      <c r="X404" s="21" t="str">
        <f>IF(Deployments!BK405="","",Deployments!BK405)</f>
        <v/>
      </c>
      <c r="Y404" s="21" t="str">
        <f>IF(Deployments!BB405="","",Deployments!BB405)</f>
        <v/>
      </c>
      <c r="Z404" s="21" t="str">
        <f>IF(Deployments!T405="","",Deployments!T405)</f>
        <v/>
      </c>
      <c r="AA404" s="21" t="str">
        <f>IF(Deployments!L405="","",Deployments!L405)</f>
        <v/>
      </c>
    </row>
    <row r="405" spans="1:27">
      <c r="A405" s="22"/>
      <c r="B405" s="22"/>
      <c r="C405" s="21" t="str">
        <f>IF(Deployments!H406="","",Deployments!H406)</f>
        <v/>
      </c>
      <c r="D405" s="21" t="str">
        <f>IF(Deployments!AH406="","",Deployments!AH406)</f>
        <v/>
      </c>
      <c r="E405" s="21" t="str">
        <f>IF(Deployments!I406="","",Deployments!I406)</f>
        <v/>
      </c>
      <c r="F405" s="21" t="str">
        <f>IF(Deployments!J406="","",Deployments!J406)</f>
        <v/>
      </c>
      <c r="G405" s="21" t="str">
        <f>IF(Deployments!K406="","",Deployments!K406)</f>
        <v/>
      </c>
      <c r="H405" s="21" t="str">
        <f>IF(Deployments!A406="","",Deployments!A406)</f>
        <v/>
      </c>
      <c r="I405" s="21" t="str">
        <f>IF(Deployments!AI406="","",Deployments!AI406)</f>
        <v/>
      </c>
      <c r="J405" s="21" t="str">
        <f>IF(Deployments!AJ406="","",Deployments!AJ406)</f>
        <v/>
      </c>
      <c r="K405" s="21" t="str">
        <f>IF(Deployments!AD406="","",Deployments!AD406)</f>
        <v/>
      </c>
      <c r="L405" s="21" t="str">
        <f>IF(Deployments!M406="","",Deployments!M406)</f>
        <v/>
      </c>
      <c r="M405" s="22"/>
      <c r="N405" s="21" t="str">
        <f>IF(Deployments!N406="","",Deployments!N406)</f>
        <v/>
      </c>
      <c r="O405" s="21" t="str">
        <f>IF(Deployments!O406="","",Deployments!O406)</f>
        <v/>
      </c>
      <c r="P405" s="21" t="str">
        <f>IF(Deployments!P406="","",Deployments!P406)</f>
        <v/>
      </c>
      <c r="Q405" s="22"/>
      <c r="R405" s="21" t="str">
        <f>IF(Deployments!AY406="","",Deployments!AY406)</f>
        <v/>
      </c>
      <c r="S405" s="21" t="str">
        <f>IF(Deployments!AX406="","",Deployments!AX406)</f>
        <v/>
      </c>
      <c r="T405" s="21" t="str">
        <f>IF(Deployments!AV406="","",Deployments!AV406)</f>
        <v/>
      </c>
      <c r="U405" s="21" t="str">
        <f>IF(Deployments!AW406="","",Deployments!AW406)</f>
        <v/>
      </c>
      <c r="V405" s="21" t="str">
        <f>IF(Deployments!BA406="","",Deployments!BA406)</f>
        <v/>
      </c>
      <c r="W405" s="21" t="str">
        <f>IF(Deployments!BC406="","",Deployments!BC406)</f>
        <v/>
      </c>
      <c r="X405" s="21" t="str">
        <f>IF(Deployments!BK406="","",Deployments!BK406)</f>
        <v/>
      </c>
      <c r="Y405" s="21" t="str">
        <f>IF(Deployments!BB406="","",Deployments!BB406)</f>
        <v/>
      </c>
      <c r="Z405" s="21" t="str">
        <f>IF(Deployments!T406="","",Deployments!T406)</f>
        <v/>
      </c>
      <c r="AA405" s="21" t="str">
        <f>IF(Deployments!L406="","",Deployments!L406)</f>
        <v/>
      </c>
    </row>
    <row r="406" spans="1:27">
      <c r="A406" s="22"/>
      <c r="B406" s="22"/>
      <c r="C406" s="21" t="str">
        <f>IF(Deployments!H407="","",Deployments!H407)</f>
        <v/>
      </c>
      <c r="D406" s="21" t="str">
        <f>IF(Deployments!AH407="","",Deployments!AH407)</f>
        <v/>
      </c>
      <c r="E406" s="21" t="str">
        <f>IF(Deployments!I407="","",Deployments!I407)</f>
        <v/>
      </c>
      <c r="F406" s="21" t="str">
        <f>IF(Deployments!J407="","",Deployments!J407)</f>
        <v/>
      </c>
      <c r="G406" s="21" t="str">
        <f>IF(Deployments!K407="","",Deployments!K407)</f>
        <v/>
      </c>
      <c r="H406" s="21" t="str">
        <f>IF(Deployments!A407="","",Deployments!A407)</f>
        <v/>
      </c>
      <c r="I406" s="21" t="str">
        <f>IF(Deployments!AI407="","",Deployments!AI407)</f>
        <v/>
      </c>
      <c r="J406" s="21" t="str">
        <f>IF(Deployments!AJ407="","",Deployments!AJ407)</f>
        <v/>
      </c>
      <c r="K406" s="21" t="str">
        <f>IF(Deployments!AD407="","",Deployments!AD407)</f>
        <v/>
      </c>
      <c r="L406" s="21" t="str">
        <f>IF(Deployments!M407="","",Deployments!M407)</f>
        <v/>
      </c>
      <c r="M406" s="22"/>
      <c r="N406" s="21" t="str">
        <f>IF(Deployments!N407="","",Deployments!N407)</f>
        <v/>
      </c>
      <c r="O406" s="21" t="str">
        <f>IF(Deployments!O407="","",Deployments!O407)</f>
        <v/>
      </c>
      <c r="P406" s="21" t="str">
        <f>IF(Deployments!P407="","",Deployments!P407)</f>
        <v/>
      </c>
      <c r="Q406" s="22"/>
      <c r="R406" s="21" t="str">
        <f>IF(Deployments!AY407="","",Deployments!AY407)</f>
        <v/>
      </c>
      <c r="S406" s="21" t="str">
        <f>IF(Deployments!AX407="","",Deployments!AX407)</f>
        <v/>
      </c>
      <c r="T406" s="21" t="str">
        <f>IF(Deployments!AV407="","",Deployments!AV407)</f>
        <v/>
      </c>
      <c r="U406" s="21" t="str">
        <f>IF(Deployments!AW407="","",Deployments!AW407)</f>
        <v/>
      </c>
      <c r="V406" s="21" t="str">
        <f>IF(Deployments!BA407="","",Deployments!BA407)</f>
        <v/>
      </c>
      <c r="W406" s="21" t="str">
        <f>IF(Deployments!BC407="","",Deployments!BC407)</f>
        <v/>
      </c>
      <c r="X406" s="21" t="str">
        <f>IF(Deployments!BK407="","",Deployments!BK407)</f>
        <v/>
      </c>
      <c r="Y406" s="21" t="str">
        <f>IF(Deployments!BB407="","",Deployments!BB407)</f>
        <v/>
      </c>
      <c r="Z406" s="21" t="str">
        <f>IF(Deployments!T407="","",Deployments!T407)</f>
        <v/>
      </c>
      <c r="AA406" s="21" t="str">
        <f>IF(Deployments!L407="","",Deployments!L407)</f>
        <v/>
      </c>
    </row>
    <row r="407" spans="1:27">
      <c r="A407" s="22"/>
      <c r="B407" s="22"/>
      <c r="C407" s="21" t="str">
        <f>IF(Deployments!H408="","",Deployments!H408)</f>
        <v/>
      </c>
      <c r="D407" s="21" t="str">
        <f>IF(Deployments!AH408="","",Deployments!AH408)</f>
        <v/>
      </c>
      <c r="E407" s="21" t="str">
        <f>IF(Deployments!I408="","",Deployments!I408)</f>
        <v/>
      </c>
      <c r="F407" s="21" t="str">
        <f>IF(Deployments!J408="","",Deployments!J408)</f>
        <v/>
      </c>
      <c r="G407" s="21" t="str">
        <f>IF(Deployments!K408="","",Deployments!K408)</f>
        <v/>
      </c>
      <c r="H407" s="21" t="str">
        <f>IF(Deployments!A408="","",Deployments!A408)</f>
        <v/>
      </c>
      <c r="I407" s="21" t="str">
        <f>IF(Deployments!AI408="","",Deployments!AI408)</f>
        <v/>
      </c>
      <c r="J407" s="21" t="str">
        <f>IF(Deployments!AJ408="","",Deployments!AJ408)</f>
        <v/>
      </c>
      <c r="K407" s="21" t="str">
        <f>IF(Deployments!AD408="","",Deployments!AD408)</f>
        <v/>
      </c>
      <c r="L407" s="21" t="str">
        <f>IF(Deployments!M408="","",Deployments!M408)</f>
        <v/>
      </c>
      <c r="M407" s="22"/>
      <c r="N407" s="21" t="str">
        <f>IF(Deployments!N408="","",Deployments!N408)</f>
        <v/>
      </c>
      <c r="O407" s="21" t="str">
        <f>IF(Deployments!O408="","",Deployments!O408)</f>
        <v/>
      </c>
      <c r="P407" s="21" t="str">
        <f>IF(Deployments!P408="","",Deployments!P408)</f>
        <v/>
      </c>
      <c r="Q407" s="22"/>
      <c r="R407" s="21" t="str">
        <f>IF(Deployments!AY408="","",Deployments!AY408)</f>
        <v/>
      </c>
      <c r="S407" s="21" t="str">
        <f>IF(Deployments!AX408="","",Deployments!AX408)</f>
        <v/>
      </c>
      <c r="T407" s="21" t="str">
        <f>IF(Deployments!AV408="","",Deployments!AV408)</f>
        <v/>
      </c>
      <c r="U407" s="21" t="str">
        <f>IF(Deployments!AW408="","",Deployments!AW408)</f>
        <v/>
      </c>
      <c r="V407" s="21" t="str">
        <f>IF(Deployments!BA408="","",Deployments!BA408)</f>
        <v/>
      </c>
      <c r="W407" s="21" t="str">
        <f>IF(Deployments!BC408="","",Deployments!BC408)</f>
        <v/>
      </c>
      <c r="X407" s="21" t="str">
        <f>IF(Deployments!BK408="","",Deployments!BK408)</f>
        <v/>
      </c>
      <c r="Y407" s="21" t="str">
        <f>IF(Deployments!BB408="","",Deployments!BB408)</f>
        <v/>
      </c>
      <c r="Z407" s="21" t="str">
        <f>IF(Deployments!T408="","",Deployments!T408)</f>
        <v/>
      </c>
      <c r="AA407" s="21" t="str">
        <f>IF(Deployments!L408="","",Deployments!L408)</f>
        <v/>
      </c>
    </row>
    <row r="408" spans="1:27">
      <c r="A408" s="22"/>
      <c r="B408" s="22"/>
      <c r="C408" s="21" t="str">
        <f>IF(Deployments!H409="","",Deployments!H409)</f>
        <v/>
      </c>
      <c r="D408" s="21" t="str">
        <f>IF(Deployments!AH409="","",Deployments!AH409)</f>
        <v/>
      </c>
      <c r="E408" s="21" t="str">
        <f>IF(Deployments!I409="","",Deployments!I409)</f>
        <v/>
      </c>
      <c r="F408" s="21" t="str">
        <f>IF(Deployments!J409="","",Deployments!J409)</f>
        <v/>
      </c>
      <c r="G408" s="21" t="str">
        <f>IF(Deployments!K409="","",Deployments!K409)</f>
        <v/>
      </c>
      <c r="H408" s="21" t="str">
        <f>IF(Deployments!A409="","",Deployments!A409)</f>
        <v/>
      </c>
      <c r="I408" s="21" t="str">
        <f>IF(Deployments!AI409="","",Deployments!AI409)</f>
        <v/>
      </c>
      <c r="J408" s="21" t="str">
        <f>IF(Deployments!AJ409="","",Deployments!AJ409)</f>
        <v/>
      </c>
      <c r="K408" s="21" t="str">
        <f>IF(Deployments!AD409="","",Deployments!AD409)</f>
        <v/>
      </c>
      <c r="L408" s="21" t="str">
        <f>IF(Deployments!M409="","",Deployments!M409)</f>
        <v/>
      </c>
      <c r="M408" s="22"/>
      <c r="N408" s="21" t="str">
        <f>IF(Deployments!N409="","",Deployments!N409)</f>
        <v/>
      </c>
      <c r="O408" s="21" t="str">
        <f>IF(Deployments!O409="","",Deployments!O409)</f>
        <v/>
      </c>
      <c r="P408" s="21" t="str">
        <f>IF(Deployments!P409="","",Deployments!P409)</f>
        <v/>
      </c>
      <c r="Q408" s="22"/>
      <c r="R408" s="21" t="str">
        <f>IF(Deployments!AY409="","",Deployments!AY409)</f>
        <v/>
      </c>
      <c r="S408" s="21" t="str">
        <f>IF(Deployments!AX409="","",Deployments!AX409)</f>
        <v/>
      </c>
      <c r="T408" s="21" t="str">
        <f>IF(Deployments!AV409="","",Deployments!AV409)</f>
        <v/>
      </c>
      <c r="U408" s="21" t="str">
        <f>IF(Deployments!AW409="","",Deployments!AW409)</f>
        <v/>
      </c>
      <c r="V408" s="21" t="str">
        <f>IF(Deployments!BA409="","",Deployments!BA409)</f>
        <v/>
      </c>
      <c r="W408" s="21" t="str">
        <f>IF(Deployments!BC409="","",Deployments!BC409)</f>
        <v/>
      </c>
      <c r="X408" s="21" t="str">
        <f>IF(Deployments!BK409="","",Deployments!BK409)</f>
        <v/>
      </c>
      <c r="Y408" s="21" t="str">
        <f>IF(Deployments!BB409="","",Deployments!BB409)</f>
        <v/>
      </c>
      <c r="Z408" s="21" t="str">
        <f>IF(Deployments!T409="","",Deployments!T409)</f>
        <v/>
      </c>
      <c r="AA408" s="21" t="str">
        <f>IF(Deployments!L409="","",Deployments!L409)</f>
        <v/>
      </c>
    </row>
    <row r="409" spans="1:27">
      <c r="A409" s="22"/>
      <c r="B409" s="22"/>
      <c r="C409" s="21" t="str">
        <f>IF(Deployments!H410="","",Deployments!H410)</f>
        <v/>
      </c>
      <c r="D409" s="21" t="str">
        <f>IF(Deployments!AH410="","",Deployments!AH410)</f>
        <v/>
      </c>
      <c r="E409" s="21" t="str">
        <f>IF(Deployments!I410="","",Deployments!I410)</f>
        <v/>
      </c>
      <c r="F409" s="21" t="str">
        <f>IF(Deployments!J410="","",Deployments!J410)</f>
        <v/>
      </c>
      <c r="G409" s="21" t="str">
        <f>IF(Deployments!K410="","",Deployments!K410)</f>
        <v/>
      </c>
      <c r="H409" s="21" t="str">
        <f>IF(Deployments!A410="","",Deployments!A410)</f>
        <v/>
      </c>
      <c r="I409" s="21" t="str">
        <f>IF(Deployments!AI410="","",Deployments!AI410)</f>
        <v/>
      </c>
      <c r="J409" s="21" t="str">
        <f>IF(Deployments!AJ410="","",Deployments!AJ410)</f>
        <v/>
      </c>
      <c r="K409" s="21" t="str">
        <f>IF(Deployments!AD410="","",Deployments!AD410)</f>
        <v/>
      </c>
      <c r="L409" s="21" t="str">
        <f>IF(Deployments!M410="","",Deployments!M410)</f>
        <v/>
      </c>
      <c r="M409" s="22"/>
      <c r="N409" s="21" t="str">
        <f>IF(Deployments!N410="","",Deployments!N410)</f>
        <v/>
      </c>
      <c r="O409" s="21" t="str">
        <f>IF(Deployments!O410="","",Deployments!O410)</f>
        <v/>
      </c>
      <c r="P409" s="21" t="str">
        <f>IF(Deployments!P410="","",Deployments!P410)</f>
        <v/>
      </c>
      <c r="Q409" s="22"/>
      <c r="R409" s="21" t="str">
        <f>IF(Deployments!AY410="","",Deployments!AY410)</f>
        <v/>
      </c>
      <c r="S409" s="21" t="str">
        <f>IF(Deployments!AX410="","",Deployments!AX410)</f>
        <v/>
      </c>
      <c r="T409" s="21" t="str">
        <f>IF(Deployments!AV410="","",Deployments!AV410)</f>
        <v/>
      </c>
      <c r="U409" s="21" t="str">
        <f>IF(Deployments!AW410="","",Deployments!AW410)</f>
        <v/>
      </c>
      <c r="V409" s="21" t="str">
        <f>IF(Deployments!BA410="","",Deployments!BA410)</f>
        <v/>
      </c>
      <c r="W409" s="21" t="str">
        <f>IF(Deployments!BC410="","",Deployments!BC410)</f>
        <v/>
      </c>
      <c r="X409" s="21" t="str">
        <f>IF(Deployments!BK410="","",Deployments!BK410)</f>
        <v/>
      </c>
      <c r="Y409" s="21" t="str">
        <f>IF(Deployments!BB410="","",Deployments!BB410)</f>
        <v/>
      </c>
      <c r="Z409" s="21" t="str">
        <f>IF(Deployments!T410="","",Deployments!T410)</f>
        <v/>
      </c>
      <c r="AA409" s="21" t="str">
        <f>IF(Deployments!L410="","",Deployments!L410)</f>
        <v/>
      </c>
    </row>
    <row r="410" spans="1:27">
      <c r="A410" s="22"/>
      <c r="B410" s="22"/>
      <c r="C410" s="21" t="str">
        <f>IF(Deployments!H411="","",Deployments!H411)</f>
        <v/>
      </c>
      <c r="D410" s="21" t="str">
        <f>IF(Deployments!AH411="","",Deployments!AH411)</f>
        <v/>
      </c>
      <c r="E410" s="21" t="str">
        <f>IF(Deployments!I411="","",Deployments!I411)</f>
        <v/>
      </c>
      <c r="F410" s="21" t="str">
        <f>IF(Deployments!J411="","",Deployments!J411)</f>
        <v/>
      </c>
      <c r="G410" s="21" t="str">
        <f>IF(Deployments!K411="","",Deployments!K411)</f>
        <v/>
      </c>
      <c r="H410" s="21" t="str">
        <f>IF(Deployments!A411="","",Deployments!A411)</f>
        <v/>
      </c>
      <c r="I410" s="21" t="str">
        <f>IF(Deployments!AI411="","",Deployments!AI411)</f>
        <v/>
      </c>
      <c r="J410" s="21" t="str">
        <f>IF(Deployments!AJ411="","",Deployments!AJ411)</f>
        <v/>
      </c>
      <c r="K410" s="21" t="str">
        <f>IF(Deployments!AD411="","",Deployments!AD411)</f>
        <v/>
      </c>
      <c r="L410" s="21" t="str">
        <f>IF(Deployments!M411="","",Deployments!M411)</f>
        <v/>
      </c>
      <c r="M410" s="22"/>
      <c r="N410" s="21" t="str">
        <f>IF(Deployments!N411="","",Deployments!N411)</f>
        <v/>
      </c>
      <c r="O410" s="21" t="str">
        <f>IF(Deployments!O411="","",Deployments!O411)</f>
        <v/>
      </c>
      <c r="P410" s="21" t="str">
        <f>IF(Deployments!P411="","",Deployments!P411)</f>
        <v/>
      </c>
      <c r="Q410" s="22"/>
      <c r="R410" s="21" t="str">
        <f>IF(Deployments!AY411="","",Deployments!AY411)</f>
        <v/>
      </c>
      <c r="S410" s="21" t="str">
        <f>IF(Deployments!AX411="","",Deployments!AX411)</f>
        <v/>
      </c>
      <c r="T410" s="21" t="str">
        <f>IF(Deployments!AV411="","",Deployments!AV411)</f>
        <v/>
      </c>
      <c r="U410" s="21" t="str">
        <f>IF(Deployments!AW411="","",Deployments!AW411)</f>
        <v/>
      </c>
      <c r="V410" s="21" t="str">
        <f>IF(Deployments!BA411="","",Deployments!BA411)</f>
        <v/>
      </c>
      <c r="W410" s="21" t="str">
        <f>IF(Deployments!BC411="","",Deployments!BC411)</f>
        <v/>
      </c>
      <c r="X410" s="21" t="str">
        <f>IF(Deployments!BK411="","",Deployments!BK411)</f>
        <v/>
      </c>
      <c r="Y410" s="21" t="str">
        <f>IF(Deployments!BB411="","",Deployments!BB411)</f>
        <v/>
      </c>
      <c r="Z410" s="21" t="str">
        <f>IF(Deployments!T411="","",Deployments!T411)</f>
        <v/>
      </c>
      <c r="AA410" s="21" t="str">
        <f>IF(Deployments!L411="","",Deployments!L411)</f>
        <v/>
      </c>
    </row>
    <row r="411" spans="1:27">
      <c r="A411" s="22"/>
      <c r="B411" s="22"/>
      <c r="C411" s="21" t="str">
        <f>IF(Deployments!H412="","",Deployments!H412)</f>
        <v/>
      </c>
      <c r="D411" s="21" t="str">
        <f>IF(Deployments!AH412="","",Deployments!AH412)</f>
        <v/>
      </c>
      <c r="E411" s="21" t="str">
        <f>IF(Deployments!I412="","",Deployments!I412)</f>
        <v/>
      </c>
      <c r="F411" s="21" t="str">
        <f>IF(Deployments!J412="","",Deployments!J412)</f>
        <v/>
      </c>
      <c r="G411" s="21" t="str">
        <f>IF(Deployments!K412="","",Deployments!K412)</f>
        <v/>
      </c>
      <c r="H411" s="21" t="str">
        <f>IF(Deployments!A412="","",Deployments!A412)</f>
        <v/>
      </c>
      <c r="I411" s="21" t="str">
        <f>IF(Deployments!AI412="","",Deployments!AI412)</f>
        <v/>
      </c>
      <c r="J411" s="21" t="str">
        <f>IF(Deployments!AJ412="","",Deployments!AJ412)</f>
        <v/>
      </c>
      <c r="K411" s="21" t="str">
        <f>IF(Deployments!AD412="","",Deployments!AD412)</f>
        <v/>
      </c>
      <c r="L411" s="21" t="str">
        <f>IF(Deployments!M412="","",Deployments!M412)</f>
        <v/>
      </c>
      <c r="M411" s="22"/>
      <c r="N411" s="21" t="str">
        <f>IF(Deployments!N412="","",Deployments!N412)</f>
        <v/>
      </c>
      <c r="O411" s="21" t="str">
        <f>IF(Deployments!O412="","",Deployments!O412)</f>
        <v/>
      </c>
      <c r="P411" s="21" t="str">
        <f>IF(Deployments!P412="","",Deployments!P412)</f>
        <v/>
      </c>
      <c r="Q411" s="22"/>
      <c r="R411" s="21" t="str">
        <f>IF(Deployments!AY412="","",Deployments!AY412)</f>
        <v/>
      </c>
      <c r="S411" s="21" t="str">
        <f>IF(Deployments!AX412="","",Deployments!AX412)</f>
        <v/>
      </c>
      <c r="T411" s="21" t="str">
        <f>IF(Deployments!AV412="","",Deployments!AV412)</f>
        <v/>
      </c>
      <c r="U411" s="21" t="str">
        <f>IF(Deployments!AW412="","",Deployments!AW412)</f>
        <v/>
      </c>
      <c r="V411" s="21" t="str">
        <f>IF(Deployments!BA412="","",Deployments!BA412)</f>
        <v/>
      </c>
      <c r="W411" s="21" t="str">
        <f>IF(Deployments!BC412="","",Deployments!BC412)</f>
        <v/>
      </c>
      <c r="X411" s="21" t="str">
        <f>IF(Deployments!BK412="","",Deployments!BK412)</f>
        <v/>
      </c>
      <c r="Y411" s="21" t="str">
        <f>IF(Deployments!BB412="","",Deployments!BB412)</f>
        <v/>
      </c>
      <c r="Z411" s="21" t="str">
        <f>IF(Deployments!T412="","",Deployments!T412)</f>
        <v/>
      </c>
      <c r="AA411" s="21" t="str">
        <f>IF(Deployments!L412="","",Deployments!L412)</f>
        <v/>
      </c>
    </row>
    <row r="412" spans="1:27">
      <c r="A412" s="22"/>
      <c r="B412" s="22"/>
      <c r="C412" s="21" t="str">
        <f>IF(Deployments!H413="","",Deployments!H413)</f>
        <v/>
      </c>
      <c r="D412" s="21" t="str">
        <f>IF(Deployments!AH413="","",Deployments!AH413)</f>
        <v/>
      </c>
      <c r="E412" s="21" t="str">
        <f>IF(Deployments!I413="","",Deployments!I413)</f>
        <v/>
      </c>
      <c r="F412" s="21" t="str">
        <f>IF(Deployments!J413="","",Deployments!J413)</f>
        <v/>
      </c>
      <c r="G412" s="21" t="str">
        <f>IF(Deployments!K413="","",Deployments!K413)</f>
        <v/>
      </c>
      <c r="H412" s="21" t="str">
        <f>IF(Deployments!A413="","",Deployments!A413)</f>
        <v/>
      </c>
      <c r="I412" s="21" t="str">
        <f>IF(Deployments!AI413="","",Deployments!AI413)</f>
        <v/>
      </c>
      <c r="J412" s="21" t="str">
        <f>IF(Deployments!AJ413="","",Deployments!AJ413)</f>
        <v/>
      </c>
      <c r="K412" s="21" t="str">
        <f>IF(Deployments!AD413="","",Deployments!AD413)</f>
        <v/>
      </c>
      <c r="L412" s="21" t="str">
        <f>IF(Deployments!M413="","",Deployments!M413)</f>
        <v/>
      </c>
      <c r="M412" s="22"/>
      <c r="N412" s="21" t="str">
        <f>IF(Deployments!N413="","",Deployments!N413)</f>
        <v/>
      </c>
      <c r="O412" s="21" t="str">
        <f>IF(Deployments!O413="","",Deployments!O413)</f>
        <v/>
      </c>
      <c r="P412" s="21" t="str">
        <f>IF(Deployments!P413="","",Deployments!P413)</f>
        <v/>
      </c>
      <c r="Q412" s="22"/>
      <c r="R412" s="21" t="str">
        <f>IF(Deployments!AY413="","",Deployments!AY413)</f>
        <v/>
      </c>
      <c r="S412" s="21" t="str">
        <f>IF(Deployments!AX413="","",Deployments!AX413)</f>
        <v/>
      </c>
      <c r="T412" s="21" t="str">
        <f>IF(Deployments!AV413="","",Deployments!AV413)</f>
        <v/>
      </c>
      <c r="U412" s="21" t="str">
        <f>IF(Deployments!AW413="","",Deployments!AW413)</f>
        <v/>
      </c>
      <c r="V412" s="21" t="str">
        <f>IF(Deployments!BA413="","",Deployments!BA413)</f>
        <v/>
      </c>
      <c r="W412" s="21" t="str">
        <f>IF(Deployments!BC413="","",Deployments!BC413)</f>
        <v/>
      </c>
      <c r="X412" s="21" t="str">
        <f>IF(Deployments!BK413="","",Deployments!BK413)</f>
        <v/>
      </c>
      <c r="Y412" s="21" t="str">
        <f>IF(Deployments!BB413="","",Deployments!BB413)</f>
        <v/>
      </c>
      <c r="Z412" s="21" t="str">
        <f>IF(Deployments!T413="","",Deployments!T413)</f>
        <v/>
      </c>
      <c r="AA412" s="21" t="str">
        <f>IF(Deployments!L413="","",Deployments!L413)</f>
        <v/>
      </c>
    </row>
    <row r="413" spans="1:27">
      <c r="A413" s="22"/>
      <c r="B413" s="22"/>
      <c r="C413" s="21" t="str">
        <f>IF(Deployments!H414="","",Deployments!H414)</f>
        <v/>
      </c>
      <c r="D413" s="21" t="str">
        <f>IF(Deployments!AH414="","",Deployments!AH414)</f>
        <v/>
      </c>
      <c r="E413" s="21" t="str">
        <f>IF(Deployments!I414="","",Deployments!I414)</f>
        <v/>
      </c>
      <c r="F413" s="21" t="str">
        <f>IF(Deployments!J414="","",Deployments!J414)</f>
        <v/>
      </c>
      <c r="G413" s="21" t="str">
        <f>IF(Deployments!K414="","",Deployments!K414)</f>
        <v/>
      </c>
      <c r="H413" s="21" t="str">
        <f>IF(Deployments!A414="","",Deployments!A414)</f>
        <v/>
      </c>
      <c r="I413" s="21" t="str">
        <f>IF(Deployments!AI414="","",Deployments!AI414)</f>
        <v/>
      </c>
      <c r="J413" s="21" t="str">
        <f>IF(Deployments!AJ414="","",Deployments!AJ414)</f>
        <v/>
      </c>
      <c r="K413" s="21" t="str">
        <f>IF(Deployments!AD414="","",Deployments!AD414)</f>
        <v/>
      </c>
      <c r="L413" s="21" t="str">
        <f>IF(Deployments!M414="","",Deployments!M414)</f>
        <v/>
      </c>
      <c r="M413" s="22"/>
      <c r="N413" s="21" t="str">
        <f>IF(Deployments!N414="","",Deployments!N414)</f>
        <v/>
      </c>
      <c r="O413" s="21" t="str">
        <f>IF(Deployments!O414="","",Deployments!O414)</f>
        <v/>
      </c>
      <c r="P413" s="21" t="str">
        <f>IF(Deployments!P414="","",Deployments!P414)</f>
        <v/>
      </c>
      <c r="Q413" s="22"/>
      <c r="R413" s="21" t="str">
        <f>IF(Deployments!AY414="","",Deployments!AY414)</f>
        <v/>
      </c>
      <c r="S413" s="21" t="str">
        <f>IF(Deployments!AX414="","",Deployments!AX414)</f>
        <v/>
      </c>
      <c r="T413" s="21" t="str">
        <f>IF(Deployments!AV414="","",Deployments!AV414)</f>
        <v/>
      </c>
      <c r="U413" s="21" t="str">
        <f>IF(Deployments!AW414="","",Deployments!AW414)</f>
        <v/>
      </c>
      <c r="V413" s="21" t="str">
        <f>IF(Deployments!BA414="","",Deployments!BA414)</f>
        <v/>
      </c>
      <c r="W413" s="21" t="str">
        <f>IF(Deployments!BC414="","",Deployments!BC414)</f>
        <v/>
      </c>
      <c r="X413" s="21" t="str">
        <f>IF(Deployments!BK414="","",Deployments!BK414)</f>
        <v/>
      </c>
      <c r="Y413" s="21" t="str">
        <f>IF(Deployments!BB414="","",Deployments!BB414)</f>
        <v/>
      </c>
      <c r="Z413" s="21" t="str">
        <f>IF(Deployments!T414="","",Deployments!T414)</f>
        <v/>
      </c>
      <c r="AA413" s="21" t="str">
        <f>IF(Deployments!L414="","",Deployments!L414)</f>
        <v/>
      </c>
    </row>
    <row r="414" spans="1:27">
      <c r="A414" s="22"/>
      <c r="B414" s="22"/>
      <c r="C414" s="21" t="str">
        <f>IF(Deployments!H415="","",Deployments!H415)</f>
        <v/>
      </c>
      <c r="D414" s="21" t="str">
        <f>IF(Deployments!AH415="","",Deployments!AH415)</f>
        <v/>
      </c>
      <c r="E414" s="21" t="str">
        <f>IF(Deployments!I415="","",Deployments!I415)</f>
        <v/>
      </c>
      <c r="F414" s="21" t="str">
        <f>IF(Deployments!J415="","",Deployments!J415)</f>
        <v/>
      </c>
      <c r="G414" s="21" t="str">
        <f>IF(Deployments!K415="","",Deployments!K415)</f>
        <v/>
      </c>
      <c r="H414" s="21" t="str">
        <f>IF(Deployments!A415="","",Deployments!A415)</f>
        <v/>
      </c>
      <c r="I414" s="21" t="str">
        <f>IF(Deployments!AI415="","",Deployments!AI415)</f>
        <v/>
      </c>
      <c r="J414" s="21" t="str">
        <f>IF(Deployments!AJ415="","",Deployments!AJ415)</f>
        <v/>
      </c>
      <c r="K414" s="21" t="str">
        <f>IF(Deployments!AD415="","",Deployments!AD415)</f>
        <v/>
      </c>
      <c r="L414" s="21" t="str">
        <f>IF(Deployments!M415="","",Deployments!M415)</f>
        <v/>
      </c>
      <c r="M414" s="22"/>
      <c r="N414" s="21" t="str">
        <f>IF(Deployments!N415="","",Deployments!N415)</f>
        <v/>
      </c>
      <c r="O414" s="21" t="str">
        <f>IF(Deployments!O415="","",Deployments!O415)</f>
        <v/>
      </c>
      <c r="P414" s="21" t="str">
        <f>IF(Deployments!P415="","",Deployments!P415)</f>
        <v/>
      </c>
      <c r="Q414" s="22"/>
      <c r="R414" s="21" t="str">
        <f>IF(Deployments!AY415="","",Deployments!AY415)</f>
        <v/>
      </c>
      <c r="S414" s="21" t="str">
        <f>IF(Deployments!AX415="","",Deployments!AX415)</f>
        <v/>
      </c>
      <c r="T414" s="21" t="str">
        <f>IF(Deployments!AV415="","",Deployments!AV415)</f>
        <v/>
      </c>
      <c r="U414" s="21" t="str">
        <f>IF(Deployments!AW415="","",Deployments!AW415)</f>
        <v/>
      </c>
      <c r="V414" s="21" t="str">
        <f>IF(Deployments!BA415="","",Deployments!BA415)</f>
        <v/>
      </c>
      <c r="W414" s="21" t="str">
        <f>IF(Deployments!BC415="","",Deployments!BC415)</f>
        <v/>
      </c>
      <c r="X414" s="21" t="str">
        <f>IF(Deployments!BK415="","",Deployments!BK415)</f>
        <v/>
      </c>
      <c r="Y414" s="21" t="str">
        <f>IF(Deployments!BB415="","",Deployments!BB415)</f>
        <v/>
      </c>
      <c r="Z414" s="21" t="str">
        <f>IF(Deployments!T415="","",Deployments!T415)</f>
        <v/>
      </c>
      <c r="AA414" s="21" t="str">
        <f>IF(Deployments!L415="","",Deployments!L415)</f>
        <v/>
      </c>
    </row>
    <row r="415" spans="1:27">
      <c r="A415" s="22"/>
      <c r="B415" s="22"/>
      <c r="C415" s="21" t="str">
        <f>IF(Deployments!H416="","",Deployments!H416)</f>
        <v/>
      </c>
      <c r="D415" s="21" t="str">
        <f>IF(Deployments!AH416="","",Deployments!AH416)</f>
        <v/>
      </c>
      <c r="E415" s="21" t="str">
        <f>IF(Deployments!I416="","",Deployments!I416)</f>
        <v/>
      </c>
      <c r="F415" s="21" t="str">
        <f>IF(Deployments!J416="","",Deployments!J416)</f>
        <v/>
      </c>
      <c r="G415" s="21" t="str">
        <f>IF(Deployments!K416="","",Deployments!K416)</f>
        <v/>
      </c>
      <c r="H415" s="21" t="str">
        <f>IF(Deployments!A416="","",Deployments!A416)</f>
        <v/>
      </c>
      <c r="I415" s="21" t="str">
        <f>IF(Deployments!AI416="","",Deployments!AI416)</f>
        <v/>
      </c>
      <c r="J415" s="21" t="str">
        <f>IF(Deployments!AJ416="","",Deployments!AJ416)</f>
        <v/>
      </c>
      <c r="K415" s="21" t="str">
        <f>IF(Deployments!AD416="","",Deployments!AD416)</f>
        <v/>
      </c>
      <c r="L415" s="21" t="str">
        <f>IF(Deployments!M416="","",Deployments!M416)</f>
        <v/>
      </c>
      <c r="M415" s="22"/>
      <c r="N415" s="21" t="str">
        <f>IF(Deployments!N416="","",Deployments!N416)</f>
        <v/>
      </c>
      <c r="O415" s="21" t="str">
        <f>IF(Deployments!O416="","",Deployments!O416)</f>
        <v/>
      </c>
      <c r="P415" s="21" t="str">
        <f>IF(Deployments!P416="","",Deployments!P416)</f>
        <v/>
      </c>
      <c r="Q415" s="22"/>
      <c r="R415" s="21" t="str">
        <f>IF(Deployments!AY416="","",Deployments!AY416)</f>
        <v/>
      </c>
      <c r="S415" s="21" t="str">
        <f>IF(Deployments!AX416="","",Deployments!AX416)</f>
        <v/>
      </c>
      <c r="T415" s="21" t="str">
        <f>IF(Deployments!AV416="","",Deployments!AV416)</f>
        <v/>
      </c>
      <c r="U415" s="21" t="str">
        <f>IF(Deployments!AW416="","",Deployments!AW416)</f>
        <v/>
      </c>
      <c r="V415" s="21" t="str">
        <f>IF(Deployments!BA416="","",Deployments!BA416)</f>
        <v/>
      </c>
      <c r="W415" s="21" t="str">
        <f>IF(Deployments!BC416="","",Deployments!BC416)</f>
        <v/>
      </c>
      <c r="X415" s="21" t="str">
        <f>IF(Deployments!BK416="","",Deployments!BK416)</f>
        <v/>
      </c>
      <c r="Y415" s="21" t="str">
        <f>IF(Deployments!BB416="","",Deployments!BB416)</f>
        <v/>
      </c>
      <c r="Z415" s="21" t="str">
        <f>IF(Deployments!T416="","",Deployments!T416)</f>
        <v/>
      </c>
      <c r="AA415" s="21" t="str">
        <f>IF(Deployments!L416="","",Deployments!L416)</f>
        <v/>
      </c>
    </row>
    <row r="416" spans="1:27">
      <c r="A416" s="22"/>
      <c r="B416" s="22"/>
      <c r="C416" s="21" t="str">
        <f>IF(Deployments!H417="","",Deployments!H417)</f>
        <v/>
      </c>
      <c r="D416" s="21" t="str">
        <f>IF(Deployments!AH417="","",Deployments!AH417)</f>
        <v/>
      </c>
      <c r="E416" s="21" t="str">
        <f>IF(Deployments!I417="","",Deployments!I417)</f>
        <v/>
      </c>
      <c r="F416" s="21" t="str">
        <f>IF(Deployments!J417="","",Deployments!J417)</f>
        <v/>
      </c>
      <c r="G416" s="21" t="str">
        <f>IF(Deployments!K417="","",Deployments!K417)</f>
        <v/>
      </c>
      <c r="H416" s="21" t="str">
        <f>IF(Deployments!A417="","",Deployments!A417)</f>
        <v/>
      </c>
      <c r="I416" s="21" t="str">
        <f>IF(Deployments!AI417="","",Deployments!AI417)</f>
        <v/>
      </c>
      <c r="J416" s="21" t="str">
        <f>IF(Deployments!AJ417="","",Deployments!AJ417)</f>
        <v/>
      </c>
      <c r="K416" s="21" t="str">
        <f>IF(Deployments!AD417="","",Deployments!AD417)</f>
        <v/>
      </c>
      <c r="L416" s="21" t="str">
        <f>IF(Deployments!M417="","",Deployments!M417)</f>
        <v/>
      </c>
      <c r="M416" s="22"/>
      <c r="N416" s="21" t="str">
        <f>IF(Deployments!N417="","",Deployments!N417)</f>
        <v/>
      </c>
      <c r="O416" s="21" t="str">
        <f>IF(Deployments!O417="","",Deployments!O417)</f>
        <v/>
      </c>
      <c r="P416" s="21" t="str">
        <f>IF(Deployments!P417="","",Deployments!P417)</f>
        <v/>
      </c>
      <c r="Q416" s="22"/>
      <c r="R416" s="21" t="str">
        <f>IF(Deployments!AY417="","",Deployments!AY417)</f>
        <v/>
      </c>
      <c r="S416" s="21" t="str">
        <f>IF(Deployments!AX417="","",Deployments!AX417)</f>
        <v/>
      </c>
      <c r="T416" s="21" t="str">
        <f>IF(Deployments!AV417="","",Deployments!AV417)</f>
        <v/>
      </c>
      <c r="U416" s="21" t="str">
        <f>IF(Deployments!AW417="","",Deployments!AW417)</f>
        <v/>
      </c>
      <c r="V416" s="21" t="str">
        <f>IF(Deployments!BA417="","",Deployments!BA417)</f>
        <v/>
      </c>
      <c r="W416" s="21" t="str">
        <f>IF(Deployments!BC417="","",Deployments!BC417)</f>
        <v/>
      </c>
      <c r="X416" s="21" t="str">
        <f>IF(Deployments!BK417="","",Deployments!BK417)</f>
        <v/>
      </c>
      <c r="Y416" s="21" t="str">
        <f>IF(Deployments!BB417="","",Deployments!BB417)</f>
        <v/>
      </c>
      <c r="Z416" s="21" t="str">
        <f>IF(Deployments!T417="","",Deployments!T417)</f>
        <v/>
      </c>
      <c r="AA416" s="21" t="str">
        <f>IF(Deployments!L417="","",Deployments!L417)</f>
        <v/>
      </c>
    </row>
    <row r="417" spans="1:27">
      <c r="A417" s="22"/>
      <c r="B417" s="22"/>
      <c r="C417" s="21" t="str">
        <f>IF(Deployments!H418="","",Deployments!H418)</f>
        <v/>
      </c>
      <c r="D417" s="21" t="str">
        <f>IF(Deployments!AH418="","",Deployments!AH418)</f>
        <v/>
      </c>
      <c r="E417" s="21" t="str">
        <f>IF(Deployments!I418="","",Deployments!I418)</f>
        <v/>
      </c>
      <c r="F417" s="21" t="str">
        <f>IF(Deployments!J418="","",Deployments!J418)</f>
        <v/>
      </c>
      <c r="G417" s="21" t="str">
        <f>IF(Deployments!K418="","",Deployments!K418)</f>
        <v/>
      </c>
      <c r="H417" s="21" t="str">
        <f>IF(Deployments!A418="","",Deployments!A418)</f>
        <v/>
      </c>
      <c r="I417" s="21" t="str">
        <f>IF(Deployments!AI418="","",Deployments!AI418)</f>
        <v/>
      </c>
      <c r="J417" s="21" t="str">
        <f>IF(Deployments!AJ418="","",Deployments!AJ418)</f>
        <v/>
      </c>
      <c r="K417" s="21" t="str">
        <f>IF(Deployments!AD418="","",Deployments!AD418)</f>
        <v/>
      </c>
      <c r="L417" s="21" t="str">
        <f>IF(Deployments!M418="","",Deployments!M418)</f>
        <v/>
      </c>
      <c r="M417" s="22"/>
      <c r="N417" s="21" t="str">
        <f>IF(Deployments!N418="","",Deployments!N418)</f>
        <v/>
      </c>
      <c r="O417" s="21" t="str">
        <f>IF(Deployments!O418="","",Deployments!O418)</f>
        <v/>
      </c>
      <c r="P417" s="21" t="str">
        <f>IF(Deployments!P418="","",Deployments!P418)</f>
        <v/>
      </c>
      <c r="Q417" s="22"/>
      <c r="R417" s="21" t="str">
        <f>IF(Deployments!AY418="","",Deployments!AY418)</f>
        <v/>
      </c>
      <c r="S417" s="21" t="str">
        <f>IF(Deployments!AX418="","",Deployments!AX418)</f>
        <v/>
      </c>
      <c r="T417" s="21" t="str">
        <f>IF(Deployments!AV418="","",Deployments!AV418)</f>
        <v/>
      </c>
      <c r="U417" s="21" t="str">
        <f>IF(Deployments!AW418="","",Deployments!AW418)</f>
        <v/>
      </c>
      <c r="V417" s="21" t="str">
        <f>IF(Deployments!BA418="","",Deployments!BA418)</f>
        <v/>
      </c>
      <c r="W417" s="21" t="str">
        <f>IF(Deployments!BC418="","",Deployments!BC418)</f>
        <v/>
      </c>
      <c r="X417" s="21" t="str">
        <f>IF(Deployments!BK418="","",Deployments!BK418)</f>
        <v/>
      </c>
      <c r="Y417" s="21" t="str">
        <f>IF(Deployments!BB418="","",Deployments!BB418)</f>
        <v/>
      </c>
      <c r="Z417" s="21" t="str">
        <f>IF(Deployments!T418="","",Deployments!T418)</f>
        <v/>
      </c>
      <c r="AA417" s="21" t="str">
        <f>IF(Deployments!L418="","",Deployments!L418)</f>
        <v/>
      </c>
    </row>
    <row r="418" spans="1:27">
      <c r="A418" s="22"/>
      <c r="B418" s="22"/>
      <c r="C418" s="21" t="str">
        <f>IF(Deployments!H419="","",Deployments!H419)</f>
        <v/>
      </c>
      <c r="D418" s="21" t="str">
        <f>IF(Deployments!AH419="","",Deployments!AH419)</f>
        <v/>
      </c>
      <c r="E418" s="21" t="str">
        <f>IF(Deployments!I419="","",Deployments!I419)</f>
        <v/>
      </c>
      <c r="F418" s="21" t="str">
        <f>IF(Deployments!J419="","",Deployments!J419)</f>
        <v/>
      </c>
      <c r="G418" s="21" t="str">
        <f>IF(Deployments!K419="","",Deployments!K419)</f>
        <v/>
      </c>
      <c r="H418" s="21" t="str">
        <f>IF(Deployments!A419="","",Deployments!A419)</f>
        <v/>
      </c>
      <c r="I418" s="21" t="str">
        <f>IF(Deployments!AI419="","",Deployments!AI419)</f>
        <v/>
      </c>
      <c r="J418" s="21" t="str">
        <f>IF(Deployments!AJ419="","",Deployments!AJ419)</f>
        <v/>
      </c>
      <c r="K418" s="21" t="str">
        <f>IF(Deployments!AD419="","",Deployments!AD419)</f>
        <v/>
      </c>
      <c r="L418" s="21" t="str">
        <f>IF(Deployments!M419="","",Deployments!M419)</f>
        <v/>
      </c>
      <c r="M418" s="22"/>
      <c r="N418" s="21" t="str">
        <f>IF(Deployments!N419="","",Deployments!N419)</f>
        <v/>
      </c>
      <c r="O418" s="21" t="str">
        <f>IF(Deployments!O419="","",Deployments!O419)</f>
        <v/>
      </c>
      <c r="P418" s="21" t="str">
        <f>IF(Deployments!P419="","",Deployments!P419)</f>
        <v/>
      </c>
      <c r="Q418" s="22"/>
      <c r="R418" s="21" t="str">
        <f>IF(Deployments!AY419="","",Deployments!AY419)</f>
        <v/>
      </c>
      <c r="S418" s="21" t="str">
        <f>IF(Deployments!AX419="","",Deployments!AX419)</f>
        <v/>
      </c>
      <c r="T418" s="21" t="str">
        <f>IF(Deployments!AV419="","",Deployments!AV419)</f>
        <v/>
      </c>
      <c r="U418" s="21" t="str">
        <f>IF(Deployments!AW419="","",Deployments!AW419)</f>
        <v/>
      </c>
      <c r="V418" s="21" t="str">
        <f>IF(Deployments!BA419="","",Deployments!BA419)</f>
        <v/>
      </c>
      <c r="W418" s="21" t="str">
        <f>IF(Deployments!BC419="","",Deployments!BC419)</f>
        <v/>
      </c>
      <c r="X418" s="21" t="str">
        <f>IF(Deployments!BK419="","",Deployments!BK419)</f>
        <v/>
      </c>
      <c r="Y418" s="21" t="str">
        <f>IF(Deployments!BB419="","",Deployments!BB419)</f>
        <v/>
      </c>
      <c r="Z418" s="21" t="str">
        <f>IF(Deployments!T419="","",Deployments!T419)</f>
        <v/>
      </c>
      <c r="AA418" s="21" t="str">
        <f>IF(Deployments!L419="","",Deployments!L419)</f>
        <v/>
      </c>
    </row>
    <row r="419" spans="1:27">
      <c r="A419" s="22"/>
      <c r="B419" s="22"/>
      <c r="C419" s="21" t="str">
        <f>IF(Deployments!H420="","",Deployments!H420)</f>
        <v/>
      </c>
      <c r="D419" s="21" t="str">
        <f>IF(Deployments!AH420="","",Deployments!AH420)</f>
        <v/>
      </c>
      <c r="E419" s="21" t="str">
        <f>IF(Deployments!I420="","",Deployments!I420)</f>
        <v/>
      </c>
      <c r="F419" s="21" t="str">
        <f>IF(Deployments!J420="","",Deployments!J420)</f>
        <v/>
      </c>
      <c r="G419" s="21" t="str">
        <f>IF(Deployments!K420="","",Deployments!K420)</f>
        <v/>
      </c>
      <c r="H419" s="21" t="str">
        <f>IF(Deployments!A420="","",Deployments!A420)</f>
        <v/>
      </c>
      <c r="I419" s="21" t="str">
        <f>IF(Deployments!AI420="","",Deployments!AI420)</f>
        <v/>
      </c>
      <c r="J419" s="21" t="str">
        <f>IF(Deployments!AJ420="","",Deployments!AJ420)</f>
        <v/>
      </c>
      <c r="K419" s="21" t="str">
        <f>IF(Deployments!AD420="","",Deployments!AD420)</f>
        <v/>
      </c>
      <c r="L419" s="21" t="str">
        <f>IF(Deployments!M420="","",Deployments!M420)</f>
        <v/>
      </c>
      <c r="M419" s="22"/>
      <c r="N419" s="21" t="str">
        <f>IF(Deployments!N420="","",Deployments!N420)</f>
        <v/>
      </c>
      <c r="O419" s="21" t="str">
        <f>IF(Deployments!O420="","",Deployments!O420)</f>
        <v/>
      </c>
      <c r="P419" s="21" t="str">
        <f>IF(Deployments!P420="","",Deployments!P420)</f>
        <v/>
      </c>
      <c r="Q419" s="22"/>
      <c r="R419" s="21" t="str">
        <f>IF(Deployments!AY420="","",Deployments!AY420)</f>
        <v/>
      </c>
      <c r="S419" s="21" t="str">
        <f>IF(Deployments!AX420="","",Deployments!AX420)</f>
        <v/>
      </c>
      <c r="T419" s="21" t="str">
        <f>IF(Deployments!AV420="","",Deployments!AV420)</f>
        <v/>
      </c>
      <c r="U419" s="21" t="str">
        <f>IF(Deployments!AW420="","",Deployments!AW420)</f>
        <v/>
      </c>
      <c r="V419" s="21" t="str">
        <f>IF(Deployments!BA420="","",Deployments!BA420)</f>
        <v/>
      </c>
      <c r="W419" s="21" t="str">
        <f>IF(Deployments!BC420="","",Deployments!BC420)</f>
        <v/>
      </c>
      <c r="X419" s="21" t="str">
        <f>IF(Deployments!BK420="","",Deployments!BK420)</f>
        <v/>
      </c>
      <c r="Y419" s="21" t="str">
        <f>IF(Deployments!BB420="","",Deployments!BB420)</f>
        <v/>
      </c>
      <c r="Z419" s="21" t="str">
        <f>IF(Deployments!T420="","",Deployments!T420)</f>
        <v/>
      </c>
      <c r="AA419" s="21" t="str">
        <f>IF(Deployments!L420="","",Deployments!L420)</f>
        <v/>
      </c>
    </row>
    <row r="420" spans="1:27">
      <c r="A420" s="22"/>
      <c r="B420" s="22"/>
      <c r="C420" s="21" t="str">
        <f>IF(Deployments!H421="","",Deployments!H421)</f>
        <v/>
      </c>
      <c r="D420" s="21" t="str">
        <f>IF(Deployments!AH421="","",Deployments!AH421)</f>
        <v/>
      </c>
      <c r="E420" s="21" t="str">
        <f>IF(Deployments!I421="","",Deployments!I421)</f>
        <v/>
      </c>
      <c r="F420" s="21" t="str">
        <f>IF(Deployments!J421="","",Deployments!J421)</f>
        <v/>
      </c>
      <c r="G420" s="21" t="str">
        <f>IF(Deployments!K421="","",Deployments!K421)</f>
        <v/>
      </c>
      <c r="H420" s="21" t="str">
        <f>IF(Deployments!A421="","",Deployments!A421)</f>
        <v/>
      </c>
      <c r="I420" s="21" t="str">
        <f>IF(Deployments!AI421="","",Deployments!AI421)</f>
        <v/>
      </c>
      <c r="J420" s="21" t="str">
        <f>IF(Deployments!AJ421="","",Deployments!AJ421)</f>
        <v/>
      </c>
      <c r="K420" s="21" t="str">
        <f>IF(Deployments!AD421="","",Deployments!AD421)</f>
        <v/>
      </c>
      <c r="L420" s="21" t="str">
        <f>IF(Deployments!M421="","",Deployments!M421)</f>
        <v/>
      </c>
      <c r="M420" s="22"/>
      <c r="N420" s="21" t="str">
        <f>IF(Deployments!N421="","",Deployments!N421)</f>
        <v/>
      </c>
      <c r="O420" s="21" t="str">
        <f>IF(Deployments!O421="","",Deployments!O421)</f>
        <v/>
      </c>
      <c r="P420" s="21" t="str">
        <f>IF(Deployments!P421="","",Deployments!P421)</f>
        <v/>
      </c>
      <c r="Q420" s="22"/>
      <c r="R420" s="21" t="str">
        <f>IF(Deployments!AY421="","",Deployments!AY421)</f>
        <v/>
      </c>
      <c r="S420" s="21" t="str">
        <f>IF(Deployments!AX421="","",Deployments!AX421)</f>
        <v/>
      </c>
      <c r="T420" s="21" t="str">
        <f>IF(Deployments!AV421="","",Deployments!AV421)</f>
        <v/>
      </c>
      <c r="U420" s="21" t="str">
        <f>IF(Deployments!AW421="","",Deployments!AW421)</f>
        <v/>
      </c>
      <c r="V420" s="21" t="str">
        <f>IF(Deployments!BA421="","",Deployments!BA421)</f>
        <v/>
      </c>
      <c r="W420" s="21" t="str">
        <f>IF(Deployments!BC421="","",Deployments!BC421)</f>
        <v/>
      </c>
      <c r="X420" s="21" t="str">
        <f>IF(Deployments!BK421="","",Deployments!BK421)</f>
        <v/>
      </c>
      <c r="Y420" s="21" t="str">
        <f>IF(Deployments!BB421="","",Deployments!BB421)</f>
        <v/>
      </c>
      <c r="Z420" s="21" t="str">
        <f>IF(Deployments!T421="","",Deployments!T421)</f>
        <v/>
      </c>
      <c r="AA420" s="21" t="str">
        <f>IF(Deployments!L421="","",Deployments!L421)</f>
        <v/>
      </c>
    </row>
    <row r="421" spans="1:27">
      <c r="A421" s="22"/>
      <c r="B421" s="22"/>
      <c r="C421" s="21" t="str">
        <f>IF(Deployments!H422="","",Deployments!H422)</f>
        <v/>
      </c>
      <c r="D421" s="21" t="str">
        <f>IF(Deployments!AH422="","",Deployments!AH422)</f>
        <v/>
      </c>
      <c r="E421" s="21" t="str">
        <f>IF(Deployments!I422="","",Deployments!I422)</f>
        <v/>
      </c>
      <c r="F421" s="21" t="str">
        <f>IF(Deployments!J422="","",Deployments!J422)</f>
        <v/>
      </c>
      <c r="G421" s="21" t="str">
        <f>IF(Deployments!K422="","",Deployments!K422)</f>
        <v/>
      </c>
      <c r="H421" s="21" t="str">
        <f>IF(Deployments!A422="","",Deployments!A422)</f>
        <v/>
      </c>
      <c r="I421" s="21" t="str">
        <f>IF(Deployments!AI422="","",Deployments!AI422)</f>
        <v/>
      </c>
      <c r="J421" s="21" t="str">
        <f>IF(Deployments!AJ422="","",Deployments!AJ422)</f>
        <v/>
      </c>
      <c r="K421" s="21" t="str">
        <f>IF(Deployments!AD422="","",Deployments!AD422)</f>
        <v/>
      </c>
      <c r="L421" s="21" t="str">
        <f>IF(Deployments!M422="","",Deployments!M422)</f>
        <v/>
      </c>
      <c r="M421" s="22"/>
      <c r="N421" s="21" t="str">
        <f>IF(Deployments!N422="","",Deployments!N422)</f>
        <v/>
      </c>
      <c r="O421" s="21" t="str">
        <f>IF(Deployments!O422="","",Deployments!O422)</f>
        <v/>
      </c>
      <c r="P421" s="21" t="str">
        <f>IF(Deployments!P422="","",Deployments!P422)</f>
        <v/>
      </c>
      <c r="Q421" s="22"/>
      <c r="R421" s="21" t="str">
        <f>IF(Deployments!AY422="","",Deployments!AY422)</f>
        <v/>
      </c>
      <c r="S421" s="21" t="str">
        <f>IF(Deployments!AX422="","",Deployments!AX422)</f>
        <v/>
      </c>
      <c r="T421" s="21" t="str">
        <f>IF(Deployments!AV422="","",Deployments!AV422)</f>
        <v/>
      </c>
      <c r="U421" s="21" t="str">
        <f>IF(Deployments!AW422="","",Deployments!AW422)</f>
        <v/>
      </c>
      <c r="V421" s="21" t="str">
        <f>IF(Deployments!BA422="","",Deployments!BA422)</f>
        <v/>
      </c>
      <c r="W421" s="21" t="str">
        <f>IF(Deployments!BC422="","",Deployments!BC422)</f>
        <v/>
      </c>
      <c r="X421" s="21" t="str">
        <f>IF(Deployments!BK422="","",Deployments!BK422)</f>
        <v/>
      </c>
      <c r="Y421" s="21" t="str">
        <f>IF(Deployments!BB422="","",Deployments!BB422)</f>
        <v/>
      </c>
      <c r="Z421" s="21" t="str">
        <f>IF(Deployments!T422="","",Deployments!T422)</f>
        <v/>
      </c>
      <c r="AA421" s="21" t="str">
        <f>IF(Deployments!L422="","",Deployments!L422)</f>
        <v/>
      </c>
    </row>
    <row r="422" spans="1:27">
      <c r="A422" s="22"/>
      <c r="B422" s="22"/>
      <c r="C422" s="21" t="str">
        <f>IF(Deployments!H423="","",Deployments!H423)</f>
        <v/>
      </c>
      <c r="D422" s="21" t="str">
        <f>IF(Deployments!AH423="","",Deployments!AH423)</f>
        <v/>
      </c>
      <c r="E422" s="21" t="str">
        <f>IF(Deployments!I423="","",Deployments!I423)</f>
        <v/>
      </c>
      <c r="F422" s="21" t="str">
        <f>IF(Deployments!J423="","",Deployments!J423)</f>
        <v/>
      </c>
      <c r="G422" s="21" t="str">
        <f>IF(Deployments!K423="","",Deployments!K423)</f>
        <v/>
      </c>
      <c r="H422" s="21" t="str">
        <f>IF(Deployments!A423="","",Deployments!A423)</f>
        <v/>
      </c>
      <c r="I422" s="21" t="str">
        <f>IF(Deployments!AI423="","",Deployments!AI423)</f>
        <v/>
      </c>
      <c r="J422" s="21" t="str">
        <f>IF(Deployments!AJ423="","",Deployments!AJ423)</f>
        <v/>
      </c>
      <c r="K422" s="21" t="str">
        <f>IF(Deployments!AD423="","",Deployments!AD423)</f>
        <v/>
      </c>
      <c r="L422" s="21" t="str">
        <f>IF(Deployments!M423="","",Deployments!M423)</f>
        <v/>
      </c>
      <c r="M422" s="22"/>
      <c r="N422" s="21" t="str">
        <f>IF(Deployments!N423="","",Deployments!N423)</f>
        <v/>
      </c>
      <c r="O422" s="21" t="str">
        <f>IF(Deployments!O423="","",Deployments!O423)</f>
        <v/>
      </c>
      <c r="P422" s="21" t="str">
        <f>IF(Deployments!P423="","",Deployments!P423)</f>
        <v/>
      </c>
      <c r="Q422" s="22"/>
      <c r="R422" s="21" t="str">
        <f>IF(Deployments!AY423="","",Deployments!AY423)</f>
        <v/>
      </c>
      <c r="S422" s="21" t="str">
        <f>IF(Deployments!AX423="","",Deployments!AX423)</f>
        <v/>
      </c>
      <c r="T422" s="21" t="str">
        <f>IF(Deployments!AV423="","",Deployments!AV423)</f>
        <v/>
      </c>
      <c r="U422" s="21" t="str">
        <f>IF(Deployments!AW423="","",Deployments!AW423)</f>
        <v/>
      </c>
      <c r="V422" s="21" t="str">
        <f>IF(Deployments!BA423="","",Deployments!BA423)</f>
        <v/>
      </c>
      <c r="W422" s="21" t="str">
        <f>IF(Deployments!BC423="","",Deployments!BC423)</f>
        <v/>
      </c>
      <c r="X422" s="21" t="str">
        <f>IF(Deployments!BK423="","",Deployments!BK423)</f>
        <v/>
      </c>
      <c r="Y422" s="21" t="str">
        <f>IF(Deployments!BB423="","",Deployments!BB423)</f>
        <v/>
      </c>
      <c r="Z422" s="21" t="str">
        <f>IF(Deployments!T423="","",Deployments!T423)</f>
        <v/>
      </c>
      <c r="AA422" s="21" t="str">
        <f>IF(Deployments!L423="","",Deployments!L423)</f>
        <v/>
      </c>
    </row>
    <row r="423" spans="1:27">
      <c r="A423" s="22"/>
      <c r="B423" s="22"/>
      <c r="C423" s="21" t="str">
        <f>IF(Deployments!H424="","",Deployments!H424)</f>
        <v/>
      </c>
      <c r="D423" s="21" t="str">
        <f>IF(Deployments!AH424="","",Deployments!AH424)</f>
        <v/>
      </c>
      <c r="E423" s="21" t="str">
        <f>IF(Deployments!I424="","",Deployments!I424)</f>
        <v/>
      </c>
      <c r="F423" s="21" t="str">
        <f>IF(Deployments!J424="","",Deployments!J424)</f>
        <v/>
      </c>
      <c r="G423" s="21" t="str">
        <f>IF(Deployments!K424="","",Deployments!K424)</f>
        <v/>
      </c>
      <c r="H423" s="21" t="str">
        <f>IF(Deployments!A424="","",Deployments!A424)</f>
        <v/>
      </c>
      <c r="I423" s="21" t="str">
        <f>IF(Deployments!AI424="","",Deployments!AI424)</f>
        <v/>
      </c>
      <c r="J423" s="21" t="str">
        <f>IF(Deployments!AJ424="","",Deployments!AJ424)</f>
        <v/>
      </c>
      <c r="K423" s="21" t="str">
        <f>IF(Deployments!AD424="","",Deployments!AD424)</f>
        <v/>
      </c>
      <c r="L423" s="21" t="str">
        <f>IF(Deployments!M424="","",Deployments!M424)</f>
        <v/>
      </c>
      <c r="M423" s="22"/>
      <c r="N423" s="21" t="str">
        <f>IF(Deployments!N424="","",Deployments!N424)</f>
        <v/>
      </c>
      <c r="O423" s="21" t="str">
        <f>IF(Deployments!O424="","",Deployments!O424)</f>
        <v/>
      </c>
      <c r="P423" s="21" t="str">
        <f>IF(Deployments!P424="","",Deployments!P424)</f>
        <v/>
      </c>
      <c r="Q423" s="22"/>
      <c r="R423" s="21" t="str">
        <f>IF(Deployments!AY424="","",Deployments!AY424)</f>
        <v/>
      </c>
      <c r="S423" s="21" t="str">
        <f>IF(Deployments!AX424="","",Deployments!AX424)</f>
        <v/>
      </c>
      <c r="T423" s="21" t="str">
        <f>IF(Deployments!AV424="","",Deployments!AV424)</f>
        <v/>
      </c>
      <c r="U423" s="21" t="str">
        <f>IF(Deployments!AW424="","",Deployments!AW424)</f>
        <v/>
      </c>
      <c r="V423" s="21" t="str">
        <f>IF(Deployments!BA424="","",Deployments!BA424)</f>
        <v/>
      </c>
      <c r="W423" s="21" t="str">
        <f>IF(Deployments!BC424="","",Deployments!BC424)</f>
        <v/>
      </c>
      <c r="X423" s="21" t="str">
        <f>IF(Deployments!BK424="","",Deployments!BK424)</f>
        <v/>
      </c>
      <c r="Y423" s="21" t="str">
        <f>IF(Deployments!BB424="","",Deployments!BB424)</f>
        <v/>
      </c>
      <c r="Z423" s="21" t="str">
        <f>IF(Deployments!T424="","",Deployments!T424)</f>
        <v/>
      </c>
      <c r="AA423" s="21" t="str">
        <f>IF(Deployments!L424="","",Deployments!L424)</f>
        <v/>
      </c>
    </row>
    <row r="424" spans="1:27">
      <c r="A424" s="22"/>
      <c r="B424" s="22"/>
      <c r="C424" s="21" t="str">
        <f>IF(Deployments!H425="","",Deployments!H425)</f>
        <v/>
      </c>
      <c r="D424" s="21" t="str">
        <f>IF(Deployments!AH425="","",Deployments!AH425)</f>
        <v/>
      </c>
      <c r="E424" s="21" t="str">
        <f>IF(Deployments!I425="","",Deployments!I425)</f>
        <v/>
      </c>
      <c r="F424" s="21" t="str">
        <f>IF(Deployments!J425="","",Deployments!J425)</f>
        <v/>
      </c>
      <c r="G424" s="21" t="str">
        <f>IF(Deployments!K425="","",Deployments!K425)</f>
        <v/>
      </c>
      <c r="H424" s="21" t="str">
        <f>IF(Deployments!A425="","",Deployments!A425)</f>
        <v/>
      </c>
      <c r="I424" s="21" t="str">
        <f>IF(Deployments!AI425="","",Deployments!AI425)</f>
        <v/>
      </c>
      <c r="J424" s="21" t="str">
        <f>IF(Deployments!AJ425="","",Deployments!AJ425)</f>
        <v/>
      </c>
      <c r="K424" s="21" t="str">
        <f>IF(Deployments!AD425="","",Deployments!AD425)</f>
        <v/>
      </c>
      <c r="L424" s="21" t="str">
        <f>IF(Deployments!M425="","",Deployments!M425)</f>
        <v/>
      </c>
      <c r="M424" s="22"/>
      <c r="N424" s="21" t="str">
        <f>IF(Deployments!N425="","",Deployments!N425)</f>
        <v/>
      </c>
      <c r="O424" s="21" t="str">
        <f>IF(Deployments!O425="","",Deployments!O425)</f>
        <v/>
      </c>
      <c r="P424" s="21" t="str">
        <f>IF(Deployments!P425="","",Deployments!P425)</f>
        <v/>
      </c>
      <c r="Q424" s="22"/>
      <c r="R424" s="21" t="str">
        <f>IF(Deployments!AY425="","",Deployments!AY425)</f>
        <v/>
      </c>
      <c r="S424" s="21" t="str">
        <f>IF(Deployments!AX425="","",Deployments!AX425)</f>
        <v/>
      </c>
      <c r="T424" s="21" t="str">
        <f>IF(Deployments!AV425="","",Deployments!AV425)</f>
        <v/>
      </c>
      <c r="U424" s="21" t="str">
        <f>IF(Deployments!AW425="","",Deployments!AW425)</f>
        <v/>
      </c>
      <c r="V424" s="21" t="str">
        <f>IF(Deployments!BA425="","",Deployments!BA425)</f>
        <v/>
      </c>
      <c r="W424" s="21" t="str">
        <f>IF(Deployments!BC425="","",Deployments!BC425)</f>
        <v/>
      </c>
      <c r="X424" s="21" t="str">
        <f>IF(Deployments!BK425="","",Deployments!BK425)</f>
        <v/>
      </c>
      <c r="Y424" s="21" t="str">
        <f>IF(Deployments!BB425="","",Deployments!BB425)</f>
        <v/>
      </c>
      <c r="Z424" s="21" t="str">
        <f>IF(Deployments!T425="","",Deployments!T425)</f>
        <v/>
      </c>
      <c r="AA424" s="21" t="str">
        <f>IF(Deployments!L425="","",Deployments!L425)</f>
        <v/>
      </c>
    </row>
    <row r="425" spans="1:27">
      <c r="A425" s="22"/>
      <c r="B425" s="22"/>
      <c r="C425" s="21" t="str">
        <f>IF(Deployments!H426="","",Deployments!H426)</f>
        <v/>
      </c>
      <c r="D425" s="21" t="str">
        <f>IF(Deployments!AH426="","",Deployments!AH426)</f>
        <v/>
      </c>
      <c r="E425" s="21" t="str">
        <f>IF(Deployments!I426="","",Deployments!I426)</f>
        <v/>
      </c>
      <c r="F425" s="21" t="str">
        <f>IF(Deployments!J426="","",Deployments!J426)</f>
        <v/>
      </c>
      <c r="G425" s="21" t="str">
        <f>IF(Deployments!K426="","",Deployments!K426)</f>
        <v/>
      </c>
      <c r="H425" s="21" t="str">
        <f>IF(Deployments!A426="","",Deployments!A426)</f>
        <v/>
      </c>
      <c r="I425" s="21" t="str">
        <f>IF(Deployments!AI426="","",Deployments!AI426)</f>
        <v/>
      </c>
      <c r="J425" s="21" t="str">
        <f>IF(Deployments!AJ426="","",Deployments!AJ426)</f>
        <v/>
      </c>
      <c r="K425" s="21" t="str">
        <f>IF(Deployments!AD426="","",Deployments!AD426)</f>
        <v/>
      </c>
      <c r="L425" s="21" t="str">
        <f>IF(Deployments!M426="","",Deployments!M426)</f>
        <v/>
      </c>
      <c r="M425" s="22"/>
      <c r="N425" s="21" t="str">
        <f>IF(Deployments!N426="","",Deployments!N426)</f>
        <v/>
      </c>
      <c r="O425" s="21" t="str">
        <f>IF(Deployments!O426="","",Deployments!O426)</f>
        <v/>
      </c>
      <c r="P425" s="21" t="str">
        <f>IF(Deployments!P426="","",Deployments!P426)</f>
        <v/>
      </c>
      <c r="Q425" s="22"/>
      <c r="R425" s="21" t="str">
        <f>IF(Deployments!AY426="","",Deployments!AY426)</f>
        <v/>
      </c>
      <c r="S425" s="21" t="str">
        <f>IF(Deployments!AX426="","",Deployments!AX426)</f>
        <v/>
      </c>
      <c r="T425" s="21" t="str">
        <f>IF(Deployments!AV426="","",Deployments!AV426)</f>
        <v/>
      </c>
      <c r="U425" s="21" t="str">
        <f>IF(Deployments!AW426="","",Deployments!AW426)</f>
        <v/>
      </c>
      <c r="V425" s="21" t="str">
        <f>IF(Deployments!BA426="","",Deployments!BA426)</f>
        <v/>
      </c>
      <c r="W425" s="21" t="str">
        <f>IF(Deployments!BC426="","",Deployments!BC426)</f>
        <v/>
      </c>
      <c r="X425" s="21" t="str">
        <f>IF(Deployments!BK426="","",Deployments!BK426)</f>
        <v/>
      </c>
      <c r="Y425" s="21" t="str">
        <f>IF(Deployments!BB426="","",Deployments!BB426)</f>
        <v/>
      </c>
      <c r="Z425" s="21" t="str">
        <f>IF(Deployments!T426="","",Deployments!T426)</f>
        <v/>
      </c>
      <c r="AA425" s="21" t="str">
        <f>IF(Deployments!L426="","",Deployments!L426)</f>
        <v/>
      </c>
    </row>
    <row r="426" spans="1:27">
      <c r="A426" s="22"/>
      <c r="B426" s="22"/>
      <c r="C426" s="21" t="str">
        <f>IF(Deployments!H427="","",Deployments!H427)</f>
        <v/>
      </c>
      <c r="D426" s="21" t="str">
        <f>IF(Deployments!AH427="","",Deployments!AH427)</f>
        <v/>
      </c>
      <c r="E426" s="21" t="str">
        <f>IF(Deployments!I427="","",Deployments!I427)</f>
        <v/>
      </c>
      <c r="F426" s="21" t="str">
        <f>IF(Deployments!J427="","",Deployments!J427)</f>
        <v/>
      </c>
      <c r="G426" s="21" t="str">
        <f>IF(Deployments!K427="","",Deployments!K427)</f>
        <v/>
      </c>
      <c r="H426" s="21" t="str">
        <f>IF(Deployments!A427="","",Deployments!A427)</f>
        <v/>
      </c>
      <c r="I426" s="21" t="str">
        <f>IF(Deployments!AI427="","",Deployments!AI427)</f>
        <v/>
      </c>
      <c r="J426" s="21" t="str">
        <f>IF(Deployments!AJ427="","",Deployments!AJ427)</f>
        <v/>
      </c>
      <c r="K426" s="21" t="str">
        <f>IF(Deployments!AD427="","",Deployments!AD427)</f>
        <v/>
      </c>
      <c r="L426" s="21" t="str">
        <f>IF(Deployments!M427="","",Deployments!M427)</f>
        <v/>
      </c>
      <c r="M426" s="22"/>
      <c r="N426" s="21" t="str">
        <f>IF(Deployments!N427="","",Deployments!N427)</f>
        <v/>
      </c>
      <c r="O426" s="21" t="str">
        <f>IF(Deployments!O427="","",Deployments!O427)</f>
        <v/>
      </c>
      <c r="P426" s="21" t="str">
        <f>IF(Deployments!P427="","",Deployments!P427)</f>
        <v/>
      </c>
      <c r="Q426" s="22"/>
      <c r="R426" s="21" t="str">
        <f>IF(Deployments!AY427="","",Deployments!AY427)</f>
        <v/>
      </c>
      <c r="S426" s="21" t="str">
        <f>IF(Deployments!AX427="","",Deployments!AX427)</f>
        <v/>
      </c>
      <c r="T426" s="21" t="str">
        <f>IF(Deployments!AV427="","",Deployments!AV427)</f>
        <v/>
      </c>
      <c r="U426" s="21" t="str">
        <f>IF(Deployments!AW427="","",Deployments!AW427)</f>
        <v/>
      </c>
      <c r="V426" s="21" t="str">
        <f>IF(Deployments!BA427="","",Deployments!BA427)</f>
        <v/>
      </c>
      <c r="W426" s="21" t="str">
        <f>IF(Deployments!BC427="","",Deployments!BC427)</f>
        <v/>
      </c>
      <c r="X426" s="21" t="str">
        <f>IF(Deployments!BK427="","",Deployments!BK427)</f>
        <v/>
      </c>
      <c r="Y426" s="21" t="str">
        <f>IF(Deployments!BB427="","",Deployments!BB427)</f>
        <v/>
      </c>
      <c r="Z426" s="21" t="str">
        <f>IF(Deployments!T427="","",Deployments!T427)</f>
        <v/>
      </c>
      <c r="AA426" s="21" t="str">
        <f>IF(Deployments!L427="","",Deployments!L427)</f>
        <v/>
      </c>
    </row>
    <row r="427" spans="1:27">
      <c r="A427" s="22"/>
      <c r="B427" s="22"/>
      <c r="C427" s="21" t="str">
        <f>IF(Deployments!H428="","",Deployments!H428)</f>
        <v/>
      </c>
      <c r="D427" s="21" t="str">
        <f>IF(Deployments!AH428="","",Deployments!AH428)</f>
        <v/>
      </c>
      <c r="E427" s="21" t="str">
        <f>IF(Deployments!I428="","",Deployments!I428)</f>
        <v/>
      </c>
      <c r="F427" s="21" t="str">
        <f>IF(Deployments!J428="","",Deployments!J428)</f>
        <v/>
      </c>
      <c r="G427" s="21" t="str">
        <f>IF(Deployments!K428="","",Deployments!K428)</f>
        <v/>
      </c>
      <c r="H427" s="21" t="str">
        <f>IF(Deployments!A428="","",Deployments!A428)</f>
        <v/>
      </c>
      <c r="I427" s="21" t="str">
        <f>IF(Deployments!AI428="","",Deployments!AI428)</f>
        <v/>
      </c>
      <c r="J427" s="21" t="str">
        <f>IF(Deployments!AJ428="","",Deployments!AJ428)</f>
        <v/>
      </c>
      <c r="K427" s="21" t="str">
        <f>IF(Deployments!AD428="","",Deployments!AD428)</f>
        <v/>
      </c>
      <c r="L427" s="21" t="str">
        <f>IF(Deployments!M428="","",Deployments!M428)</f>
        <v/>
      </c>
      <c r="M427" s="22"/>
      <c r="N427" s="21" t="str">
        <f>IF(Deployments!N428="","",Deployments!N428)</f>
        <v/>
      </c>
      <c r="O427" s="21" t="str">
        <f>IF(Deployments!O428="","",Deployments!O428)</f>
        <v/>
      </c>
      <c r="P427" s="21" t="str">
        <f>IF(Deployments!P428="","",Deployments!P428)</f>
        <v/>
      </c>
      <c r="Q427" s="22"/>
      <c r="R427" s="21" t="str">
        <f>IF(Deployments!AY428="","",Deployments!AY428)</f>
        <v/>
      </c>
      <c r="S427" s="21" t="str">
        <f>IF(Deployments!AX428="","",Deployments!AX428)</f>
        <v/>
      </c>
      <c r="T427" s="21" t="str">
        <f>IF(Deployments!AV428="","",Deployments!AV428)</f>
        <v/>
      </c>
      <c r="U427" s="21" t="str">
        <f>IF(Deployments!AW428="","",Deployments!AW428)</f>
        <v/>
      </c>
      <c r="V427" s="21" t="str">
        <f>IF(Deployments!BA428="","",Deployments!BA428)</f>
        <v/>
      </c>
      <c r="W427" s="21" t="str">
        <f>IF(Deployments!BC428="","",Deployments!BC428)</f>
        <v/>
      </c>
      <c r="X427" s="21" t="str">
        <f>IF(Deployments!BK428="","",Deployments!BK428)</f>
        <v/>
      </c>
      <c r="Y427" s="21" t="str">
        <f>IF(Deployments!BB428="","",Deployments!BB428)</f>
        <v/>
      </c>
      <c r="Z427" s="21" t="str">
        <f>IF(Deployments!T428="","",Deployments!T428)</f>
        <v/>
      </c>
      <c r="AA427" s="21" t="str">
        <f>IF(Deployments!L428="","",Deployments!L428)</f>
        <v/>
      </c>
    </row>
    <row r="428" spans="1:27">
      <c r="A428" s="22"/>
      <c r="B428" s="22"/>
      <c r="C428" s="21" t="str">
        <f>IF(Deployments!H429="","",Deployments!H429)</f>
        <v/>
      </c>
      <c r="D428" s="21" t="str">
        <f>IF(Deployments!AH429="","",Deployments!AH429)</f>
        <v/>
      </c>
      <c r="E428" s="21" t="str">
        <f>IF(Deployments!I429="","",Deployments!I429)</f>
        <v/>
      </c>
      <c r="F428" s="21" t="str">
        <f>IF(Deployments!J429="","",Deployments!J429)</f>
        <v/>
      </c>
      <c r="G428" s="21" t="str">
        <f>IF(Deployments!K429="","",Deployments!K429)</f>
        <v/>
      </c>
      <c r="H428" s="21" t="str">
        <f>IF(Deployments!A429="","",Deployments!A429)</f>
        <v/>
      </c>
      <c r="I428" s="21" t="str">
        <f>IF(Deployments!AI429="","",Deployments!AI429)</f>
        <v/>
      </c>
      <c r="J428" s="21" t="str">
        <f>IF(Deployments!AJ429="","",Deployments!AJ429)</f>
        <v/>
      </c>
      <c r="K428" s="21" t="str">
        <f>IF(Deployments!AD429="","",Deployments!AD429)</f>
        <v/>
      </c>
      <c r="L428" s="21" t="str">
        <f>IF(Deployments!M429="","",Deployments!M429)</f>
        <v/>
      </c>
      <c r="M428" s="22"/>
      <c r="N428" s="21" t="str">
        <f>IF(Deployments!N429="","",Deployments!N429)</f>
        <v/>
      </c>
      <c r="O428" s="21" t="str">
        <f>IF(Deployments!O429="","",Deployments!O429)</f>
        <v/>
      </c>
      <c r="P428" s="21" t="str">
        <f>IF(Deployments!P429="","",Deployments!P429)</f>
        <v/>
      </c>
      <c r="Q428" s="22"/>
      <c r="R428" s="21" t="str">
        <f>IF(Deployments!AY429="","",Deployments!AY429)</f>
        <v/>
      </c>
      <c r="S428" s="21" t="str">
        <f>IF(Deployments!AX429="","",Deployments!AX429)</f>
        <v/>
      </c>
      <c r="T428" s="21" t="str">
        <f>IF(Deployments!AV429="","",Deployments!AV429)</f>
        <v/>
      </c>
      <c r="U428" s="21" t="str">
        <f>IF(Deployments!AW429="","",Deployments!AW429)</f>
        <v/>
      </c>
      <c r="V428" s="21" t="str">
        <f>IF(Deployments!BA429="","",Deployments!BA429)</f>
        <v/>
      </c>
      <c r="W428" s="21" t="str">
        <f>IF(Deployments!BC429="","",Deployments!BC429)</f>
        <v/>
      </c>
      <c r="X428" s="21" t="str">
        <f>IF(Deployments!BK429="","",Deployments!BK429)</f>
        <v/>
      </c>
      <c r="Y428" s="21" t="str">
        <f>IF(Deployments!BB429="","",Deployments!BB429)</f>
        <v/>
      </c>
      <c r="Z428" s="21" t="str">
        <f>IF(Deployments!T429="","",Deployments!T429)</f>
        <v/>
      </c>
      <c r="AA428" s="21" t="str">
        <f>IF(Deployments!L429="","",Deployments!L429)</f>
        <v/>
      </c>
    </row>
    <row r="429" spans="1:27">
      <c r="A429" s="22"/>
      <c r="B429" s="22"/>
      <c r="C429" s="21" t="str">
        <f>IF(Deployments!H430="","",Deployments!H430)</f>
        <v/>
      </c>
      <c r="D429" s="21" t="str">
        <f>IF(Deployments!AH430="","",Deployments!AH430)</f>
        <v/>
      </c>
      <c r="E429" s="21" t="str">
        <f>IF(Deployments!I430="","",Deployments!I430)</f>
        <v/>
      </c>
      <c r="F429" s="21" t="str">
        <f>IF(Deployments!J430="","",Deployments!J430)</f>
        <v/>
      </c>
      <c r="G429" s="21" t="str">
        <f>IF(Deployments!K430="","",Deployments!K430)</f>
        <v/>
      </c>
      <c r="H429" s="21" t="str">
        <f>IF(Deployments!A430="","",Deployments!A430)</f>
        <v/>
      </c>
      <c r="I429" s="21" t="str">
        <f>IF(Deployments!AI430="","",Deployments!AI430)</f>
        <v/>
      </c>
      <c r="J429" s="21" t="str">
        <f>IF(Deployments!AJ430="","",Deployments!AJ430)</f>
        <v/>
      </c>
      <c r="K429" s="21" t="str">
        <f>IF(Deployments!AD430="","",Deployments!AD430)</f>
        <v/>
      </c>
      <c r="L429" s="21" t="str">
        <f>IF(Deployments!M430="","",Deployments!M430)</f>
        <v/>
      </c>
      <c r="M429" s="22"/>
      <c r="N429" s="21" t="str">
        <f>IF(Deployments!N430="","",Deployments!N430)</f>
        <v/>
      </c>
      <c r="O429" s="21" t="str">
        <f>IF(Deployments!O430="","",Deployments!O430)</f>
        <v/>
      </c>
      <c r="P429" s="21" t="str">
        <f>IF(Deployments!P430="","",Deployments!P430)</f>
        <v/>
      </c>
      <c r="Q429" s="22"/>
      <c r="R429" s="21" t="str">
        <f>IF(Deployments!AY430="","",Deployments!AY430)</f>
        <v/>
      </c>
      <c r="S429" s="21" t="str">
        <f>IF(Deployments!AX430="","",Deployments!AX430)</f>
        <v/>
      </c>
      <c r="T429" s="21" t="str">
        <f>IF(Deployments!AV430="","",Deployments!AV430)</f>
        <v/>
      </c>
      <c r="U429" s="21" t="str">
        <f>IF(Deployments!AW430="","",Deployments!AW430)</f>
        <v/>
      </c>
      <c r="V429" s="21" t="str">
        <f>IF(Deployments!BA430="","",Deployments!BA430)</f>
        <v/>
      </c>
      <c r="W429" s="21" t="str">
        <f>IF(Deployments!BC430="","",Deployments!BC430)</f>
        <v/>
      </c>
      <c r="X429" s="21" t="str">
        <f>IF(Deployments!BK430="","",Deployments!BK430)</f>
        <v/>
      </c>
      <c r="Y429" s="21" t="str">
        <f>IF(Deployments!BB430="","",Deployments!BB430)</f>
        <v/>
      </c>
      <c r="Z429" s="21" t="str">
        <f>IF(Deployments!T430="","",Deployments!T430)</f>
        <v/>
      </c>
      <c r="AA429" s="21" t="str">
        <f>IF(Deployments!L430="","",Deployments!L430)</f>
        <v/>
      </c>
    </row>
    <row r="430" spans="1:27">
      <c r="A430" s="22"/>
      <c r="B430" s="22"/>
      <c r="C430" s="21" t="str">
        <f>IF(Deployments!H431="","",Deployments!H431)</f>
        <v/>
      </c>
      <c r="D430" s="21" t="str">
        <f>IF(Deployments!AH431="","",Deployments!AH431)</f>
        <v/>
      </c>
      <c r="E430" s="21" t="str">
        <f>IF(Deployments!I431="","",Deployments!I431)</f>
        <v/>
      </c>
      <c r="F430" s="21" t="str">
        <f>IF(Deployments!J431="","",Deployments!J431)</f>
        <v/>
      </c>
      <c r="G430" s="21" t="str">
        <f>IF(Deployments!K431="","",Deployments!K431)</f>
        <v/>
      </c>
      <c r="H430" s="21" t="str">
        <f>IF(Deployments!A431="","",Deployments!A431)</f>
        <v/>
      </c>
      <c r="I430" s="21" t="str">
        <f>IF(Deployments!AI431="","",Deployments!AI431)</f>
        <v/>
      </c>
      <c r="J430" s="21" t="str">
        <f>IF(Deployments!AJ431="","",Deployments!AJ431)</f>
        <v/>
      </c>
      <c r="K430" s="21" t="str">
        <f>IF(Deployments!AD431="","",Deployments!AD431)</f>
        <v/>
      </c>
      <c r="L430" s="21" t="str">
        <f>IF(Deployments!M431="","",Deployments!M431)</f>
        <v/>
      </c>
      <c r="M430" s="22"/>
      <c r="N430" s="21" t="str">
        <f>IF(Deployments!N431="","",Deployments!N431)</f>
        <v/>
      </c>
      <c r="O430" s="21" t="str">
        <f>IF(Deployments!O431="","",Deployments!O431)</f>
        <v/>
      </c>
      <c r="P430" s="21" t="str">
        <f>IF(Deployments!P431="","",Deployments!P431)</f>
        <v/>
      </c>
      <c r="Q430" s="22"/>
      <c r="R430" s="21" t="str">
        <f>IF(Deployments!AY431="","",Deployments!AY431)</f>
        <v/>
      </c>
      <c r="S430" s="21" t="str">
        <f>IF(Deployments!AX431="","",Deployments!AX431)</f>
        <v/>
      </c>
      <c r="T430" s="21" t="str">
        <f>IF(Deployments!AV431="","",Deployments!AV431)</f>
        <v/>
      </c>
      <c r="U430" s="21" t="str">
        <f>IF(Deployments!AW431="","",Deployments!AW431)</f>
        <v/>
      </c>
      <c r="V430" s="21" t="str">
        <f>IF(Deployments!BA431="","",Deployments!BA431)</f>
        <v/>
      </c>
      <c r="W430" s="21" t="str">
        <f>IF(Deployments!BC431="","",Deployments!BC431)</f>
        <v/>
      </c>
      <c r="X430" s="21" t="str">
        <f>IF(Deployments!BK431="","",Deployments!BK431)</f>
        <v/>
      </c>
      <c r="Y430" s="21" t="str">
        <f>IF(Deployments!BB431="","",Deployments!BB431)</f>
        <v/>
      </c>
      <c r="Z430" s="21" t="str">
        <f>IF(Deployments!T431="","",Deployments!T431)</f>
        <v/>
      </c>
      <c r="AA430" s="21" t="str">
        <f>IF(Deployments!L431="","",Deployments!L431)</f>
        <v/>
      </c>
    </row>
    <row r="431" spans="1:27">
      <c r="A431" s="22"/>
      <c r="B431" s="22"/>
      <c r="C431" s="21" t="str">
        <f>IF(Deployments!H432="","",Deployments!H432)</f>
        <v/>
      </c>
      <c r="D431" s="21" t="str">
        <f>IF(Deployments!AH432="","",Deployments!AH432)</f>
        <v/>
      </c>
      <c r="E431" s="21" t="str">
        <f>IF(Deployments!I432="","",Deployments!I432)</f>
        <v/>
      </c>
      <c r="F431" s="21" t="str">
        <f>IF(Deployments!J432="","",Deployments!J432)</f>
        <v/>
      </c>
      <c r="G431" s="21" t="str">
        <f>IF(Deployments!K432="","",Deployments!K432)</f>
        <v/>
      </c>
      <c r="H431" s="21" t="str">
        <f>IF(Deployments!A432="","",Deployments!A432)</f>
        <v/>
      </c>
      <c r="I431" s="21" t="str">
        <f>IF(Deployments!AI432="","",Deployments!AI432)</f>
        <v/>
      </c>
      <c r="J431" s="21" t="str">
        <f>IF(Deployments!AJ432="","",Deployments!AJ432)</f>
        <v/>
      </c>
      <c r="K431" s="21" t="str">
        <f>IF(Deployments!AD432="","",Deployments!AD432)</f>
        <v/>
      </c>
      <c r="L431" s="21" t="str">
        <f>IF(Deployments!M432="","",Deployments!M432)</f>
        <v/>
      </c>
      <c r="M431" s="22"/>
      <c r="N431" s="21" t="str">
        <f>IF(Deployments!N432="","",Deployments!N432)</f>
        <v/>
      </c>
      <c r="O431" s="21" t="str">
        <f>IF(Deployments!O432="","",Deployments!O432)</f>
        <v/>
      </c>
      <c r="P431" s="21" t="str">
        <f>IF(Deployments!P432="","",Deployments!P432)</f>
        <v/>
      </c>
      <c r="Q431" s="22"/>
      <c r="R431" s="21" t="str">
        <f>IF(Deployments!AY432="","",Deployments!AY432)</f>
        <v/>
      </c>
      <c r="S431" s="21" t="str">
        <f>IF(Deployments!AX432="","",Deployments!AX432)</f>
        <v/>
      </c>
      <c r="T431" s="21" t="str">
        <f>IF(Deployments!AV432="","",Deployments!AV432)</f>
        <v/>
      </c>
      <c r="U431" s="21" t="str">
        <f>IF(Deployments!AW432="","",Deployments!AW432)</f>
        <v/>
      </c>
      <c r="V431" s="21" t="str">
        <f>IF(Deployments!BA432="","",Deployments!BA432)</f>
        <v/>
      </c>
      <c r="W431" s="21" t="str">
        <f>IF(Deployments!BC432="","",Deployments!BC432)</f>
        <v/>
      </c>
      <c r="X431" s="21" t="str">
        <f>IF(Deployments!BK432="","",Deployments!BK432)</f>
        <v/>
      </c>
      <c r="Y431" s="21" t="str">
        <f>IF(Deployments!BB432="","",Deployments!BB432)</f>
        <v/>
      </c>
      <c r="Z431" s="21" t="str">
        <f>IF(Deployments!T432="","",Deployments!T432)</f>
        <v/>
      </c>
      <c r="AA431" s="21" t="str">
        <f>IF(Deployments!L432="","",Deployments!L432)</f>
        <v/>
      </c>
    </row>
    <row r="432" spans="1:27">
      <c r="A432" s="22"/>
      <c r="B432" s="22"/>
      <c r="C432" s="21" t="str">
        <f>IF(Deployments!H433="","",Deployments!H433)</f>
        <v/>
      </c>
      <c r="D432" s="21" t="str">
        <f>IF(Deployments!AH433="","",Deployments!AH433)</f>
        <v/>
      </c>
      <c r="E432" s="21" t="str">
        <f>IF(Deployments!I433="","",Deployments!I433)</f>
        <v/>
      </c>
      <c r="F432" s="21" t="str">
        <f>IF(Deployments!J433="","",Deployments!J433)</f>
        <v/>
      </c>
      <c r="G432" s="21" t="str">
        <f>IF(Deployments!K433="","",Deployments!K433)</f>
        <v/>
      </c>
      <c r="H432" s="21" t="str">
        <f>IF(Deployments!A433="","",Deployments!A433)</f>
        <v/>
      </c>
      <c r="I432" s="21" t="str">
        <f>IF(Deployments!AI433="","",Deployments!AI433)</f>
        <v/>
      </c>
      <c r="J432" s="21" t="str">
        <f>IF(Deployments!AJ433="","",Deployments!AJ433)</f>
        <v/>
      </c>
      <c r="K432" s="21" t="str">
        <f>IF(Deployments!AD433="","",Deployments!AD433)</f>
        <v/>
      </c>
      <c r="L432" s="21" t="str">
        <f>IF(Deployments!M433="","",Deployments!M433)</f>
        <v/>
      </c>
      <c r="M432" s="22"/>
      <c r="N432" s="21" t="str">
        <f>IF(Deployments!N433="","",Deployments!N433)</f>
        <v/>
      </c>
      <c r="O432" s="21" t="str">
        <f>IF(Deployments!O433="","",Deployments!O433)</f>
        <v/>
      </c>
      <c r="P432" s="21" t="str">
        <f>IF(Deployments!P433="","",Deployments!P433)</f>
        <v/>
      </c>
      <c r="Q432" s="22"/>
      <c r="R432" s="21" t="str">
        <f>IF(Deployments!AY433="","",Deployments!AY433)</f>
        <v/>
      </c>
      <c r="S432" s="21" t="str">
        <f>IF(Deployments!AX433="","",Deployments!AX433)</f>
        <v/>
      </c>
      <c r="T432" s="21" t="str">
        <f>IF(Deployments!AV433="","",Deployments!AV433)</f>
        <v/>
      </c>
      <c r="U432" s="21" t="str">
        <f>IF(Deployments!AW433="","",Deployments!AW433)</f>
        <v/>
      </c>
      <c r="V432" s="21" t="str">
        <f>IF(Deployments!BA433="","",Deployments!BA433)</f>
        <v/>
      </c>
      <c r="W432" s="21" t="str">
        <f>IF(Deployments!BC433="","",Deployments!BC433)</f>
        <v/>
      </c>
      <c r="X432" s="21" t="str">
        <f>IF(Deployments!BK433="","",Deployments!BK433)</f>
        <v/>
      </c>
      <c r="Y432" s="21" t="str">
        <f>IF(Deployments!BB433="","",Deployments!BB433)</f>
        <v/>
      </c>
      <c r="Z432" s="21" t="str">
        <f>IF(Deployments!T433="","",Deployments!T433)</f>
        <v/>
      </c>
      <c r="AA432" s="21" t="str">
        <f>IF(Deployments!L433="","",Deployments!L433)</f>
        <v/>
      </c>
    </row>
    <row r="433" spans="1:27">
      <c r="A433" s="22"/>
      <c r="B433" s="22"/>
      <c r="C433" s="21" t="str">
        <f>IF(Deployments!H434="","",Deployments!H434)</f>
        <v/>
      </c>
      <c r="D433" s="21" t="str">
        <f>IF(Deployments!AH434="","",Deployments!AH434)</f>
        <v/>
      </c>
      <c r="E433" s="21" t="str">
        <f>IF(Deployments!I434="","",Deployments!I434)</f>
        <v/>
      </c>
      <c r="F433" s="21" t="str">
        <f>IF(Deployments!J434="","",Deployments!J434)</f>
        <v/>
      </c>
      <c r="G433" s="21" t="str">
        <f>IF(Deployments!K434="","",Deployments!K434)</f>
        <v/>
      </c>
      <c r="H433" s="21" t="str">
        <f>IF(Deployments!A434="","",Deployments!A434)</f>
        <v/>
      </c>
      <c r="I433" s="21" t="str">
        <f>IF(Deployments!AI434="","",Deployments!AI434)</f>
        <v/>
      </c>
      <c r="J433" s="21" t="str">
        <f>IF(Deployments!AJ434="","",Deployments!AJ434)</f>
        <v/>
      </c>
      <c r="K433" s="21" t="str">
        <f>IF(Deployments!AD434="","",Deployments!AD434)</f>
        <v/>
      </c>
      <c r="L433" s="21" t="str">
        <f>IF(Deployments!M434="","",Deployments!M434)</f>
        <v/>
      </c>
      <c r="M433" s="22"/>
      <c r="N433" s="21" t="str">
        <f>IF(Deployments!N434="","",Deployments!N434)</f>
        <v/>
      </c>
      <c r="O433" s="21" t="str">
        <f>IF(Deployments!O434="","",Deployments!O434)</f>
        <v/>
      </c>
      <c r="P433" s="21" t="str">
        <f>IF(Deployments!P434="","",Deployments!P434)</f>
        <v/>
      </c>
      <c r="Q433" s="22"/>
      <c r="R433" s="21" t="str">
        <f>IF(Deployments!AY434="","",Deployments!AY434)</f>
        <v/>
      </c>
      <c r="S433" s="21" t="str">
        <f>IF(Deployments!AX434="","",Deployments!AX434)</f>
        <v/>
      </c>
      <c r="T433" s="21" t="str">
        <f>IF(Deployments!AV434="","",Deployments!AV434)</f>
        <v/>
      </c>
      <c r="U433" s="21" t="str">
        <f>IF(Deployments!AW434="","",Deployments!AW434)</f>
        <v/>
      </c>
      <c r="V433" s="21" t="str">
        <f>IF(Deployments!BA434="","",Deployments!BA434)</f>
        <v/>
      </c>
      <c r="W433" s="21" t="str">
        <f>IF(Deployments!BC434="","",Deployments!BC434)</f>
        <v/>
      </c>
      <c r="X433" s="21" t="str">
        <f>IF(Deployments!BK434="","",Deployments!BK434)</f>
        <v/>
      </c>
      <c r="Y433" s="21" t="str">
        <f>IF(Deployments!BB434="","",Deployments!BB434)</f>
        <v/>
      </c>
      <c r="Z433" s="21" t="str">
        <f>IF(Deployments!T434="","",Deployments!T434)</f>
        <v/>
      </c>
      <c r="AA433" s="21" t="str">
        <f>IF(Deployments!L434="","",Deployments!L434)</f>
        <v/>
      </c>
    </row>
    <row r="434" spans="1:27">
      <c r="A434" s="22"/>
      <c r="B434" s="22"/>
      <c r="C434" s="21" t="str">
        <f>IF(Deployments!H435="","",Deployments!H435)</f>
        <v/>
      </c>
      <c r="D434" s="21" t="str">
        <f>IF(Deployments!AH435="","",Deployments!AH435)</f>
        <v/>
      </c>
      <c r="E434" s="21" t="str">
        <f>IF(Deployments!I435="","",Deployments!I435)</f>
        <v/>
      </c>
      <c r="F434" s="21" t="str">
        <f>IF(Deployments!J435="","",Deployments!J435)</f>
        <v/>
      </c>
      <c r="G434" s="21" t="str">
        <f>IF(Deployments!K435="","",Deployments!K435)</f>
        <v/>
      </c>
      <c r="H434" s="21" t="str">
        <f>IF(Deployments!A435="","",Deployments!A435)</f>
        <v/>
      </c>
      <c r="I434" s="21" t="str">
        <f>IF(Deployments!AI435="","",Deployments!AI435)</f>
        <v/>
      </c>
      <c r="J434" s="21" t="str">
        <f>IF(Deployments!AJ435="","",Deployments!AJ435)</f>
        <v/>
      </c>
      <c r="K434" s="21" t="str">
        <f>IF(Deployments!AD435="","",Deployments!AD435)</f>
        <v/>
      </c>
      <c r="L434" s="21" t="str">
        <f>IF(Deployments!M435="","",Deployments!M435)</f>
        <v/>
      </c>
      <c r="M434" s="22"/>
      <c r="N434" s="21" t="str">
        <f>IF(Deployments!N435="","",Deployments!N435)</f>
        <v/>
      </c>
      <c r="O434" s="21" t="str">
        <f>IF(Deployments!O435="","",Deployments!O435)</f>
        <v/>
      </c>
      <c r="P434" s="21" t="str">
        <f>IF(Deployments!P435="","",Deployments!P435)</f>
        <v/>
      </c>
      <c r="Q434" s="22"/>
      <c r="R434" s="21" t="str">
        <f>IF(Deployments!AY435="","",Deployments!AY435)</f>
        <v/>
      </c>
      <c r="S434" s="21" t="str">
        <f>IF(Deployments!AX435="","",Deployments!AX435)</f>
        <v/>
      </c>
      <c r="T434" s="21" t="str">
        <f>IF(Deployments!AV435="","",Deployments!AV435)</f>
        <v/>
      </c>
      <c r="U434" s="21" t="str">
        <f>IF(Deployments!AW435="","",Deployments!AW435)</f>
        <v/>
      </c>
      <c r="V434" s="21" t="str">
        <f>IF(Deployments!BA435="","",Deployments!BA435)</f>
        <v/>
      </c>
      <c r="W434" s="21" t="str">
        <f>IF(Deployments!BC435="","",Deployments!BC435)</f>
        <v/>
      </c>
      <c r="X434" s="21" t="str">
        <f>IF(Deployments!BK435="","",Deployments!BK435)</f>
        <v/>
      </c>
      <c r="Y434" s="21" t="str">
        <f>IF(Deployments!BB435="","",Deployments!BB435)</f>
        <v/>
      </c>
      <c r="Z434" s="21" t="str">
        <f>IF(Deployments!T435="","",Deployments!T435)</f>
        <v/>
      </c>
      <c r="AA434" s="21" t="str">
        <f>IF(Deployments!L435="","",Deployments!L435)</f>
        <v/>
      </c>
    </row>
    <row r="435" spans="1:27">
      <c r="A435" s="22"/>
      <c r="B435" s="22"/>
      <c r="C435" s="21" t="str">
        <f>IF(Deployments!H436="","",Deployments!H436)</f>
        <v/>
      </c>
      <c r="D435" s="21" t="str">
        <f>IF(Deployments!AH436="","",Deployments!AH436)</f>
        <v/>
      </c>
      <c r="E435" s="21" t="str">
        <f>IF(Deployments!I436="","",Deployments!I436)</f>
        <v/>
      </c>
      <c r="F435" s="21" t="str">
        <f>IF(Deployments!J436="","",Deployments!J436)</f>
        <v/>
      </c>
      <c r="G435" s="21" t="str">
        <f>IF(Deployments!K436="","",Deployments!K436)</f>
        <v/>
      </c>
      <c r="H435" s="21" t="str">
        <f>IF(Deployments!A436="","",Deployments!A436)</f>
        <v/>
      </c>
      <c r="I435" s="21" t="str">
        <f>IF(Deployments!AI436="","",Deployments!AI436)</f>
        <v/>
      </c>
      <c r="J435" s="21" t="str">
        <f>IF(Deployments!AJ436="","",Deployments!AJ436)</f>
        <v/>
      </c>
      <c r="K435" s="21" t="str">
        <f>IF(Deployments!AD436="","",Deployments!AD436)</f>
        <v/>
      </c>
      <c r="L435" s="21" t="str">
        <f>IF(Deployments!M436="","",Deployments!M436)</f>
        <v/>
      </c>
      <c r="M435" s="22"/>
      <c r="N435" s="21" t="str">
        <f>IF(Deployments!N436="","",Deployments!N436)</f>
        <v/>
      </c>
      <c r="O435" s="21" t="str">
        <f>IF(Deployments!O436="","",Deployments!O436)</f>
        <v/>
      </c>
      <c r="P435" s="21" t="str">
        <f>IF(Deployments!P436="","",Deployments!P436)</f>
        <v/>
      </c>
      <c r="Q435" s="22"/>
      <c r="R435" s="21" t="str">
        <f>IF(Deployments!AY436="","",Deployments!AY436)</f>
        <v/>
      </c>
      <c r="S435" s="21" t="str">
        <f>IF(Deployments!AX436="","",Deployments!AX436)</f>
        <v/>
      </c>
      <c r="T435" s="21" t="str">
        <f>IF(Deployments!AV436="","",Deployments!AV436)</f>
        <v/>
      </c>
      <c r="U435" s="21" t="str">
        <f>IF(Deployments!AW436="","",Deployments!AW436)</f>
        <v/>
      </c>
      <c r="V435" s="21" t="str">
        <f>IF(Deployments!BA436="","",Deployments!BA436)</f>
        <v/>
      </c>
      <c r="W435" s="21" t="str">
        <f>IF(Deployments!BC436="","",Deployments!BC436)</f>
        <v/>
      </c>
      <c r="X435" s="21" t="str">
        <f>IF(Deployments!BK436="","",Deployments!BK436)</f>
        <v/>
      </c>
      <c r="Y435" s="21" t="str">
        <f>IF(Deployments!BB436="","",Deployments!BB436)</f>
        <v/>
      </c>
      <c r="Z435" s="21" t="str">
        <f>IF(Deployments!T436="","",Deployments!T436)</f>
        <v/>
      </c>
      <c r="AA435" s="21" t="str">
        <f>IF(Deployments!L436="","",Deployments!L436)</f>
        <v/>
      </c>
    </row>
    <row r="436" spans="1:27">
      <c r="A436" s="22"/>
      <c r="B436" s="22"/>
      <c r="C436" s="21" t="str">
        <f>IF(Deployments!H437="","",Deployments!H437)</f>
        <v/>
      </c>
      <c r="D436" s="21" t="str">
        <f>IF(Deployments!AH437="","",Deployments!AH437)</f>
        <v/>
      </c>
      <c r="E436" s="21" t="str">
        <f>IF(Deployments!I437="","",Deployments!I437)</f>
        <v/>
      </c>
      <c r="F436" s="21" t="str">
        <f>IF(Deployments!J437="","",Deployments!J437)</f>
        <v/>
      </c>
      <c r="G436" s="21" t="str">
        <f>IF(Deployments!K437="","",Deployments!K437)</f>
        <v/>
      </c>
      <c r="H436" s="21" t="str">
        <f>IF(Deployments!A437="","",Deployments!A437)</f>
        <v/>
      </c>
      <c r="I436" s="21" t="str">
        <f>IF(Deployments!AI437="","",Deployments!AI437)</f>
        <v/>
      </c>
      <c r="J436" s="21" t="str">
        <f>IF(Deployments!AJ437="","",Deployments!AJ437)</f>
        <v/>
      </c>
      <c r="K436" s="21" t="str">
        <f>IF(Deployments!AD437="","",Deployments!AD437)</f>
        <v/>
      </c>
      <c r="L436" s="21" t="str">
        <f>IF(Deployments!M437="","",Deployments!M437)</f>
        <v/>
      </c>
      <c r="M436" s="22"/>
      <c r="N436" s="21" t="str">
        <f>IF(Deployments!N437="","",Deployments!N437)</f>
        <v/>
      </c>
      <c r="O436" s="21" t="str">
        <f>IF(Deployments!O437="","",Deployments!O437)</f>
        <v/>
      </c>
      <c r="P436" s="21" t="str">
        <f>IF(Deployments!P437="","",Deployments!P437)</f>
        <v/>
      </c>
      <c r="Q436" s="22"/>
      <c r="R436" s="21" t="str">
        <f>IF(Deployments!AY437="","",Deployments!AY437)</f>
        <v/>
      </c>
      <c r="S436" s="21" t="str">
        <f>IF(Deployments!AX437="","",Deployments!AX437)</f>
        <v/>
      </c>
      <c r="T436" s="21" t="str">
        <f>IF(Deployments!AV437="","",Deployments!AV437)</f>
        <v/>
      </c>
      <c r="U436" s="21" t="str">
        <f>IF(Deployments!AW437="","",Deployments!AW437)</f>
        <v/>
      </c>
      <c r="V436" s="21" t="str">
        <f>IF(Deployments!BA437="","",Deployments!BA437)</f>
        <v/>
      </c>
      <c r="W436" s="21" t="str">
        <f>IF(Deployments!BC437="","",Deployments!BC437)</f>
        <v/>
      </c>
      <c r="X436" s="21" t="str">
        <f>IF(Deployments!BK437="","",Deployments!BK437)</f>
        <v/>
      </c>
      <c r="Y436" s="21" t="str">
        <f>IF(Deployments!BB437="","",Deployments!BB437)</f>
        <v/>
      </c>
      <c r="Z436" s="21" t="str">
        <f>IF(Deployments!T437="","",Deployments!T437)</f>
        <v/>
      </c>
      <c r="AA436" s="21" t="str">
        <f>IF(Deployments!L437="","",Deployments!L437)</f>
        <v/>
      </c>
    </row>
    <row r="437" spans="1:27">
      <c r="A437" s="22"/>
      <c r="B437" s="22"/>
      <c r="C437" s="21" t="str">
        <f>IF(Deployments!H438="","",Deployments!H438)</f>
        <v/>
      </c>
      <c r="D437" s="21" t="str">
        <f>IF(Deployments!AH438="","",Deployments!AH438)</f>
        <v/>
      </c>
      <c r="E437" s="21" t="str">
        <f>IF(Deployments!I438="","",Deployments!I438)</f>
        <v/>
      </c>
      <c r="F437" s="21" t="str">
        <f>IF(Deployments!J438="","",Deployments!J438)</f>
        <v/>
      </c>
      <c r="G437" s="21" t="str">
        <f>IF(Deployments!K438="","",Deployments!K438)</f>
        <v/>
      </c>
      <c r="H437" s="21" t="str">
        <f>IF(Deployments!A438="","",Deployments!A438)</f>
        <v/>
      </c>
      <c r="I437" s="21" t="str">
        <f>IF(Deployments!AI438="","",Deployments!AI438)</f>
        <v/>
      </c>
      <c r="J437" s="21" t="str">
        <f>IF(Deployments!AJ438="","",Deployments!AJ438)</f>
        <v/>
      </c>
      <c r="K437" s="21" t="str">
        <f>IF(Deployments!AD438="","",Deployments!AD438)</f>
        <v/>
      </c>
      <c r="L437" s="21" t="str">
        <f>IF(Deployments!M438="","",Deployments!M438)</f>
        <v/>
      </c>
      <c r="M437" s="22"/>
      <c r="N437" s="21" t="str">
        <f>IF(Deployments!N438="","",Deployments!N438)</f>
        <v/>
      </c>
      <c r="O437" s="21" t="str">
        <f>IF(Deployments!O438="","",Deployments!O438)</f>
        <v/>
      </c>
      <c r="P437" s="21" t="str">
        <f>IF(Deployments!P438="","",Deployments!P438)</f>
        <v/>
      </c>
      <c r="Q437" s="22"/>
      <c r="R437" s="21" t="str">
        <f>IF(Deployments!AY438="","",Deployments!AY438)</f>
        <v/>
      </c>
      <c r="S437" s="21" t="str">
        <f>IF(Deployments!AX438="","",Deployments!AX438)</f>
        <v/>
      </c>
      <c r="T437" s="21" t="str">
        <f>IF(Deployments!AV438="","",Deployments!AV438)</f>
        <v/>
      </c>
      <c r="U437" s="21" t="str">
        <f>IF(Deployments!AW438="","",Deployments!AW438)</f>
        <v/>
      </c>
      <c r="V437" s="21" t="str">
        <f>IF(Deployments!BA438="","",Deployments!BA438)</f>
        <v/>
      </c>
      <c r="W437" s="21" t="str">
        <f>IF(Deployments!BC438="","",Deployments!BC438)</f>
        <v/>
      </c>
      <c r="X437" s="21" t="str">
        <f>IF(Deployments!BK438="","",Deployments!BK438)</f>
        <v/>
      </c>
      <c r="Y437" s="21" t="str">
        <f>IF(Deployments!BB438="","",Deployments!BB438)</f>
        <v/>
      </c>
      <c r="Z437" s="21" t="str">
        <f>IF(Deployments!T438="","",Deployments!T438)</f>
        <v/>
      </c>
      <c r="AA437" s="21" t="str">
        <f>IF(Deployments!L438="","",Deployments!L438)</f>
        <v/>
      </c>
    </row>
    <row r="438" spans="1:27">
      <c r="A438" s="22"/>
      <c r="B438" s="22"/>
      <c r="C438" s="21" t="str">
        <f>IF(Deployments!H439="","",Deployments!H439)</f>
        <v/>
      </c>
      <c r="D438" s="21" t="str">
        <f>IF(Deployments!AH439="","",Deployments!AH439)</f>
        <v/>
      </c>
      <c r="E438" s="21" t="str">
        <f>IF(Deployments!I439="","",Deployments!I439)</f>
        <v/>
      </c>
      <c r="F438" s="21" t="str">
        <f>IF(Deployments!J439="","",Deployments!J439)</f>
        <v/>
      </c>
      <c r="G438" s="21" t="str">
        <f>IF(Deployments!K439="","",Deployments!K439)</f>
        <v/>
      </c>
      <c r="H438" s="21" t="str">
        <f>IF(Deployments!A439="","",Deployments!A439)</f>
        <v/>
      </c>
      <c r="I438" s="21" t="str">
        <f>IF(Deployments!AI439="","",Deployments!AI439)</f>
        <v/>
      </c>
      <c r="J438" s="21" t="str">
        <f>IF(Deployments!AJ439="","",Deployments!AJ439)</f>
        <v/>
      </c>
      <c r="K438" s="21" t="str">
        <f>IF(Deployments!AD439="","",Deployments!AD439)</f>
        <v/>
      </c>
      <c r="L438" s="21" t="str">
        <f>IF(Deployments!M439="","",Deployments!M439)</f>
        <v/>
      </c>
      <c r="M438" s="22"/>
      <c r="N438" s="21" t="str">
        <f>IF(Deployments!N439="","",Deployments!N439)</f>
        <v/>
      </c>
      <c r="O438" s="21" t="str">
        <f>IF(Deployments!O439="","",Deployments!O439)</f>
        <v/>
      </c>
      <c r="P438" s="21" t="str">
        <f>IF(Deployments!P439="","",Deployments!P439)</f>
        <v/>
      </c>
      <c r="Q438" s="22"/>
      <c r="R438" s="21" t="str">
        <f>IF(Deployments!AY439="","",Deployments!AY439)</f>
        <v/>
      </c>
      <c r="S438" s="21" t="str">
        <f>IF(Deployments!AX439="","",Deployments!AX439)</f>
        <v/>
      </c>
      <c r="T438" s="21" t="str">
        <f>IF(Deployments!AV439="","",Deployments!AV439)</f>
        <v/>
      </c>
      <c r="U438" s="21" t="str">
        <f>IF(Deployments!AW439="","",Deployments!AW439)</f>
        <v/>
      </c>
      <c r="V438" s="21" t="str">
        <f>IF(Deployments!BA439="","",Deployments!BA439)</f>
        <v/>
      </c>
      <c r="W438" s="21" t="str">
        <f>IF(Deployments!BC439="","",Deployments!BC439)</f>
        <v/>
      </c>
      <c r="X438" s="21" t="str">
        <f>IF(Deployments!BK439="","",Deployments!BK439)</f>
        <v/>
      </c>
      <c r="Y438" s="21" t="str">
        <f>IF(Deployments!BB439="","",Deployments!BB439)</f>
        <v/>
      </c>
      <c r="Z438" s="21" t="str">
        <f>IF(Deployments!T439="","",Deployments!T439)</f>
        <v/>
      </c>
      <c r="AA438" s="21" t="str">
        <f>IF(Deployments!L439="","",Deployments!L439)</f>
        <v/>
      </c>
    </row>
    <row r="439" spans="1:27">
      <c r="A439" s="22"/>
      <c r="B439" s="22"/>
      <c r="C439" s="21" t="str">
        <f>IF(Deployments!H440="","",Deployments!H440)</f>
        <v/>
      </c>
      <c r="D439" s="21" t="str">
        <f>IF(Deployments!AH440="","",Deployments!AH440)</f>
        <v/>
      </c>
      <c r="E439" s="21" t="str">
        <f>IF(Deployments!I440="","",Deployments!I440)</f>
        <v/>
      </c>
      <c r="F439" s="21" t="str">
        <f>IF(Deployments!J440="","",Deployments!J440)</f>
        <v/>
      </c>
      <c r="G439" s="21" t="str">
        <f>IF(Deployments!K440="","",Deployments!K440)</f>
        <v/>
      </c>
      <c r="H439" s="21" t="str">
        <f>IF(Deployments!A440="","",Deployments!A440)</f>
        <v/>
      </c>
      <c r="I439" s="21" t="str">
        <f>IF(Deployments!AI440="","",Deployments!AI440)</f>
        <v/>
      </c>
      <c r="J439" s="21" t="str">
        <f>IF(Deployments!AJ440="","",Deployments!AJ440)</f>
        <v/>
      </c>
      <c r="K439" s="21" t="str">
        <f>IF(Deployments!AD440="","",Deployments!AD440)</f>
        <v/>
      </c>
      <c r="L439" s="21" t="str">
        <f>IF(Deployments!M440="","",Deployments!M440)</f>
        <v/>
      </c>
      <c r="M439" s="22"/>
      <c r="N439" s="21" t="str">
        <f>IF(Deployments!N440="","",Deployments!N440)</f>
        <v/>
      </c>
      <c r="O439" s="21" t="str">
        <f>IF(Deployments!O440="","",Deployments!O440)</f>
        <v/>
      </c>
      <c r="P439" s="21" t="str">
        <f>IF(Deployments!P440="","",Deployments!P440)</f>
        <v/>
      </c>
      <c r="Q439" s="22"/>
      <c r="R439" s="21" t="str">
        <f>IF(Deployments!AY440="","",Deployments!AY440)</f>
        <v/>
      </c>
      <c r="S439" s="21" t="str">
        <f>IF(Deployments!AX440="","",Deployments!AX440)</f>
        <v/>
      </c>
      <c r="T439" s="21" t="str">
        <f>IF(Deployments!AV440="","",Deployments!AV440)</f>
        <v/>
      </c>
      <c r="U439" s="21" t="str">
        <f>IF(Deployments!AW440="","",Deployments!AW440)</f>
        <v/>
      </c>
      <c r="V439" s="21" t="str">
        <f>IF(Deployments!BA440="","",Deployments!BA440)</f>
        <v/>
      </c>
      <c r="W439" s="21" t="str">
        <f>IF(Deployments!BC440="","",Deployments!BC440)</f>
        <v/>
      </c>
      <c r="X439" s="21" t="str">
        <f>IF(Deployments!BK440="","",Deployments!BK440)</f>
        <v/>
      </c>
      <c r="Y439" s="21" t="str">
        <f>IF(Deployments!BB440="","",Deployments!BB440)</f>
        <v/>
      </c>
      <c r="Z439" s="21" t="str">
        <f>IF(Deployments!T440="","",Deployments!T440)</f>
        <v/>
      </c>
      <c r="AA439" s="21" t="str">
        <f>IF(Deployments!L440="","",Deployments!L440)</f>
        <v/>
      </c>
    </row>
    <row r="440" spans="1:27">
      <c r="A440" s="22"/>
      <c r="B440" s="22"/>
      <c r="C440" s="21" t="str">
        <f>IF(Deployments!H441="","",Deployments!H441)</f>
        <v/>
      </c>
      <c r="D440" s="21" t="str">
        <f>IF(Deployments!AH441="","",Deployments!AH441)</f>
        <v/>
      </c>
      <c r="E440" s="21" t="str">
        <f>IF(Deployments!I441="","",Deployments!I441)</f>
        <v/>
      </c>
      <c r="F440" s="21" t="str">
        <f>IF(Deployments!J441="","",Deployments!J441)</f>
        <v/>
      </c>
      <c r="G440" s="21" t="str">
        <f>IF(Deployments!K441="","",Deployments!K441)</f>
        <v/>
      </c>
      <c r="H440" s="21" t="str">
        <f>IF(Deployments!A441="","",Deployments!A441)</f>
        <v/>
      </c>
      <c r="I440" s="21" t="str">
        <f>IF(Deployments!AI441="","",Deployments!AI441)</f>
        <v/>
      </c>
      <c r="J440" s="21" t="str">
        <f>IF(Deployments!AJ441="","",Deployments!AJ441)</f>
        <v/>
      </c>
      <c r="K440" s="21" t="str">
        <f>IF(Deployments!AD441="","",Deployments!AD441)</f>
        <v/>
      </c>
      <c r="L440" s="21" t="str">
        <f>IF(Deployments!M441="","",Deployments!M441)</f>
        <v/>
      </c>
      <c r="M440" s="22"/>
      <c r="N440" s="21" t="str">
        <f>IF(Deployments!N441="","",Deployments!N441)</f>
        <v/>
      </c>
      <c r="O440" s="21" t="str">
        <f>IF(Deployments!O441="","",Deployments!O441)</f>
        <v/>
      </c>
      <c r="P440" s="21" t="str">
        <f>IF(Deployments!P441="","",Deployments!P441)</f>
        <v/>
      </c>
      <c r="Q440" s="22"/>
      <c r="R440" s="21" t="str">
        <f>IF(Deployments!AY441="","",Deployments!AY441)</f>
        <v/>
      </c>
      <c r="S440" s="21" t="str">
        <f>IF(Deployments!AX441="","",Deployments!AX441)</f>
        <v/>
      </c>
      <c r="T440" s="21" t="str">
        <f>IF(Deployments!AV441="","",Deployments!AV441)</f>
        <v/>
      </c>
      <c r="U440" s="21" t="str">
        <f>IF(Deployments!AW441="","",Deployments!AW441)</f>
        <v/>
      </c>
      <c r="V440" s="21" t="str">
        <f>IF(Deployments!BA441="","",Deployments!BA441)</f>
        <v/>
      </c>
      <c r="W440" s="21" t="str">
        <f>IF(Deployments!BC441="","",Deployments!BC441)</f>
        <v/>
      </c>
      <c r="X440" s="21" t="str">
        <f>IF(Deployments!BK441="","",Deployments!BK441)</f>
        <v/>
      </c>
      <c r="Y440" s="21" t="str">
        <f>IF(Deployments!BB441="","",Deployments!BB441)</f>
        <v/>
      </c>
      <c r="Z440" s="21" t="str">
        <f>IF(Deployments!T441="","",Deployments!T441)</f>
        <v/>
      </c>
      <c r="AA440" s="21" t="str">
        <f>IF(Deployments!L441="","",Deployments!L441)</f>
        <v/>
      </c>
    </row>
    <row r="441" spans="1:27">
      <c r="A441" s="22"/>
      <c r="B441" s="22"/>
      <c r="C441" s="21" t="str">
        <f>IF(Deployments!H442="","",Deployments!H442)</f>
        <v/>
      </c>
      <c r="D441" s="21" t="str">
        <f>IF(Deployments!AH442="","",Deployments!AH442)</f>
        <v/>
      </c>
      <c r="E441" s="21" t="str">
        <f>IF(Deployments!I442="","",Deployments!I442)</f>
        <v/>
      </c>
      <c r="F441" s="21" t="str">
        <f>IF(Deployments!J442="","",Deployments!J442)</f>
        <v/>
      </c>
      <c r="G441" s="21" t="str">
        <f>IF(Deployments!K442="","",Deployments!K442)</f>
        <v/>
      </c>
      <c r="H441" s="21" t="str">
        <f>IF(Deployments!A442="","",Deployments!A442)</f>
        <v/>
      </c>
      <c r="I441" s="21" t="str">
        <f>IF(Deployments!AI442="","",Deployments!AI442)</f>
        <v/>
      </c>
      <c r="J441" s="21" t="str">
        <f>IF(Deployments!AJ442="","",Deployments!AJ442)</f>
        <v/>
      </c>
      <c r="K441" s="21" t="str">
        <f>IF(Deployments!AD442="","",Deployments!AD442)</f>
        <v/>
      </c>
      <c r="L441" s="21" t="str">
        <f>IF(Deployments!M442="","",Deployments!M442)</f>
        <v/>
      </c>
      <c r="M441" s="22"/>
      <c r="N441" s="21" t="str">
        <f>IF(Deployments!N442="","",Deployments!N442)</f>
        <v/>
      </c>
      <c r="O441" s="21" t="str">
        <f>IF(Deployments!O442="","",Deployments!O442)</f>
        <v/>
      </c>
      <c r="P441" s="21" t="str">
        <f>IF(Deployments!P442="","",Deployments!P442)</f>
        <v/>
      </c>
      <c r="Q441" s="22"/>
      <c r="R441" s="21" t="str">
        <f>IF(Deployments!AY442="","",Deployments!AY442)</f>
        <v/>
      </c>
      <c r="S441" s="21" t="str">
        <f>IF(Deployments!AX442="","",Deployments!AX442)</f>
        <v/>
      </c>
      <c r="T441" s="21" t="str">
        <f>IF(Deployments!AV442="","",Deployments!AV442)</f>
        <v/>
      </c>
      <c r="U441" s="21" t="str">
        <f>IF(Deployments!AW442="","",Deployments!AW442)</f>
        <v/>
      </c>
      <c r="V441" s="21" t="str">
        <f>IF(Deployments!BA442="","",Deployments!BA442)</f>
        <v/>
      </c>
      <c r="W441" s="21" t="str">
        <f>IF(Deployments!BC442="","",Deployments!BC442)</f>
        <v/>
      </c>
      <c r="X441" s="21" t="str">
        <f>IF(Deployments!BK442="","",Deployments!BK442)</f>
        <v/>
      </c>
      <c r="Y441" s="21" t="str">
        <f>IF(Deployments!BB442="","",Deployments!BB442)</f>
        <v/>
      </c>
      <c r="Z441" s="21" t="str">
        <f>IF(Deployments!T442="","",Deployments!T442)</f>
        <v/>
      </c>
      <c r="AA441" s="21" t="str">
        <f>IF(Deployments!L442="","",Deployments!L442)</f>
        <v/>
      </c>
    </row>
    <row r="442" spans="1:27">
      <c r="A442" s="22"/>
      <c r="B442" s="22"/>
      <c r="C442" s="21" t="str">
        <f>IF(Deployments!H443="","",Deployments!H443)</f>
        <v/>
      </c>
      <c r="D442" s="21" t="str">
        <f>IF(Deployments!AH443="","",Deployments!AH443)</f>
        <v/>
      </c>
      <c r="E442" s="21" t="str">
        <f>IF(Deployments!I443="","",Deployments!I443)</f>
        <v/>
      </c>
      <c r="F442" s="21" t="str">
        <f>IF(Deployments!J443="","",Deployments!J443)</f>
        <v/>
      </c>
      <c r="G442" s="21" t="str">
        <f>IF(Deployments!K443="","",Deployments!K443)</f>
        <v/>
      </c>
      <c r="H442" s="21" t="str">
        <f>IF(Deployments!A443="","",Deployments!A443)</f>
        <v/>
      </c>
      <c r="I442" s="21" t="str">
        <f>IF(Deployments!AI443="","",Deployments!AI443)</f>
        <v/>
      </c>
      <c r="J442" s="21" t="str">
        <f>IF(Deployments!AJ443="","",Deployments!AJ443)</f>
        <v/>
      </c>
      <c r="K442" s="21" t="str">
        <f>IF(Deployments!AD443="","",Deployments!AD443)</f>
        <v/>
      </c>
      <c r="L442" s="21" t="str">
        <f>IF(Deployments!M443="","",Deployments!M443)</f>
        <v/>
      </c>
      <c r="M442" s="22"/>
      <c r="N442" s="21" t="str">
        <f>IF(Deployments!N443="","",Deployments!N443)</f>
        <v/>
      </c>
      <c r="O442" s="21" t="str">
        <f>IF(Deployments!O443="","",Deployments!O443)</f>
        <v/>
      </c>
      <c r="P442" s="21" t="str">
        <f>IF(Deployments!P443="","",Deployments!P443)</f>
        <v/>
      </c>
      <c r="Q442" s="22"/>
      <c r="R442" s="21" t="str">
        <f>IF(Deployments!AY443="","",Deployments!AY443)</f>
        <v/>
      </c>
      <c r="S442" s="21" t="str">
        <f>IF(Deployments!AX443="","",Deployments!AX443)</f>
        <v/>
      </c>
      <c r="T442" s="21" t="str">
        <f>IF(Deployments!AV443="","",Deployments!AV443)</f>
        <v/>
      </c>
      <c r="U442" s="21" t="str">
        <f>IF(Deployments!AW443="","",Deployments!AW443)</f>
        <v/>
      </c>
      <c r="V442" s="21" t="str">
        <f>IF(Deployments!BA443="","",Deployments!BA443)</f>
        <v/>
      </c>
      <c r="W442" s="21" t="str">
        <f>IF(Deployments!BC443="","",Deployments!BC443)</f>
        <v/>
      </c>
      <c r="X442" s="21" t="str">
        <f>IF(Deployments!BK443="","",Deployments!BK443)</f>
        <v/>
      </c>
      <c r="Y442" s="21" t="str">
        <f>IF(Deployments!BB443="","",Deployments!BB443)</f>
        <v/>
      </c>
      <c r="Z442" s="21" t="str">
        <f>IF(Deployments!T443="","",Deployments!T443)</f>
        <v/>
      </c>
      <c r="AA442" s="21" t="str">
        <f>IF(Deployments!L443="","",Deployments!L443)</f>
        <v/>
      </c>
    </row>
    <row r="443" spans="1:27">
      <c r="A443" s="22"/>
      <c r="B443" s="22"/>
      <c r="C443" s="21" t="str">
        <f>IF(Deployments!H444="","",Deployments!H444)</f>
        <v/>
      </c>
      <c r="D443" s="21" t="str">
        <f>IF(Deployments!AH444="","",Deployments!AH444)</f>
        <v/>
      </c>
      <c r="E443" s="21" t="str">
        <f>IF(Deployments!I444="","",Deployments!I444)</f>
        <v/>
      </c>
      <c r="F443" s="21" t="str">
        <f>IF(Deployments!J444="","",Deployments!J444)</f>
        <v/>
      </c>
      <c r="G443" s="21" t="str">
        <f>IF(Deployments!K444="","",Deployments!K444)</f>
        <v/>
      </c>
      <c r="H443" s="21" t="str">
        <f>IF(Deployments!A444="","",Deployments!A444)</f>
        <v/>
      </c>
      <c r="I443" s="21" t="str">
        <f>IF(Deployments!AI444="","",Deployments!AI444)</f>
        <v/>
      </c>
      <c r="J443" s="21" t="str">
        <f>IF(Deployments!AJ444="","",Deployments!AJ444)</f>
        <v/>
      </c>
      <c r="K443" s="21" t="str">
        <f>IF(Deployments!AD444="","",Deployments!AD444)</f>
        <v/>
      </c>
      <c r="L443" s="21" t="str">
        <f>IF(Deployments!M444="","",Deployments!M444)</f>
        <v/>
      </c>
      <c r="M443" s="22"/>
      <c r="N443" s="21" t="str">
        <f>IF(Deployments!N444="","",Deployments!N444)</f>
        <v/>
      </c>
      <c r="O443" s="21" t="str">
        <f>IF(Deployments!O444="","",Deployments!O444)</f>
        <v/>
      </c>
      <c r="P443" s="21" t="str">
        <f>IF(Deployments!P444="","",Deployments!P444)</f>
        <v/>
      </c>
      <c r="Q443" s="22"/>
      <c r="R443" s="21" t="str">
        <f>IF(Deployments!AY444="","",Deployments!AY444)</f>
        <v/>
      </c>
      <c r="S443" s="21" t="str">
        <f>IF(Deployments!AX444="","",Deployments!AX444)</f>
        <v/>
      </c>
      <c r="T443" s="21" t="str">
        <f>IF(Deployments!AV444="","",Deployments!AV444)</f>
        <v/>
      </c>
      <c r="U443" s="21" t="str">
        <f>IF(Deployments!AW444="","",Deployments!AW444)</f>
        <v/>
      </c>
      <c r="V443" s="21" t="str">
        <f>IF(Deployments!BA444="","",Deployments!BA444)</f>
        <v/>
      </c>
      <c r="W443" s="21" t="str">
        <f>IF(Deployments!BC444="","",Deployments!BC444)</f>
        <v/>
      </c>
      <c r="X443" s="21" t="str">
        <f>IF(Deployments!BK444="","",Deployments!BK444)</f>
        <v/>
      </c>
      <c r="Y443" s="21" t="str">
        <f>IF(Deployments!BB444="","",Deployments!BB444)</f>
        <v/>
      </c>
      <c r="Z443" s="21" t="str">
        <f>IF(Deployments!T444="","",Deployments!T444)</f>
        <v/>
      </c>
      <c r="AA443" s="21" t="str">
        <f>IF(Deployments!L444="","",Deployments!L444)</f>
        <v/>
      </c>
    </row>
    <row r="444" spans="1:27">
      <c r="A444" s="22"/>
      <c r="B444" s="22"/>
      <c r="C444" s="21" t="str">
        <f>IF(Deployments!H445="","",Deployments!H445)</f>
        <v/>
      </c>
      <c r="D444" s="21" t="str">
        <f>IF(Deployments!AH445="","",Deployments!AH445)</f>
        <v/>
      </c>
      <c r="E444" s="21" t="str">
        <f>IF(Deployments!I445="","",Deployments!I445)</f>
        <v/>
      </c>
      <c r="F444" s="21" t="str">
        <f>IF(Deployments!J445="","",Deployments!J445)</f>
        <v/>
      </c>
      <c r="G444" s="21" t="str">
        <f>IF(Deployments!K445="","",Deployments!K445)</f>
        <v/>
      </c>
      <c r="H444" s="21" t="str">
        <f>IF(Deployments!A445="","",Deployments!A445)</f>
        <v/>
      </c>
      <c r="I444" s="21" t="str">
        <f>IF(Deployments!AI445="","",Deployments!AI445)</f>
        <v/>
      </c>
      <c r="J444" s="21" t="str">
        <f>IF(Deployments!AJ445="","",Deployments!AJ445)</f>
        <v/>
      </c>
      <c r="K444" s="21" t="str">
        <f>IF(Deployments!AD445="","",Deployments!AD445)</f>
        <v/>
      </c>
      <c r="L444" s="21" t="str">
        <f>IF(Deployments!M445="","",Deployments!M445)</f>
        <v/>
      </c>
      <c r="M444" s="22"/>
      <c r="N444" s="21" t="str">
        <f>IF(Deployments!N445="","",Deployments!N445)</f>
        <v/>
      </c>
      <c r="O444" s="21" t="str">
        <f>IF(Deployments!O445="","",Deployments!O445)</f>
        <v/>
      </c>
      <c r="P444" s="21" t="str">
        <f>IF(Deployments!P445="","",Deployments!P445)</f>
        <v/>
      </c>
      <c r="Q444" s="22"/>
      <c r="R444" s="21" t="str">
        <f>IF(Deployments!AY445="","",Deployments!AY445)</f>
        <v/>
      </c>
      <c r="S444" s="21" t="str">
        <f>IF(Deployments!AX445="","",Deployments!AX445)</f>
        <v/>
      </c>
      <c r="T444" s="21" t="str">
        <f>IF(Deployments!AV445="","",Deployments!AV445)</f>
        <v/>
      </c>
      <c r="U444" s="21" t="str">
        <f>IF(Deployments!AW445="","",Deployments!AW445)</f>
        <v/>
      </c>
      <c r="V444" s="21" t="str">
        <f>IF(Deployments!BA445="","",Deployments!BA445)</f>
        <v/>
      </c>
      <c r="W444" s="21" t="str">
        <f>IF(Deployments!BC445="","",Deployments!BC445)</f>
        <v/>
      </c>
      <c r="X444" s="21" t="str">
        <f>IF(Deployments!BK445="","",Deployments!BK445)</f>
        <v/>
      </c>
      <c r="Y444" s="21" t="str">
        <f>IF(Deployments!BB445="","",Deployments!BB445)</f>
        <v/>
      </c>
      <c r="Z444" s="21" t="str">
        <f>IF(Deployments!T445="","",Deployments!T445)</f>
        <v/>
      </c>
      <c r="AA444" s="21" t="str">
        <f>IF(Deployments!L445="","",Deployments!L445)</f>
        <v/>
      </c>
    </row>
    <row r="445" spans="1:27">
      <c r="A445" s="22"/>
      <c r="B445" s="22"/>
      <c r="C445" s="21" t="str">
        <f>IF(Deployments!H446="","",Deployments!H446)</f>
        <v/>
      </c>
      <c r="D445" s="21" t="str">
        <f>IF(Deployments!AH446="","",Deployments!AH446)</f>
        <v/>
      </c>
      <c r="E445" s="21" t="str">
        <f>IF(Deployments!I446="","",Deployments!I446)</f>
        <v/>
      </c>
      <c r="F445" s="21" t="str">
        <f>IF(Deployments!J446="","",Deployments!J446)</f>
        <v/>
      </c>
      <c r="G445" s="21" t="str">
        <f>IF(Deployments!K446="","",Deployments!K446)</f>
        <v/>
      </c>
      <c r="H445" s="21" t="str">
        <f>IF(Deployments!A446="","",Deployments!A446)</f>
        <v/>
      </c>
      <c r="I445" s="21" t="str">
        <f>IF(Deployments!AI446="","",Deployments!AI446)</f>
        <v/>
      </c>
      <c r="J445" s="21" t="str">
        <f>IF(Deployments!AJ446="","",Deployments!AJ446)</f>
        <v/>
      </c>
      <c r="K445" s="21" t="str">
        <f>IF(Deployments!AD446="","",Deployments!AD446)</f>
        <v/>
      </c>
      <c r="L445" s="21" t="str">
        <f>IF(Deployments!M446="","",Deployments!M446)</f>
        <v/>
      </c>
      <c r="M445" s="22"/>
      <c r="N445" s="21" t="str">
        <f>IF(Deployments!N446="","",Deployments!N446)</f>
        <v/>
      </c>
      <c r="O445" s="21" t="str">
        <f>IF(Deployments!O446="","",Deployments!O446)</f>
        <v/>
      </c>
      <c r="P445" s="21" t="str">
        <f>IF(Deployments!P446="","",Deployments!P446)</f>
        <v/>
      </c>
      <c r="Q445" s="22"/>
      <c r="R445" s="21" t="str">
        <f>IF(Deployments!AY446="","",Deployments!AY446)</f>
        <v/>
      </c>
      <c r="S445" s="21" t="str">
        <f>IF(Deployments!AX446="","",Deployments!AX446)</f>
        <v/>
      </c>
      <c r="T445" s="21" t="str">
        <f>IF(Deployments!AV446="","",Deployments!AV446)</f>
        <v/>
      </c>
      <c r="U445" s="21" t="str">
        <f>IF(Deployments!AW446="","",Deployments!AW446)</f>
        <v/>
      </c>
      <c r="V445" s="21" t="str">
        <f>IF(Deployments!BA446="","",Deployments!BA446)</f>
        <v/>
      </c>
      <c r="W445" s="21" t="str">
        <f>IF(Deployments!BC446="","",Deployments!BC446)</f>
        <v/>
      </c>
      <c r="X445" s="21" t="str">
        <f>IF(Deployments!BK446="","",Deployments!BK446)</f>
        <v/>
      </c>
      <c r="Y445" s="21" t="str">
        <f>IF(Deployments!BB446="","",Deployments!BB446)</f>
        <v/>
      </c>
      <c r="Z445" s="21" t="str">
        <f>IF(Deployments!T446="","",Deployments!T446)</f>
        <v/>
      </c>
      <c r="AA445" s="21" t="str">
        <f>IF(Deployments!L446="","",Deployments!L446)</f>
        <v/>
      </c>
    </row>
    <row r="446" spans="1:27">
      <c r="A446" s="22"/>
      <c r="B446" s="22"/>
      <c r="C446" s="21" t="str">
        <f>IF(Deployments!H447="","",Deployments!H447)</f>
        <v/>
      </c>
      <c r="D446" s="21" t="str">
        <f>IF(Deployments!AH447="","",Deployments!AH447)</f>
        <v/>
      </c>
      <c r="E446" s="21" t="str">
        <f>IF(Deployments!I447="","",Deployments!I447)</f>
        <v/>
      </c>
      <c r="F446" s="21" t="str">
        <f>IF(Deployments!J447="","",Deployments!J447)</f>
        <v/>
      </c>
      <c r="G446" s="21" t="str">
        <f>IF(Deployments!K447="","",Deployments!K447)</f>
        <v/>
      </c>
      <c r="H446" s="21" t="str">
        <f>IF(Deployments!A447="","",Deployments!A447)</f>
        <v/>
      </c>
      <c r="I446" s="21" t="str">
        <f>IF(Deployments!AI447="","",Deployments!AI447)</f>
        <v/>
      </c>
      <c r="J446" s="21" t="str">
        <f>IF(Deployments!AJ447="","",Deployments!AJ447)</f>
        <v/>
      </c>
      <c r="K446" s="21" t="str">
        <f>IF(Deployments!AD447="","",Deployments!AD447)</f>
        <v/>
      </c>
      <c r="L446" s="21" t="str">
        <f>IF(Deployments!M447="","",Deployments!M447)</f>
        <v/>
      </c>
      <c r="M446" s="22"/>
      <c r="N446" s="21" t="str">
        <f>IF(Deployments!N447="","",Deployments!N447)</f>
        <v/>
      </c>
      <c r="O446" s="21" t="str">
        <f>IF(Deployments!O447="","",Deployments!O447)</f>
        <v/>
      </c>
      <c r="P446" s="21" t="str">
        <f>IF(Deployments!P447="","",Deployments!P447)</f>
        <v/>
      </c>
      <c r="Q446" s="22"/>
      <c r="R446" s="21" t="str">
        <f>IF(Deployments!AY447="","",Deployments!AY447)</f>
        <v/>
      </c>
      <c r="S446" s="21" t="str">
        <f>IF(Deployments!AX447="","",Deployments!AX447)</f>
        <v/>
      </c>
      <c r="T446" s="21" t="str">
        <f>IF(Deployments!AV447="","",Deployments!AV447)</f>
        <v/>
      </c>
      <c r="U446" s="21" t="str">
        <f>IF(Deployments!AW447="","",Deployments!AW447)</f>
        <v/>
      </c>
      <c r="V446" s="21" t="str">
        <f>IF(Deployments!BA447="","",Deployments!BA447)</f>
        <v/>
      </c>
      <c r="W446" s="21" t="str">
        <f>IF(Deployments!BC447="","",Deployments!BC447)</f>
        <v/>
      </c>
      <c r="X446" s="21" t="str">
        <f>IF(Deployments!BK447="","",Deployments!BK447)</f>
        <v/>
      </c>
      <c r="Y446" s="21" t="str">
        <f>IF(Deployments!BB447="","",Deployments!BB447)</f>
        <v/>
      </c>
      <c r="Z446" s="21" t="str">
        <f>IF(Deployments!T447="","",Deployments!T447)</f>
        <v/>
      </c>
      <c r="AA446" s="21" t="str">
        <f>IF(Deployments!L447="","",Deployments!L447)</f>
        <v/>
      </c>
    </row>
    <row r="447" spans="1:27">
      <c r="A447" s="22"/>
      <c r="B447" s="22"/>
      <c r="C447" s="21" t="str">
        <f>IF(Deployments!H448="","",Deployments!H448)</f>
        <v/>
      </c>
      <c r="D447" s="21" t="str">
        <f>IF(Deployments!AH448="","",Deployments!AH448)</f>
        <v/>
      </c>
      <c r="E447" s="21" t="str">
        <f>IF(Deployments!I448="","",Deployments!I448)</f>
        <v/>
      </c>
      <c r="F447" s="21" t="str">
        <f>IF(Deployments!J448="","",Deployments!J448)</f>
        <v/>
      </c>
      <c r="G447" s="21" t="str">
        <f>IF(Deployments!K448="","",Deployments!K448)</f>
        <v/>
      </c>
      <c r="H447" s="21" t="str">
        <f>IF(Deployments!A448="","",Deployments!A448)</f>
        <v/>
      </c>
      <c r="I447" s="21" t="str">
        <f>IF(Deployments!AI448="","",Deployments!AI448)</f>
        <v/>
      </c>
      <c r="J447" s="21" t="str">
        <f>IF(Deployments!AJ448="","",Deployments!AJ448)</f>
        <v/>
      </c>
      <c r="K447" s="21" t="str">
        <f>IF(Deployments!AD448="","",Deployments!AD448)</f>
        <v/>
      </c>
      <c r="L447" s="21" t="str">
        <f>IF(Deployments!M448="","",Deployments!M448)</f>
        <v/>
      </c>
      <c r="M447" s="22"/>
      <c r="N447" s="21" t="str">
        <f>IF(Deployments!N448="","",Deployments!N448)</f>
        <v/>
      </c>
      <c r="O447" s="21" t="str">
        <f>IF(Deployments!O448="","",Deployments!O448)</f>
        <v/>
      </c>
      <c r="P447" s="21" t="str">
        <f>IF(Deployments!P448="","",Deployments!P448)</f>
        <v/>
      </c>
      <c r="Q447" s="22"/>
      <c r="R447" s="21" t="str">
        <f>IF(Deployments!AY448="","",Deployments!AY448)</f>
        <v/>
      </c>
      <c r="S447" s="21" t="str">
        <f>IF(Deployments!AX448="","",Deployments!AX448)</f>
        <v/>
      </c>
      <c r="T447" s="21" t="str">
        <f>IF(Deployments!AV448="","",Deployments!AV448)</f>
        <v/>
      </c>
      <c r="U447" s="21" t="str">
        <f>IF(Deployments!AW448="","",Deployments!AW448)</f>
        <v/>
      </c>
      <c r="V447" s="21" t="str">
        <f>IF(Deployments!BA448="","",Deployments!BA448)</f>
        <v/>
      </c>
      <c r="W447" s="21" t="str">
        <f>IF(Deployments!BC448="","",Deployments!BC448)</f>
        <v/>
      </c>
      <c r="X447" s="21" t="str">
        <f>IF(Deployments!BK448="","",Deployments!BK448)</f>
        <v/>
      </c>
      <c r="Y447" s="21" t="str">
        <f>IF(Deployments!BB448="","",Deployments!BB448)</f>
        <v/>
      </c>
      <c r="Z447" s="21" t="str">
        <f>IF(Deployments!T448="","",Deployments!T448)</f>
        <v/>
      </c>
      <c r="AA447" s="21" t="str">
        <f>IF(Deployments!L448="","",Deployments!L448)</f>
        <v/>
      </c>
    </row>
    <row r="448" spans="1:27">
      <c r="A448" s="22"/>
      <c r="B448" s="22"/>
      <c r="C448" s="21" t="str">
        <f>IF(Deployments!H449="","",Deployments!H449)</f>
        <v/>
      </c>
      <c r="D448" s="21" t="str">
        <f>IF(Deployments!AH449="","",Deployments!AH449)</f>
        <v/>
      </c>
      <c r="E448" s="21" t="str">
        <f>IF(Deployments!I449="","",Deployments!I449)</f>
        <v/>
      </c>
      <c r="F448" s="21" t="str">
        <f>IF(Deployments!J449="","",Deployments!J449)</f>
        <v/>
      </c>
      <c r="G448" s="21" t="str">
        <f>IF(Deployments!K449="","",Deployments!K449)</f>
        <v/>
      </c>
      <c r="H448" s="21" t="str">
        <f>IF(Deployments!A449="","",Deployments!A449)</f>
        <v/>
      </c>
      <c r="I448" s="21" t="str">
        <f>IF(Deployments!AI449="","",Deployments!AI449)</f>
        <v/>
      </c>
      <c r="J448" s="21" t="str">
        <f>IF(Deployments!AJ449="","",Deployments!AJ449)</f>
        <v/>
      </c>
      <c r="K448" s="21" t="str">
        <f>IF(Deployments!AD449="","",Deployments!AD449)</f>
        <v/>
      </c>
      <c r="L448" s="21" t="str">
        <f>IF(Deployments!M449="","",Deployments!M449)</f>
        <v/>
      </c>
      <c r="M448" s="22"/>
      <c r="N448" s="21" t="str">
        <f>IF(Deployments!N449="","",Deployments!N449)</f>
        <v/>
      </c>
      <c r="O448" s="21" t="str">
        <f>IF(Deployments!O449="","",Deployments!O449)</f>
        <v/>
      </c>
      <c r="P448" s="21" t="str">
        <f>IF(Deployments!P449="","",Deployments!P449)</f>
        <v/>
      </c>
      <c r="Q448" s="22"/>
      <c r="R448" s="21" t="str">
        <f>IF(Deployments!AY449="","",Deployments!AY449)</f>
        <v/>
      </c>
      <c r="S448" s="21" t="str">
        <f>IF(Deployments!AX449="","",Deployments!AX449)</f>
        <v/>
      </c>
      <c r="T448" s="21" t="str">
        <f>IF(Deployments!AV449="","",Deployments!AV449)</f>
        <v/>
      </c>
      <c r="U448" s="21" t="str">
        <f>IF(Deployments!AW449="","",Deployments!AW449)</f>
        <v/>
      </c>
      <c r="V448" s="21" t="str">
        <f>IF(Deployments!BA449="","",Deployments!BA449)</f>
        <v/>
      </c>
      <c r="W448" s="21" t="str">
        <f>IF(Deployments!BC449="","",Deployments!BC449)</f>
        <v/>
      </c>
      <c r="X448" s="21" t="str">
        <f>IF(Deployments!BK449="","",Deployments!BK449)</f>
        <v/>
      </c>
      <c r="Y448" s="21" t="str">
        <f>IF(Deployments!BB449="","",Deployments!BB449)</f>
        <v/>
      </c>
      <c r="Z448" s="21" t="str">
        <f>IF(Deployments!T449="","",Deployments!T449)</f>
        <v/>
      </c>
      <c r="AA448" s="21" t="str">
        <f>IF(Deployments!L449="","",Deployments!L449)</f>
        <v/>
      </c>
    </row>
    <row r="449" spans="1:27">
      <c r="A449" s="22"/>
      <c r="B449" s="22"/>
      <c r="C449" s="21" t="str">
        <f>IF(Deployments!H450="","",Deployments!H450)</f>
        <v/>
      </c>
      <c r="D449" s="21" t="str">
        <f>IF(Deployments!AH450="","",Deployments!AH450)</f>
        <v/>
      </c>
      <c r="E449" s="21" t="str">
        <f>IF(Deployments!I450="","",Deployments!I450)</f>
        <v/>
      </c>
      <c r="F449" s="21" t="str">
        <f>IF(Deployments!J450="","",Deployments!J450)</f>
        <v/>
      </c>
      <c r="G449" s="21" t="str">
        <f>IF(Deployments!K450="","",Deployments!K450)</f>
        <v/>
      </c>
      <c r="H449" s="21" t="str">
        <f>IF(Deployments!A450="","",Deployments!A450)</f>
        <v/>
      </c>
      <c r="I449" s="21" t="str">
        <f>IF(Deployments!AI450="","",Deployments!AI450)</f>
        <v/>
      </c>
      <c r="J449" s="21" t="str">
        <f>IF(Deployments!AJ450="","",Deployments!AJ450)</f>
        <v/>
      </c>
      <c r="K449" s="21" t="str">
        <f>IF(Deployments!AD450="","",Deployments!AD450)</f>
        <v/>
      </c>
      <c r="L449" s="21" t="str">
        <f>IF(Deployments!M450="","",Deployments!M450)</f>
        <v/>
      </c>
      <c r="M449" s="22"/>
      <c r="N449" s="21" t="str">
        <f>IF(Deployments!N450="","",Deployments!N450)</f>
        <v/>
      </c>
      <c r="O449" s="21" t="str">
        <f>IF(Deployments!O450="","",Deployments!O450)</f>
        <v/>
      </c>
      <c r="P449" s="21" t="str">
        <f>IF(Deployments!P450="","",Deployments!P450)</f>
        <v/>
      </c>
      <c r="Q449" s="22"/>
      <c r="R449" s="21" t="str">
        <f>IF(Deployments!AY450="","",Deployments!AY450)</f>
        <v/>
      </c>
      <c r="S449" s="21" t="str">
        <f>IF(Deployments!AX450="","",Deployments!AX450)</f>
        <v/>
      </c>
      <c r="T449" s="21" t="str">
        <f>IF(Deployments!AV450="","",Deployments!AV450)</f>
        <v/>
      </c>
      <c r="U449" s="21" t="str">
        <f>IF(Deployments!AW450="","",Deployments!AW450)</f>
        <v/>
      </c>
      <c r="V449" s="21" t="str">
        <f>IF(Deployments!BA450="","",Deployments!BA450)</f>
        <v/>
      </c>
      <c r="W449" s="21" t="str">
        <f>IF(Deployments!BC450="","",Deployments!BC450)</f>
        <v/>
      </c>
      <c r="X449" s="21" t="str">
        <f>IF(Deployments!BK450="","",Deployments!BK450)</f>
        <v/>
      </c>
      <c r="Y449" s="21" t="str">
        <f>IF(Deployments!BB450="","",Deployments!BB450)</f>
        <v/>
      </c>
      <c r="Z449" s="21" t="str">
        <f>IF(Deployments!T450="","",Deployments!T450)</f>
        <v/>
      </c>
      <c r="AA449" s="21" t="str">
        <f>IF(Deployments!L450="","",Deployments!L450)</f>
        <v/>
      </c>
    </row>
    <row r="450" spans="1:27">
      <c r="A450" s="22"/>
      <c r="B450" s="22"/>
      <c r="C450" s="21" t="str">
        <f>IF(Deployments!H451="","",Deployments!H451)</f>
        <v/>
      </c>
      <c r="D450" s="21" t="str">
        <f>IF(Deployments!AH451="","",Deployments!AH451)</f>
        <v/>
      </c>
      <c r="E450" s="21" t="str">
        <f>IF(Deployments!I451="","",Deployments!I451)</f>
        <v/>
      </c>
      <c r="F450" s="21" t="str">
        <f>IF(Deployments!J451="","",Deployments!J451)</f>
        <v/>
      </c>
      <c r="G450" s="21" t="str">
        <f>IF(Deployments!K451="","",Deployments!K451)</f>
        <v/>
      </c>
      <c r="H450" s="21" t="str">
        <f>IF(Deployments!A451="","",Deployments!A451)</f>
        <v/>
      </c>
      <c r="I450" s="21" t="str">
        <f>IF(Deployments!AI451="","",Deployments!AI451)</f>
        <v/>
      </c>
      <c r="J450" s="21" t="str">
        <f>IF(Deployments!AJ451="","",Deployments!AJ451)</f>
        <v/>
      </c>
      <c r="K450" s="21" t="str">
        <f>IF(Deployments!AD451="","",Deployments!AD451)</f>
        <v/>
      </c>
      <c r="L450" s="21" t="str">
        <f>IF(Deployments!M451="","",Deployments!M451)</f>
        <v/>
      </c>
      <c r="M450" s="22"/>
      <c r="N450" s="21" t="str">
        <f>IF(Deployments!N451="","",Deployments!N451)</f>
        <v/>
      </c>
      <c r="O450" s="21" t="str">
        <f>IF(Deployments!O451="","",Deployments!O451)</f>
        <v/>
      </c>
      <c r="P450" s="21" t="str">
        <f>IF(Deployments!P451="","",Deployments!P451)</f>
        <v/>
      </c>
      <c r="Q450" s="22"/>
      <c r="R450" s="21" t="str">
        <f>IF(Deployments!AY451="","",Deployments!AY451)</f>
        <v/>
      </c>
      <c r="S450" s="21" t="str">
        <f>IF(Deployments!AX451="","",Deployments!AX451)</f>
        <v/>
      </c>
      <c r="T450" s="21" t="str">
        <f>IF(Deployments!AV451="","",Deployments!AV451)</f>
        <v/>
      </c>
      <c r="U450" s="21" t="str">
        <f>IF(Deployments!AW451="","",Deployments!AW451)</f>
        <v/>
      </c>
      <c r="V450" s="21" t="str">
        <f>IF(Deployments!BA451="","",Deployments!BA451)</f>
        <v/>
      </c>
      <c r="W450" s="21" t="str">
        <f>IF(Deployments!BC451="","",Deployments!BC451)</f>
        <v/>
      </c>
      <c r="X450" s="21" t="str">
        <f>IF(Deployments!BK451="","",Deployments!BK451)</f>
        <v/>
      </c>
      <c r="Y450" s="21" t="str">
        <f>IF(Deployments!BB451="","",Deployments!BB451)</f>
        <v/>
      </c>
      <c r="Z450" s="21" t="str">
        <f>IF(Deployments!T451="","",Deployments!T451)</f>
        <v/>
      </c>
      <c r="AA450" s="21" t="str">
        <f>IF(Deployments!L451="","",Deployments!L451)</f>
        <v/>
      </c>
    </row>
    <row r="451" spans="1:27">
      <c r="A451" s="22"/>
      <c r="B451" s="22"/>
      <c r="C451" s="21" t="str">
        <f>IF(Deployments!H452="","",Deployments!H452)</f>
        <v/>
      </c>
      <c r="D451" s="21" t="str">
        <f>IF(Deployments!AH452="","",Deployments!AH452)</f>
        <v/>
      </c>
      <c r="E451" s="21" t="str">
        <f>IF(Deployments!I452="","",Deployments!I452)</f>
        <v/>
      </c>
      <c r="F451" s="21" t="str">
        <f>IF(Deployments!J452="","",Deployments!J452)</f>
        <v/>
      </c>
      <c r="G451" s="21" t="str">
        <f>IF(Deployments!K452="","",Deployments!K452)</f>
        <v/>
      </c>
      <c r="H451" s="21" t="str">
        <f>IF(Deployments!A452="","",Deployments!A452)</f>
        <v/>
      </c>
      <c r="I451" s="21" t="str">
        <f>IF(Deployments!AI452="","",Deployments!AI452)</f>
        <v/>
      </c>
      <c r="J451" s="21" t="str">
        <f>IF(Deployments!AJ452="","",Deployments!AJ452)</f>
        <v/>
      </c>
      <c r="K451" s="21" t="str">
        <f>IF(Deployments!AD452="","",Deployments!AD452)</f>
        <v/>
      </c>
      <c r="L451" s="21" t="str">
        <f>IF(Deployments!M452="","",Deployments!M452)</f>
        <v/>
      </c>
      <c r="M451" s="22"/>
      <c r="N451" s="21" t="str">
        <f>IF(Deployments!N452="","",Deployments!N452)</f>
        <v/>
      </c>
      <c r="O451" s="21" t="str">
        <f>IF(Deployments!O452="","",Deployments!O452)</f>
        <v/>
      </c>
      <c r="P451" s="21" t="str">
        <f>IF(Deployments!P452="","",Deployments!P452)</f>
        <v/>
      </c>
      <c r="Q451" s="22"/>
      <c r="R451" s="21" t="str">
        <f>IF(Deployments!AY452="","",Deployments!AY452)</f>
        <v/>
      </c>
      <c r="S451" s="21" t="str">
        <f>IF(Deployments!AX452="","",Deployments!AX452)</f>
        <v/>
      </c>
      <c r="T451" s="21" t="str">
        <f>IF(Deployments!AV452="","",Deployments!AV452)</f>
        <v/>
      </c>
      <c r="U451" s="21" t="str">
        <f>IF(Deployments!AW452="","",Deployments!AW452)</f>
        <v/>
      </c>
      <c r="V451" s="21" t="str">
        <f>IF(Deployments!BA452="","",Deployments!BA452)</f>
        <v/>
      </c>
      <c r="W451" s="21" t="str">
        <f>IF(Deployments!BC452="","",Deployments!BC452)</f>
        <v/>
      </c>
      <c r="X451" s="21" t="str">
        <f>IF(Deployments!BK452="","",Deployments!BK452)</f>
        <v/>
      </c>
      <c r="Y451" s="21" t="str">
        <f>IF(Deployments!BB452="","",Deployments!BB452)</f>
        <v/>
      </c>
      <c r="Z451" s="21" t="str">
        <f>IF(Deployments!T452="","",Deployments!T452)</f>
        <v/>
      </c>
      <c r="AA451" s="21" t="str">
        <f>IF(Deployments!L452="","",Deployments!L452)</f>
        <v/>
      </c>
    </row>
    <row r="452" spans="1:27">
      <c r="A452" s="22"/>
      <c r="B452" s="22"/>
      <c r="C452" s="21" t="str">
        <f>IF(Deployments!H453="","",Deployments!H453)</f>
        <v/>
      </c>
      <c r="D452" s="21" t="str">
        <f>IF(Deployments!AH453="","",Deployments!AH453)</f>
        <v/>
      </c>
      <c r="E452" s="21" t="str">
        <f>IF(Deployments!I453="","",Deployments!I453)</f>
        <v/>
      </c>
      <c r="F452" s="21" t="str">
        <f>IF(Deployments!J453="","",Deployments!J453)</f>
        <v/>
      </c>
      <c r="G452" s="21" t="str">
        <f>IF(Deployments!K453="","",Deployments!K453)</f>
        <v/>
      </c>
      <c r="H452" s="21" t="str">
        <f>IF(Deployments!A453="","",Deployments!A453)</f>
        <v/>
      </c>
      <c r="I452" s="21" t="str">
        <f>IF(Deployments!AI453="","",Deployments!AI453)</f>
        <v/>
      </c>
      <c r="J452" s="21" t="str">
        <f>IF(Deployments!AJ453="","",Deployments!AJ453)</f>
        <v/>
      </c>
      <c r="K452" s="21" t="str">
        <f>IF(Deployments!AD453="","",Deployments!AD453)</f>
        <v/>
      </c>
      <c r="L452" s="21" t="str">
        <f>IF(Deployments!M453="","",Deployments!M453)</f>
        <v/>
      </c>
      <c r="M452" s="22"/>
      <c r="N452" s="21" t="str">
        <f>IF(Deployments!N453="","",Deployments!N453)</f>
        <v/>
      </c>
      <c r="O452" s="21" t="str">
        <f>IF(Deployments!O453="","",Deployments!O453)</f>
        <v/>
      </c>
      <c r="P452" s="21" t="str">
        <f>IF(Deployments!P453="","",Deployments!P453)</f>
        <v/>
      </c>
      <c r="Q452" s="22"/>
      <c r="R452" s="21" t="str">
        <f>IF(Deployments!AY453="","",Deployments!AY453)</f>
        <v/>
      </c>
      <c r="S452" s="21" t="str">
        <f>IF(Deployments!AX453="","",Deployments!AX453)</f>
        <v/>
      </c>
      <c r="T452" s="21" t="str">
        <f>IF(Deployments!AV453="","",Deployments!AV453)</f>
        <v/>
      </c>
      <c r="U452" s="21" t="str">
        <f>IF(Deployments!AW453="","",Deployments!AW453)</f>
        <v/>
      </c>
      <c r="V452" s="21" t="str">
        <f>IF(Deployments!BA453="","",Deployments!BA453)</f>
        <v/>
      </c>
      <c r="W452" s="21" t="str">
        <f>IF(Deployments!BC453="","",Deployments!BC453)</f>
        <v/>
      </c>
      <c r="X452" s="21" t="str">
        <f>IF(Deployments!BK453="","",Deployments!BK453)</f>
        <v/>
      </c>
      <c r="Y452" s="21" t="str">
        <f>IF(Deployments!BB453="","",Deployments!BB453)</f>
        <v/>
      </c>
      <c r="Z452" s="21" t="str">
        <f>IF(Deployments!T453="","",Deployments!T453)</f>
        <v/>
      </c>
      <c r="AA452" s="21" t="str">
        <f>IF(Deployments!L453="","",Deployments!L453)</f>
        <v/>
      </c>
    </row>
    <row r="453" spans="1:27">
      <c r="A453" s="22"/>
      <c r="B453" s="22"/>
      <c r="C453" s="21" t="str">
        <f>IF(Deployments!H454="","",Deployments!H454)</f>
        <v/>
      </c>
      <c r="D453" s="21" t="str">
        <f>IF(Deployments!AH454="","",Deployments!AH454)</f>
        <v/>
      </c>
      <c r="E453" s="21" t="str">
        <f>IF(Deployments!I454="","",Deployments!I454)</f>
        <v/>
      </c>
      <c r="F453" s="21" t="str">
        <f>IF(Deployments!J454="","",Deployments!J454)</f>
        <v/>
      </c>
      <c r="G453" s="21" t="str">
        <f>IF(Deployments!K454="","",Deployments!K454)</f>
        <v/>
      </c>
      <c r="H453" s="21" t="str">
        <f>IF(Deployments!A454="","",Deployments!A454)</f>
        <v/>
      </c>
      <c r="I453" s="21" t="str">
        <f>IF(Deployments!AI454="","",Deployments!AI454)</f>
        <v/>
      </c>
      <c r="J453" s="21" t="str">
        <f>IF(Deployments!AJ454="","",Deployments!AJ454)</f>
        <v/>
      </c>
      <c r="K453" s="21" t="str">
        <f>IF(Deployments!AD454="","",Deployments!AD454)</f>
        <v/>
      </c>
      <c r="L453" s="21" t="str">
        <f>IF(Deployments!M454="","",Deployments!M454)</f>
        <v/>
      </c>
      <c r="M453" s="22"/>
      <c r="N453" s="21" t="str">
        <f>IF(Deployments!N454="","",Deployments!N454)</f>
        <v/>
      </c>
      <c r="O453" s="21" t="str">
        <f>IF(Deployments!O454="","",Deployments!O454)</f>
        <v/>
      </c>
      <c r="P453" s="21" t="str">
        <f>IF(Deployments!P454="","",Deployments!P454)</f>
        <v/>
      </c>
      <c r="Q453" s="22"/>
      <c r="R453" s="21" t="str">
        <f>IF(Deployments!AY454="","",Deployments!AY454)</f>
        <v/>
      </c>
      <c r="S453" s="21" t="str">
        <f>IF(Deployments!AX454="","",Deployments!AX454)</f>
        <v/>
      </c>
      <c r="T453" s="21" t="str">
        <f>IF(Deployments!AV454="","",Deployments!AV454)</f>
        <v/>
      </c>
      <c r="U453" s="21" t="str">
        <f>IF(Deployments!AW454="","",Deployments!AW454)</f>
        <v/>
      </c>
      <c r="V453" s="21" t="str">
        <f>IF(Deployments!BA454="","",Deployments!BA454)</f>
        <v/>
      </c>
      <c r="W453" s="21" t="str">
        <f>IF(Deployments!BC454="","",Deployments!BC454)</f>
        <v/>
      </c>
      <c r="X453" s="21" t="str">
        <f>IF(Deployments!BK454="","",Deployments!BK454)</f>
        <v/>
      </c>
      <c r="Y453" s="21" t="str">
        <f>IF(Deployments!BB454="","",Deployments!BB454)</f>
        <v/>
      </c>
      <c r="Z453" s="21" t="str">
        <f>IF(Deployments!T454="","",Deployments!T454)</f>
        <v/>
      </c>
      <c r="AA453" s="21" t="str">
        <f>IF(Deployments!L454="","",Deployments!L454)</f>
        <v/>
      </c>
    </row>
    <row r="454" spans="1:27">
      <c r="A454" s="22"/>
      <c r="B454" s="22"/>
      <c r="C454" s="21" t="str">
        <f>IF(Deployments!H455="","",Deployments!H455)</f>
        <v/>
      </c>
      <c r="D454" s="21" t="str">
        <f>IF(Deployments!AH455="","",Deployments!AH455)</f>
        <v/>
      </c>
      <c r="E454" s="21" t="str">
        <f>IF(Deployments!I455="","",Deployments!I455)</f>
        <v/>
      </c>
      <c r="F454" s="21" t="str">
        <f>IF(Deployments!J455="","",Deployments!J455)</f>
        <v/>
      </c>
      <c r="G454" s="21" t="str">
        <f>IF(Deployments!K455="","",Deployments!K455)</f>
        <v/>
      </c>
      <c r="H454" s="21" t="str">
        <f>IF(Deployments!A455="","",Deployments!A455)</f>
        <v/>
      </c>
      <c r="I454" s="21" t="str">
        <f>IF(Deployments!AI455="","",Deployments!AI455)</f>
        <v/>
      </c>
      <c r="J454" s="21" t="str">
        <f>IF(Deployments!AJ455="","",Deployments!AJ455)</f>
        <v/>
      </c>
      <c r="K454" s="21" t="str">
        <f>IF(Deployments!AD455="","",Deployments!AD455)</f>
        <v/>
      </c>
      <c r="L454" s="21" t="str">
        <f>IF(Deployments!M455="","",Deployments!M455)</f>
        <v/>
      </c>
      <c r="M454" s="22"/>
      <c r="N454" s="21" t="str">
        <f>IF(Deployments!N455="","",Deployments!N455)</f>
        <v/>
      </c>
      <c r="O454" s="21" t="str">
        <f>IF(Deployments!O455="","",Deployments!O455)</f>
        <v/>
      </c>
      <c r="P454" s="21" t="str">
        <f>IF(Deployments!P455="","",Deployments!P455)</f>
        <v/>
      </c>
      <c r="Q454" s="22"/>
      <c r="R454" s="21" t="str">
        <f>IF(Deployments!AY455="","",Deployments!AY455)</f>
        <v/>
      </c>
      <c r="S454" s="21" t="str">
        <f>IF(Deployments!AX455="","",Deployments!AX455)</f>
        <v/>
      </c>
      <c r="T454" s="21" t="str">
        <f>IF(Deployments!AV455="","",Deployments!AV455)</f>
        <v/>
      </c>
      <c r="U454" s="21" t="str">
        <f>IF(Deployments!AW455="","",Deployments!AW455)</f>
        <v/>
      </c>
      <c r="V454" s="21" t="str">
        <f>IF(Deployments!BA455="","",Deployments!BA455)</f>
        <v/>
      </c>
      <c r="W454" s="21" t="str">
        <f>IF(Deployments!BC455="","",Deployments!BC455)</f>
        <v/>
      </c>
      <c r="X454" s="21" t="str">
        <f>IF(Deployments!BK455="","",Deployments!BK455)</f>
        <v/>
      </c>
      <c r="Y454" s="21" t="str">
        <f>IF(Deployments!BB455="","",Deployments!BB455)</f>
        <v/>
      </c>
      <c r="Z454" s="21" t="str">
        <f>IF(Deployments!T455="","",Deployments!T455)</f>
        <v/>
      </c>
      <c r="AA454" s="21" t="str">
        <f>IF(Deployments!L455="","",Deployments!L455)</f>
        <v/>
      </c>
    </row>
    <row r="455" spans="1:27">
      <c r="A455" s="22"/>
      <c r="B455" s="22"/>
      <c r="C455" s="21" t="str">
        <f>IF(Deployments!H456="","",Deployments!H456)</f>
        <v/>
      </c>
      <c r="D455" s="21" t="str">
        <f>IF(Deployments!AH456="","",Deployments!AH456)</f>
        <v/>
      </c>
      <c r="E455" s="21" t="str">
        <f>IF(Deployments!I456="","",Deployments!I456)</f>
        <v/>
      </c>
      <c r="F455" s="21" t="str">
        <f>IF(Deployments!J456="","",Deployments!J456)</f>
        <v/>
      </c>
      <c r="G455" s="21" t="str">
        <f>IF(Deployments!K456="","",Deployments!K456)</f>
        <v/>
      </c>
      <c r="H455" s="21" t="str">
        <f>IF(Deployments!A456="","",Deployments!A456)</f>
        <v/>
      </c>
      <c r="I455" s="21" t="str">
        <f>IF(Deployments!AI456="","",Deployments!AI456)</f>
        <v/>
      </c>
      <c r="J455" s="21" t="str">
        <f>IF(Deployments!AJ456="","",Deployments!AJ456)</f>
        <v/>
      </c>
      <c r="K455" s="21" t="str">
        <f>IF(Deployments!AD456="","",Deployments!AD456)</f>
        <v/>
      </c>
      <c r="L455" s="21" t="str">
        <f>IF(Deployments!M456="","",Deployments!M456)</f>
        <v/>
      </c>
      <c r="M455" s="22"/>
      <c r="N455" s="21" t="str">
        <f>IF(Deployments!N456="","",Deployments!N456)</f>
        <v/>
      </c>
      <c r="O455" s="21" t="str">
        <f>IF(Deployments!O456="","",Deployments!O456)</f>
        <v/>
      </c>
      <c r="P455" s="21" t="str">
        <f>IF(Deployments!P456="","",Deployments!P456)</f>
        <v/>
      </c>
      <c r="Q455" s="22"/>
      <c r="R455" s="21" t="str">
        <f>IF(Deployments!AY456="","",Deployments!AY456)</f>
        <v/>
      </c>
      <c r="S455" s="21" t="str">
        <f>IF(Deployments!AX456="","",Deployments!AX456)</f>
        <v/>
      </c>
      <c r="T455" s="21" t="str">
        <f>IF(Deployments!AV456="","",Deployments!AV456)</f>
        <v/>
      </c>
      <c r="U455" s="21" t="str">
        <f>IF(Deployments!AW456="","",Deployments!AW456)</f>
        <v/>
      </c>
      <c r="V455" s="21" t="str">
        <f>IF(Deployments!BA456="","",Deployments!BA456)</f>
        <v/>
      </c>
      <c r="W455" s="21" t="str">
        <f>IF(Deployments!BC456="","",Deployments!BC456)</f>
        <v/>
      </c>
      <c r="X455" s="21" t="str">
        <f>IF(Deployments!BK456="","",Deployments!BK456)</f>
        <v/>
      </c>
      <c r="Y455" s="21" t="str">
        <f>IF(Deployments!BB456="","",Deployments!BB456)</f>
        <v/>
      </c>
      <c r="Z455" s="21" t="str">
        <f>IF(Deployments!T456="","",Deployments!T456)</f>
        <v/>
      </c>
      <c r="AA455" s="21" t="str">
        <f>IF(Deployments!L456="","",Deployments!L456)</f>
        <v/>
      </c>
    </row>
    <row r="456" spans="1:27">
      <c r="A456" s="22"/>
      <c r="B456" s="22"/>
      <c r="C456" s="21" t="str">
        <f>IF(Deployments!H457="","",Deployments!H457)</f>
        <v/>
      </c>
      <c r="D456" s="21" t="str">
        <f>IF(Deployments!AH457="","",Deployments!AH457)</f>
        <v/>
      </c>
      <c r="E456" s="21" t="str">
        <f>IF(Deployments!I457="","",Deployments!I457)</f>
        <v/>
      </c>
      <c r="F456" s="21" t="str">
        <f>IF(Deployments!J457="","",Deployments!J457)</f>
        <v/>
      </c>
      <c r="G456" s="21" t="str">
        <f>IF(Deployments!K457="","",Deployments!K457)</f>
        <v/>
      </c>
      <c r="H456" s="21" t="str">
        <f>IF(Deployments!A457="","",Deployments!A457)</f>
        <v/>
      </c>
      <c r="I456" s="21" t="str">
        <f>IF(Deployments!AI457="","",Deployments!AI457)</f>
        <v/>
      </c>
      <c r="J456" s="21" t="str">
        <f>IF(Deployments!AJ457="","",Deployments!AJ457)</f>
        <v/>
      </c>
      <c r="K456" s="21" t="str">
        <f>IF(Deployments!AD457="","",Deployments!AD457)</f>
        <v/>
      </c>
      <c r="L456" s="21" t="str">
        <f>IF(Deployments!M457="","",Deployments!M457)</f>
        <v/>
      </c>
      <c r="M456" s="22"/>
      <c r="N456" s="21" t="str">
        <f>IF(Deployments!N457="","",Deployments!N457)</f>
        <v/>
      </c>
      <c r="O456" s="21" t="str">
        <f>IF(Deployments!O457="","",Deployments!O457)</f>
        <v/>
      </c>
      <c r="P456" s="21" t="str">
        <f>IF(Deployments!P457="","",Deployments!P457)</f>
        <v/>
      </c>
      <c r="Q456" s="22"/>
      <c r="R456" s="21" t="str">
        <f>IF(Deployments!AY457="","",Deployments!AY457)</f>
        <v/>
      </c>
      <c r="S456" s="21" t="str">
        <f>IF(Deployments!AX457="","",Deployments!AX457)</f>
        <v/>
      </c>
      <c r="T456" s="21" t="str">
        <f>IF(Deployments!AV457="","",Deployments!AV457)</f>
        <v/>
      </c>
      <c r="U456" s="21" t="str">
        <f>IF(Deployments!AW457="","",Deployments!AW457)</f>
        <v/>
      </c>
      <c r="V456" s="21" t="str">
        <f>IF(Deployments!BA457="","",Deployments!BA457)</f>
        <v/>
      </c>
      <c r="W456" s="21" t="str">
        <f>IF(Deployments!BC457="","",Deployments!BC457)</f>
        <v/>
      </c>
      <c r="X456" s="21" t="str">
        <f>IF(Deployments!BK457="","",Deployments!BK457)</f>
        <v/>
      </c>
      <c r="Y456" s="21" t="str">
        <f>IF(Deployments!BB457="","",Deployments!BB457)</f>
        <v/>
      </c>
      <c r="Z456" s="21" t="str">
        <f>IF(Deployments!T457="","",Deployments!T457)</f>
        <v/>
      </c>
      <c r="AA456" s="21" t="str">
        <f>IF(Deployments!L457="","",Deployments!L457)</f>
        <v/>
      </c>
    </row>
    <row r="457" spans="1:27">
      <c r="A457" s="22"/>
      <c r="B457" s="22"/>
      <c r="C457" s="21" t="str">
        <f>IF(Deployments!H458="","",Deployments!H458)</f>
        <v/>
      </c>
      <c r="D457" s="21" t="str">
        <f>IF(Deployments!AH458="","",Deployments!AH458)</f>
        <v/>
      </c>
      <c r="E457" s="21" t="str">
        <f>IF(Deployments!I458="","",Deployments!I458)</f>
        <v/>
      </c>
      <c r="F457" s="21" t="str">
        <f>IF(Deployments!J458="","",Deployments!J458)</f>
        <v/>
      </c>
      <c r="G457" s="21" t="str">
        <f>IF(Deployments!K458="","",Deployments!K458)</f>
        <v/>
      </c>
      <c r="H457" s="21" t="str">
        <f>IF(Deployments!A458="","",Deployments!A458)</f>
        <v/>
      </c>
      <c r="I457" s="21" t="str">
        <f>IF(Deployments!AI458="","",Deployments!AI458)</f>
        <v/>
      </c>
      <c r="J457" s="21" t="str">
        <f>IF(Deployments!AJ458="","",Deployments!AJ458)</f>
        <v/>
      </c>
      <c r="K457" s="21" t="str">
        <f>IF(Deployments!AD458="","",Deployments!AD458)</f>
        <v/>
      </c>
      <c r="L457" s="21" t="str">
        <f>IF(Deployments!M458="","",Deployments!M458)</f>
        <v/>
      </c>
      <c r="M457" s="22"/>
      <c r="N457" s="21" t="str">
        <f>IF(Deployments!N458="","",Deployments!N458)</f>
        <v/>
      </c>
      <c r="O457" s="21" t="str">
        <f>IF(Deployments!O458="","",Deployments!O458)</f>
        <v/>
      </c>
      <c r="P457" s="21" t="str">
        <f>IF(Deployments!P458="","",Deployments!P458)</f>
        <v/>
      </c>
      <c r="Q457" s="22"/>
      <c r="R457" s="21" t="str">
        <f>IF(Deployments!AY458="","",Deployments!AY458)</f>
        <v/>
      </c>
      <c r="S457" s="21" t="str">
        <f>IF(Deployments!AX458="","",Deployments!AX458)</f>
        <v/>
      </c>
      <c r="T457" s="21" t="str">
        <f>IF(Deployments!AV458="","",Deployments!AV458)</f>
        <v/>
      </c>
      <c r="U457" s="21" t="str">
        <f>IF(Deployments!AW458="","",Deployments!AW458)</f>
        <v/>
      </c>
      <c r="V457" s="21" t="str">
        <f>IF(Deployments!BA458="","",Deployments!BA458)</f>
        <v/>
      </c>
      <c r="W457" s="21" t="str">
        <f>IF(Deployments!BC458="","",Deployments!BC458)</f>
        <v/>
      </c>
      <c r="X457" s="21" t="str">
        <f>IF(Deployments!BK458="","",Deployments!BK458)</f>
        <v/>
      </c>
      <c r="Y457" s="21" t="str">
        <f>IF(Deployments!BB458="","",Deployments!BB458)</f>
        <v/>
      </c>
      <c r="Z457" s="21" t="str">
        <f>IF(Deployments!T458="","",Deployments!T458)</f>
        <v/>
      </c>
      <c r="AA457" s="21" t="str">
        <f>IF(Deployments!L458="","",Deployments!L458)</f>
        <v/>
      </c>
    </row>
    <row r="458" spans="1:27">
      <c r="A458" s="22"/>
      <c r="B458" s="22"/>
      <c r="C458" s="21" t="str">
        <f>IF(Deployments!H459="","",Deployments!H459)</f>
        <v/>
      </c>
      <c r="D458" s="21" t="str">
        <f>IF(Deployments!AH459="","",Deployments!AH459)</f>
        <v/>
      </c>
      <c r="E458" s="21" t="str">
        <f>IF(Deployments!I459="","",Deployments!I459)</f>
        <v/>
      </c>
      <c r="F458" s="21" t="str">
        <f>IF(Deployments!J459="","",Deployments!J459)</f>
        <v/>
      </c>
      <c r="G458" s="21" t="str">
        <f>IF(Deployments!K459="","",Deployments!K459)</f>
        <v/>
      </c>
      <c r="H458" s="21" t="str">
        <f>IF(Deployments!A459="","",Deployments!A459)</f>
        <v/>
      </c>
      <c r="I458" s="21" t="str">
        <f>IF(Deployments!AI459="","",Deployments!AI459)</f>
        <v/>
      </c>
      <c r="J458" s="21" t="str">
        <f>IF(Deployments!AJ459="","",Deployments!AJ459)</f>
        <v/>
      </c>
      <c r="K458" s="21" t="str">
        <f>IF(Deployments!AD459="","",Deployments!AD459)</f>
        <v/>
      </c>
      <c r="L458" s="21" t="str">
        <f>IF(Deployments!M459="","",Deployments!M459)</f>
        <v/>
      </c>
      <c r="M458" s="22"/>
      <c r="N458" s="21" t="str">
        <f>IF(Deployments!N459="","",Deployments!N459)</f>
        <v/>
      </c>
      <c r="O458" s="21" t="str">
        <f>IF(Deployments!O459="","",Deployments!O459)</f>
        <v/>
      </c>
      <c r="P458" s="21" t="str">
        <f>IF(Deployments!P459="","",Deployments!P459)</f>
        <v/>
      </c>
      <c r="Q458" s="22"/>
      <c r="R458" s="21" t="str">
        <f>IF(Deployments!AY459="","",Deployments!AY459)</f>
        <v/>
      </c>
      <c r="S458" s="21" t="str">
        <f>IF(Deployments!AX459="","",Deployments!AX459)</f>
        <v/>
      </c>
      <c r="T458" s="21" t="str">
        <f>IF(Deployments!AV459="","",Deployments!AV459)</f>
        <v/>
      </c>
      <c r="U458" s="21" t="str">
        <f>IF(Deployments!AW459="","",Deployments!AW459)</f>
        <v/>
      </c>
      <c r="V458" s="21" t="str">
        <f>IF(Deployments!BA459="","",Deployments!BA459)</f>
        <v/>
      </c>
      <c r="W458" s="21" t="str">
        <f>IF(Deployments!BC459="","",Deployments!BC459)</f>
        <v/>
      </c>
      <c r="X458" s="21" t="str">
        <f>IF(Deployments!BK459="","",Deployments!BK459)</f>
        <v/>
      </c>
      <c r="Y458" s="21" t="str">
        <f>IF(Deployments!BB459="","",Deployments!BB459)</f>
        <v/>
      </c>
      <c r="Z458" s="21" t="str">
        <f>IF(Deployments!T459="","",Deployments!T459)</f>
        <v/>
      </c>
      <c r="AA458" s="21" t="str">
        <f>IF(Deployments!L459="","",Deployments!L459)</f>
        <v/>
      </c>
    </row>
    <row r="459" spans="1:27">
      <c r="A459" s="22"/>
      <c r="B459" s="22"/>
      <c r="C459" s="21" t="str">
        <f>IF(Deployments!H460="","",Deployments!H460)</f>
        <v/>
      </c>
      <c r="D459" s="21" t="str">
        <f>IF(Deployments!AH460="","",Deployments!AH460)</f>
        <v/>
      </c>
      <c r="E459" s="21" t="str">
        <f>IF(Deployments!I460="","",Deployments!I460)</f>
        <v/>
      </c>
      <c r="F459" s="21" t="str">
        <f>IF(Deployments!J460="","",Deployments!J460)</f>
        <v/>
      </c>
      <c r="G459" s="21" t="str">
        <f>IF(Deployments!K460="","",Deployments!K460)</f>
        <v/>
      </c>
      <c r="H459" s="21" t="str">
        <f>IF(Deployments!A460="","",Deployments!A460)</f>
        <v/>
      </c>
      <c r="I459" s="21" t="str">
        <f>IF(Deployments!AI460="","",Deployments!AI460)</f>
        <v/>
      </c>
      <c r="J459" s="21" t="str">
        <f>IF(Deployments!AJ460="","",Deployments!AJ460)</f>
        <v/>
      </c>
      <c r="K459" s="21" t="str">
        <f>IF(Deployments!AD460="","",Deployments!AD460)</f>
        <v/>
      </c>
      <c r="L459" s="21" t="str">
        <f>IF(Deployments!M460="","",Deployments!M460)</f>
        <v/>
      </c>
      <c r="M459" s="22"/>
      <c r="N459" s="21" t="str">
        <f>IF(Deployments!N460="","",Deployments!N460)</f>
        <v/>
      </c>
      <c r="O459" s="21" t="str">
        <f>IF(Deployments!O460="","",Deployments!O460)</f>
        <v/>
      </c>
      <c r="P459" s="21" t="str">
        <f>IF(Deployments!P460="","",Deployments!P460)</f>
        <v/>
      </c>
      <c r="Q459" s="22"/>
      <c r="R459" s="21" t="str">
        <f>IF(Deployments!AY460="","",Deployments!AY460)</f>
        <v/>
      </c>
      <c r="S459" s="21" t="str">
        <f>IF(Deployments!AX460="","",Deployments!AX460)</f>
        <v/>
      </c>
      <c r="T459" s="21" t="str">
        <f>IF(Deployments!AV460="","",Deployments!AV460)</f>
        <v/>
      </c>
      <c r="U459" s="21" t="str">
        <f>IF(Deployments!AW460="","",Deployments!AW460)</f>
        <v/>
      </c>
      <c r="V459" s="21" t="str">
        <f>IF(Deployments!BA460="","",Deployments!BA460)</f>
        <v/>
      </c>
      <c r="W459" s="21" t="str">
        <f>IF(Deployments!BC460="","",Deployments!BC460)</f>
        <v/>
      </c>
      <c r="X459" s="21" t="str">
        <f>IF(Deployments!BK460="","",Deployments!BK460)</f>
        <v/>
      </c>
      <c r="Y459" s="21" t="str">
        <f>IF(Deployments!BB460="","",Deployments!BB460)</f>
        <v/>
      </c>
      <c r="Z459" s="21" t="str">
        <f>IF(Deployments!T460="","",Deployments!T460)</f>
        <v/>
      </c>
      <c r="AA459" s="21" t="str">
        <f>IF(Deployments!L460="","",Deployments!L460)</f>
        <v/>
      </c>
    </row>
    <row r="460" spans="1:27">
      <c r="A460" s="22"/>
      <c r="B460" s="22"/>
      <c r="C460" s="21" t="str">
        <f>IF(Deployments!H461="","",Deployments!H461)</f>
        <v/>
      </c>
      <c r="D460" s="21" t="str">
        <f>IF(Deployments!AH461="","",Deployments!AH461)</f>
        <v/>
      </c>
      <c r="E460" s="21" t="str">
        <f>IF(Deployments!I461="","",Deployments!I461)</f>
        <v/>
      </c>
      <c r="F460" s="21" t="str">
        <f>IF(Deployments!J461="","",Deployments!J461)</f>
        <v/>
      </c>
      <c r="G460" s="21" t="str">
        <f>IF(Deployments!K461="","",Deployments!K461)</f>
        <v/>
      </c>
      <c r="H460" s="21" t="str">
        <f>IF(Deployments!A461="","",Deployments!A461)</f>
        <v/>
      </c>
      <c r="I460" s="21" t="str">
        <f>IF(Deployments!AI461="","",Deployments!AI461)</f>
        <v/>
      </c>
      <c r="J460" s="21" t="str">
        <f>IF(Deployments!AJ461="","",Deployments!AJ461)</f>
        <v/>
      </c>
      <c r="K460" s="21" t="str">
        <f>IF(Deployments!AD461="","",Deployments!AD461)</f>
        <v/>
      </c>
      <c r="L460" s="21" t="str">
        <f>IF(Deployments!M461="","",Deployments!M461)</f>
        <v/>
      </c>
      <c r="M460" s="22"/>
      <c r="N460" s="21" t="str">
        <f>IF(Deployments!N461="","",Deployments!N461)</f>
        <v/>
      </c>
      <c r="O460" s="21" t="str">
        <f>IF(Deployments!O461="","",Deployments!O461)</f>
        <v/>
      </c>
      <c r="P460" s="21" t="str">
        <f>IF(Deployments!P461="","",Deployments!P461)</f>
        <v/>
      </c>
      <c r="Q460" s="22"/>
      <c r="R460" s="21" t="str">
        <f>IF(Deployments!AY461="","",Deployments!AY461)</f>
        <v/>
      </c>
      <c r="S460" s="21" t="str">
        <f>IF(Deployments!AX461="","",Deployments!AX461)</f>
        <v/>
      </c>
      <c r="T460" s="21" t="str">
        <f>IF(Deployments!AV461="","",Deployments!AV461)</f>
        <v/>
      </c>
      <c r="U460" s="21" t="str">
        <f>IF(Deployments!AW461="","",Deployments!AW461)</f>
        <v/>
      </c>
      <c r="V460" s="21" t="str">
        <f>IF(Deployments!BA461="","",Deployments!BA461)</f>
        <v/>
      </c>
      <c r="W460" s="21" t="str">
        <f>IF(Deployments!BC461="","",Deployments!BC461)</f>
        <v/>
      </c>
      <c r="X460" s="21" t="str">
        <f>IF(Deployments!BK461="","",Deployments!BK461)</f>
        <v/>
      </c>
      <c r="Y460" s="21" t="str">
        <f>IF(Deployments!BB461="","",Deployments!BB461)</f>
        <v/>
      </c>
      <c r="Z460" s="21" t="str">
        <f>IF(Deployments!T461="","",Deployments!T461)</f>
        <v/>
      </c>
      <c r="AA460" s="21" t="str">
        <f>IF(Deployments!L461="","",Deployments!L461)</f>
        <v/>
      </c>
    </row>
    <row r="461" spans="1:27">
      <c r="A461" s="22"/>
      <c r="B461" s="22"/>
      <c r="C461" s="21" t="str">
        <f>IF(Deployments!H462="","",Deployments!H462)</f>
        <v/>
      </c>
      <c r="D461" s="21" t="str">
        <f>IF(Deployments!AH462="","",Deployments!AH462)</f>
        <v/>
      </c>
      <c r="E461" s="21" t="str">
        <f>IF(Deployments!I462="","",Deployments!I462)</f>
        <v/>
      </c>
      <c r="F461" s="21" t="str">
        <f>IF(Deployments!J462="","",Deployments!J462)</f>
        <v/>
      </c>
      <c r="G461" s="21" t="str">
        <f>IF(Deployments!K462="","",Deployments!K462)</f>
        <v/>
      </c>
      <c r="H461" s="21" t="str">
        <f>IF(Deployments!A462="","",Deployments!A462)</f>
        <v/>
      </c>
      <c r="I461" s="21" t="str">
        <f>IF(Deployments!AI462="","",Deployments!AI462)</f>
        <v/>
      </c>
      <c r="J461" s="21" t="str">
        <f>IF(Deployments!AJ462="","",Deployments!AJ462)</f>
        <v/>
      </c>
      <c r="K461" s="21" t="str">
        <f>IF(Deployments!AD462="","",Deployments!AD462)</f>
        <v/>
      </c>
      <c r="L461" s="21" t="str">
        <f>IF(Deployments!M462="","",Deployments!M462)</f>
        <v/>
      </c>
      <c r="M461" s="22"/>
      <c r="N461" s="21" t="str">
        <f>IF(Deployments!N462="","",Deployments!N462)</f>
        <v/>
      </c>
      <c r="O461" s="21" t="str">
        <f>IF(Deployments!O462="","",Deployments!O462)</f>
        <v/>
      </c>
      <c r="P461" s="21" t="str">
        <f>IF(Deployments!P462="","",Deployments!P462)</f>
        <v/>
      </c>
      <c r="Q461" s="22"/>
      <c r="R461" s="21" t="str">
        <f>IF(Deployments!AY462="","",Deployments!AY462)</f>
        <v/>
      </c>
      <c r="S461" s="21" t="str">
        <f>IF(Deployments!AX462="","",Deployments!AX462)</f>
        <v/>
      </c>
      <c r="T461" s="21" t="str">
        <f>IF(Deployments!AV462="","",Deployments!AV462)</f>
        <v/>
      </c>
      <c r="U461" s="21" t="str">
        <f>IF(Deployments!AW462="","",Deployments!AW462)</f>
        <v/>
      </c>
      <c r="V461" s="21" t="str">
        <f>IF(Deployments!BA462="","",Deployments!BA462)</f>
        <v/>
      </c>
      <c r="W461" s="21" t="str">
        <f>IF(Deployments!BC462="","",Deployments!BC462)</f>
        <v/>
      </c>
      <c r="X461" s="21" t="str">
        <f>IF(Deployments!BK462="","",Deployments!BK462)</f>
        <v/>
      </c>
      <c r="Y461" s="21" t="str">
        <f>IF(Deployments!BB462="","",Deployments!BB462)</f>
        <v/>
      </c>
      <c r="Z461" s="21" t="str">
        <f>IF(Deployments!T462="","",Deployments!T462)</f>
        <v/>
      </c>
      <c r="AA461" s="21" t="str">
        <f>IF(Deployments!L462="","",Deployments!L462)</f>
        <v/>
      </c>
    </row>
    <row r="462" spans="1:27">
      <c r="A462" s="22"/>
      <c r="B462" s="22"/>
      <c r="C462" s="21" t="str">
        <f>IF(Deployments!H463="","",Deployments!H463)</f>
        <v/>
      </c>
      <c r="D462" s="21" t="str">
        <f>IF(Deployments!AH463="","",Deployments!AH463)</f>
        <v/>
      </c>
      <c r="E462" s="21" t="str">
        <f>IF(Deployments!I463="","",Deployments!I463)</f>
        <v/>
      </c>
      <c r="F462" s="21" t="str">
        <f>IF(Deployments!J463="","",Deployments!J463)</f>
        <v/>
      </c>
      <c r="G462" s="21" t="str">
        <f>IF(Deployments!K463="","",Deployments!K463)</f>
        <v/>
      </c>
      <c r="H462" s="21" t="str">
        <f>IF(Deployments!A463="","",Deployments!A463)</f>
        <v/>
      </c>
      <c r="I462" s="21" t="str">
        <f>IF(Deployments!AI463="","",Deployments!AI463)</f>
        <v/>
      </c>
      <c r="J462" s="21" t="str">
        <f>IF(Deployments!AJ463="","",Deployments!AJ463)</f>
        <v/>
      </c>
      <c r="K462" s="21" t="str">
        <f>IF(Deployments!AD463="","",Deployments!AD463)</f>
        <v/>
      </c>
      <c r="L462" s="21" t="str">
        <f>IF(Deployments!M463="","",Deployments!M463)</f>
        <v/>
      </c>
      <c r="M462" s="22"/>
      <c r="N462" s="21" t="str">
        <f>IF(Deployments!N463="","",Deployments!N463)</f>
        <v/>
      </c>
      <c r="O462" s="21" t="str">
        <f>IF(Deployments!O463="","",Deployments!O463)</f>
        <v/>
      </c>
      <c r="P462" s="21" t="str">
        <f>IF(Deployments!P463="","",Deployments!P463)</f>
        <v/>
      </c>
      <c r="Q462" s="22"/>
      <c r="R462" s="21" t="str">
        <f>IF(Deployments!AY463="","",Deployments!AY463)</f>
        <v/>
      </c>
      <c r="S462" s="21" t="str">
        <f>IF(Deployments!AX463="","",Deployments!AX463)</f>
        <v/>
      </c>
      <c r="T462" s="21" t="str">
        <f>IF(Deployments!AV463="","",Deployments!AV463)</f>
        <v/>
      </c>
      <c r="U462" s="21" t="str">
        <f>IF(Deployments!AW463="","",Deployments!AW463)</f>
        <v/>
      </c>
      <c r="V462" s="21" t="str">
        <f>IF(Deployments!BA463="","",Deployments!BA463)</f>
        <v/>
      </c>
      <c r="W462" s="21" t="str">
        <f>IF(Deployments!BC463="","",Deployments!BC463)</f>
        <v/>
      </c>
      <c r="X462" s="21" t="str">
        <f>IF(Deployments!BK463="","",Deployments!BK463)</f>
        <v/>
      </c>
      <c r="Y462" s="21" t="str">
        <f>IF(Deployments!BB463="","",Deployments!BB463)</f>
        <v/>
      </c>
      <c r="Z462" s="21" t="str">
        <f>IF(Deployments!T463="","",Deployments!T463)</f>
        <v/>
      </c>
      <c r="AA462" s="21" t="str">
        <f>IF(Deployments!L463="","",Deployments!L463)</f>
        <v/>
      </c>
    </row>
    <row r="463" spans="1:27">
      <c r="A463" s="22"/>
      <c r="B463" s="22"/>
      <c r="C463" s="21" t="str">
        <f>IF(Deployments!H464="","",Deployments!H464)</f>
        <v/>
      </c>
      <c r="D463" s="21" t="str">
        <f>IF(Deployments!AH464="","",Deployments!AH464)</f>
        <v/>
      </c>
      <c r="E463" s="21" t="str">
        <f>IF(Deployments!I464="","",Deployments!I464)</f>
        <v/>
      </c>
      <c r="F463" s="21" t="str">
        <f>IF(Deployments!J464="","",Deployments!J464)</f>
        <v/>
      </c>
      <c r="G463" s="21" t="str">
        <f>IF(Deployments!K464="","",Deployments!K464)</f>
        <v/>
      </c>
      <c r="H463" s="21" t="str">
        <f>IF(Deployments!A464="","",Deployments!A464)</f>
        <v/>
      </c>
      <c r="I463" s="21" t="str">
        <f>IF(Deployments!AI464="","",Deployments!AI464)</f>
        <v/>
      </c>
      <c r="J463" s="21" t="str">
        <f>IF(Deployments!AJ464="","",Deployments!AJ464)</f>
        <v/>
      </c>
      <c r="K463" s="21" t="str">
        <f>IF(Deployments!AD464="","",Deployments!AD464)</f>
        <v/>
      </c>
      <c r="L463" s="21" t="str">
        <f>IF(Deployments!M464="","",Deployments!M464)</f>
        <v/>
      </c>
      <c r="M463" s="22"/>
      <c r="N463" s="21" t="str">
        <f>IF(Deployments!N464="","",Deployments!N464)</f>
        <v/>
      </c>
      <c r="O463" s="21" t="str">
        <f>IF(Deployments!O464="","",Deployments!O464)</f>
        <v/>
      </c>
      <c r="P463" s="21" t="str">
        <f>IF(Deployments!P464="","",Deployments!P464)</f>
        <v/>
      </c>
      <c r="Q463" s="22"/>
      <c r="R463" s="21" t="str">
        <f>IF(Deployments!AY464="","",Deployments!AY464)</f>
        <v/>
      </c>
      <c r="S463" s="21" t="str">
        <f>IF(Deployments!AX464="","",Deployments!AX464)</f>
        <v/>
      </c>
      <c r="T463" s="21" t="str">
        <f>IF(Deployments!AV464="","",Deployments!AV464)</f>
        <v/>
      </c>
      <c r="U463" s="21" t="str">
        <f>IF(Deployments!AW464="","",Deployments!AW464)</f>
        <v/>
      </c>
      <c r="V463" s="21" t="str">
        <f>IF(Deployments!BA464="","",Deployments!BA464)</f>
        <v/>
      </c>
      <c r="W463" s="21" t="str">
        <f>IF(Deployments!BC464="","",Deployments!BC464)</f>
        <v/>
      </c>
      <c r="X463" s="21" t="str">
        <f>IF(Deployments!BK464="","",Deployments!BK464)</f>
        <v/>
      </c>
      <c r="Y463" s="21" t="str">
        <f>IF(Deployments!BB464="","",Deployments!BB464)</f>
        <v/>
      </c>
      <c r="Z463" s="21" t="str">
        <f>IF(Deployments!T464="","",Deployments!T464)</f>
        <v/>
      </c>
      <c r="AA463" s="21" t="str">
        <f>IF(Deployments!L464="","",Deployments!L464)</f>
        <v/>
      </c>
    </row>
    <row r="464" spans="1:27">
      <c r="A464" s="22"/>
      <c r="B464" s="22"/>
      <c r="C464" s="21" t="str">
        <f>IF(Deployments!H465="","",Deployments!H465)</f>
        <v/>
      </c>
      <c r="D464" s="21" t="str">
        <f>IF(Deployments!AH465="","",Deployments!AH465)</f>
        <v/>
      </c>
      <c r="E464" s="21" t="str">
        <f>IF(Deployments!I465="","",Deployments!I465)</f>
        <v/>
      </c>
      <c r="F464" s="21" t="str">
        <f>IF(Deployments!J465="","",Deployments!J465)</f>
        <v/>
      </c>
      <c r="G464" s="21" t="str">
        <f>IF(Deployments!K465="","",Deployments!K465)</f>
        <v/>
      </c>
      <c r="H464" s="21" t="str">
        <f>IF(Deployments!A465="","",Deployments!A465)</f>
        <v/>
      </c>
      <c r="I464" s="21" t="str">
        <f>IF(Deployments!AI465="","",Deployments!AI465)</f>
        <v/>
      </c>
      <c r="J464" s="21" t="str">
        <f>IF(Deployments!AJ465="","",Deployments!AJ465)</f>
        <v/>
      </c>
      <c r="K464" s="21" t="str">
        <f>IF(Deployments!AD465="","",Deployments!AD465)</f>
        <v/>
      </c>
      <c r="L464" s="21" t="str">
        <f>IF(Deployments!M465="","",Deployments!M465)</f>
        <v/>
      </c>
      <c r="M464" s="22"/>
      <c r="N464" s="21" t="str">
        <f>IF(Deployments!N465="","",Deployments!N465)</f>
        <v/>
      </c>
      <c r="O464" s="21" t="str">
        <f>IF(Deployments!O465="","",Deployments!O465)</f>
        <v/>
      </c>
      <c r="P464" s="21" t="str">
        <f>IF(Deployments!P465="","",Deployments!P465)</f>
        <v/>
      </c>
      <c r="Q464" s="22"/>
      <c r="R464" s="21" t="str">
        <f>IF(Deployments!AY465="","",Deployments!AY465)</f>
        <v/>
      </c>
      <c r="S464" s="21" t="str">
        <f>IF(Deployments!AX465="","",Deployments!AX465)</f>
        <v/>
      </c>
      <c r="T464" s="21" t="str">
        <f>IF(Deployments!AV465="","",Deployments!AV465)</f>
        <v/>
      </c>
      <c r="U464" s="21" t="str">
        <f>IF(Deployments!AW465="","",Deployments!AW465)</f>
        <v/>
      </c>
      <c r="V464" s="21" t="str">
        <f>IF(Deployments!BA465="","",Deployments!BA465)</f>
        <v/>
      </c>
      <c r="W464" s="21" t="str">
        <f>IF(Deployments!BC465="","",Deployments!BC465)</f>
        <v/>
      </c>
      <c r="X464" s="21" t="str">
        <f>IF(Deployments!BK465="","",Deployments!BK465)</f>
        <v/>
      </c>
      <c r="Y464" s="21" t="str">
        <f>IF(Deployments!BB465="","",Deployments!BB465)</f>
        <v/>
      </c>
      <c r="Z464" s="21" t="str">
        <f>IF(Deployments!T465="","",Deployments!T465)</f>
        <v/>
      </c>
      <c r="AA464" s="21" t="str">
        <f>IF(Deployments!L465="","",Deployments!L465)</f>
        <v/>
      </c>
    </row>
    <row r="465" spans="1:27">
      <c r="A465" s="22"/>
      <c r="B465" s="22"/>
      <c r="C465" s="21" t="str">
        <f>IF(Deployments!H466="","",Deployments!H466)</f>
        <v/>
      </c>
      <c r="D465" s="21" t="str">
        <f>IF(Deployments!AH466="","",Deployments!AH466)</f>
        <v/>
      </c>
      <c r="E465" s="21" t="str">
        <f>IF(Deployments!I466="","",Deployments!I466)</f>
        <v/>
      </c>
      <c r="F465" s="21" t="str">
        <f>IF(Deployments!J466="","",Deployments!J466)</f>
        <v/>
      </c>
      <c r="G465" s="21" t="str">
        <f>IF(Deployments!K466="","",Deployments!K466)</f>
        <v/>
      </c>
      <c r="H465" s="21" t="str">
        <f>IF(Deployments!A466="","",Deployments!A466)</f>
        <v/>
      </c>
      <c r="I465" s="21" t="str">
        <f>IF(Deployments!AI466="","",Deployments!AI466)</f>
        <v/>
      </c>
      <c r="J465" s="21" t="str">
        <f>IF(Deployments!AJ466="","",Deployments!AJ466)</f>
        <v/>
      </c>
      <c r="K465" s="21" t="str">
        <f>IF(Deployments!AD466="","",Deployments!AD466)</f>
        <v/>
      </c>
      <c r="L465" s="21" t="str">
        <f>IF(Deployments!M466="","",Deployments!M466)</f>
        <v/>
      </c>
      <c r="M465" s="22"/>
      <c r="N465" s="21" t="str">
        <f>IF(Deployments!N466="","",Deployments!N466)</f>
        <v/>
      </c>
      <c r="O465" s="21" t="str">
        <f>IF(Deployments!O466="","",Deployments!O466)</f>
        <v/>
      </c>
      <c r="P465" s="21" t="str">
        <f>IF(Deployments!P466="","",Deployments!P466)</f>
        <v/>
      </c>
      <c r="Q465" s="22"/>
      <c r="R465" s="21" t="str">
        <f>IF(Deployments!AY466="","",Deployments!AY466)</f>
        <v/>
      </c>
      <c r="S465" s="21" t="str">
        <f>IF(Deployments!AX466="","",Deployments!AX466)</f>
        <v/>
      </c>
      <c r="T465" s="21" t="str">
        <f>IF(Deployments!AV466="","",Deployments!AV466)</f>
        <v/>
      </c>
      <c r="U465" s="21" t="str">
        <f>IF(Deployments!AW466="","",Deployments!AW466)</f>
        <v/>
      </c>
      <c r="V465" s="21" t="str">
        <f>IF(Deployments!BA466="","",Deployments!BA466)</f>
        <v/>
      </c>
      <c r="W465" s="21" t="str">
        <f>IF(Deployments!BC466="","",Deployments!BC466)</f>
        <v/>
      </c>
      <c r="X465" s="21" t="str">
        <f>IF(Deployments!BK466="","",Deployments!BK466)</f>
        <v/>
      </c>
      <c r="Y465" s="21" t="str">
        <f>IF(Deployments!BB466="","",Deployments!BB466)</f>
        <v/>
      </c>
      <c r="Z465" s="21" t="str">
        <f>IF(Deployments!T466="","",Deployments!T466)</f>
        <v/>
      </c>
      <c r="AA465" s="21" t="str">
        <f>IF(Deployments!L466="","",Deployments!L466)</f>
        <v/>
      </c>
    </row>
    <row r="466" spans="1:27">
      <c r="A466" s="22"/>
      <c r="B466" s="22"/>
      <c r="C466" s="21" t="str">
        <f>IF(Deployments!H467="","",Deployments!H467)</f>
        <v/>
      </c>
      <c r="D466" s="21" t="str">
        <f>IF(Deployments!AH467="","",Deployments!AH467)</f>
        <v/>
      </c>
      <c r="E466" s="21" t="str">
        <f>IF(Deployments!I467="","",Deployments!I467)</f>
        <v/>
      </c>
      <c r="F466" s="21" t="str">
        <f>IF(Deployments!J467="","",Deployments!J467)</f>
        <v/>
      </c>
      <c r="G466" s="21" t="str">
        <f>IF(Deployments!K467="","",Deployments!K467)</f>
        <v/>
      </c>
      <c r="H466" s="21" t="str">
        <f>IF(Deployments!A467="","",Deployments!A467)</f>
        <v/>
      </c>
      <c r="I466" s="21" t="str">
        <f>IF(Deployments!AI467="","",Deployments!AI467)</f>
        <v/>
      </c>
      <c r="J466" s="21" t="str">
        <f>IF(Deployments!AJ467="","",Deployments!AJ467)</f>
        <v/>
      </c>
      <c r="K466" s="21" t="str">
        <f>IF(Deployments!AD467="","",Deployments!AD467)</f>
        <v/>
      </c>
      <c r="L466" s="21" t="str">
        <f>IF(Deployments!M467="","",Deployments!M467)</f>
        <v/>
      </c>
      <c r="M466" s="22"/>
      <c r="N466" s="21" t="str">
        <f>IF(Deployments!N467="","",Deployments!N467)</f>
        <v/>
      </c>
      <c r="O466" s="21" t="str">
        <f>IF(Deployments!O467="","",Deployments!O467)</f>
        <v/>
      </c>
      <c r="P466" s="21" t="str">
        <f>IF(Deployments!P467="","",Deployments!P467)</f>
        <v/>
      </c>
      <c r="Q466" s="22"/>
      <c r="R466" s="21" t="str">
        <f>IF(Deployments!AY467="","",Deployments!AY467)</f>
        <v/>
      </c>
      <c r="S466" s="21" t="str">
        <f>IF(Deployments!AX467="","",Deployments!AX467)</f>
        <v/>
      </c>
      <c r="T466" s="21" t="str">
        <f>IF(Deployments!AV467="","",Deployments!AV467)</f>
        <v/>
      </c>
      <c r="U466" s="21" t="str">
        <f>IF(Deployments!AW467="","",Deployments!AW467)</f>
        <v/>
      </c>
      <c r="V466" s="21" t="str">
        <f>IF(Deployments!BA467="","",Deployments!BA467)</f>
        <v/>
      </c>
      <c r="W466" s="21" t="str">
        <f>IF(Deployments!BC467="","",Deployments!BC467)</f>
        <v/>
      </c>
      <c r="X466" s="21" t="str">
        <f>IF(Deployments!BK467="","",Deployments!BK467)</f>
        <v/>
      </c>
      <c r="Y466" s="21" t="str">
        <f>IF(Deployments!BB467="","",Deployments!BB467)</f>
        <v/>
      </c>
      <c r="Z466" s="21" t="str">
        <f>IF(Deployments!T467="","",Deployments!T467)</f>
        <v/>
      </c>
      <c r="AA466" s="21" t="str">
        <f>IF(Deployments!L467="","",Deployments!L467)</f>
        <v/>
      </c>
    </row>
    <row r="467" spans="1:27">
      <c r="A467" s="22"/>
      <c r="B467" s="22"/>
      <c r="C467" s="21" t="str">
        <f>IF(Deployments!H468="","",Deployments!H468)</f>
        <v/>
      </c>
      <c r="D467" s="21" t="str">
        <f>IF(Deployments!AH468="","",Deployments!AH468)</f>
        <v/>
      </c>
      <c r="E467" s="21" t="str">
        <f>IF(Deployments!I468="","",Deployments!I468)</f>
        <v/>
      </c>
      <c r="F467" s="21" t="str">
        <f>IF(Deployments!J468="","",Deployments!J468)</f>
        <v/>
      </c>
      <c r="G467" s="21" t="str">
        <f>IF(Deployments!K468="","",Deployments!K468)</f>
        <v/>
      </c>
      <c r="H467" s="21" t="str">
        <f>IF(Deployments!A468="","",Deployments!A468)</f>
        <v/>
      </c>
      <c r="I467" s="21" t="str">
        <f>IF(Deployments!AI468="","",Deployments!AI468)</f>
        <v/>
      </c>
      <c r="J467" s="21" t="str">
        <f>IF(Deployments!AJ468="","",Deployments!AJ468)</f>
        <v/>
      </c>
      <c r="K467" s="21" t="str">
        <f>IF(Deployments!AD468="","",Deployments!AD468)</f>
        <v/>
      </c>
      <c r="L467" s="21" t="str">
        <f>IF(Deployments!M468="","",Deployments!M468)</f>
        <v/>
      </c>
      <c r="M467" s="22"/>
      <c r="N467" s="21" t="str">
        <f>IF(Deployments!N468="","",Deployments!N468)</f>
        <v/>
      </c>
      <c r="O467" s="21" t="str">
        <f>IF(Deployments!O468="","",Deployments!O468)</f>
        <v/>
      </c>
      <c r="P467" s="21" t="str">
        <f>IF(Deployments!P468="","",Deployments!P468)</f>
        <v/>
      </c>
      <c r="Q467" s="22"/>
      <c r="R467" s="21" t="str">
        <f>IF(Deployments!AY468="","",Deployments!AY468)</f>
        <v/>
      </c>
      <c r="S467" s="21" t="str">
        <f>IF(Deployments!AX468="","",Deployments!AX468)</f>
        <v/>
      </c>
      <c r="T467" s="21" t="str">
        <f>IF(Deployments!AV468="","",Deployments!AV468)</f>
        <v/>
      </c>
      <c r="U467" s="21" t="str">
        <f>IF(Deployments!AW468="","",Deployments!AW468)</f>
        <v/>
      </c>
      <c r="V467" s="21" t="str">
        <f>IF(Deployments!BA468="","",Deployments!BA468)</f>
        <v/>
      </c>
      <c r="W467" s="21" t="str">
        <f>IF(Deployments!BC468="","",Deployments!BC468)</f>
        <v/>
      </c>
      <c r="X467" s="21" t="str">
        <f>IF(Deployments!BK468="","",Deployments!BK468)</f>
        <v/>
      </c>
      <c r="Y467" s="21" t="str">
        <f>IF(Deployments!BB468="","",Deployments!BB468)</f>
        <v/>
      </c>
      <c r="Z467" s="21" t="str">
        <f>IF(Deployments!T468="","",Deployments!T468)</f>
        <v/>
      </c>
      <c r="AA467" s="21" t="str">
        <f>IF(Deployments!L468="","",Deployments!L468)</f>
        <v/>
      </c>
    </row>
    <row r="468" spans="1:27">
      <c r="A468" s="22"/>
      <c r="B468" s="22"/>
      <c r="C468" s="21" t="str">
        <f>IF(Deployments!H469="","",Deployments!H469)</f>
        <v/>
      </c>
      <c r="D468" s="21" t="str">
        <f>IF(Deployments!AH469="","",Deployments!AH469)</f>
        <v/>
      </c>
      <c r="E468" s="21" t="str">
        <f>IF(Deployments!I469="","",Deployments!I469)</f>
        <v/>
      </c>
      <c r="F468" s="21" t="str">
        <f>IF(Deployments!J469="","",Deployments!J469)</f>
        <v/>
      </c>
      <c r="G468" s="21" t="str">
        <f>IF(Deployments!K469="","",Deployments!K469)</f>
        <v/>
      </c>
      <c r="H468" s="21" t="str">
        <f>IF(Deployments!A469="","",Deployments!A469)</f>
        <v/>
      </c>
      <c r="I468" s="21" t="str">
        <f>IF(Deployments!AI469="","",Deployments!AI469)</f>
        <v/>
      </c>
      <c r="J468" s="21" t="str">
        <f>IF(Deployments!AJ469="","",Deployments!AJ469)</f>
        <v/>
      </c>
      <c r="K468" s="21" t="str">
        <f>IF(Deployments!AD469="","",Deployments!AD469)</f>
        <v/>
      </c>
      <c r="L468" s="21" t="str">
        <f>IF(Deployments!M469="","",Deployments!M469)</f>
        <v/>
      </c>
      <c r="M468" s="22"/>
      <c r="N468" s="21" t="str">
        <f>IF(Deployments!N469="","",Deployments!N469)</f>
        <v/>
      </c>
      <c r="O468" s="21" t="str">
        <f>IF(Deployments!O469="","",Deployments!O469)</f>
        <v/>
      </c>
      <c r="P468" s="21" t="str">
        <f>IF(Deployments!P469="","",Deployments!P469)</f>
        <v/>
      </c>
      <c r="Q468" s="22"/>
      <c r="R468" s="21" t="str">
        <f>IF(Deployments!AY469="","",Deployments!AY469)</f>
        <v/>
      </c>
      <c r="S468" s="21" t="str">
        <f>IF(Deployments!AX469="","",Deployments!AX469)</f>
        <v/>
      </c>
      <c r="T468" s="21" t="str">
        <f>IF(Deployments!AV469="","",Deployments!AV469)</f>
        <v/>
      </c>
      <c r="U468" s="21" t="str">
        <f>IF(Deployments!AW469="","",Deployments!AW469)</f>
        <v/>
      </c>
      <c r="V468" s="21" t="str">
        <f>IF(Deployments!BA469="","",Deployments!BA469)</f>
        <v/>
      </c>
      <c r="W468" s="21" t="str">
        <f>IF(Deployments!BC469="","",Deployments!BC469)</f>
        <v/>
      </c>
      <c r="X468" s="21" t="str">
        <f>IF(Deployments!BK469="","",Deployments!BK469)</f>
        <v/>
      </c>
      <c r="Y468" s="21" t="str">
        <f>IF(Deployments!BB469="","",Deployments!BB469)</f>
        <v/>
      </c>
      <c r="Z468" s="21" t="str">
        <f>IF(Deployments!T469="","",Deployments!T469)</f>
        <v/>
      </c>
      <c r="AA468" s="21" t="str">
        <f>IF(Deployments!L469="","",Deployments!L469)</f>
        <v/>
      </c>
    </row>
    <row r="469" spans="1:27">
      <c r="A469" s="22"/>
      <c r="B469" s="22"/>
      <c r="C469" s="21" t="str">
        <f>IF(Deployments!H470="","",Deployments!H470)</f>
        <v/>
      </c>
      <c r="D469" s="21" t="str">
        <f>IF(Deployments!AH470="","",Deployments!AH470)</f>
        <v/>
      </c>
      <c r="E469" s="21" t="str">
        <f>IF(Deployments!I470="","",Deployments!I470)</f>
        <v/>
      </c>
      <c r="F469" s="21" t="str">
        <f>IF(Deployments!J470="","",Deployments!J470)</f>
        <v/>
      </c>
      <c r="G469" s="21" t="str">
        <f>IF(Deployments!K470="","",Deployments!K470)</f>
        <v/>
      </c>
      <c r="H469" s="21" t="str">
        <f>IF(Deployments!A470="","",Deployments!A470)</f>
        <v/>
      </c>
      <c r="I469" s="21" t="str">
        <f>IF(Deployments!AI470="","",Deployments!AI470)</f>
        <v/>
      </c>
      <c r="J469" s="21" t="str">
        <f>IF(Deployments!AJ470="","",Deployments!AJ470)</f>
        <v/>
      </c>
      <c r="K469" s="21" t="str">
        <f>IF(Deployments!AD470="","",Deployments!AD470)</f>
        <v/>
      </c>
      <c r="L469" s="21" t="str">
        <f>IF(Deployments!M470="","",Deployments!M470)</f>
        <v/>
      </c>
      <c r="M469" s="22"/>
      <c r="N469" s="21" t="str">
        <f>IF(Deployments!N470="","",Deployments!N470)</f>
        <v/>
      </c>
      <c r="O469" s="21" t="str">
        <f>IF(Deployments!O470="","",Deployments!O470)</f>
        <v/>
      </c>
      <c r="P469" s="21" t="str">
        <f>IF(Deployments!P470="","",Deployments!P470)</f>
        <v/>
      </c>
      <c r="Q469" s="22"/>
      <c r="R469" s="21" t="str">
        <f>IF(Deployments!AY470="","",Deployments!AY470)</f>
        <v/>
      </c>
      <c r="S469" s="21" t="str">
        <f>IF(Deployments!AX470="","",Deployments!AX470)</f>
        <v/>
      </c>
      <c r="T469" s="21" t="str">
        <f>IF(Deployments!AV470="","",Deployments!AV470)</f>
        <v/>
      </c>
      <c r="U469" s="21" t="str">
        <f>IF(Deployments!AW470="","",Deployments!AW470)</f>
        <v/>
      </c>
      <c r="V469" s="21" t="str">
        <f>IF(Deployments!BA470="","",Deployments!BA470)</f>
        <v/>
      </c>
      <c r="W469" s="21" t="str">
        <f>IF(Deployments!BC470="","",Deployments!BC470)</f>
        <v/>
      </c>
      <c r="X469" s="21" t="str">
        <f>IF(Deployments!BK470="","",Deployments!BK470)</f>
        <v/>
      </c>
      <c r="Y469" s="21" t="str">
        <f>IF(Deployments!BB470="","",Deployments!BB470)</f>
        <v/>
      </c>
      <c r="Z469" s="21" t="str">
        <f>IF(Deployments!T470="","",Deployments!T470)</f>
        <v/>
      </c>
      <c r="AA469" s="21" t="str">
        <f>IF(Deployments!L470="","",Deployments!L470)</f>
        <v/>
      </c>
    </row>
    <row r="470" spans="1:27">
      <c r="A470" s="22"/>
      <c r="B470" s="22"/>
      <c r="C470" s="21" t="str">
        <f>IF(Deployments!H471="","",Deployments!H471)</f>
        <v/>
      </c>
      <c r="D470" s="21" t="str">
        <f>IF(Deployments!AH471="","",Deployments!AH471)</f>
        <v/>
      </c>
      <c r="E470" s="21" t="str">
        <f>IF(Deployments!I471="","",Deployments!I471)</f>
        <v/>
      </c>
      <c r="F470" s="21" t="str">
        <f>IF(Deployments!J471="","",Deployments!J471)</f>
        <v/>
      </c>
      <c r="G470" s="21" t="str">
        <f>IF(Deployments!K471="","",Deployments!K471)</f>
        <v/>
      </c>
      <c r="H470" s="21" t="str">
        <f>IF(Deployments!A471="","",Deployments!A471)</f>
        <v/>
      </c>
      <c r="I470" s="21" t="str">
        <f>IF(Deployments!AI471="","",Deployments!AI471)</f>
        <v/>
      </c>
      <c r="J470" s="21" t="str">
        <f>IF(Deployments!AJ471="","",Deployments!AJ471)</f>
        <v/>
      </c>
      <c r="K470" s="21" t="str">
        <f>IF(Deployments!AD471="","",Deployments!AD471)</f>
        <v/>
      </c>
      <c r="L470" s="21" t="str">
        <f>IF(Deployments!M471="","",Deployments!M471)</f>
        <v/>
      </c>
      <c r="M470" s="22"/>
      <c r="N470" s="21" t="str">
        <f>IF(Deployments!N471="","",Deployments!N471)</f>
        <v/>
      </c>
      <c r="O470" s="21" t="str">
        <f>IF(Deployments!O471="","",Deployments!O471)</f>
        <v/>
      </c>
      <c r="P470" s="21" t="str">
        <f>IF(Deployments!P471="","",Deployments!P471)</f>
        <v/>
      </c>
      <c r="Q470" s="22"/>
      <c r="R470" s="21" t="str">
        <f>IF(Deployments!AY471="","",Deployments!AY471)</f>
        <v/>
      </c>
      <c r="S470" s="21" t="str">
        <f>IF(Deployments!AX471="","",Deployments!AX471)</f>
        <v/>
      </c>
      <c r="T470" s="21" t="str">
        <f>IF(Deployments!AV471="","",Deployments!AV471)</f>
        <v/>
      </c>
      <c r="U470" s="21" t="str">
        <f>IF(Deployments!AW471="","",Deployments!AW471)</f>
        <v/>
      </c>
      <c r="V470" s="21" t="str">
        <f>IF(Deployments!BA471="","",Deployments!BA471)</f>
        <v/>
      </c>
      <c r="W470" s="21" t="str">
        <f>IF(Deployments!BC471="","",Deployments!BC471)</f>
        <v/>
      </c>
      <c r="X470" s="21" t="str">
        <f>IF(Deployments!BK471="","",Deployments!BK471)</f>
        <v/>
      </c>
      <c r="Y470" s="21" t="str">
        <f>IF(Deployments!BB471="","",Deployments!BB471)</f>
        <v/>
      </c>
      <c r="Z470" s="21" t="str">
        <f>IF(Deployments!T471="","",Deployments!T471)</f>
        <v/>
      </c>
      <c r="AA470" s="21" t="str">
        <f>IF(Deployments!L471="","",Deployments!L471)</f>
        <v/>
      </c>
    </row>
    <row r="471" spans="1:27">
      <c r="A471" s="22"/>
      <c r="B471" s="22"/>
      <c r="C471" s="21" t="str">
        <f>IF(Deployments!H472="","",Deployments!H472)</f>
        <v/>
      </c>
      <c r="D471" s="21" t="str">
        <f>IF(Deployments!AH472="","",Deployments!AH472)</f>
        <v/>
      </c>
      <c r="E471" s="21" t="str">
        <f>IF(Deployments!I472="","",Deployments!I472)</f>
        <v/>
      </c>
      <c r="F471" s="21" t="str">
        <f>IF(Deployments!J472="","",Deployments!J472)</f>
        <v/>
      </c>
      <c r="G471" s="21" t="str">
        <f>IF(Deployments!K472="","",Deployments!K472)</f>
        <v/>
      </c>
      <c r="H471" s="21" t="str">
        <f>IF(Deployments!A472="","",Deployments!A472)</f>
        <v/>
      </c>
      <c r="I471" s="21" t="str">
        <f>IF(Deployments!AI472="","",Deployments!AI472)</f>
        <v/>
      </c>
      <c r="J471" s="21" t="str">
        <f>IF(Deployments!AJ472="","",Deployments!AJ472)</f>
        <v/>
      </c>
      <c r="K471" s="21" t="str">
        <f>IF(Deployments!AD472="","",Deployments!AD472)</f>
        <v/>
      </c>
      <c r="L471" s="21" t="str">
        <f>IF(Deployments!M472="","",Deployments!M472)</f>
        <v/>
      </c>
      <c r="M471" s="22"/>
      <c r="N471" s="21" t="str">
        <f>IF(Deployments!N472="","",Deployments!N472)</f>
        <v/>
      </c>
      <c r="O471" s="21" t="str">
        <f>IF(Deployments!O472="","",Deployments!O472)</f>
        <v/>
      </c>
      <c r="P471" s="21" t="str">
        <f>IF(Deployments!P472="","",Deployments!P472)</f>
        <v/>
      </c>
      <c r="Q471" s="22"/>
      <c r="R471" s="21" t="str">
        <f>IF(Deployments!AY472="","",Deployments!AY472)</f>
        <v/>
      </c>
      <c r="S471" s="21" t="str">
        <f>IF(Deployments!AX472="","",Deployments!AX472)</f>
        <v/>
      </c>
      <c r="T471" s="21" t="str">
        <f>IF(Deployments!AV472="","",Deployments!AV472)</f>
        <v/>
      </c>
      <c r="U471" s="21" t="str">
        <f>IF(Deployments!AW472="","",Deployments!AW472)</f>
        <v/>
      </c>
      <c r="V471" s="21" t="str">
        <f>IF(Deployments!BA472="","",Deployments!BA472)</f>
        <v/>
      </c>
      <c r="W471" s="21" t="str">
        <f>IF(Deployments!BC472="","",Deployments!BC472)</f>
        <v/>
      </c>
      <c r="X471" s="21" t="str">
        <f>IF(Deployments!BK472="","",Deployments!BK472)</f>
        <v/>
      </c>
      <c r="Y471" s="21" t="str">
        <f>IF(Deployments!BB472="","",Deployments!BB472)</f>
        <v/>
      </c>
      <c r="Z471" s="21" t="str">
        <f>IF(Deployments!T472="","",Deployments!T472)</f>
        <v/>
      </c>
      <c r="AA471" s="21" t="str">
        <f>IF(Deployments!L472="","",Deployments!L472)</f>
        <v/>
      </c>
    </row>
    <row r="472" spans="1:27">
      <c r="A472" s="22"/>
      <c r="B472" s="22"/>
      <c r="C472" s="21" t="str">
        <f>IF(Deployments!H473="","",Deployments!H473)</f>
        <v/>
      </c>
      <c r="D472" s="21" t="str">
        <f>IF(Deployments!AH473="","",Deployments!AH473)</f>
        <v/>
      </c>
      <c r="E472" s="21" t="str">
        <f>IF(Deployments!I473="","",Deployments!I473)</f>
        <v/>
      </c>
      <c r="F472" s="21" t="str">
        <f>IF(Deployments!J473="","",Deployments!J473)</f>
        <v/>
      </c>
      <c r="G472" s="21" t="str">
        <f>IF(Deployments!K473="","",Deployments!K473)</f>
        <v/>
      </c>
      <c r="H472" s="21" t="str">
        <f>IF(Deployments!A473="","",Deployments!A473)</f>
        <v/>
      </c>
      <c r="I472" s="21" t="str">
        <f>IF(Deployments!AI473="","",Deployments!AI473)</f>
        <v/>
      </c>
      <c r="J472" s="21" t="str">
        <f>IF(Deployments!AJ473="","",Deployments!AJ473)</f>
        <v/>
      </c>
      <c r="K472" s="21" t="str">
        <f>IF(Deployments!AD473="","",Deployments!AD473)</f>
        <v/>
      </c>
      <c r="L472" s="21" t="str">
        <f>IF(Deployments!M473="","",Deployments!M473)</f>
        <v/>
      </c>
      <c r="M472" s="22"/>
      <c r="N472" s="21" t="str">
        <f>IF(Deployments!N473="","",Deployments!N473)</f>
        <v/>
      </c>
      <c r="O472" s="21" t="str">
        <f>IF(Deployments!O473="","",Deployments!O473)</f>
        <v/>
      </c>
      <c r="P472" s="21" t="str">
        <f>IF(Deployments!P473="","",Deployments!P473)</f>
        <v/>
      </c>
      <c r="Q472" s="22"/>
      <c r="R472" s="21" t="str">
        <f>IF(Deployments!AY473="","",Deployments!AY473)</f>
        <v/>
      </c>
      <c r="S472" s="21" t="str">
        <f>IF(Deployments!AX473="","",Deployments!AX473)</f>
        <v/>
      </c>
      <c r="T472" s="21" t="str">
        <f>IF(Deployments!AV473="","",Deployments!AV473)</f>
        <v/>
      </c>
      <c r="U472" s="21" t="str">
        <f>IF(Deployments!AW473="","",Deployments!AW473)</f>
        <v/>
      </c>
      <c r="V472" s="21" t="str">
        <f>IF(Deployments!BA473="","",Deployments!BA473)</f>
        <v/>
      </c>
      <c r="W472" s="21" t="str">
        <f>IF(Deployments!BC473="","",Deployments!BC473)</f>
        <v/>
      </c>
      <c r="X472" s="21" t="str">
        <f>IF(Deployments!BK473="","",Deployments!BK473)</f>
        <v/>
      </c>
      <c r="Y472" s="21" t="str">
        <f>IF(Deployments!BB473="","",Deployments!BB473)</f>
        <v/>
      </c>
      <c r="Z472" s="21" t="str">
        <f>IF(Deployments!T473="","",Deployments!T473)</f>
        <v/>
      </c>
      <c r="AA472" s="21" t="str">
        <f>IF(Deployments!L473="","",Deployments!L473)</f>
        <v/>
      </c>
    </row>
    <row r="473" spans="1:27">
      <c r="A473" s="22"/>
      <c r="B473" s="22"/>
      <c r="C473" s="21" t="str">
        <f>IF(Deployments!H474="","",Deployments!H474)</f>
        <v/>
      </c>
      <c r="D473" s="21" t="str">
        <f>IF(Deployments!AH474="","",Deployments!AH474)</f>
        <v/>
      </c>
      <c r="E473" s="21" t="str">
        <f>IF(Deployments!I474="","",Deployments!I474)</f>
        <v/>
      </c>
      <c r="F473" s="21" t="str">
        <f>IF(Deployments!J474="","",Deployments!J474)</f>
        <v/>
      </c>
      <c r="G473" s="21" t="str">
        <f>IF(Deployments!K474="","",Deployments!K474)</f>
        <v/>
      </c>
      <c r="H473" s="21" t="str">
        <f>IF(Deployments!A474="","",Deployments!A474)</f>
        <v/>
      </c>
      <c r="I473" s="21" t="str">
        <f>IF(Deployments!AI474="","",Deployments!AI474)</f>
        <v/>
      </c>
      <c r="J473" s="21" t="str">
        <f>IF(Deployments!AJ474="","",Deployments!AJ474)</f>
        <v/>
      </c>
      <c r="K473" s="21" t="str">
        <f>IF(Deployments!AD474="","",Deployments!AD474)</f>
        <v/>
      </c>
      <c r="L473" s="21" t="str">
        <f>IF(Deployments!M474="","",Deployments!M474)</f>
        <v/>
      </c>
      <c r="M473" s="22"/>
      <c r="N473" s="21" t="str">
        <f>IF(Deployments!N474="","",Deployments!N474)</f>
        <v/>
      </c>
      <c r="O473" s="21" t="str">
        <f>IF(Deployments!O474="","",Deployments!O474)</f>
        <v/>
      </c>
      <c r="P473" s="21" t="str">
        <f>IF(Deployments!P474="","",Deployments!P474)</f>
        <v/>
      </c>
      <c r="Q473" s="22"/>
      <c r="R473" s="21" t="str">
        <f>IF(Deployments!AY474="","",Deployments!AY474)</f>
        <v/>
      </c>
      <c r="S473" s="21" t="str">
        <f>IF(Deployments!AX474="","",Deployments!AX474)</f>
        <v/>
      </c>
      <c r="T473" s="21" t="str">
        <f>IF(Deployments!AV474="","",Deployments!AV474)</f>
        <v/>
      </c>
      <c r="U473" s="21" t="str">
        <f>IF(Deployments!AW474="","",Deployments!AW474)</f>
        <v/>
      </c>
      <c r="V473" s="21" t="str">
        <f>IF(Deployments!BA474="","",Deployments!BA474)</f>
        <v/>
      </c>
      <c r="W473" s="21" t="str">
        <f>IF(Deployments!BC474="","",Deployments!BC474)</f>
        <v/>
      </c>
      <c r="X473" s="21" t="str">
        <f>IF(Deployments!BK474="","",Deployments!BK474)</f>
        <v/>
      </c>
      <c r="Y473" s="21" t="str">
        <f>IF(Deployments!BB474="","",Deployments!BB474)</f>
        <v/>
      </c>
      <c r="Z473" s="21" t="str">
        <f>IF(Deployments!T474="","",Deployments!T474)</f>
        <v/>
      </c>
      <c r="AA473" s="21" t="str">
        <f>IF(Deployments!L474="","",Deployments!L474)</f>
        <v/>
      </c>
    </row>
    <row r="474" spans="1:27">
      <c r="A474" s="22"/>
      <c r="B474" s="22"/>
      <c r="C474" s="21" t="str">
        <f>IF(Deployments!H475="","",Deployments!H475)</f>
        <v/>
      </c>
      <c r="D474" s="21" t="str">
        <f>IF(Deployments!AH475="","",Deployments!AH475)</f>
        <v/>
      </c>
      <c r="E474" s="21" t="str">
        <f>IF(Deployments!I475="","",Deployments!I475)</f>
        <v/>
      </c>
      <c r="F474" s="21" t="str">
        <f>IF(Deployments!J475="","",Deployments!J475)</f>
        <v/>
      </c>
      <c r="G474" s="21" t="str">
        <f>IF(Deployments!K475="","",Deployments!K475)</f>
        <v/>
      </c>
      <c r="H474" s="21" t="str">
        <f>IF(Deployments!A475="","",Deployments!A475)</f>
        <v/>
      </c>
      <c r="I474" s="21" t="str">
        <f>IF(Deployments!AI475="","",Deployments!AI475)</f>
        <v/>
      </c>
      <c r="J474" s="21" t="str">
        <f>IF(Deployments!AJ475="","",Deployments!AJ475)</f>
        <v/>
      </c>
      <c r="K474" s="21" t="str">
        <f>IF(Deployments!AD475="","",Deployments!AD475)</f>
        <v/>
      </c>
      <c r="L474" s="21" t="str">
        <f>IF(Deployments!M475="","",Deployments!M475)</f>
        <v/>
      </c>
      <c r="M474" s="22"/>
      <c r="N474" s="21" t="str">
        <f>IF(Deployments!N475="","",Deployments!N475)</f>
        <v/>
      </c>
      <c r="O474" s="21" t="str">
        <f>IF(Deployments!O475="","",Deployments!O475)</f>
        <v/>
      </c>
      <c r="P474" s="21" t="str">
        <f>IF(Deployments!P475="","",Deployments!P475)</f>
        <v/>
      </c>
      <c r="Q474" s="22"/>
      <c r="R474" s="21" t="str">
        <f>IF(Deployments!AY475="","",Deployments!AY475)</f>
        <v/>
      </c>
      <c r="S474" s="21" t="str">
        <f>IF(Deployments!AX475="","",Deployments!AX475)</f>
        <v/>
      </c>
      <c r="T474" s="21" t="str">
        <f>IF(Deployments!AV475="","",Deployments!AV475)</f>
        <v/>
      </c>
      <c r="U474" s="21" t="str">
        <f>IF(Deployments!AW475="","",Deployments!AW475)</f>
        <v/>
      </c>
      <c r="V474" s="21" t="str">
        <f>IF(Deployments!BA475="","",Deployments!BA475)</f>
        <v/>
      </c>
      <c r="W474" s="21" t="str">
        <f>IF(Deployments!BC475="","",Deployments!BC475)</f>
        <v/>
      </c>
      <c r="X474" s="21" t="str">
        <f>IF(Deployments!BK475="","",Deployments!BK475)</f>
        <v/>
      </c>
      <c r="Y474" s="21" t="str">
        <f>IF(Deployments!BB475="","",Deployments!BB475)</f>
        <v/>
      </c>
      <c r="Z474" s="21" t="str">
        <f>IF(Deployments!T475="","",Deployments!T475)</f>
        <v/>
      </c>
      <c r="AA474" s="21" t="str">
        <f>IF(Deployments!L475="","",Deployments!L475)</f>
        <v/>
      </c>
    </row>
    <row r="475" spans="1:27">
      <c r="A475" s="22"/>
      <c r="B475" s="22"/>
      <c r="C475" s="21" t="str">
        <f>IF(Deployments!H476="","",Deployments!H476)</f>
        <v/>
      </c>
      <c r="D475" s="21" t="str">
        <f>IF(Deployments!AH476="","",Deployments!AH476)</f>
        <v/>
      </c>
      <c r="E475" s="21" t="str">
        <f>IF(Deployments!I476="","",Deployments!I476)</f>
        <v/>
      </c>
      <c r="F475" s="21" t="str">
        <f>IF(Deployments!J476="","",Deployments!J476)</f>
        <v/>
      </c>
      <c r="G475" s="21" t="str">
        <f>IF(Deployments!K476="","",Deployments!K476)</f>
        <v/>
      </c>
      <c r="H475" s="21" t="str">
        <f>IF(Deployments!A476="","",Deployments!A476)</f>
        <v/>
      </c>
      <c r="I475" s="21" t="str">
        <f>IF(Deployments!AI476="","",Deployments!AI476)</f>
        <v/>
      </c>
      <c r="J475" s="21" t="str">
        <f>IF(Deployments!AJ476="","",Deployments!AJ476)</f>
        <v/>
      </c>
      <c r="K475" s="21" t="str">
        <f>IF(Deployments!AD476="","",Deployments!AD476)</f>
        <v/>
      </c>
      <c r="L475" s="21" t="str">
        <f>IF(Deployments!M476="","",Deployments!M476)</f>
        <v/>
      </c>
      <c r="M475" s="22"/>
      <c r="N475" s="21" t="str">
        <f>IF(Deployments!N476="","",Deployments!N476)</f>
        <v/>
      </c>
      <c r="O475" s="21" t="str">
        <f>IF(Deployments!O476="","",Deployments!O476)</f>
        <v/>
      </c>
      <c r="P475" s="21" t="str">
        <f>IF(Deployments!P476="","",Deployments!P476)</f>
        <v/>
      </c>
      <c r="Q475" s="22"/>
      <c r="R475" s="21" t="str">
        <f>IF(Deployments!AY476="","",Deployments!AY476)</f>
        <v/>
      </c>
      <c r="S475" s="21" t="str">
        <f>IF(Deployments!AX476="","",Deployments!AX476)</f>
        <v/>
      </c>
      <c r="T475" s="21" t="str">
        <f>IF(Deployments!AV476="","",Deployments!AV476)</f>
        <v/>
      </c>
      <c r="U475" s="21" t="str">
        <f>IF(Deployments!AW476="","",Deployments!AW476)</f>
        <v/>
      </c>
      <c r="V475" s="21" t="str">
        <f>IF(Deployments!BA476="","",Deployments!BA476)</f>
        <v/>
      </c>
      <c r="W475" s="21" t="str">
        <f>IF(Deployments!BC476="","",Deployments!BC476)</f>
        <v/>
      </c>
      <c r="X475" s="21" t="str">
        <f>IF(Deployments!BK476="","",Deployments!BK476)</f>
        <v/>
      </c>
      <c r="Y475" s="21" t="str">
        <f>IF(Deployments!BB476="","",Deployments!BB476)</f>
        <v/>
      </c>
      <c r="Z475" s="21" t="str">
        <f>IF(Deployments!T476="","",Deployments!T476)</f>
        <v/>
      </c>
      <c r="AA475" s="21" t="str">
        <f>IF(Deployments!L476="","",Deployments!L476)</f>
        <v/>
      </c>
    </row>
    <row r="476" spans="1:27">
      <c r="A476" s="22"/>
      <c r="B476" s="22"/>
      <c r="C476" s="21" t="str">
        <f>IF(Deployments!H477="","",Deployments!H477)</f>
        <v/>
      </c>
      <c r="D476" s="21" t="str">
        <f>IF(Deployments!AH477="","",Deployments!AH477)</f>
        <v/>
      </c>
      <c r="E476" s="21" t="str">
        <f>IF(Deployments!I477="","",Deployments!I477)</f>
        <v/>
      </c>
      <c r="F476" s="21" t="str">
        <f>IF(Deployments!J477="","",Deployments!J477)</f>
        <v/>
      </c>
      <c r="G476" s="21" t="str">
        <f>IF(Deployments!K477="","",Deployments!K477)</f>
        <v/>
      </c>
      <c r="H476" s="21" t="str">
        <f>IF(Deployments!A477="","",Deployments!A477)</f>
        <v/>
      </c>
      <c r="I476" s="21" t="str">
        <f>IF(Deployments!AI477="","",Deployments!AI477)</f>
        <v/>
      </c>
      <c r="J476" s="21" t="str">
        <f>IF(Deployments!AJ477="","",Deployments!AJ477)</f>
        <v/>
      </c>
      <c r="K476" s="21" t="str">
        <f>IF(Deployments!AD477="","",Deployments!AD477)</f>
        <v/>
      </c>
      <c r="L476" s="21" t="str">
        <f>IF(Deployments!M477="","",Deployments!M477)</f>
        <v/>
      </c>
      <c r="M476" s="22"/>
      <c r="N476" s="21" t="str">
        <f>IF(Deployments!N477="","",Deployments!N477)</f>
        <v/>
      </c>
      <c r="O476" s="21" t="str">
        <f>IF(Deployments!O477="","",Deployments!O477)</f>
        <v/>
      </c>
      <c r="P476" s="21" t="str">
        <f>IF(Deployments!P477="","",Deployments!P477)</f>
        <v/>
      </c>
      <c r="Q476" s="22"/>
      <c r="R476" s="21" t="str">
        <f>IF(Deployments!AY477="","",Deployments!AY477)</f>
        <v/>
      </c>
      <c r="S476" s="21" t="str">
        <f>IF(Deployments!AX477="","",Deployments!AX477)</f>
        <v/>
      </c>
      <c r="T476" s="21" t="str">
        <f>IF(Deployments!AV477="","",Deployments!AV477)</f>
        <v/>
      </c>
      <c r="U476" s="21" t="str">
        <f>IF(Deployments!AW477="","",Deployments!AW477)</f>
        <v/>
      </c>
      <c r="V476" s="21" t="str">
        <f>IF(Deployments!BA477="","",Deployments!BA477)</f>
        <v/>
      </c>
      <c r="W476" s="21" t="str">
        <f>IF(Deployments!BC477="","",Deployments!BC477)</f>
        <v/>
      </c>
      <c r="X476" s="21" t="str">
        <f>IF(Deployments!BK477="","",Deployments!BK477)</f>
        <v/>
      </c>
      <c r="Y476" s="21" t="str">
        <f>IF(Deployments!BB477="","",Deployments!BB477)</f>
        <v/>
      </c>
      <c r="Z476" s="21" t="str">
        <f>IF(Deployments!T477="","",Deployments!T477)</f>
        <v/>
      </c>
      <c r="AA476" s="21" t="str">
        <f>IF(Deployments!L477="","",Deployments!L477)</f>
        <v/>
      </c>
    </row>
    <row r="477" spans="1:27">
      <c r="A477" s="22"/>
      <c r="B477" s="22"/>
      <c r="C477" s="21" t="str">
        <f>IF(Deployments!H478="","",Deployments!H478)</f>
        <v/>
      </c>
      <c r="D477" s="21" t="str">
        <f>IF(Deployments!AH478="","",Deployments!AH478)</f>
        <v/>
      </c>
      <c r="E477" s="21" t="str">
        <f>IF(Deployments!I478="","",Deployments!I478)</f>
        <v/>
      </c>
      <c r="F477" s="21" t="str">
        <f>IF(Deployments!J478="","",Deployments!J478)</f>
        <v/>
      </c>
      <c r="G477" s="21" t="str">
        <f>IF(Deployments!K478="","",Deployments!K478)</f>
        <v/>
      </c>
      <c r="H477" s="21" t="str">
        <f>IF(Deployments!A478="","",Deployments!A478)</f>
        <v/>
      </c>
      <c r="I477" s="21" t="str">
        <f>IF(Deployments!AI478="","",Deployments!AI478)</f>
        <v/>
      </c>
      <c r="J477" s="21" t="str">
        <f>IF(Deployments!AJ478="","",Deployments!AJ478)</f>
        <v/>
      </c>
      <c r="K477" s="21" t="str">
        <f>IF(Deployments!AD478="","",Deployments!AD478)</f>
        <v/>
      </c>
      <c r="L477" s="21" t="str">
        <f>IF(Deployments!M478="","",Deployments!M478)</f>
        <v/>
      </c>
      <c r="M477" s="22"/>
      <c r="N477" s="21" t="str">
        <f>IF(Deployments!N478="","",Deployments!N478)</f>
        <v/>
      </c>
      <c r="O477" s="21" t="str">
        <f>IF(Deployments!O478="","",Deployments!O478)</f>
        <v/>
      </c>
      <c r="P477" s="21" t="str">
        <f>IF(Deployments!P478="","",Deployments!P478)</f>
        <v/>
      </c>
      <c r="Q477" s="22"/>
      <c r="R477" s="21" t="str">
        <f>IF(Deployments!AY478="","",Deployments!AY478)</f>
        <v/>
      </c>
      <c r="S477" s="21" t="str">
        <f>IF(Deployments!AX478="","",Deployments!AX478)</f>
        <v/>
      </c>
      <c r="T477" s="21" t="str">
        <f>IF(Deployments!AV478="","",Deployments!AV478)</f>
        <v/>
      </c>
      <c r="U477" s="21" t="str">
        <f>IF(Deployments!AW478="","",Deployments!AW478)</f>
        <v/>
      </c>
      <c r="V477" s="21" t="str">
        <f>IF(Deployments!BA478="","",Deployments!BA478)</f>
        <v/>
      </c>
      <c r="W477" s="21" t="str">
        <f>IF(Deployments!BC478="","",Deployments!BC478)</f>
        <v/>
      </c>
      <c r="X477" s="21" t="str">
        <f>IF(Deployments!BK478="","",Deployments!BK478)</f>
        <v/>
      </c>
      <c r="Y477" s="21" t="str">
        <f>IF(Deployments!BB478="","",Deployments!BB478)</f>
        <v/>
      </c>
      <c r="Z477" s="21" t="str">
        <f>IF(Deployments!T478="","",Deployments!T478)</f>
        <v/>
      </c>
      <c r="AA477" s="21" t="str">
        <f>IF(Deployments!L478="","",Deployments!L478)</f>
        <v/>
      </c>
    </row>
    <row r="478" spans="1:27">
      <c r="A478" s="22"/>
      <c r="B478" s="22"/>
      <c r="C478" s="21" t="str">
        <f>IF(Deployments!H479="","",Deployments!H479)</f>
        <v/>
      </c>
      <c r="D478" s="21" t="str">
        <f>IF(Deployments!AH479="","",Deployments!AH479)</f>
        <v/>
      </c>
      <c r="E478" s="21" t="str">
        <f>IF(Deployments!I479="","",Deployments!I479)</f>
        <v/>
      </c>
      <c r="F478" s="21" t="str">
        <f>IF(Deployments!J479="","",Deployments!J479)</f>
        <v/>
      </c>
      <c r="G478" s="21" t="str">
        <f>IF(Deployments!K479="","",Deployments!K479)</f>
        <v/>
      </c>
      <c r="H478" s="21" t="str">
        <f>IF(Deployments!A479="","",Deployments!A479)</f>
        <v/>
      </c>
      <c r="I478" s="21" t="str">
        <f>IF(Deployments!AI479="","",Deployments!AI479)</f>
        <v/>
      </c>
      <c r="J478" s="21" t="str">
        <f>IF(Deployments!AJ479="","",Deployments!AJ479)</f>
        <v/>
      </c>
      <c r="K478" s="21" t="str">
        <f>IF(Deployments!AD479="","",Deployments!AD479)</f>
        <v/>
      </c>
      <c r="L478" s="21" t="str">
        <f>IF(Deployments!M479="","",Deployments!M479)</f>
        <v/>
      </c>
      <c r="M478" s="22"/>
      <c r="N478" s="21" t="str">
        <f>IF(Deployments!N479="","",Deployments!N479)</f>
        <v/>
      </c>
      <c r="O478" s="21" t="str">
        <f>IF(Deployments!O479="","",Deployments!O479)</f>
        <v/>
      </c>
      <c r="P478" s="21" t="str">
        <f>IF(Deployments!P479="","",Deployments!P479)</f>
        <v/>
      </c>
      <c r="Q478" s="22"/>
      <c r="R478" s="21" t="str">
        <f>IF(Deployments!AY479="","",Deployments!AY479)</f>
        <v/>
      </c>
      <c r="S478" s="21" t="str">
        <f>IF(Deployments!AX479="","",Deployments!AX479)</f>
        <v/>
      </c>
      <c r="T478" s="21" t="str">
        <f>IF(Deployments!AV479="","",Deployments!AV479)</f>
        <v/>
      </c>
      <c r="U478" s="21" t="str">
        <f>IF(Deployments!AW479="","",Deployments!AW479)</f>
        <v/>
      </c>
      <c r="V478" s="21" t="str">
        <f>IF(Deployments!BA479="","",Deployments!BA479)</f>
        <v/>
      </c>
      <c r="W478" s="21" t="str">
        <f>IF(Deployments!BC479="","",Deployments!BC479)</f>
        <v/>
      </c>
      <c r="X478" s="21" t="str">
        <f>IF(Deployments!BK479="","",Deployments!BK479)</f>
        <v/>
      </c>
      <c r="Y478" s="21" t="str">
        <f>IF(Deployments!BB479="","",Deployments!BB479)</f>
        <v/>
      </c>
      <c r="Z478" s="21" t="str">
        <f>IF(Deployments!T479="","",Deployments!T479)</f>
        <v/>
      </c>
      <c r="AA478" s="21" t="str">
        <f>IF(Deployments!L479="","",Deployments!L479)</f>
        <v/>
      </c>
    </row>
    <row r="479" spans="1:27">
      <c r="A479" s="22"/>
      <c r="B479" s="22"/>
      <c r="C479" s="21" t="str">
        <f>IF(Deployments!H480="","",Deployments!H480)</f>
        <v/>
      </c>
      <c r="D479" s="21" t="str">
        <f>IF(Deployments!AH480="","",Deployments!AH480)</f>
        <v/>
      </c>
      <c r="E479" s="21" t="str">
        <f>IF(Deployments!I480="","",Deployments!I480)</f>
        <v/>
      </c>
      <c r="F479" s="21" t="str">
        <f>IF(Deployments!J480="","",Deployments!J480)</f>
        <v/>
      </c>
      <c r="G479" s="21" t="str">
        <f>IF(Deployments!K480="","",Deployments!K480)</f>
        <v/>
      </c>
      <c r="H479" s="21" t="str">
        <f>IF(Deployments!A480="","",Deployments!A480)</f>
        <v/>
      </c>
      <c r="I479" s="21" t="str">
        <f>IF(Deployments!AI480="","",Deployments!AI480)</f>
        <v/>
      </c>
      <c r="J479" s="21" t="str">
        <f>IF(Deployments!AJ480="","",Deployments!AJ480)</f>
        <v/>
      </c>
      <c r="K479" s="21" t="str">
        <f>IF(Deployments!AD480="","",Deployments!AD480)</f>
        <v/>
      </c>
      <c r="L479" s="21" t="str">
        <f>IF(Deployments!M480="","",Deployments!M480)</f>
        <v/>
      </c>
      <c r="M479" s="22"/>
      <c r="N479" s="21" t="str">
        <f>IF(Deployments!N480="","",Deployments!N480)</f>
        <v/>
      </c>
      <c r="O479" s="21" t="str">
        <f>IF(Deployments!O480="","",Deployments!O480)</f>
        <v/>
      </c>
      <c r="P479" s="21" t="str">
        <f>IF(Deployments!P480="","",Deployments!P480)</f>
        <v/>
      </c>
      <c r="Q479" s="22"/>
      <c r="R479" s="21" t="str">
        <f>IF(Deployments!AY480="","",Deployments!AY480)</f>
        <v/>
      </c>
      <c r="S479" s="21" t="str">
        <f>IF(Deployments!AX480="","",Deployments!AX480)</f>
        <v/>
      </c>
      <c r="T479" s="21" t="str">
        <f>IF(Deployments!AV480="","",Deployments!AV480)</f>
        <v/>
      </c>
      <c r="U479" s="21" t="str">
        <f>IF(Deployments!AW480="","",Deployments!AW480)</f>
        <v/>
      </c>
      <c r="V479" s="21" t="str">
        <f>IF(Deployments!BA480="","",Deployments!BA480)</f>
        <v/>
      </c>
      <c r="W479" s="21" t="str">
        <f>IF(Deployments!BC480="","",Deployments!BC480)</f>
        <v/>
      </c>
      <c r="X479" s="21" t="str">
        <f>IF(Deployments!BK480="","",Deployments!BK480)</f>
        <v/>
      </c>
      <c r="Y479" s="21" t="str">
        <f>IF(Deployments!BB480="","",Deployments!BB480)</f>
        <v/>
      </c>
      <c r="Z479" s="21" t="str">
        <f>IF(Deployments!T480="","",Deployments!T480)</f>
        <v/>
      </c>
      <c r="AA479" s="21" t="str">
        <f>IF(Deployments!L480="","",Deployments!L480)</f>
        <v/>
      </c>
    </row>
    <row r="480" spans="1:27">
      <c r="A480" s="22"/>
      <c r="B480" s="22"/>
      <c r="C480" s="21" t="str">
        <f>IF(Deployments!H481="","",Deployments!H481)</f>
        <v/>
      </c>
      <c r="D480" s="21" t="str">
        <f>IF(Deployments!AH481="","",Deployments!AH481)</f>
        <v/>
      </c>
      <c r="E480" s="21" t="str">
        <f>IF(Deployments!I481="","",Deployments!I481)</f>
        <v/>
      </c>
      <c r="F480" s="21" t="str">
        <f>IF(Deployments!J481="","",Deployments!J481)</f>
        <v/>
      </c>
      <c r="G480" s="21" t="str">
        <f>IF(Deployments!K481="","",Deployments!K481)</f>
        <v/>
      </c>
      <c r="H480" s="21" t="str">
        <f>IF(Deployments!A481="","",Deployments!A481)</f>
        <v/>
      </c>
      <c r="I480" s="21" t="str">
        <f>IF(Deployments!AI481="","",Deployments!AI481)</f>
        <v/>
      </c>
      <c r="J480" s="21" t="str">
        <f>IF(Deployments!AJ481="","",Deployments!AJ481)</f>
        <v/>
      </c>
      <c r="K480" s="21" t="str">
        <f>IF(Deployments!AD481="","",Deployments!AD481)</f>
        <v/>
      </c>
      <c r="L480" s="21" t="str">
        <f>IF(Deployments!M481="","",Deployments!M481)</f>
        <v/>
      </c>
      <c r="M480" s="22"/>
      <c r="N480" s="21" t="str">
        <f>IF(Deployments!N481="","",Deployments!N481)</f>
        <v/>
      </c>
      <c r="O480" s="21" t="str">
        <f>IF(Deployments!O481="","",Deployments!O481)</f>
        <v/>
      </c>
      <c r="P480" s="21" t="str">
        <f>IF(Deployments!P481="","",Deployments!P481)</f>
        <v/>
      </c>
      <c r="Q480" s="22"/>
      <c r="R480" s="21" t="str">
        <f>IF(Deployments!AY481="","",Deployments!AY481)</f>
        <v/>
      </c>
      <c r="S480" s="21" t="str">
        <f>IF(Deployments!AX481="","",Deployments!AX481)</f>
        <v/>
      </c>
      <c r="T480" s="21" t="str">
        <f>IF(Deployments!AV481="","",Deployments!AV481)</f>
        <v/>
      </c>
      <c r="U480" s="21" t="str">
        <f>IF(Deployments!AW481="","",Deployments!AW481)</f>
        <v/>
      </c>
      <c r="V480" s="21" t="str">
        <f>IF(Deployments!BA481="","",Deployments!BA481)</f>
        <v/>
      </c>
      <c r="W480" s="21" t="str">
        <f>IF(Deployments!BC481="","",Deployments!BC481)</f>
        <v/>
      </c>
      <c r="X480" s="21" t="str">
        <f>IF(Deployments!BK481="","",Deployments!BK481)</f>
        <v/>
      </c>
      <c r="Y480" s="21" t="str">
        <f>IF(Deployments!BB481="","",Deployments!BB481)</f>
        <v/>
      </c>
      <c r="Z480" s="21" t="str">
        <f>IF(Deployments!T481="","",Deployments!T481)</f>
        <v/>
      </c>
      <c r="AA480" s="21" t="str">
        <f>IF(Deployments!L481="","",Deployments!L481)</f>
        <v/>
      </c>
    </row>
    <row r="481" spans="1:27">
      <c r="A481" s="22"/>
      <c r="B481" s="22"/>
      <c r="C481" s="21" t="str">
        <f>IF(Deployments!H482="","",Deployments!H482)</f>
        <v/>
      </c>
      <c r="D481" s="21" t="str">
        <f>IF(Deployments!AH482="","",Deployments!AH482)</f>
        <v/>
      </c>
      <c r="E481" s="21" t="str">
        <f>IF(Deployments!I482="","",Deployments!I482)</f>
        <v/>
      </c>
      <c r="F481" s="21" t="str">
        <f>IF(Deployments!J482="","",Deployments!J482)</f>
        <v/>
      </c>
      <c r="G481" s="21" t="str">
        <f>IF(Deployments!K482="","",Deployments!K482)</f>
        <v/>
      </c>
      <c r="H481" s="21" t="str">
        <f>IF(Deployments!A482="","",Deployments!A482)</f>
        <v/>
      </c>
      <c r="I481" s="21" t="str">
        <f>IF(Deployments!AI482="","",Deployments!AI482)</f>
        <v/>
      </c>
      <c r="J481" s="21" t="str">
        <f>IF(Deployments!AJ482="","",Deployments!AJ482)</f>
        <v/>
      </c>
      <c r="K481" s="21" t="str">
        <f>IF(Deployments!AD482="","",Deployments!AD482)</f>
        <v/>
      </c>
      <c r="L481" s="21" t="str">
        <f>IF(Deployments!M482="","",Deployments!M482)</f>
        <v/>
      </c>
      <c r="M481" s="22"/>
      <c r="N481" s="21" t="str">
        <f>IF(Deployments!N482="","",Deployments!N482)</f>
        <v/>
      </c>
      <c r="O481" s="21" t="str">
        <f>IF(Deployments!O482="","",Deployments!O482)</f>
        <v/>
      </c>
      <c r="P481" s="21" t="str">
        <f>IF(Deployments!P482="","",Deployments!P482)</f>
        <v/>
      </c>
      <c r="Q481" s="22"/>
      <c r="R481" s="21" t="str">
        <f>IF(Deployments!AY482="","",Deployments!AY482)</f>
        <v/>
      </c>
      <c r="S481" s="21" t="str">
        <f>IF(Deployments!AX482="","",Deployments!AX482)</f>
        <v/>
      </c>
      <c r="T481" s="21" t="str">
        <f>IF(Deployments!AV482="","",Deployments!AV482)</f>
        <v/>
      </c>
      <c r="U481" s="21" t="str">
        <f>IF(Deployments!AW482="","",Deployments!AW482)</f>
        <v/>
      </c>
      <c r="V481" s="21" t="str">
        <f>IF(Deployments!BA482="","",Deployments!BA482)</f>
        <v/>
      </c>
      <c r="W481" s="21" t="str">
        <f>IF(Deployments!BC482="","",Deployments!BC482)</f>
        <v/>
      </c>
      <c r="X481" s="21" t="str">
        <f>IF(Deployments!BK482="","",Deployments!BK482)</f>
        <v/>
      </c>
      <c r="Y481" s="21" t="str">
        <f>IF(Deployments!BB482="","",Deployments!BB482)</f>
        <v/>
      </c>
      <c r="Z481" s="21" t="str">
        <f>IF(Deployments!T482="","",Deployments!T482)</f>
        <v/>
      </c>
      <c r="AA481" s="21" t="str">
        <f>IF(Deployments!L482="","",Deployments!L482)</f>
        <v/>
      </c>
    </row>
    <row r="482" spans="1:27">
      <c r="A482" s="22"/>
      <c r="B482" s="22"/>
      <c r="C482" s="21" t="str">
        <f>IF(Deployments!H483="","",Deployments!H483)</f>
        <v/>
      </c>
      <c r="D482" s="21" t="str">
        <f>IF(Deployments!AH483="","",Deployments!AH483)</f>
        <v/>
      </c>
      <c r="E482" s="21" t="str">
        <f>IF(Deployments!I483="","",Deployments!I483)</f>
        <v/>
      </c>
      <c r="F482" s="21" t="str">
        <f>IF(Deployments!J483="","",Deployments!J483)</f>
        <v/>
      </c>
      <c r="G482" s="21" t="str">
        <f>IF(Deployments!K483="","",Deployments!K483)</f>
        <v/>
      </c>
      <c r="H482" s="21" t="str">
        <f>IF(Deployments!A483="","",Deployments!A483)</f>
        <v/>
      </c>
      <c r="I482" s="21" t="str">
        <f>IF(Deployments!AI483="","",Deployments!AI483)</f>
        <v/>
      </c>
      <c r="J482" s="21" t="str">
        <f>IF(Deployments!AJ483="","",Deployments!AJ483)</f>
        <v/>
      </c>
      <c r="K482" s="21" t="str">
        <f>IF(Deployments!AD483="","",Deployments!AD483)</f>
        <v/>
      </c>
      <c r="L482" s="21" t="str">
        <f>IF(Deployments!M483="","",Deployments!M483)</f>
        <v/>
      </c>
      <c r="M482" s="22"/>
      <c r="N482" s="21" t="str">
        <f>IF(Deployments!N483="","",Deployments!N483)</f>
        <v/>
      </c>
      <c r="O482" s="21" t="str">
        <f>IF(Deployments!O483="","",Deployments!O483)</f>
        <v/>
      </c>
      <c r="P482" s="21" t="str">
        <f>IF(Deployments!P483="","",Deployments!P483)</f>
        <v/>
      </c>
      <c r="Q482" s="22"/>
      <c r="R482" s="21" t="str">
        <f>IF(Deployments!AY483="","",Deployments!AY483)</f>
        <v/>
      </c>
      <c r="S482" s="21" t="str">
        <f>IF(Deployments!AX483="","",Deployments!AX483)</f>
        <v/>
      </c>
      <c r="T482" s="21" t="str">
        <f>IF(Deployments!AV483="","",Deployments!AV483)</f>
        <v/>
      </c>
      <c r="U482" s="21" t="str">
        <f>IF(Deployments!AW483="","",Deployments!AW483)</f>
        <v/>
      </c>
      <c r="V482" s="21" t="str">
        <f>IF(Deployments!BA483="","",Deployments!BA483)</f>
        <v/>
      </c>
      <c r="W482" s="21" t="str">
        <f>IF(Deployments!BC483="","",Deployments!BC483)</f>
        <v/>
      </c>
      <c r="X482" s="21" t="str">
        <f>IF(Deployments!BK483="","",Deployments!BK483)</f>
        <v/>
      </c>
      <c r="Y482" s="21" t="str">
        <f>IF(Deployments!BB483="","",Deployments!BB483)</f>
        <v/>
      </c>
      <c r="Z482" s="21" t="str">
        <f>IF(Deployments!T483="","",Deployments!T483)</f>
        <v/>
      </c>
      <c r="AA482" s="21" t="str">
        <f>IF(Deployments!L483="","",Deployments!L483)</f>
        <v/>
      </c>
    </row>
    <row r="483" spans="1:27">
      <c r="A483" s="22"/>
      <c r="B483" s="22"/>
      <c r="C483" s="21" t="str">
        <f>IF(Deployments!H484="","",Deployments!H484)</f>
        <v/>
      </c>
      <c r="D483" s="21" t="str">
        <f>IF(Deployments!AH484="","",Deployments!AH484)</f>
        <v/>
      </c>
      <c r="E483" s="21" t="str">
        <f>IF(Deployments!I484="","",Deployments!I484)</f>
        <v/>
      </c>
      <c r="F483" s="21" t="str">
        <f>IF(Deployments!J484="","",Deployments!J484)</f>
        <v/>
      </c>
      <c r="G483" s="21" t="str">
        <f>IF(Deployments!K484="","",Deployments!K484)</f>
        <v/>
      </c>
      <c r="H483" s="21" t="str">
        <f>IF(Deployments!A484="","",Deployments!A484)</f>
        <v/>
      </c>
      <c r="I483" s="21" t="str">
        <f>IF(Deployments!AI484="","",Deployments!AI484)</f>
        <v/>
      </c>
      <c r="J483" s="21" t="str">
        <f>IF(Deployments!AJ484="","",Deployments!AJ484)</f>
        <v/>
      </c>
      <c r="K483" s="21" t="str">
        <f>IF(Deployments!AD484="","",Deployments!AD484)</f>
        <v/>
      </c>
      <c r="L483" s="21" t="str">
        <f>IF(Deployments!M484="","",Deployments!M484)</f>
        <v/>
      </c>
      <c r="M483" s="22"/>
      <c r="N483" s="21" t="str">
        <f>IF(Deployments!N484="","",Deployments!N484)</f>
        <v/>
      </c>
      <c r="O483" s="21" t="str">
        <f>IF(Deployments!O484="","",Deployments!O484)</f>
        <v/>
      </c>
      <c r="P483" s="21" t="str">
        <f>IF(Deployments!P484="","",Deployments!P484)</f>
        <v/>
      </c>
      <c r="Q483" s="22"/>
      <c r="R483" s="21" t="str">
        <f>IF(Deployments!AY484="","",Deployments!AY484)</f>
        <v/>
      </c>
      <c r="S483" s="21" t="str">
        <f>IF(Deployments!AX484="","",Deployments!AX484)</f>
        <v/>
      </c>
      <c r="T483" s="21" t="str">
        <f>IF(Deployments!AV484="","",Deployments!AV484)</f>
        <v/>
      </c>
      <c r="U483" s="21" t="str">
        <f>IF(Deployments!AW484="","",Deployments!AW484)</f>
        <v/>
      </c>
      <c r="V483" s="21" t="str">
        <f>IF(Deployments!BA484="","",Deployments!BA484)</f>
        <v/>
      </c>
      <c r="W483" s="21" t="str">
        <f>IF(Deployments!BC484="","",Deployments!BC484)</f>
        <v/>
      </c>
      <c r="X483" s="21" t="str">
        <f>IF(Deployments!BK484="","",Deployments!BK484)</f>
        <v/>
      </c>
      <c r="Y483" s="21" t="str">
        <f>IF(Deployments!BB484="","",Deployments!BB484)</f>
        <v/>
      </c>
      <c r="Z483" s="21" t="str">
        <f>IF(Deployments!T484="","",Deployments!T484)</f>
        <v/>
      </c>
      <c r="AA483" s="21" t="str">
        <f>IF(Deployments!L484="","",Deployments!L484)</f>
        <v/>
      </c>
    </row>
    <row r="484" spans="1:27">
      <c r="A484" s="22"/>
      <c r="B484" s="22"/>
      <c r="C484" s="21" t="str">
        <f>IF(Deployments!H485="","",Deployments!H485)</f>
        <v/>
      </c>
      <c r="D484" s="21" t="str">
        <f>IF(Deployments!AH485="","",Deployments!AH485)</f>
        <v/>
      </c>
      <c r="E484" s="21" t="str">
        <f>IF(Deployments!I485="","",Deployments!I485)</f>
        <v/>
      </c>
      <c r="F484" s="21" t="str">
        <f>IF(Deployments!J485="","",Deployments!J485)</f>
        <v/>
      </c>
      <c r="G484" s="21" t="str">
        <f>IF(Deployments!K485="","",Deployments!K485)</f>
        <v/>
      </c>
      <c r="H484" s="21" t="str">
        <f>IF(Deployments!A485="","",Deployments!A485)</f>
        <v/>
      </c>
      <c r="I484" s="21" t="str">
        <f>IF(Deployments!AI485="","",Deployments!AI485)</f>
        <v/>
      </c>
      <c r="J484" s="21" t="str">
        <f>IF(Deployments!AJ485="","",Deployments!AJ485)</f>
        <v/>
      </c>
      <c r="K484" s="21" t="str">
        <f>IF(Deployments!AD485="","",Deployments!AD485)</f>
        <v/>
      </c>
      <c r="L484" s="21" t="str">
        <f>IF(Deployments!M485="","",Deployments!M485)</f>
        <v/>
      </c>
      <c r="M484" s="22"/>
      <c r="N484" s="21" t="str">
        <f>IF(Deployments!N485="","",Deployments!N485)</f>
        <v/>
      </c>
      <c r="O484" s="21" t="str">
        <f>IF(Deployments!O485="","",Deployments!O485)</f>
        <v/>
      </c>
      <c r="P484" s="21" t="str">
        <f>IF(Deployments!P485="","",Deployments!P485)</f>
        <v/>
      </c>
      <c r="Q484" s="22"/>
      <c r="R484" s="21" t="str">
        <f>IF(Deployments!AY485="","",Deployments!AY485)</f>
        <v/>
      </c>
      <c r="S484" s="21" t="str">
        <f>IF(Deployments!AX485="","",Deployments!AX485)</f>
        <v/>
      </c>
      <c r="T484" s="21" t="str">
        <f>IF(Deployments!AV485="","",Deployments!AV485)</f>
        <v/>
      </c>
      <c r="U484" s="21" t="str">
        <f>IF(Deployments!AW485="","",Deployments!AW485)</f>
        <v/>
      </c>
      <c r="V484" s="21" t="str">
        <f>IF(Deployments!BA485="","",Deployments!BA485)</f>
        <v/>
      </c>
      <c r="W484" s="21" t="str">
        <f>IF(Deployments!BC485="","",Deployments!BC485)</f>
        <v/>
      </c>
      <c r="X484" s="21" t="str">
        <f>IF(Deployments!BK485="","",Deployments!BK485)</f>
        <v/>
      </c>
      <c r="Y484" s="21" t="str">
        <f>IF(Deployments!BB485="","",Deployments!BB485)</f>
        <v/>
      </c>
      <c r="Z484" s="21" t="str">
        <f>IF(Deployments!T485="","",Deployments!T485)</f>
        <v/>
      </c>
      <c r="AA484" s="21" t="str">
        <f>IF(Deployments!L485="","",Deployments!L485)</f>
        <v/>
      </c>
    </row>
    <row r="485" spans="1:27">
      <c r="A485" s="22"/>
      <c r="B485" s="22"/>
      <c r="C485" s="21" t="str">
        <f>IF(Deployments!H486="","",Deployments!H486)</f>
        <v/>
      </c>
      <c r="D485" s="21" t="str">
        <f>IF(Deployments!AH486="","",Deployments!AH486)</f>
        <v/>
      </c>
      <c r="E485" s="21" t="str">
        <f>IF(Deployments!I486="","",Deployments!I486)</f>
        <v/>
      </c>
      <c r="F485" s="21" t="str">
        <f>IF(Deployments!J486="","",Deployments!J486)</f>
        <v/>
      </c>
      <c r="G485" s="21" t="str">
        <f>IF(Deployments!K486="","",Deployments!K486)</f>
        <v/>
      </c>
      <c r="H485" s="21" t="str">
        <f>IF(Deployments!A486="","",Deployments!A486)</f>
        <v/>
      </c>
      <c r="I485" s="21" t="str">
        <f>IF(Deployments!AI486="","",Deployments!AI486)</f>
        <v/>
      </c>
      <c r="J485" s="21" t="str">
        <f>IF(Deployments!AJ486="","",Deployments!AJ486)</f>
        <v/>
      </c>
      <c r="K485" s="21" t="str">
        <f>IF(Deployments!AD486="","",Deployments!AD486)</f>
        <v/>
      </c>
      <c r="L485" s="21" t="str">
        <f>IF(Deployments!M486="","",Deployments!M486)</f>
        <v/>
      </c>
      <c r="M485" s="22"/>
      <c r="N485" s="21" t="str">
        <f>IF(Deployments!N486="","",Deployments!N486)</f>
        <v/>
      </c>
      <c r="O485" s="21" t="str">
        <f>IF(Deployments!O486="","",Deployments!O486)</f>
        <v/>
      </c>
      <c r="P485" s="21" t="str">
        <f>IF(Deployments!P486="","",Deployments!P486)</f>
        <v/>
      </c>
      <c r="Q485" s="22"/>
      <c r="R485" s="21" t="str">
        <f>IF(Deployments!AY486="","",Deployments!AY486)</f>
        <v/>
      </c>
      <c r="S485" s="21" t="str">
        <f>IF(Deployments!AX486="","",Deployments!AX486)</f>
        <v/>
      </c>
      <c r="T485" s="21" t="str">
        <f>IF(Deployments!AV486="","",Deployments!AV486)</f>
        <v/>
      </c>
      <c r="U485" s="21" t="str">
        <f>IF(Deployments!AW486="","",Deployments!AW486)</f>
        <v/>
      </c>
      <c r="V485" s="21" t="str">
        <f>IF(Deployments!BA486="","",Deployments!BA486)</f>
        <v/>
      </c>
      <c r="W485" s="21" t="str">
        <f>IF(Deployments!BC486="","",Deployments!BC486)</f>
        <v/>
      </c>
      <c r="X485" s="21" t="str">
        <f>IF(Deployments!BK486="","",Deployments!BK486)</f>
        <v/>
      </c>
      <c r="Y485" s="21" t="str">
        <f>IF(Deployments!BB486="","",Deployments!BB486)</f>
        <v/>
      </c>
      <c r="Z485" s="21" t="str">
        <f>IF(Deployments!T486="","",Deployments!T486)</f>
        <v/>
      </c>
      <c r="AA485" s="21" t="str">
        <f>IF(Deployments!L486="","",Deployments!L486)</f>
        <v/>
      </c>
    </row>
    <row r="486" spans="1:27">
      <c r="A486" s="22"/>
      <c r="B486" s="22"/>
      <c r="C486" s="21" t="str">
        <f>IF(Deployments!H487="","",Deployments!H487)</f>
        <v/>
      </c>
      <c r="D486" s="21" t="str">
        <f>IF(Deployments!AH487="","",Deployments!AH487)</f>
        <v/>
      </c>
      <c r="E486" s="21" t="str">
        <f>IF(Deployments!I487="","",Deployments!I487)</f>
        <v/>
      </c>
      <c r="F486" s="21" t="str">
        <f>IF(Deployments!J487="","",Deployments!J487)</f>
        <v/>
      </c>
      <c r="G486" s="21" t="str">
        <f>IF(Deployments!K487="","",Deployments!K487)</f>
        <v/>
      </c>
      <c r="H486" s="21" t="str">
        <f>IF(Deployments!A487="","",Deployments!A487)</f>
        <v/>
      </c>
      <c r="I486" s="21" t="str">
        <f>IF(Deployments!AI487="","",Deployments!AI487)</f>
        <v/>
      </c>
      <c r="J486" s="21" t="str">
        <f>IF(Deployments!AJ487="","",Deployments!AJ487)</f>
        <v/>
      </c>
      <c r="K486" s="21" t="str">
        <f>IF(Deployments!AD487="","",Deployments!AD487)</f>
        <v/>
      </c>
      <c r="L486" s="21" t="str">
        <f>IF(Deployments!M487="","",Deployments!M487)</f>
        <v/>
      </c>
      <c r="M486" s="22"/>
      <c r="N486" s="21" t="str">
        <f>IF(Deployments!N487="","",Deployments!N487)</f>
        <v/>
      </c>
      <c r="O486" s="21" t="str">
        <f>IF(Deployments!O487="","",Deployments!O487)</f>
        <v/>
      </c>
      <c r="P486" s="21" t="str">
        <f>IF(Deployments!P487="","",Deployments!P487)</f>
        <v/>
      </c>
      <c r="Q486" s="22"/>
      <c r="R486" s="21" t="str">
        <f>IF(Deployments!AY487="","",Deployments!AY487)</f>
        <v/>
      </c>
      <c r="S486" s="21" t="str">
        <f>IF(Deployments!AX487="","",Deployments!AX487)</f>
        <v/>
      </c>
      <c r="T486" s="21" t="str">
        <f>IF(Deployments!AV487="","",Deployments!AV487)</f>
        <v/>
      </c>
      <c r="U486" s="21" t="str">
        <f>IF(Deployments!AW487="","",Deployments!AW487)</f>
        <v/>
      </c>
      <c r="V486" s="21" t="str">
        <f>IF(Deployments!BA487="","",Deployments!BA487)</f>
        <v/>
      </c>
      <c r="W486" s="21" t="str">
        <f>IF(Deployments!BC487="","",Deployments!BC487)</f>
        <v/>
      </c>
      <c r="X486" s="21" t="str">
        <f>IF(Deployments!BK487="","",Deployments!BK487)</f>
        <v/>
      </c>
      <c r="Y486" s="21" t="str">
        <f>IF(Deployments!BB487="","",Deployments!BB487)</f>
        <v/>
      </c>
      <c r="Z486" s="21" t="str">
        <f>IF(Deployments!T487="","",Deployments!T487)</f>
        <v/>
      </c>
      <c r="AA486" s="21" t="str">
        <f>IF(Deployments!L487="","",Deployments!L487)</f>
        <v/>
      </c>
    </row>
    <row r="487" spans="1:27">
      <c r="A487" s="22"/>
      <c r="B487" s="22"/>
      <c r="C487" s="21" t="str">
        <f>IF(Deployments!H488="","",Deployments!H488)</f>
        <v/>
      </c>
      <c r="D487" s="21" t="str">
        <f>IF(Deployments!AH488="","",Deployments!AH488)</f>
        <v/>
      </c>
      <c r="E487" s="21" t="str">
        <f>IF(Deployments!I488="","",Deployments!I488)</f>
        <v/>
      </c>
      <c r="F487" s="21" t="str">
        <f>IF(Deployments!J488="","",Deployments!J488)</f>
        <v/>
      </c>
      <c r="G487" s="21" t="str">
        <f>IF(Deployments!K488="","",Deployments!K488)</f>
        <v/>
      </c>
      <c r="H487" s="21" t="str">
        <f>IF(Deployments!A488="","",Deployments!A488)</f>
        <v/>
      </c>
      <c r="I487" s="21" t="str">
        <f>IF(Deployments!AI488="","",Deployments!AI488)</f>
        <v/>
      </c>
      <c r="J487" s="21" t="str">
        <f>IF(Deployments!AJ488="","",Deployments!AJ488)</f>
        <v/>
      </c>
      <c r="K487" s="21" t="str">
        <f>IF(Deployments!AD488="","",Deployments!AD488)</f>
        <v/>
      </c>
      <c r="L487" s="21" t="str">
        <f>IF(Deployments!M488="","",Deployments!M488)</f>
        <v/>
      </c>
      <c r="M487" s="22"/>
      <c r="N487" s="21" t="str">
        <f>IF(Deployments!N488="","",Deployments!N488)</f>
        <v/>
      </c>
      <c r="O487" s="21" t="str">
        <f>IF(Deployments!O488="","",Deployments!O488)</f>
        <v/>
      </c>
      <c r="P487" s="21" t="str">
        <f>IF(Deployments!P488="","",Deployments!P488)</f>
        <v/>
      </c>
      <c r="Q487" s="22"/>
      <c r="R487" s="21" t="str">
        <f>IF(Deployments!AY488="","",Deployments!AY488)</f>
        <v/>
      </c>
      <c r="S487" s="21" t="str">
        <f>IF(Deployments!AX488="","",Deployments!AX488)</f>
        <v/>
      </c>
      <c r="T487" s="21" t="str">
        <f>IF(Deployments!AV488="","",Deployments!AV488)</f>
        <v/>
      </c>
      <c r="U487" s="21" t="str">
        <f>IF(Deployments!AW488="","",Deployments!AW488)</f>
        <v/>
      </c>
      <c r="V487" s="21" t="str">
        <f>IF(Deployments!BA488="","",Deployments!BA488)</f>
        <v/>
      </c>
      <c r="W487" s="21" t="str">
        <f>IF(Deployments!BC488="","",Deployments!BC488)</f>
        <v/>
      </c>
      <c r="X487" s="21" t="str">
        <f>IF(Deployments!BK488="","",Deployments!BK488)</f>
        <v/>
      </c>
      <c r="Y487" s="21" t="str">
        <f>IF(Deployments!BB488="","",Deployments!BB488)</f>
        <v/>
      </c>
      <c r="Z487" s="21" t="str">
        <f>IF(Deployments!T488="","",Deployments!T488)</f>
        <v/>
      </c>
      <c r="AA487" s="21" t="str">
        <f>IF(Deployments!L488="","",Deployments!L488)</f>
        <v/>
      </c>
    </row>
    <row r="488" spans="1:27">
      <c r="A488" s="22"/>
      <c r="B488" s="22"/>
      <c r="C488" s="21" t="str">
        <f>IF(Deployments!H489="","",Deployments!H489)</f>
        <v/>
      </c>
      <c r="D488" s="21" t="str">
        <f>IF(Deployments!AH489="","",Deployments!AH489)</f>
        <v/>
      </c>
      <c r="E488" s="21" t="str">
        <f>IF(Deployments!I489="","",Deployments!I489)</f>
        <v/>
      </c>
      <c r="F488" s="21" t="str">
        <f>IF(Deployments!J489="","",Deployments!J489)</f>
        <v/>
      </c>
      <c r="G488" s="21" t="str">
        <f>IF(Deployments!K489="","",Deployments!K489)</f>
        <v/>
      </c>
      <c r="H488" s="21" t="str">
        <f>IF(Deployments!A489="","",Deployments!A489)</f>
        <v/>
      </c>
      <c r="I488" s="21" t="str">
        <f>IF(Deployments!AI489="","",Deployments!AI489)</f>
        <v/>
      </c>
      <c r="J488" s="21" t="str">
        <f>IF(Deployments!AJ489="","",Deployments!AJ489)</f>
        <v/>
      </c>
      <c r="K488" s="21" t="str">
        <f>IF(Deployments!AD489="","",Deployments!AD489)</f>
        <v/>
      </c>
      <c r="L488" s="21" t="str">
        <f>IF(Deployments!M489="","",Deployments!M489)</f>
        <v/>
      </c>
      <c r="M488" s="22"/>
      <c r="N488" s="21" t="str">
        <f>IF(Deployments!N489="","",Deployments!N489)</f>
        <v/>
      </c>
      <c r="O488" s="21" t="str">
        <f>IF(Deployments!O489="","",Deployments!O489)</f>
        <v/>
      </c>
      <c r="P488" s="21" t="str">
        <f>IF(Deployments!P489="","",Deployments!P489)</f>
        <v/>
      </c>
      <c r="Q488" s="22"/>
      <c r="R488" s="21" t="str">
        <f>IF(Deployments!AY489="","",Deployments!AY489)</f>
        <v/>
      </c>
      <c r="S488" s="21" t="str">
        <f>IF(Deployments!AX489="","",Deployments!AX489)</f>
        <v/>
      </c>
      <c r="T488" s="21" t="str">
        <f>IF(Deployments!AV489="","",Deployments!AV489)</f>
        <v/>
      </c>
      <c r="U488" s="21" t="str">
        <f>IF(Deployments!AW489="","",Deployments!AW489)</f>
        <v/>
      </c>
      <c r="V488" s="21" t="str">
        <f>IF(Deployments!BA489="","",Deployments!BA489)</f>
        <v/>
      </c>
      <c r="W488" s="21" t="str">
        <f>IF(Deployments!BC489="","",Deployments!BC489)</f>
        <v/>
      </c>
      <c r="X488" s="21" t="str">
        <f>IF(Deployments!BK489="","",Deployments!BK489)</f>
        <v/>
      </c>
      <c r="Y488" s="21" t="str">
        <f>IF(Deployments!BB489="","",Deployments!BB489)</f>
        <v/>
      </c>
      <c r="Z488" s="21" t="str">
        <f>IF(Deployments!T489="","",Deployments!T489)</f>
        <v/>
      </c>
      <c r="AA488" s="21" t="str">
        <f>IF(Deployments!L489="","",Deployments!L489)</f>
        <v/>
      </c>
    </row>
    <row r="489" spans="1:27">
      <c r="A489" s="22"/>
      <c r="B489" s="22"/>
      <c r="C489" s="21" t="str">
        <f>IF(Deployments!H490="","",Deployments!H490)</f>
        <v/>
      </c>
      <c r="D489" s="21" t="str">
        <f>IF(Deployments!AH490="","",Deployments!AH490)</f>
        <v/>
      </c>
      <c r="E489" s="21" t="str">
        <f>IF(Deployments!I490="","",Deployments!I490)</f>
        <v/>
      </c>
      <c r="F489" s="21" t="str">
        <f>IF(Deployments!J490="","",Deployments!J490)</f>
        <v/>
      </c>
      <c r="G489" s="21" t="str">
        <f>IF(Deployments!K490="","",Deployments!K490)</f>
        <v/>
      </c>
      <c r="H489" s="21" t="str">
        <f>IF(Deployments!A490="","",Deployments!A490)</f>
        <v/>
      </c>
      <c r="I489" s="21" t="str">
        <f>IF(Deployments!AI490="","",Deployments!AI490)</f>
        <v/>
      </c>
      <c r="J489" s="21" t="str">
        <f>IF(Deployments!AJ490="","",Deployments!AJ490)</f>
        <v/>
      </c>
      <c r="K489" s="21" t="str">
        <f>IF(Deployments!AD490="","",Deployments!AD490)</f>
        <v/>
      </c>
      <c r="L489" s="21" t="str">
        <f>IF(Deployments!M490="","",Deployments!M490)</f>
        <v/>
      </c>
      <c r="M489" s="22"/>
      <c r="N489" s="21" t="str">
        <f>IF(Deployments!N490="","",Deployments!N490)</f>
        <v/>
      </c>
      <c r="O489" s="21" t="str">
        <f>IF(Deployments!O490="","",Deployments!O490)</f>
        <v/>
      </c>
      <c r="P489" s="21" t="str">
        <f>IF(Deployments!P490="","",Deployments!P490)</f>
        <v/>
      </c>
      <c r="Q489" s="22"/>
      <c r="R489" s="21" t="str">
        <f>IF(Deployments!AY490="","",Deployments!AY490)</f>
        <v/>
      </c>
      <c r="S489" s="21" t="str">
        <f>IF(Deployments!AX490="","",Deployments!AX490)</f>
        <v/>
      </c>
      <c r="T489" s="21" t="str">
        <f>IF(Deployments!AV490="","",Deployments!AV490)</f>
        <v/>
      </c>
      <c r="U489" s="21" t="str">
        <f>IF(Deployments!AW490="","",Deployments!AW490)</f>
        <v/>
      </c>
      <c r="V489" s="21" t="str">
        <f>IF(Deployments!BA490="","",Deployments!BA490)</f>
        <v/>
      </c>
      <c r="W489" s="21" t="str">
        <f>IF(Deployments!BC490="","",Deployments!BC490)</f>
        <v/>
      </c>
      <c r="X489" s="21" t="str">
        <f>IF(Deployments!BK490="","",Deployments!BK490)</f>
        <v/>
      </c>
      <c r="Y489" s="21" t="str">
        <f>IF(Deployments!BB490="","",Deployments!BB490)</f>
        <v/>
      </c>
      <c r="Z489" s="21" t="str">
        <f>IF(Deployments!T490="","",Deployments!T490)</f>
        <v/>
      </c>
      <c r="AA489" s="21" t="str">
        <f>IF(Deployments!L490="","",Deployments!L490)</f>
        <v/>
      </c>
    </row>
    <row r="490" spans="1:27">
      <c r="A490" s="22"/>
      <c r="B490" s="22"/>
      <c r="C490" s="21" t="str">
        <f>IF(Deployments!H491="","",Deployments!H491)</f>
        <v/>
      </c>
      <c r="D490" s="21" t="str">
        <f>IF(Deployments!AH491="","",Deployments!AH491)</f>
        <v/>
      </c>
      <c r="E490" s="21" t="str">
        <f>IF(Deployments!I491="","",Deployments!I491)</f>
        <v/>
      </c>
      <c r="F490" s="21" t="str">
        <f>IF(Deployments!J491="","",Deployments!J491)</f>
        <v/>
      </c>
      <c r="G490" s="21" t="str">
        <f>IF(Deployments!K491="","",Deployments!K491)</f>
        <v/>
      </c>
      <c r="H490" s="21" t="str">
        <f>IF(Deployments!A491="","",Deployments!A491)</f>
        <v/>
      </c>
      <c r="I490" s="21" t="str">
        <f>IF(Deployments!AI491="","",Deployments!AI491)</f>
        <v/>
      </c>
      <c r="J490" s="21" t="str">
        <f>IF(Deployments!AJ491="","",Deployments!AJ491)</f>
        <v/>
      </c>
      <c r="K490" s="21" t="str">
        <f>IF(Deployments!AD491="","",Deployments!AD491)</f>
        <v/>
      </c>
      <c r="L490" s="21" t="str">
        <f>IF(Deployments!M491="","",Deployments!M491)</f>
        <v/>
      </c>
      <c r="M490" s="22"/>
      <c r="N490" s="21" t="str">
        <f>IF(Deployments!N491="","",Deployments!N491)</f>
        <v/>
      </c>
      <c r="O490" s="21" t="str">
        <f>IF(Deployments!O491="","",Deployments!O491)</f>
        <v/>
      </c>
      <c r="P490" s="21" t="str">
        <f>IF(Deployments!P491="","",Deployments!P491)</f>
        <v/>
      </c>
      <c r="Q490" s="22"/>
      <c r="R490" s="21" t="str">
        <f>IF(Deployments!AY491="","",Deployments!AY491)</f>
        <v/>
      </c>
      <c r="S490" s="21" t="str">
        <f>IF(Deployments!AX491="","",Deployments!AX491)</f>
        <v/>
      </c>
      <c r="T490" s="21" t="str">
        <f>IF(Deployments!AV491="","",Deployments!AV491)</f>
        <v/>
      </c>
      <c r="U490" s="21" t="str">
        <f>IF(Deployments!AW491="","",Deployments!AW491)</f>
        <v/>
      </c>
      <c r="V490" s="21" t="str">
        <f>IF(Deployments!BA491="","",Deployments!BA491)</f>
        <v/>
      </c>
      <c r="W490" s="21" t="str">
        <f>IF(Deployments!BC491="","",Deployments!BC491)</f>
        <v/>
      </c>
      <c r="X490" s="21" t="str">
        <f>IF(Deployments!BK491="","",Deployments!BK491)</f>
        <v/>
      </c>
      <c r="Y490" s="21" t="str">
        <f>IF(Deployments!BB491="","",Deployments!BB491)</f>
        <v/>
      </c>
      <c r="Z490" s="21" t="str">
        <f>IF(Deployments!T491="","",Deployments!T491)</f>
        <v/>
      </c>
      <c r="AA490" s="21" t="str">
        <f>IF(Deployments!L491="","",Deployments!L491)</f>
        <v/>
      </c>
    </row>
    <row r="491" spans="1:27">
      <c r="A491" s="22"/>
      <c r="B491" s="22"/>
      <c r="C491" s="21" t="str">
        <f>IF(Deployments!H492="","",Deployments!H492)</f>
        <v/>
      </c>
      <c r="D491" s="21" t="str">
        <f>IF(Deployments!AH492="","",Deployments!AH492)</f>
        <v/>
      </c>
      <c r="E491" s="21" t="str">
        <f>IF(Deployments!I492="","",Deployments!I492)</f>
        <v/>
      </c>
      <c r="F491" s="21" t="str">
        <f>IF(Deployments!J492="","",Deployments!J492)</f>
        <v/>
      </c>
      <c r="G491" s="21" t="str">
        <f>IF(Deployments!K492="","",Deployments!K492)</f>
        <v/>
      </c>
      <c r="H491" s="21" t="str">
        <f>IF(Deployments!A492="","",Deployments!A492)</f>
        <v/>
      </c>
      <c r="I491" s="21" t="str">
        <f>IF(Deployments!AI492="","",Deployments!AI492)</f>
        <v/>
      </c>
      <c r="J491" s="21" t="str">
        <f>IF(Deployments!AJ492="","",Deployments!AJ492)</f>
        <v/>
      </c>
      <c r="K491" s="21" t="str">
        <f>IF(Deployments!AD492="","",Deployments!AD492)</f>
        <v/>
      </c>
      <c r="L491" s="21" t="str">
        <f>IF(Deployments!M492="","",Deployments!M492)</f>
        <v/>
      </c>
      <c r="M491" s="22"/>
      <c r="N491" s="21" t="str">
        <f>IF(Deployments!N492="","",Deployments!N492)</f>
        <v/>
      </c>
      <c r="O491" s="21" t="str">
        <f>IF(Deployments!O492="","",Deployments!O492)</f>
        <v/>
      </c>
      <c r="P491" s="21" t="str">
        <f>IF(Deployments!P492="","",Deployments!P492)</f>
        <v/>
      </c>
      <c r="Q491" s="22"/>
      <c r="R491" s="21" t="str">
        <f>IF(Deployments!AY492="","",Deployments!AY492)</f>
        <v/>
      </c>
      <c r="S491" s="21" t="str">
        <f>IF(Deployments!AX492="","",Deployments!AX492)</f>
        <v/>
      </c>
      <c r="T491" s="21" t="str">
        <f>IF(Deployments!AV492="","",Deployments!AV492)</f>
        <v/>
      </c>
      <c r="U491" s="21" t="str">
        <f>IF(Deployments!AW492="","",Deployments!AW492)</f>
        <v/>
      </c>
      <c r="V491" s="21" t="str">
        <f>IF(Deployments!BA492="","",Deployments!BA492)</f>
        <v/>
      </c>
      <c r="W491" s="21" t="str">
        <f>IF(Deployments!BC492="","",Deployments!BC492)</f>
        <v/>
      </c>
      <c r="X491" s="21" t="str">
        <f>IF(Deployments!BK492="","",Deployments!BK492)</f>
        <v/>
      </c>
      <c r="Y491" s="21" t="str">
        <f>IF(Deployments!BB492="","",Deployments!BB492)</f>
        <v/>
      </c>
      <c r="Z491" s="21" t="str">
        <f>IF(Deployments!T492="","",Deployments!T492)</f>
        <v/>
      </c>
      <c r="AA491" s="21" t="str">
        <f>IF(Deployments!L492="","",Deployments!L492)</f>
        <v/>
      </c>
    </row>
    <row r="492" spans="1:27">
      <c r="A492" s="22"/>
      <c r="B492" s="22"/>
      <c r="C492" s="21" t="str">
        <f>IF(Deployments!H493="","",Deployments!H493)</f>
        <v/>
      </c>
      <c r="D492" s="21" t="str">
        <f>IF(Deployments!AH493="","",Deployments!AH493)</f>
        <v/>
      </c>
      <c r="E492" s="21" t="str">
        <f>IF(Deployments!I493="","",Deployments!I493)</f>
        <v/>
      </c>
      <c r="F492" s="21" t="str">
        <f>IF(Deployments!J493="","",Deployments!J493)</f>
        <v/>
      </c>
      <c r="G492" s="21" t="str">
        <f>IF(Deployments!K493="","",Deployments!K493)</f>
        <v/>
      </c>
      <c r="H492" s="21" t="str">
        <f>IF(Deployments!A493="","",Deployments!A493)</f>
        <v/>
      </c>
      <c r="I492" s="21" t="str">
        <f>IF(Deployments!AI493="","",Deployments!AI493)</f>
        <v/>
      </c>
      <c r="J492" s="21" t="str">
        <f>IF(Deployments!AJ493="","",Deployments!AJ493)</f>
        <v/>
      </c>
      <c r="K492" s="21" t="str">
        <f>IF(Deployments!AD493="","",Deployments!AD493)</f>
        <v/>
      </c>
      <c r="L492" s="21" t="str">
        <f>IF(Deployments!M493="","",Deployments!M493)</f>
        <v/>
      </c>
      <c r="M492" s="22"/>
      <c r="N492" s="21" t="str">
        <f>IF(Deployments!N493="","",Deployments!N493)</f>
        <v/>
      </c>
      <c r="O492" s="21" t="str">
        <f>IF(Deployments!O493="","",Deployments!O493)</f>
        <v/>
      </c>
      <c r="P492" s="21" t="str">
        <f>IF(Deployments!P493="","",Deployments!P493)</f>
        <v/>
      </c>
      <c r="Q492" s="22"/>
      <c r="R492" s="21" t="str">
        <f>IF(Deployments!AY493="","",Deployments!AY493)</f>
        <v/>
      </c>
      <c r="S492" s="21" t="str">
        <f>IF(Deployments!AX493="","",Deployments!AX493)</f>
        <v/>
      </c>
      <c r="T492" s="21" t="str">
        <f>IF(Deployments!AV493="","",Deployments!AV493)</f>
        <v/>
      </c>
      <c r="U492" s="21" t="str">
        <f>IF(Deployments!AW493="","",Deployments!AW493)</f>
        <v/>
      </c>
      <c r="V492" s="21" t="str">
        <f>IF(Deployments!BA493="","",Deployments!BA493)</f>
        <v/>
      </c>
      <c r="W492" s="21" t="str">
        <f>IF(Deployments!BC493="","",Deployments!BC493)</f>
        <v/>
      </c>
      <c r="X492" s="21" t="str">
        <f>IF(Deployments!BK493="","",Deployments!BK493)</f>
        <v/>
      </c>
      <c r="Y492" s="21" t="str">
        <f>IF(Deployments!BB493="","",Deployments!BB493)</f>
        <v/>
      </c>
      <c r="Z492" s="21" t="str">
        <f>IF(Deployments!T493="","",Deployments!T493)</f>
        <v/>
      </c>
      <c r="AA492" s="21" t="str">
        <f>IF(Deployments!L493="","",Deployments!L493)</f>
        <v/>
      </c>
    </row>
    <row r="493" spans="1:27">
      <c r="A493" s="22"/>
      <c r="B493" s="22"/>
      <c r="C493" s="21" t="str">
        <f>IF(Deployments!H494="","",Deployments!H494)</f>
        <v/>
      </c>
      <c r="D493" s="21" t="str">
        <f>IF(Deployments!AH494="","",Deployments!AH494)</f>
        <v/>
      </c>
      <c r="E493" s="21" t="str">
        <f>IF(Deployments!I494="","",Deployments!I494)</f>
        <v/>
      </c>
      <c r="F493" s="21" t="str">
        <f>IF(Deployments!J494="","",Deployments!J494)</f>
        <v/>
      </c>
      <c r="G493" s="21" t="str">
        <f>IF(Deployments!K494="","",Deployments!K494)</f>
        <v/>
      </c>
      <c r="H493" s="21" t="str">
        <f>IF(Deployments!A494="","",Deployments!A494)</f>
        <v/>
      </c>
      <c r="I493" s="21" t="str">
        <f>IF(Deployments!AI494="","",Deployments!AI494)</f>
        <v/>
      </c>
      <c r="J493" s="21" t="str">
        <f>IF(Deployments!AJ494="","",Deployments!AJ494)</f>
        <v/>
      </c>
      <c r="K493" s="21" t="str">
        <f>IF(Deployments!AD494="","",Deployments!AD494)</f>
        <v/>
      </c>
      <c r="L493" s="21" t="str">
        <f>IF(Deployments!M494="","",Deployments!M494)</f>
        <v/>
      </c>
      <c r="M493" s="22"/>
      <c r="N493" s="21" t="str">
        <f>IF(Deployments!N494="","",Deployments!N494)</f>
        <v/>
      </c>
      <c r="O493" s="21" t="str">
        <f>IF(Deployments!O494="","",Deployments!O494)</f>
        <v/>
      </c>
      <c r="P493" s="21" t="str">
        <f>IF(Deployments!P494="","",Deployments!P494)</f>
        <v/>
      </c>
      <c r="Q493" s="22"/>
      <c r="R493" s="21" t="str">
        <f>IF(Deployments!AY494="","",Deployments!AY494)</f>
        <v/>
      </c>
      <c r="S493" s="21" t="str">
        <f>IF(Deployments!AX494="","",Deployments!AX494)</f>
        <v/>
      </c>
      <c r="T493" s="21" t="str">
        <f>IF(Deployments!AV494="","",Deployments!AV494)</f>
        <v/>
      </c>
      <c r="U493" s="21" t="str">
        <f>IF(Deployments!AW494="","",Deployments!AW494)</f>
        <v/>
      </c>
      <c r="V493" s="21" t="str">
        <f>IF(Deployments!BA494="","",Deployments!BA494)</f>
        <v/>
      </c>
      <c r="W493" s="21" t="str">
        <f>IF(Deployments!BC494="","",Deployments!BC494)</f>
        <v/>
      </c>
      <c r="X493" s="21" t="str">
        <f>IF(Deployments!BK494="","",Deployments!BK494)</f>
        <v/>
      </c>
      <c r="Y493" s="21" t="str">
        <f>IF(Deployments!BB494="","",Deployments!BB494)</f>
        <v/>
      </c>
      <c r="Z493" s="21" t="str">
        <f>IF(Deployments!T494="","",Deployments!T494)</f>
        <v/>
      </c>
      <c r="AA493" s="21" t="str">
        <f>IF(Deployments!L494="","",Deployments!L494)</f>
        <v/>
      </c>
    </row>
    <row r="494" spans="1:27">
      <c r="A494" s="22"/>
      <c r="B494" s="22"/>
      <c r="C494" s="21" t="str">
        <f>IF(Deployments!H495="","",Deployments!H495)</f>
        <v/>
      </c>
      <c r="D494" s="21" t="str">
        <f>IF(Deployments!AH495="","",Deployments!AH495)</f>
        <v/>
      </c>
      <c r="E494" s="21" t="str">
        <f>IF(Deployments!I495="","",Deployments!I495)</f>
        <v/>
      </c>
      <c r="F494" s="21" t="str">
        <f>IF(Deployments!J495="","",Deployments!J495)</f>
        <v/>
      </c>
      <c r="G494" s="21" t="str">
        <f>IF(Deployments!K495="","",Deployments!K495)</f>
        <v/>
      </c>
      <c r="H494" s="21" t="str">
        <f>IF(Deployments!A495="","",Deployments!A495)</f>
        <v/>
      </c>
      <c r="I494" s="21" t="str">
        <f>IF(Deployments!AI495="","",Deployments!AI495)</f>
        <v/>
      </c>
      <c r="J494" s="21" t="str">
        <f>IF(Deployments!AJ495="","",Deployments!AJ495)</f>
        <v/>
      </c>
      <c r="K494" s="21" t="str">
        <f>IF(Deployments!AD495="","",Deployments!AD495)</f>
        <v/>
      </c>
      <c r="L494" s="21" t="str">
        <f>IF(Deployments!M495="","",Deployments!M495)</f>
        <v/>
      </c>
      <c r="M494" s="22"/>
      <c r="N494" s="21" t="str">
        <f>IF(Deployments!N495="","",Deployments!N495)</f>
        <v/>
      </c>
      <c r="O494" s="21" t="str">
        <f>IF(Deployments!O495="","",Deployments!O495)</f>
        <v/>
      </c>
      <c r="P494" s="21" t="str">
        <f>IF(Deployments!P495="","",Deployments!P495)</f>
        <v/>
      </c>
      <c r="Q494" s="22"/>
      <c r="R494" s="21" t="str">
        <f>IF(Deployments!AY495="","",Deployments!AY495)</f>
        <v/>
      </c>
      <c r="S494" s="21" t="str">
        <f>IF(Deployments!AX495="","",Deployments!AX495)</f>
        <v/>
      </c>
      <c r="T494" s="21" t="str">
        <f>IF(Deployments!AV495="","",Deployments!AV495)</f>
        <v/>
      </c>
      <c r="U494" s="21" t="str">
        <f>IF(Deployments!AW495="","",Deployments!AW495)</f>
        <v/>
      </c>
      <c r="V494" s="21" t="str">
        <f>IF(Deployments!BA495="","",Deployments!BA495)</f>
        <v/>
      </c>
      <c r="W494" s="21" t="str">
        <f>IF(Deployments!BC495="","",Deployments!BC495)</f>
        <v/>
      </c>
      <c r="X494" s="21" t="str">
        <f>IF(Deployments!BK495="","",Deployments!BK495)</f>
        <v/>
      </c>
      <c r="Y494" s="21" t="str">
        <f>IF(Deployments!BB495="","",Deployments!BB495)</f>
        <v/>
      </c>
      <c r="Z494" s="21" t="str">
        <f>IF(Deployments!T495="","",Deployments!T495)</f>
        <v/>
      </c>
      <c r="AA494" s="21" t="str">
        <f>IF(Deployments!L495="","",Deployments!L495)</f>
        <v/>
      </c>
    </row>
    <row r="495" spans="1:27">
      <c r="A495" s="22"/>
      <c r="B495" s="22"/>
      <c r="C495" s="21" t="str">
        <f>IF(Deployments!H496="","",Deployments!H496)</f>
        <v/>
      </c>
      <c r="D495" s="21" t="str">
        <f>IF(Deployments!AH496="","",Deployments!AH496)</f>
        <v/>
      </c>
      <c r="E495" s="21" t="str">
        <f>IF(Deployments!I496="","",Deployments!I496)</f>
        <v/>
      </c>
      <c r="F495" s="21" t="str">
        <f>IF(Deployments!J496="","",Deployments!J496)</f>
        <v/>
      </c>
      <c r="G495" s="21" t="str">
        <f>IF(Deployments!K496="","",Deployments!K496)</f>
        <v/>
      </c>
      <c r="H495" s="21" t="str">
        <f>IF(Deployments!A496="","",Deployments!A496)</f>
        <v/>
      </c>
      <c r="I495" s="21" t="str">
        <f>IF(Deployments!AI496="","",Deployments!AI496)</f>
        <v/>
      </c>
      <c r="J495" s="21" t="str">
        <f>IF(Deployments!AJ496="","",Deployments!AJ496)</f>
        <v/>
      </c>
      <c r="K495" s="21" t="str">
        <f>IF(Deployments!AD496="","",Deployments!AD496)</f>
        <v/>
      </c>
      <c r="L495" s="21" t="str">
        <f>IF(Deployments!M496="","",Deployments!M496)</f>
        <v/>
      </c>
      <c r="M495" s="22"/>
      <c r="N495" s="21" t="str">
        <f>IF(Deployments!N496="","",Deployments!N496)</f>
        <v/>
      </c>
      <c r="O495" s="21" t="str">
        <f>IF(Deployments!O496="","",Deployments!O496)</f>
        <v/>
      </c>
      <c r="P495" s="21" t="str">
        <f>IF(Deployments!P496="","",Deployments!P496)</f>
        <v/>
      </c>
      <c r="Q495" s="22"/>
      <c r="R495" s="21" t="str">
        <f>IF(Deployments!AY496="","",Deployments!AY496)</f>
        <v/>
      </c>
      <c r="S495" s="21" t="str">
        <f>IF(Deployments!AX496="","",Deployments!AX496)</f>
        <v/>
      </c>
      <c r="T495" s="21" t="str">
        <f>IF(Deployments!AV496="","",Deployments!AV496)</f>
        <v/>
      </c>
      <c r="U495" s="21" t="str">
        <f>IF(Deployments!AW496="","",Deployments!AW496)</f>
        <v/>
      </c>
      <c r="V495" s="21" t="str">
        <f>IF(Deployments!BA496="","",Deployments!BA496)</f>
        <v/>
      </c>
      <c r="W495" s="21" t="str">
        <f>IF(Deployments!BC496="","",Deployments!BC496)</f>
        <v/>
      </c>
      <c r="X495" s="21" t="str">
        <f>IF(Deployments!BK496="","",Deployments!BK496)</f>
        <v/>
      </c>
      <c r="Y495" s="21" t="str">
        <f>IF(Deployments!BB496="","",Deployments!BB496)</f>
        <v/>
      </c>
      <c r="Z495" s="21" t="str">
        <f>IF(Deployments!T496="","",Deployments!T496)</f>
        <v/>
      </c>
      <c r="AA495" s="21" t="str">
        <f>IF(Deployments!L496="","",Deployments!L496)</f>
        <v/>
      </c>
    </row>
    <row r="496" spans="1:27">
      <c r="A496" s="22"/>
      <c r="B496" s="22"/>
      <c r="C496" s="21" t="str">
        <f>IF(Deployments!H497="","",Deployments!H497)</f>
        <v/>
      </c>
      <c r="D496" s="21" t="str">
        <f>IF(Deployments!AH497="","",Deployments!AH497)</f>
        <v/>
      </c>
      <c r="E496" s="21" t="str">
        <f>IF(Deployments!I497="","",Deployments!I497)</f>
        <v/>
      </c>
      <c r="F496" s="21" t="str">
        <f>IF(Deployments!J497="","",Deployments!J497)</f>
        <v/>
      </c>
      <c r="G496" s="21" t="str">
        <f>IF(Deployments!K497="","",Deployments!K497)</f>
        <v/>
      </c>
      <c r="H496" s="21" t="str">
        <f>IF(Deployments!A497="","",Deployments!A497)</f>
        <v/>
      </c>
      <c r="I496" s="21" t="str">
        <f>IF(Deployments!AI497="","",Deployments!AI497)</f>
        <v/>
      </c>
      <c r="J496" s="21" t="str">
        <f>IF(Deployments!AJ497="","",Deployments!AJ497)</f>
        <v/>
      </c>
      <c r="K496" s="21" t="str">
        <f>IF(Deployments!AD497="","",Deployments!AD497)</f>
        <v/>
      </c>
      <c r="L496" s="21" t="str">
        <f>IF(Deployments!M497="","",Deployments!M497)</f>
        <v/>
      </c>
      <c r="M496" s="22"/>
      <c r="N496" s="21" t="str">
        <f>IF(Deployments!N497="","",Deployments!N497)</f>
        <v/>
      </c>
      <c r="O496" s="21" t="str">
        <f>IF(Deployments!O497="","",Deployments!O497)</f>
        <v/>
      </c>
      <c r="P496" s="21" t="str">
        <f>IF(Deployments!P497="","",Deployments!P497)</f>
        <v/>
      </c>
      <c r="Q496" s="22"/>
      <c r="R496" s="21" t="str">
        <f>IF(Deployments!AY497="","",Deployments!AY497)</f>
        <v/>
      </c>
      <c r="S496" s="21" t="str">
        <f>IF(Deployments!AX497="","",Deployments!AX497)</f>
        <v/>
      </c>
      <c r="T496" s="21" t="str">
        <f>IF(Deployments!AV497="","",Deployments!AV497)</f>
        <v/>
      </c>
      <c r="U496" s="21" t="str">
        <f>IF(Deployments!AW497="","",Deployments!AW497)</f>
        <v/>
      </c>
      <c r="V496" s="21" t="str">
        <f>IF(Deployments!BA497="","",Deployments!BA497)</f>
        <v/>
      </c>
      <c r="W496" s="21" t="str">
        <f>IF(Deployments!BC497="","",Deployments!BC497)</f>
        <v/>
      </c>
      <c r="X496" s="21" t="str">
        <f>IF(Deployments!BK497="","",Deployments!BK497)</f>
        <v/>
      </c>
      <c r="Y496" s="21" t="str">
        <f>IF(Deployments!BB497="","",Deployments!BB497)</f>
        <v/>
      </c>
      <c r="Z496" s="21" t="str">
        <f>IF(Deployments!T497="","",Deployments!T497)</f>
        <v/>
      </c>
      <c r="AA496" s="21" t="str">
        <f>IF(Deployments!L497="","",Deployments!L497)</f>
        <v/>
      </c>
    </row>
    <row r="497" spans="1:27">
      <c r="A497" s="22"/>
      <c r="B497" s="22"/>
      <c r="C497" s="21" t="str">
        <f>IF(Deployments!H498="","",Deployments!H498)</f>
        <v/>
      </c>
      <c r="D497" s="21" t="str">
        <f>IF(Deployments!AH498="","",Deployments!AH498)</f>
        <v/>
      </c>
      <c r="E497" s="21" t="str">
        <f>IF(Deployments!I498="","",Deployments!I498)</f>
        <v/>
      </c>
      <c r="F497" s="21" t="str">
        <f>IF(Deployments!J498="","",Deployments!J498)</f>
        <v/>
      </c>
      <c r="G497" s="21" t="str">
        <f>IF(Deployments!K498="","",Deployments!K498)</f>
        <v/>
      </c>
      <c r="H497" s="21" t="str">
        <f>IF(Deployments!A498="","",Deployments!A498)</f>
        <v/>
      </c>
      <c r="I497" s="21" t="str">
        <f>IF(Deployments!AI498="","",Deployments!AI498)</f>
        <v/>
      </c>
      <c r="J497" s="21" t="str">
        <f>IF(Deployments!AJ498="","",Deployments!AJ498)</f>
        <v/>
      </c>
      <c r="K497" s="21" t="str">
        <f>IF(Deployments!AD498="","",Deployments!AD498)</f>
        <v/>
      </c>
      <c r="L497" s="21" t="str">
        <f>IF(Deployments!M498="","",Deployments!M498)</f>
        <v/>
      </c>
      <c r="M497" s="22"/>
      <c r="N497" s="21" t="str">
        <f>IF(Deployments!N498="","",Deployments!N498)</f>
        <v/>
      </c>
      <c r="O497" s="21" t="str">
        <f>IF(Deployments!O498="","",Deployments!O498)</f>
        <v/>
      </c>
      <c r="P497" s="21" t="str">
        <f>IF(Deployments!P498="","",Deployments!P498)</f>
        <v/>
      </c>
      <c r="Q497" s="22"/>
      <c r="R497" s="21" t="str">
        <f>IF(Deployments!AY498="","",Deployments!AY498)</f>
        <v/>
      </c>
      <c r="S497" s="21" t="str">
        <f>IF(Deployments!AX498="","",Deployments!AX498)</f>
        <v/>
      </c>
      <c r="T497" s="21" t="str">
        <f>IF(Deployments!AV498="","",Deployments!AV498)</f>
        <v/>
      </c>
      <c r="U497" s="21" t="str">
        <f>IF(Deployments!AW498="","",Deployments!AW498)</f>
        <v/>
      </c>
      <c r="V497" s="21" t="str">
        <f>IF(Deployments!BA498="","",Deployments!BA498)</f>
        <v/>
      </c>
      <c r="W497" s="21" t="str">
        <f>IF(Deployments!BC498="","",Deployments!BC498)</f>
        <v/>
      </c>
      <c r="X497" s="21" t="str">
        <f>IF(Deployments!BK498="","",Deployments!BK498)</f>
        <v/>
      </c>
      <c r="Y497" s="21" t="str">
        <f>IF(Deployments!BB498="","",Deployments!BB498)</f>
        <v/>
      </c>
      <c r="Z497" s="21" t="str">
        <f>IF(Deployments!T498="","",Deployments!T498)</f>
        <v/>
      </c>
      <c r="AA497" s="21" t="str">
        <f>IF(Deployments!L498="","",Deployments!L498)</f>
        <v/>
      </c>
    </row>
    <row r="498" spans="1:27">
      <c r="A498" s="22"/>
      <c r="B498" s="22"/>
      <c r="C498" s="21" t="str">
        <f>IF(Deployments!H499="","",Deployments!H499)</f>
        <v/>
      </c>
      <c r="D498" s="21" t="str">
        <f>IF(Deployments!AH499="","",Deployments!AH499)</f>
        <v/>
      </c>
      <c r="E498" s="21" t="str">
        <f>IF(Deployments!I499="","",Deployments!I499)</f>
        <v/>
      </c>
      <c r="F498" s="21" t="str">
        <f>IF(Deployments!J499="","",Deployments!J499)</f>
        <v/>
      </c>
      <c r="G498" s="21" t="str">
        <f>IF(Deployments!K499="","",Deployments!K499)</f>
        <v/>
      </c>
      <c r="H498" s="21" t="str">
        <f>IF(Deployments!A499="","",Deployments!A499)</f>
        <v/>
      </c>
      <c r="I498" s="21" t="str">
        <f>IF(Deployments!AI499="","",Deployments!AI499)</f>
        <v/>
      </c>
      <c r="J498" s="21" t="str">
        <f>IF(Deployments!AJ499="","",Deployments!AJ499)</f>
        <v/>
      </c>
      <c r="K498" s="21" t="str">
        <f>IF(Deployments!AD499="","",Deployments!AD499)</f>
        <v/>
      </c>
      <c r="L498" s="21" t="str">
        <f>IF(Deployments!M499="","",Deployments!M499)</f>
        <v/>
      </c>
      <c r="M498" s="22"/>
      <c r="N498" s="21" t="str">
        <f>IF(Deployments!N499="","",Deployments!N499)</f>
        <v/>
      </c>
      <c r="O498" s="21" t="str">
        <f>IF(Deployments!O499="","",Deployments!O499)</f>
        <v/>
      </c>
      <c r="P498" s="21" t="str">
        <f>IF(Deployments!P499="","",Deployments!P499)</f>
        <v/>
      </c>
      <c r="Q498" s="22"/>
      <c r="R498" s="21" t="str">
        <f>IF(Deployments!AY499="","",Deployments!AY499)</f>
        <v/>
      </c>
      <c r="S498" s="21" t="str">
        <f>IF(Deployments!AX499="","",Deployments!AX499)</f>
        <v/>
      </c>
      <c r="T498" s="21" t="str">
        <f>IF(Deployments!AV499="","",Deployments!AV499)</f>
        <v/>
      </c>
      <c r="U498" s="21" t="str">
        <f>IF(Deployments!AW499="","",Deployments!AW499)</f>
        <v/>
      </c>
      <c r="V498" s="21" t="str">
        <f>IF(Deployments!BA499="","",Deployments!BA499)</f>
        <v/>
      </c>
      <c r="W498" s="21" t="str">
        <f>IF(Deployments!BC499="","",Deployments!BC499)</f>
        <v/>
      </c>
      <c r="X498" s="21" t="str">
        <f>IF(Deployments!BK499="","",Deployments!BK499)</f>
        <v/>
      </c>
      <c r="Y498" s="21" t="str">
        <f>IF(Deployments!BB499="","",Deployments!BB499)</f>
        <v/>
      </c>
      <c r="Z498" s="21" t="str">
        <f>IF(Deployments!T499="","",Deployments!T499)</f>
        <v/>
      </c>
      <c r="AA498" s="21" t="str">
        <f>IF(Deployments!L499="","",Deployments!L499)</f>
        <v/>
      </c>
    </row>
    <row r="499" spans="1:27">
      <c r="A499" s="22"/>
      <c r="B499" s="22"/>
      <c r="C499" s="21" t="str">
        <f>IF(Deployments!H500="","",Deployments!H500)</f>
        <v/>
      </c>
      <c r="D499" s="21" t="str">
        <f>IF(Deployments!AH500="","",Deployments!AH500)</f>
        <v/>
      </c>
      <c r="E499" s="21" t="str">
        <f>IF(Deployments!I500="","",Deployments!I500)</f>
        <v/>
      </c>
      <c r="F499" s="21" t="str">
        <f>IF(Deployments!J500="","",Deployments!J500)</f>
        <v/>
      </c>
      <c r="G499" s="21" t="str">
        <f>IF(Deployments!K500="","",Deployments!K500)</f>
        <v/>
      </c>
      <c r="H499" s="21" t="str">
        <f>IF(Deployments!A500="","",Deployments!A500)</f>
        <v/>
      </c>
      <c r="I499" s="21" t="str">
        <f>IF(Deployments!AI500="","",Deployments!AI500)</f>
        <v/>
      </c>
      <c r="J499" s="21" t="str">
        <f>IF(Deployments!AJ500="","",Deployments!AJ500)</f>
        <v/>
      </c>
      <c r="K499" s="21" t="str">
        <f>IF(Deployments!AD500="","",Deployments!AD500)</f>
        <v/>
      </c>
      <c r="L499" s="21" t="str">
        <f>IF(Deployments!M500="","",Deployments!M500)</f>
        <v/>
      </c>
      <c r="M499" s="22"/>
      <c r="N499" s="21" t="str">
        <f>IF(Deployments!N500="","",Deployments!N500)</f>
        <v/>
      </c>
      <c r="O499" s="21" t="str">
        <f>IF(Deployments!O500="","",Deployments!O500)</f>
        <v/>
      </c>
      <c r="P499" s="21" t="str">
        <f>IF(Deployments!P500="","",Deployments!P500)</f>
        <v/>
      </c>
      <c r="Q499" s="22"/>
      <c r="R499" s="21" t="str">
        <f>IF(Deployments!AY500="","",Deployments!AY500)</f>
        <v/>
      </c>
      <c r="S499" s="21" t="str">
        <f>IF(Deployments!AX500="","",Deployments!AX500)</f>
        <v/>
      </c>
      <c r="T499" s="21" t="str">
        <f>IF(Deployments!AV500="","",Deployments!AV500)</f>
        <v/>
      </c>
      <c r="U499" s="21" t="str">
        <f>IF(Deployments!AW500="","",Deployments!AW500)</f>
        <v/>
      </c>
      <c r="V499" s="21" t="str">
        <f>IF(Deployments!BA500="","",Deployments!BA500)</f>
        <v/>
      </c>
      <c r="W499" s="21" t="str">
        <f>IF(Deployments!BC500="","",Deployments!BC500)</f>
        <v/>
      </c>
      <c r="X499" s="21" t="str">
        <f>IF(Deployments!BK500="","",Deployments!BK500)</f>
        <v/>
      </c>
      <c r="Y499" s="21" t="str">
        <f>IF(Deployments!BB500="","",Deployments!BB500)</f>
        <v/>
      </c>
      <c r="Z499" s="21" t="str">
        <f>IF(Deployments!T500="","",Deployments!T500)</f>
        <v/>
      </c>
      <c r="AA499" s="21" t="str">
        <f>IF(Deployments!L500="","",Deployments!L500)</f>
        <v/>
      </c>
    </row>
    <row r="500" spans="1:27">
      <c r="A500" s="22"/>
      <c r="B500" s="22"/>
      <c r="C500" s="21" t="str">
        <f>IF(Deployments!H501="","",Deployments!H501)</f>
        <v/>
      </c>
      <c r="D500" s="21" t="str">
        <f>IF(Deployments!AH501="","",Deployments!AH501)</f>
        <v/>
      </c>
      <c r="E500" s="21" t="str">
        <f>IF(Deployments!I501="","",Deployments!I501)</f>
        <v/>
      </c>
      <c r="F500" s="21" t="str">
        <f>IF(Deployments!J501="","",Deployments!J501)</f>
        <v/>
      </c>
      <c r="G500" s="21" t="str">
        <f>IF(Deployments!K501="","",Deployments!K501)</f>
        <v/>
      </c>
      <c r="H500" s="21" t="str">
        <f>IF(Deployments!A501="","",Deployments!A501)</f>
        <v/>
      </c>
      <c r="I500" s="21" t="str">
        <f>IF(Deployments!AI501="","",Deployments!AI501)</f>
        <v/>
      </c>
      <c r="J500" s="21" t="str">
        <f>IF(Deployments!AJ501="","",Deployments!AJ501)</f>
        <v/>
      </c>
      <c r="K500" s="21" t="str">
        <f>IF(Deployments!AD501="","",Deployments!AD501)</f>
        <v/>
      </c>
      <c r="L500" s="21" t="str">
        <f>IF(Deployments!M501="","",Deployments!M501)</f>
        <v/>
      </c>
      <c r="M500" s="22"/>
      <c r="N500" s="21" t="str">
        <f>IF(Deployments!N501="","",Deployments!N501)</f>
        <v/>
      </c>
      <c r="O500" s="21" t="str">
        <f>IF(Deployments!O501="","",Deployments!O501)</f>
        <v/>
      </c>
      <c r="P500" s="21" t="str">
        <f>IF(Deployments!P501="","",Deployments!P501)</f>
        <v/>
      </c>
      <c r="Q500" s="22"/>
      <c r="R500" s="21" t="str">
        <f>IF(Deployments!AY501="","",Deployments!AY501)</f>
        <v/>
      </c>
      <c r="S500" s="21" t="str">
        <f>IF(Deployments!AX501="","",Deployments!AX501)</f>
        <v/>
      </c>
      <c r="T500" s="21" t="str">
        <f>IF(Deployments!AV501="","",Deployments!AV501)</f>
        <v/>
      </c>
      <c r="U500" s="21" t="str">
        <f>IF(Deployments!AW501="","",Deployments!AW501)</f>
        <v/>
      </c>
      <c r="V500" s="21" t="str">
        <f>IF(Deployments!BA501="","",Deployments!BA501)</f>
        <v/>
      </c>
      <c r="W500" s="21" t="str">
        <f>IF(Deployments!BC501="","",Deployments!BC501)</f>
        <v/>
      </c>
      <c r="X500" s="21" t="str">
        <f>IF(Deployments!BK501="","",Deployments!BK501)</f>
        <v/>
      </c>
      <c r="Y500" s="21" t="str">
        <f>IF(Deployments!BB501="","",Deployments!BB501)</f>
        <v/>
      </c>
      <c r="Z500" s="21" t="str">
        <f>IF(Deployments!T501="","",Deployments!T501)</f>
        <v/>
      </c>
      <c r="AA500" s="21" t="str">
        <f>IF(Deployments!L501="","",Deployments!L501)</f>
        <v/>
      </c>
    </row>
    <row r="501" spans="1:27">
      <c r="A501" s="22"/>
      <c r="B501" s="22"/>
      <c r="C501" s="21" t="str">
        <f>IF(Deployments!H502="","",Deployments!H502)</f>
        <v/>
      </c>
      <c r="D501" s="21" t="str">
        <f>IF(Deployments!AH502="","",Deployments!AH502)</f>
        <v/>
      </c>
      <c r="E501" s="21" t="str">
        <f>IF(Deployments!I502="","",Deployments!I502)</f>
        <v/>
      </c>
      <c r="F501" s="21" t="str">
        <f>IF(Deployments!J502="","",Deployments!J502)</f>
        <v/>
      </c>
      <c r="G501" s="21" t="str">
        <f>IF(Deployments!K502="","",Deployments!K502)</f>
        <v/>
      </c>
      <c r="H501" s="21" t="str">
        <f>IF(Deployments!A502="","",Deployments!A502)</f>
        <v/>
      </c>
      <c r="I501" s="21" t="str">
        <f>IF(Deployments!AI502="","",Deployments!AI502)</f>
        <v/>
      </c>
      <c r="J501" s="21" t="str">
        <f>IF(Deployments!AJ502="","",Deployments!AJ502)</f>
        <v/>
      </c>
      <c r="K501" s="21" t="str">
        <f>IF(Deployments!AD502="","",Deployments!AD502)</f>
        <v/>
      </c>
      <c r="L501" s="21" t="str">
        <f>IF(Deployments!M502="","",Deployments!M502)</f>
        <v/>
      </c>
      <c r="M501" s="22"/>
      <c r="N501" s="21" t="str">
        <f>IF(Deployments!N502="","",Deployments!N502)</f>
        <v/>
      </c>
      <c r="O501" s="21" t="str">
        <f>IF(Deployments!O502="","",Deployments!O502)</f>
        <v/>
      </c>
      <c r="P501" s="21" t="str">
        <f>IF(Deployments!P502="","",Deployments!P502)</f>
        <v/>
      </c>
      <c r="Q501" s="22"/>
      <c r="R501" s="21" t="str">
        <f>IF(Deployments!AY502="","",Deployments!AY502)</f>
        <v/>
      </c>
      <c r="S501" s="21" t="str">
        <f>IF(Deployments!AX502="","",Deployments!AX502)</f>
        <v/>
      </c>
      <c r="T501" s="21" t="str">
        <f>IF(Deployments!AV502="","",Deployments!AV502)</f>
        <v/>
      </c>
      <c r="U501" s="21" t="str">
        <f>IF(Deployments!AW502="","",Deployments!AW502)</f>
        <v/>
      </c>
      <c r="V501" s="21" t="str">
        <f>IF(Deployments!BA502="","",Deployments!BA502)</f>
        <v/>
      </c>
      <c r="W501" s="21" t="str">
        <f>IF(Deployments!BC502="","",Deployments!BC502)</f>
        <v/>
      </c>
      <c r="X501" s="21" t="str">
        <f>IF(Deployments!BK502="","",Deployments!BK502)</f>
        <v/>
      </c>
      <c r="Y501" s="21" t="str">
        <f>IF(Deployments!BB502="","",Deployments!BB502)</f>
        <v/>
      </c>
      <c r="Z501" s="21" t="str">
        <f>IF(Deployments!T502="","",Deployments!T502)</f>
        <v/>
      </c>
      <c r="AA501" s="21" t="str">
        <f>IF(Deployments!L502="","",Deployments!L502)</f>
        <v/>
      </c>
    </row>
    <row r="502" spans="1:27">
      <c r="A502" s="22"/>
      <c r="B502" s="22"/>
      <c r="C502" s="21" t="str">
        <f>IF(Deployments!H503="","",Deployments!H503)</f>
        <v/>
      </c>
      <c r="D502" s="21" t="str">
        <f>IF(Deployments!AH503="","",Deployments!AH503)</f>
        <v/>
      </c>
      <c r="E502" s="21" t="str">
        <f>IF(Deployments!I503="","",Deployments!I503)</f>
        <v/>
      </c>
      <c r="F502" s="21" t="str">
        <f>IF(Deployments!J503="","",Deployments!J503)</f>
        <v/>
      </c>
      <c r="G502" s="21" t="str">
        <f>IF(Deployments!K503="","",Deployments!K503)</f>
        <v/>
      </c>
      <c r="H502" s="21" t="str">
        <f>IF(Deployments!A503="","",Deployments!A503)</f>
        <v/>
      </c>
      <c r="I502" s="21" t="str">
        <f>IF(Deployments!AI503="","",Deployments!AI503)</f>
        <v/>
      </c>
      <c r="J502" s="21" t="str">
        <f>IF(Deployments!AJ503="","",Deployments!AJ503)</f>
        <v/>
      </c>
      <c r="K502" s="21" t="str">
        <f>IF(Deployments!AD503="","",Deployments!AD503)</f>
        <v/>
      </c>
      <c r="L502" s="21" t="str">
        <f>IF(Deployments!M503="","",Deployments!M503)</f>
        <v/>
      </c>
      <c r="M502" s="22"/>
      <c r="N502" s="21" t="str">
        <f>IF(Deployments!N503="","",Deployments!N503)</f>
        <v/>
      </c>
      <c r="O502" s="21" t="str">
        <f>IF(Deployments!O503="","",Deployments!O503)</f>
        <v/>
      </c>
      <c r="P502" s="21" t="str">
        <f>IF(Deployments!P503="","",Deployments!P503)</f>
        <v/>
      </c>
      <c r="Q502" s="22"/>
      <c r="R502" s="21" t="str">
        <f>IF(Deployments!AY503="","",Deployments!AY503)</f>
        <v/>
      </c>
      <c r="S502" s="21" t="str">
        <f>IF(Deployments!AX503="","",Deployments!AX503)</f>
        <v/>
      </c>
      <c r="T502" s="21" t="str">
        <f>IF(Deployments!AV503="","",Deployments!AV503)</f>
        <v/>
      </c>
      <c r="U502" s="21" t="str">
        <f>IF(Deployments!AW503="","",Deployments!AW503)</f>
        <v/>
      </c>
      <c r="V502" s="21" t="str">
        <f>IF(Deployments!BA503="","",Deployments!BA503)</f>
        <v/>
      </c>
      <c r="W502" s="21" t="str">
        <f>IF(Deployments!BC503="","",Deployments!BC503)</f>
        <v/>
      </c>
      <c r="X502" s="21" t="str">
        <f>IF(Deployments!BK503="","",Deployments!BK503)</f>
        <v/>
      </c>
      <c r="Y502" s="21" t="str">
        <f>IF(Deployments!BB503="","",Deployments!BB503)</f>
        <v/>
      </c>
      <c r="Z502" s="21" t="str">
        <f>IF(Deployments!T503="","",Deployments!T503)</f>
        <v/>
      </c>
      <c r="AA502" s="21" t="str">
        <f>IF(Deployments!L503="","",Deployments!L503)</f>
        <v/>
      </c>
    </row>
    <row r="503" spans="1:27">
      <c r="A503" s="22"/>
      <c r="B503" s="22"/>
      <c r="C503" s="21" t="str">
        <f>IF(Deployments!H504="","",Deployments!H504)</f>
        <v/>
      </c>
      <c r="D503" s="21" t="str">
        <f>IF(Deployments!AH504="","",Deployments!AH504)</f>
        <v/>
      </c>
      <c r="E503" s="21" t="str">
        <f>IF(Deployments!I504="","",Deployments!I504)</f>
        <v/>
      </c>
      <c r="F503" s="21" t="str">
        <f>IF(Deployments!J504="","",Deployments!J504)</f>
        <v/>
      </c>
      <c r="G503" s="21" t="str">
        <f>IF(Deployments!K504="","",Deployments!K504)</f>
        <v/>
      </c>
      <c r="H503" s="21" t="str">
        <f>IF(Deployments!A504="","",Deployments!A504)</f>
        <v/>
      </c>
      <c r="I503" s="21" t="str">
        <f>IF(Deployments!AI504="","",Deployments!AI504)</f>
        <v/>
      </c>
      <c r="J503" s="21" t="str">
        <f>IF(Deployments!AJ504="","",Deployments!AJ504)</f>
        <v/>
      </c>
      <c r="K503" s="21" t="str">
        <f>IF(Deployments!AD504="","",Deployments!AD504)</f>
        <v/>
      </c>
      <c r="L503" s="21" t="str">
        <f>IF(Deployments!M504="","",Deployments!M504)</f>
        <v/>
      </c>
      <c r="M503" s="22"/>
      <c r="N503" s="21" t="str">
        <f>IF(Deployments!N504="","",Deployments!N504)</f>
        <v/>
      </c>
      <c r="O503" s="21" t="str">
        <f>IF(Deployments!O504="","",Deployments!O504)</f>
        <v/>
      </c>
      <c r="P503" s="21" t="str">
        <f>IF(Deployments!P504="","",Deployments!P504)</f>
        <v/>
      </c>
      <c r="Q503" s="22"/>
      <c r="R503" s="21" t="str">
        <f>IF(Deployments!AY504="","",Deployments!AY504)</f>
        <v/>
      </c>
      <c r="S503" s="21" t="str">
        <f>IF(Deployments!AX504="","",Deployments!AX504)</f>
        <v/>
      </c>
      <c r="T503" s="21" t="str">
        <f>IF(Deployments!AV504="","",Deployments!AV504)</f>
        <v/>
      </c>
      <c r="U503" s="21" t="str">
        <f>IF(Deployments!AW504="","",Deployments!AW504)</f>
        <v/>
      </c>
      <c r="V503" s="21" t="str">
        <f>IF(Deployments!BA504="","",Deployments!BA504)</f>
        <v/>
      </c>
      <c r="W503" s="21" t="str">
        <f>IF(Deployments!BC504="","",Deployments!BC504)</f>
        <v/>
      </c>
      <c r="X503" s="21" t="str">
        <f>IF(Deployments!BK504="","",Deployments!BK504)</f>
        <v/>
      </c>
      <c r="Y503" s="21" t="str">
        <f>IF(Deployments!BB504="","",Deployments!BB504)</f>
        <v/>
      </c>
      <c r="Z503" s="21" t="str">
        <f>IF(Deployments!T504="","",Deployments!T504)</f>
        <v/>
      </c>
      <c r="AA503" s="21" t="str">
        <f>IF(Deployments!L504="","",Deployments!L504)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1340</v>
      </c>
      <c r="B1" s="42" t="s">
        <v>1364</v>
      </c>
      <c r="C1" s="42" t="s">
        <v>1365</v>
      </c>
      <c r="D1" s="42" t="s">
        <v>1346</v>
      </c>
      <c r="E1" s="42" t="s">
        <v>1350</v>
      </c>
      <c r="F1" s="42" t="s">
        <v>1351</v>
      </c>
      <c r="G1" s="42" t="s">
        <v>1352</v>
      </c>
      <c r="H1" s="42" t="s">
        <v>1349</v>
      </c>
      <c r="I1" s="42" t="s">
        <v>1366</v>
      </c>
      <c r="J1" s="42" t="s">
        <v>1367</v>
      </c>
      <c r="K1" s="42" t="s">
        <v>1368</v>
      </c>
      <c r="L1" s="42" t="s">
        <v>1361</v>
      </c>
      <c r="M1" s="42" t="s">
        <v>1362</v>
      </c>
      <c r="N1" s="42" t="s">
        <v>1360</v>
      </c>
      <c r="O1" s="42" t="s">
        <v>1369</v>
      </c>
      <c r="P1" s="42" t="s">
        <v>1358</v>
      </c>
      <c r="Q1" s="42" t="s">
        <v>1370</v>
      </c>
      <c r="R1" s="42" t="s">
        <v>1371</v>
      </c>
      <c r="S1" s="42" t="s">
        <v>1372</v>
      </c>
      <c r="T1" s="42" t="s">
        <v>1373</v>
      </c>
    </row>
    <row r="2" spans="1:20">
      <c r="A2" s="23" t="str">
        <f>Deployments!H2</f>
        <v>LIJ SDF</v>
      </c>
      <c r="B2" s="23" t="str">
        <f>Deployments!V2</f>
        <v>LIJ-SDF-MACH-A</v>
      </c>
      <c r="C2" s="23" t="str">
        <f>Deployments!W2</f>
        <v>A0F5097FEC20</v>
      </c>
      <c r="D2" s="15" t="str">
        <f>Deployments!AJ2</f>
        <v>2008T</v>
      </c>
      <c r="E2" s="15" t="str">
        <f>Deployments!N2</f>
        <v>NA</v>
      </c>
      <c r="F2" s="23" t="str">
        <f>Deployments!O2</f>
        <v>NA</v>
      </c>
      <c r="G2" s="15" t="str">
        <f>Deployments!P2</f>
        <v>NA</v>
      </c>
      <c r="H2" s="15">
        <f>'13 - Config_Intake_View'!M2</f>
        <v>0</v>
      </c>
      <c r="I2" s="23" t="str">
        <f>IF('13 - Config_Intake_View'!Q2&lt;&gt;"",'13 - Config_Intake_View'!Q2,Deployments!BH2)</f>
        <v>test</v>
      </c>
      <c r="J2" s="15" t="str">
        <f>IF('13 - Config_Intake_View'!Q2&lt;&gt;"","PM Approved",IF(Deployments!BH2&lt;&gt;"","Assumed",""))</f>
        <v>Assumed</v>
      </c>
      <c r="K2" s="23" t="str">
        <f>Deployments!BG2</f>
        <v>Yes</v>
      </c>
      <c r="L2" s="15">
        <f>Deployments!T2</f>
        <v>0</v>
      </c>
      <c r="M2" s="15">
        <f>Deployments!L2</f>
        <v>0</v>
      </c>
      <c r="N2" s="15" t="str">
        <f>Deployments!BK2</f>
        <v>Power Cable, Battery, Epic Beans Relay</v>
      </c>
      <c r="O2" s="23" t="str">
        <f>Deployments!BL2</f>
        <v>Epic Beans Relay</v>
      </c>
      <c r="P2" s="2" t="str">
        <f>Deployments!BA2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Deployments!H3</f>
        <v>LIJ SDF</v>
      </c>
      <c r="B3" s="23" t="str">
        <f>Deployments!V3</f>
        <v>LIJ-SDF-MACH-B</v>
      </c>
      <c r="C3" s="23" t="str">
        <f>Deployments!W3</f>
        <v>A0F5097FEEFA</v>
      </c>
      <c r="D3" s="15" t="str">
        <f>Deployments!AJ3</f>
        <v>2008T</v>
      </c>
      <c r="E3" s="15" t="str">
        <f>Deployments!N3</f>
        <v>NA</v>
      </c>
      <c r="F3" s="23" t="str">
        <f>Deployments!O3</f>
        <v>NA</v>
      </c>
      <c r="G3" s="15" t="str">
        <f>Deployments!P3</f>
        <v>NA</v>
      </c>
      <c r="H3" s="15">
        <f>'13 - Config_Intake_View'!M3</f>
        <v>0</v>
      </c>
      <c r="I3" s="23">
        <f>IF('13 - Config_Intake_View'!Q3&lt;&gt;"",'13 - Config_Intake_View'!Q3,Deployments!BH3)</f>
        <v>0</v>
      </c>
      <c r="J3" s="15" t="str">
        <f>IF('13 - Config_Intake_View'!Q3&lt;&gt;"","PM Approved",IF(Deployments!BH3&lt;&gt;"","Assumed",""))</f>
        <v/>
      </c>
      <c r="K3" s="23" t="str">
        <f>Deployments!BG3</f>
        <v>Yes</v>
      </c>
      <c r="L3" s="15">
        <f>Deployments!T3</f>
        <v>0</v>
      </c>
      <c r="M3" s="15">
        <f>Deployments!L3</f>
        <v>0</v>
      </c>
      <c r="N3" s="15" t="str">
        <f>Deployments!BK3</f>
        <v>Power Cable, Battery, Epic Beans Relay</v>
      </c>
      <c r="O3" s="23" t="str">
        <f>Deployments!BL3</f>
        <v>Epic Beans Relay</v>
      </c>
      <c r="P3" s="2" t="str">
        <f>Deployments!BA3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Deployments!H4</f>
        <v>LIJ SDF</v>
      </c>
      <c r="B4" s="23" t="str">
        <f>Deployments!V4</f>
        <v>LIJ-SDF-MACH-C</v>
      </c>
      <c r="C4" s="23" t="str">
        <f>Deployments!W4</f>
        <v>A0F5097B89E1</v>
      </c>
      <c r="D4" s="15" t="str">
        <f>Deployments!AJ4</f>
        <v>2008T</v>
      </c>
      <c r="E4" s="15" t="str">
        <f>Deployments!N4</f>
        <v>NA</v>
      </c>
      <c r="F4" s="23" t="str">
        <f>Deployments!O4</f>
        <v>NA</v>
      </c>
      <c r="G4" s="15" t="str">
        <f>Deployments!P4</f>
        <v>NA</v>
      </c>
      <c r="H4" s="15">
        <f>'13 - Config_Intake_View'!M4</f>
        <v>0</v>
      </c>
      <c r="I4" s="23">
        <f>IF('13 - Config_Intake_View'!Q4&lt;&gt;"",'13 - Config_Intake_View'!Q4,Deployments!BH4)</f>
        <v>0</v>
      </c>
      <c r="J4" s="15" t="str">
        <f>IF('13 - Config_Intake_View'!Q4&lt;&gt;"","PM Approved",IF(Deployments!BH4&lt;&gt;"","Assumed",""))</f>
        <v/>
      </c>
      <c r="K4" s="23" t="str">
        <f>Deployments!BG4</f>
        <v>Yes</v>
      </c>
      <c r="L4" s="15">
        <f>Deployments!T4</f>
        <v>0</v>
      </c>
      <c r="M4" s="15">
        <f>Deployments!L4</f>
        <v>0</v>
      </c>
      <c r="N4" s="15" t="str">
        <f>Deployments!BK4</f>
        <v>Power Cable, Battery, Epic Beans Relay</v>
      </c>
      <c r="O4" s="23" t="str">
        <f>Deployments!BL4</f>
        <v>Epic Beans Relay</v>
      </c>
      <c r="P4" s="2" t="str">
        <f>Deployments!BA4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Deployments!H5</f>
        <v>LIJ SDF</v>
      </c>
      <c r="B5" s="23" t="str">
        <f>Deployments!V5</f>
        <v>LIJ-SDF-MACH-D</v>
      </c>
      <c r="C5" s="23" t="str">
        <f>Deployments!W5</f>
        <v>A0F5097FE484</v>
      </c>
      <c r="D5" s="15" t="str">
        <f>Deployments!AJ5</f>
        <v>2008T</v>
      </c>
      <c r="E5" s="15" t="str">
        <f>Deployments!N5</f>
        <v>NA</v>
      </c>
      <c r="F5" s="23" t="str">
        <f>Deployments!O5</f>
        <v>NA</v>
      </c>
      <c r="G5" s="15" t="str">
        <f>Deployments!P5</f>
        <v>NA</v>
      </c>
      <c r="H5" s="15">
        <f>'13 - Config_Intake_View'!M5</f>
        <v>0</v>
      </c>
      <c r="I5" s="23">
        <f>IF('13 - Config_Intake_View'!Q5&lt;&gt;"",'13 - Config_Intake_View'!Q5,Deployments!BH5)</f>
        <v>0</v>
      </c>
      <c r="J5" s="15" t="str">
        <f>IF('13 - Config_Intake_View'!Q5&lt;&gt;"","PM Approved",IF(Deployments!BH5&lt;&gt;"","Assumed",""))</f>
        <v/>
      </c>
      <c r="K5" s="23" t="str">
        <f>Deployments!BG5</f>
        <v>Yes</v>
      </c>
      <c r="L5" s="15">
        <f>Deployments!T5</f>
        <v>0</v>
      </c>
      <c r="M5" s="15">
        <f>Deployments!L5</f>
        <v>0</v>
      </c>
      <c r="N5" s="15" t="str">
        <f>Deployments!BK5</f>
        <v>Power Cable, Battery, Epic Beans Relay</v>
      </c>
      <c r="O5" s="23" t="str">
        <f>Deployments!BL5</f>
        <v>Epic Beans Relay</v>
      </c>
      <c r="P5" s="2" t="str">
        <f>Deployments!BA5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Deployments!H6</f>
        <v>LIJ SDF</v>
      </c>
      <c r="B6" s="23" t="str">
        <f>Deployments!V6</f>
        <v>LIJ-SDF-MACH-E</v>
      </c>
      <c r="C6" s="23" t="str">
        <f>Deployments!W6</f>
        <v>A0F5097FF05E</v>
      </c>
      <c r="D6" s="15" t="str">
        <f>Deployments!AJ6</f>
        <v>2008T</v>
      </c>
      <c r="E6" s="15" t="str">
        <f>Deployments!N6</f>
        <v>NA</v>
      </c>
      <c r="F6" s="23" t="str">
        <f>Deployments!O6</f>
        <v>NA</v>
      </c>
      <c r="G6" s="15" t="str">
        <f>Deployments!P6</f>
        <v>NA</v>
      </c>
      <c r="H6" s="15">
        <f>'13 - Config_Intake_View'!M6</f>
        <v>0</v>
      </c>
      <c r="I6" s="23">
        <f>IF('13 - Config_Intake_View'!Q6&lt;&gt;"",'13 - Config_Intake_View'!Q6,Deployments!BH6)</f>
        <v>0</v>
      </c>
      <c r="J6" s="15" t="str">
        <f>IF('13 - Config_Intake_View'!Q6&lt;&gt;"","PM Approved",IF(Deployments!BH6&lt;&gt;"","Assumed",""))</f>
        <v/>
      </c>
      <c r="K6" s="23" t="str">
        <f>Deployments!BG6</f>
        <v>Yes</v>
      </c>
      <c r="L6" s="15">
        <f>Deployments!T6</f>
        <v>0</v>
      </c>
      <c r="M6" s="15">
        <f>Deployments!L6</f>
        <v>0</v>
      </c>
      <c r="N6" s="15" t="str">
        <f>Deployments!BK6</f>
        <v>Power Cable, Battery, Epic Beans Relay</v>
      </c>
      <c r="O6" s="23" t="str">
        <f>Deployments!BL6</f>
        <v>Epic Beans Relay</v>
      </c>
      <c r="P6" s="2" t="str">
        <f>Deployments!BA6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Deployments!H7</f>
        <v>LIJ SDF</v>
      </c>
      <c r="B7" s="23" t="str">
        <f>Deployments!V7</f>
        <v>LIJ-SDF-MACH-F</v>
      </c>
      <c r="C7" s="23" t="str">
        <f>Deployments!W7</f>
        <v>A0F5097FE3A5</v>
      </c>
      <c r="D7" s="15" t="str">
        <f>Deployments!AJ7</f>
        <v>2008T</v>
      </c>
      <c r="E7" s="15" t="str">
        <f>Deployments!N7</f>
        <v>NA</v>
      </c>
      <c r="F7" s="23" t="str">
        <f>Deployments!O7</f>
        <v>NA</v>
      </c>
      <c r="G7" s="15" t="str">
        <f>Deployments!P7</f>
        <v>NA</v>
      </c>
      <c r="H7" s="15">
        <f>'13 - Config_Intake_View'!M7</f>
        <v>0</v>
      </c>
      <c r="I7" s="23">
        <f>IF('13 - Config_Intake_View'!Q7&lt;&gt;"",'13 - Config_Intake_View'!Q7,Deployments!BH7)</f>
        <v>0</v>
      </c>
      <c r="J7" s="15" t="str">
        <f>IF('13 - Config_Intake_View'!Q7&lt;&gt;"","PM Approved",IF(Deployments!BH7&lt;&gt;"","Assumed",""))</f>
        <v/>
      </c>
      <c r="K7" s="23" t="str">
        <f>Deployments!BG7</f>
        <v>Yes</v>
      </c>
      <c r="L7" s="15">
        <f>Deployments!T7</f>
        <v>0</v>
      </c>
      <c r="M7" s="15">
        <f>Deployments!L7</f>
        <v>0</v>
      </c>
      <c r="N7" s="15" t="str">
        <f>Deployments!BK7</f>
        <v>Power Cable, Battery, Epic Beans Relay</v>
      </c>
      <c r="O7" s="23" t="str">
        <f>Deployments!BL7</f>
        <v>Epic Beans Relay</v>
      </c>
      <c r="P7" s="2" t="str">
        <f>Deployments!BA7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Deployments!H8</f>
        <v>LIJ SDF</v>
      </c>
      <c r="B8" s="23" t="str">
        <f>Deployments!V8</f>
        <v>LIJ-SDF-MACH-G</v>
      </c>
      <c r="C8" s="23" t="str">
        <f>Deployments!W8</f>
        <v>A0F5097FE012</v>
      </c>
      <c r="D8" s="15" t="str">
        <f>Deployments!AJ8</f>
        <v>2008T</v>
      </c>
      <c r="E8" s="15" t="str">
        <f>Deployments!N8</f>
        <v>NA</v>
      </c>
      <c r="F8" s="23" t="str">
        <f>Deployments!O8</f>
        <v>NA</v>
      </c>
      <c r="G8" s="15" t="str">
        <f>Deployments!P8</f>
        <v>NA</v>
      </c>
      <c r="H8" s="15">
        <f>'13 - Config_Intake_View'!M8</f>
        <v>0</v>
      </c>
      <c r="I8" s="23">
        <f>IF('13 - Config_Intake_View'!Q8&lt;&gt;"",'13 - Config_Intake_View'!Q8,Deployments!BH8)</f>
        <v>0</v>
      </c>
      <c r="J8" s="15" t="str">
        <f>IF('13 - Config_Intake_View'!Q8&lt;&gt;"","PM Approved",IF(Deployments!BH8&lt;&gt;"","Assumed",""))</f>
        <v/>
      </c>
      <c r="K8" s="23" t="str">
        <f>Deployments!BG8</f>
        <v>Yes</v>
      </c>
      <c r="L8" s="15">
        <f>Deployments!T8</f>
        <v>0</v>
      </c>
      <c r="M8" s="15">
        <f>Deployments!L8</f>
        <v>0</v>
      </c>
      <c r="N8" s="15" t="str">
        <f>Deployments!BK8</f>
        <v>Power Cable, Battery, Epic Beans Relay</v>
      </c>
      <c r="O8" s="23" t="str">
        <f>Deployments!BL8</f>
        <v>Epic Beans Relay</v>
      </c>
      <c r="P8" s="2" t="str">
        <f>Deployments!BA8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Deployments!H9</f>
        <v>LIJ SDF</v>
      </c>
      <c r="B9" s="23" t="str">
        <f>Deployments!V9</f>
        <v>LIJ-SDF-MACH-H</v>
      </c>
      <c r="C9" s="23" t="str">
        <f>Deployments!W9</f>
        <v>A0F5097FEB57</v>
      </c>
      <c r="D9" s="15" t="str">
        <f>Deployments!AJ9</f>
        <v>2008T</v>
      </c>
      <c r="E9" s="15" t="str">
        <f>Deployments!N9</f>
        <v>NA</v>
      </c>
      <c r="F9" s="23" t="str">
        <f>Deployments!O9</f>
        <v>NA</v>
      </c>
      <c r="G9" s="15" t="str">
        <f>Deployments!P9</f>
        <v>NA</v>
      </c>
      <c r="H9" s="15">
        <f>'13 - Config_Intake_View'!M9</f>
        <v>0</v>
      </c>
      <c r="I9" s="23">
        <f>IF('13 - Config_Intake_View'!Q9&lt;&gt;"",'13 - Config_Intake_View'!Q9,Deployments!BH9)</f>
        <v>0</v>
      </c>
      <c r="J9" s="15" t="str">
        <f>IF('13 - Config_Intake_View'!Q9&lt;&gt;"","PM Approved",IF(Deployments!BH9&lt;&gt;"","Assumed",""))</f>
        <v/>
      </c>
      <c r="K9" s="23" t="str">
        <f>Deployments!BG9</f>
        <v>Yes</v>
      </c>
      <c r="L9" s="15">
        <f>Deployments!T9</f>
        <v>0</v>
      </c>
      <c r="M9" s="15">
        <f>Deployments!L9</f>
        <v>0</v>
      </c>
      <c r="N9" s="15" t="str">
        <f>Deployments!BK9</f>
        <v>Power Cable, Battery, Epic Beans Relay</v>
      </c>
      <c r="O9" s="23" t="str">
        <f>Deployments!BL9</f>
        <v>Epic Beans Relay</v>
      </c>
      <c r="P9" s="2" t="str">
        <f>Deployments!BA9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Deployments!H10</f>
        <v>LIJ SDF</v>
      </c>
      <c r="B10" s="23" t="str">
        <f>Deployments!V10</f>
        <v>LIJ-SDF-MACH-I</v>
      </c>
      <c r="C10" s="23" t="str">
        <f>Deployments!W10</f>
        <v>A0F5097FDF60</v>
      </c>
      <c r="D10" s="15" t="str">
        <f>Deployments!AJ10</f>
        <v>2008T</v>
      </c>
      <c r="E10" s="15" t="str">
        <f>Deployments!N10</f>
        <v>NA</v>
      </c>
      <c r="F10" s="23" t="str">
        <f>Deployments!O10</f>
        <v>NA</v>
      </c>
      <c r="G10" s="15" t="str">
        <f>Deployments!P10</f>
        <v>NA</v>
      </c>
      <c r="H10" s="15">
        <f>'13 - Config_Intake_View'!M10</f>
        <v>0</v>
      </c>
      <c r="I10" s="23">
        <f>IF('13 - Config_Intake_View'!Q10&lt;&gt;"",'13 - Config_Intake_View'!Q10,Deployments!BH10)</f>
        <v>0</v>
      </c>
      <c r="J10" s="15" t="str">
        <f>IF('13 - Config_Intake_View'!Q10&lt;&gt;"","PM Approved",IF(Deployments!BH10&lt;&gt;"","Assumed",""))</f>
        <v/>
      </c>
      <c r="K10" s="23" t="str">
        <f>Deployments!BG10</f>
        <v>Yes</v>
      </c>
      <c r="L10" s="15">
        <f>Deployments!T10</f>
        <v>0</v>
      </c>
      <c r="M10" s="15">
        <f>Deployments!L10</f>
        <v>0</v>
      </c>
      <c r="N10" s="15" t="str">
        <f>Deployments!BK10</f>
        <v>Power Cable, Battery, Epic Beans Relay</v>
      </c>
      <c r="O10" s="23" t="str">
        <f>Deployments!BL10</f>
        <v>Epic Beans Relay</v>
      </c>
      <c r="P10" s="2" t="str">
        <f>Deployments!BA10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Deployments!H11</f>
        <v>LIJ SDF</v>
      </c>
      <c r="B11" s="23" t="str">
        <f>Deployments!V11</f>
        <v>LIJ-SDF-MACH-J</v>
      </c>
      <c r="C11" s="23" t="str">
        <f>Deployments!W11</f>
        <v>A0F5097FF17E</v>
      </c>
      <c r="D11" s="15" t="str">
        <f>Deployments!AJ11</f>
        <v>2008T</v>
      </c>
      <c r="E11" s="15" t="str">
        <f>Deployments!N11</f>
        <v>NA</v>
      </c>
      <c r="F11" s="23" t="str">
        <f>Deployments!O11</f>
        <v>NA</v>
      </c>
      <c r="G11" s="15" t="str">
        <f>Deployments!P11</f>
        <v>NA</v>
      </c>
      <c r="H11" s="15">
        <f>'13 - Config_Intake_View'!M11</f>
        <v>0</v>
      </c>
      <c r="I11" s="23">
        <f>IF('13 - Config_Intake_View'!Q11&lt;&gt;"",'13 - Config_Intake_View'!Q11,Deployments!BH11)</f>
        <v>0</v>
      </c>
      <c r="J11" s="15" t="str">
        <f>IF('13 - Config_Intake_View'!Q11&lt;&gt;"","PM Approved",IF(Deployments!BH11&lt;&gt;"","Assumed",""))</f>
        <v/>
      </c>
      <c r="K11" s="23" t="str">
        <f>Deployments!BG11</f>
        <v>Yes</v>
      </c>
      <c r="L11" s="15">
        <f>Deployments!T11</f>
        <v>0</v>
      </c>
      <c r="M11" s="15">
        <f>Deployments!L11</f>
        <v>0</v>
      </c>
      <c r="N11" s="15" t="str">
        <f>Deployments!BK11</f>
        <v>Power Cable, Battery, Epic Beans Relay</v>
      </c>
      <c r="O11" s="23" t="str">
        <f>Deployments!BL11</f>
        <v>Epic Beans Relay</v>
      </c>
      <c r="P11" s="2" t="str">
        <f>Deployments!BA11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Deployments!H12</f>
        <v>LIJ SDF</v>
      </c>
      <c r="B12" s="23" t="str">
        <f>Deployments!V12</f>
        <v>LIJ-SDF-MACH-K</v>
      </c>
      <c r="C12" s="23" t="str">
        <f>Deployments!W12</f>
        <v>A0F5097FDE6F</v>
      </c>
      <c r="D12" s="15" t="str">
        <f>Deployments!AJ12</f>
        <v>2008T</v>
      </c>
      <c r="E12" s="15" t="str">
        <f>Deployments!N12</f>
        <v>NA</v>
      </c>
      <c r="F12" s="23" t="str">
        <f>Deployments!O12</f>
        <v>NA</v>
      </c>
      <c r="G12" s="15" t="str">
        <f>Deployments!P12</f>
        <v>NA</v>
      </c>
      <c r="H12" s="15">
        <f>'13 - Config_Intake_View'!M12</f>
        <v>0</v>
      </c>
      <c r="I12" s="23">
        <f>IF('13 - Config_Intake_View'!Q12&lt;&gt;"",'13 - Config_Intake_View'!Q12,Deployments!BH12)</f>
        <v>0</v>
      </c>
      <c r="J12" s="15" t="str">
        <f>IF('13 - Config_Intake_View'!Q12&lt;&gt;"","PM Approved",IF(Deployments!BH12&lt;&gt;"","Assumed",""))</f>
        <v/>
      </c>
      <c r="K12" s="23" t="str">
        <f>Deployments!BG12</f>
        <v>Yes</v>
      </c>
      <c r="L12" s="15">
        <f>Deployments!T12</f>
        <v>0</v>
      </c>
      <c r="M12" s="15">
        <f>Deployments!L12</f>
        <v>0</v>
      </c>
      <c r="N12" s="15" t="str">
        <f>Deployments!BK12</f>
        <v>Power Cable, Battery, Epic Beans Relay</v>
      </c>
      <c r="O12" s="23" t="str">
        <f>Deployments!BL12</f>
        <v>Epic Beans Relay</v>
      </c>
      <c r="P12" s="2" t="str">
        <f>Deployments!BA12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Deployments!H13</f>
        <v>LIJ SDF</v>
      </c>
      <c r="B13" s="23" t="str">
        <f>Deployments!V13</f>
        <v>LIJ-SDF-MACH-L</v>
      </c>
      <c r="C13" s="23" t="str">
        <f>Deployments!W13</f>
        <v>A0F5097FEFFB</v>
      </c>
      <c r="D13" s="15" t="str">
        <f>Deployments!AJ13</f>
        <v>2008T</v>
      </c>
      <c r="E13" s="15" t="str">
        <f>Deployments!N13</f>
        <v>NA</v>
      </c>
      <c r="F13" s="23" t="str">
        <f>Deployments!O13</f>
        <v>NA</v>
      </c>
      <c r="G13" s="15" t="str">
        <f>Deployments!P13</f>
        <v>NA</v>
      </c>
      <c r="H13" s="15">
        <f>'13 - Config_Intake_View'!M13</f>
        <v>0</v>
      </c>
      <c r="I13" s="23">
        <f>IF('13 - Config_Intake_View'!Q13&lt;&gt;"",'13 - Config_Intake_View'!Q13,Deployments!BH13)</f>
        <v>0</v>
      </c>
      <c r="J13" s="15" t="str">
        <f>IF('13 - Config_Intake_View'!Q13&lt;&gt;"","PM Approved",IF(Deployments!BH13&lt;&gt;"","Assumed",""))</f>
        <v/>
      </c>
      <c r="K13" s="23" t="str">
        <f>Deployments!BG13</f>
        <v>Yes</v>
      </c>
      <c r="L13" s="15">
        <f>Deployments!T13</f>
        <v>0</v>
      </c>
      <c r="M13" s="15">
        <f>Deployments!L13</f>
        <v>0</v>
      </c>
      <c r="N13" s="15" t="str">
        <f>Deployments!BK13</f>
        <v>Power Cable, Battery, Epic Beans Relay</v>
      </c>
      <c r="O13" s="23" t="str">
        <f>Deployments!BL13</f>
        <v>Epic Beans Relay</v>
      </c>
      <c r="P13" s="2" t="str">
        <f>Deployments!BA13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Deployments!H14</f>
        <v>LIJ SDF</v>
      </c>
      <c r="B14" s="23" t="str">
        <f>Deployments!V14</f>
        <v>LIJ-SDF-MACH-M</v>
      </c>
      <c r="C14" s="23" t="str">
        <f>Deployments!W14</f>
        <v>A0F5097FEF3A</v>
      </c>
      <c r="D14" s="15" t="str">
        <f>Deployments!AJ14</f>
        <v>2008T</v>
      </c>
      <c r="E14" s="15" t="str">
        <f>Deployments!N14</f>
        <v>NA</v>
      </c>
      <c r="F14" s="23" t="str">
        <f>Deployments!O14</f>
        <v>NA</v>
      </c>
      <c r="G14" s="15" t="str">
        <f>Deployments!P14</f>
        <v>NA</v>
      </c>
      <c r="H14" s="15">
        <f>'13 - Config_Intake_View'!M14</f>
        <v>0</v>
      </c>
      <c r="I14" s="23">
        <f>IF('13 - Config_Intake_View'!Q14&lt;&gt;"",'13 - Config_Intake_View'!Q14,Deployments!BH14)</f>
        <v>0</v>
      </c>
      <c r="J14" s="15" t="str">
        <f>IF('13 - Config_Intake_View'!Q14&lt;&gt;"","PM Approved",IF(Deployments!BH14&lt;&gt;"","Assumed",""))</f>
        <v/>
      </c>
      <c r="K14" s="23" t="str">
        <f>Deployments!BG14</f>
        <v>Yes</v>
      </c>
      <c r="L14" s="15">
        <f>Deployments!T14</f>
        <v>0</v>
      </c>
      <c r="M14" s="15">
        <f>Deployments!L14</f>
        <v>0</v>
      </c>
      <c r="N14" s="15" t="str">
        <f>Deployments!BK14</f>
        <v>Power Cable, Battery, Epic Beans Relay</v>
      </c>
      <c r="O14" s="23" t="str">
        <f>Deployments!BL14</f>
        <v>Epic Beans Relay</v>
      </c>
      <c r="P14" s="2" t="str">
        <f>Deployments!BA14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Deployments!H15</f>
        <v>LIJ SDF</v>
      </c>
      <c r="B15" s="23" t="str">
        <f>Deployments!V15</f>
        <v>LIJ-SDF-MACH-N</v>
      </c>
      <c r="C15" s="23" t="str">
        <f>Deployments!W15</f>
        <v>A0F5097B98D9</v>
      </c>
      <c r="D15" s="15" t="str">
        <f>Deployments!AJ15</f>
        <v>2008T</v>
      </c>
      <c r="E15" s="15" t="str">
        <f>Deployments!N15</f>
        <v>NA</v>
      </c>
      <c r="F15" s="23" t="str">
        <f>Deployments!O15</f>
        <v>NA</v>
      </c>
      <c r="G15" s="15" t="str">
        <f>Deployments!P15</f>
        <v>NA</v>
      </c>
      <c r="H15" s="15">
        <f>'13 - Config_Intake_View'!M15</f>
        <v>0</v>
      </c>
      <c r="I15" s="23">
        <f>IF('13 - Config_Intake_View'!Q15&lt;&gt;"",'13 - Config_Intake_View'!Q15,Deployments!BH15)</f>
        <v>0</v>
      </c>
      <c r="J15" s="15" t="str">
        <f>IF('13 - Config_Intake_View'!Q15&lt;&gt;"","PM Approved",IF(Deployments!BH15&lt;&gt;"","Assumed",""))</f>
        <v/>
      </c>
      <c r="K15" s="23" t="str">
        <f>Deployments!BG15</f>
        <v>Yes</v>
      </c>
      <c r="L15" s="15">
        <f>Deployments!T15</f>
        <v>0</v>
      </c>
      <c r="M15" s="15">
        <f>Deployments!L15</f>
        <v>0</v>
      </c>
      <c r="N15" s="15" t="str">
        <f>Deployments!BK15</f>
        <v>Power Cable, Battery, Epic Beans Relay</v>
      </c>
      <c r="O15" s="23" t="str">
        <f>Deployments!BL15</f>
        <v>Epic Beans Relay</v>
      </c>
      <c r="P15" s="2" t="str">
        <f>Deployments!BA15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Deployments!H16</f>
        <v>LIJ SDF</v>
      </c>
      <c r="B16" s="23" t="str">
        <f>Deployments!V16</f>
        <v>LIJ-SDF-MACH-O</v>
      </c>
      <c r="C16" s="23" t="str">
        <f>Deployments!W16</f>
        <v>A0F5097BA0A3</v>
      </c>
      <c r="D16" s="15" t="str">
        <f>Deployments!AJ16</f>
        <v>2008T</v>
      </c>
      <c r="E16" s="15" t="str">
        <f>Deployments!N16</f>
        <v>NA</v>
      </c>
      <c r="F16" s="23" t="str">
        <f>Deployments!O16</f>
        <v>NA</v>
      </c>
      <c r="G16" s="15" t="str">
        <f>Deployments!P16</f>
        <v>NA</v>
      </c>
      <c r="H16" s="15">
        <f>'13 - Config_Intake_View'!M16</f>
        <v>0</v>
      </c>
      <c r="I16" s="23">
        <f>IF('13 - Config_Intake_View'!Q16&lt;&gt;"",'13 - Config_Intake_View'!Q16,Deployments!BH16)</f>
        <v>0</v>
      </c>
      <c r="J16" s="15" t="str">
        <f>IF('13 - Config_Intake_View'!Q16&lt;&gt;"","PM Approved",IF(Deployments!BH16&lt;&gt;"","Assumed",""))</f>
        <v/>
      </c>
      <c r="K16" s="23" t="str">
        <f>Deployments!BG16</f>
        <v>Yes</v>
      </c>
      <c r="L16" s="15">
        <f>Deployments!T16</f>
        <v>0</v>
      </c>
      <c r="M16" s="15">
        <f>Deployments!L16</f>
        <v>0</v>
      </c>
      <c r="N16" s="15" t="str">
        <f>Deployments!BK16</f>
        <v>Power Cable, Battery, Epic Beans Relay</v>
      </c>
      <c r="O16" s="23" t="str">
        <f>Deployments!BL16</f>
        <v>Epic Beans Relay</v>
      </c>
      <c r="P16" s="2" t="str">
        <f>Deployments!BA16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Deployments!H17</f>
        <v>LIJ SDF</v>
      </c>
      <c r="B17" s="23" t="str">
        <f>Deployments!V17</f>
        <v>LIJ-SDF-MACH-P</v>
      </c>
      <c r="C17" s="23" t="str">
        <f>Deployments!W17</f>
        <v>A0F5097FE29D</v>
      </c>
      <c r="D17" s="15" t="str">
        <f>Deployments!AJ17</f>
        <v>2008T</v>
      </c>
      <c r="E17" s="15" t="str">
        <f>Deployments!N17</f>
        <v>NA</v>
      </c>
      <c r="F17" s="23" t="str">
        <f>Deployments!O17</f>
        <v>NA</v>
      </c>
      <c r="G17" s="15" t="str">
        <f>Deployments!P17</f>
        <v>NA</v>
      </c>
      <c r="H17" s="15">
        <f>'13 - Config_Intake_View'!M17</f>
        <v>0</v>
      </c>
      <c r="I17" s="23">
        <f>IF('13 - Config_Intake_View'!Q17&lt;&gt;"",'13 - Config_Intake_View'!Q17,Deployments!BH17)</f>
        <v>0</v>
      </c>
      <c r="J17" s="15" t="str">
        <f>IF('13 - Config_Intake_View'!Q17&lt;&gt;"","PM Approved",IF(Deployments!BH17&lt;&gt;"","Assumed",""))</f>
        <v/>
      </c>
      <c r="K17" s="23" t="str">
        <f>Deployments!BG17</f>
        <v>Yes</v>
      </c>
      <c r="L17" s="15">
        <f>Deployments!T17</f>
        <v>0</v>
      </c>
      <c r="M17" s="15">
        <f>Deployments!L17</f>
        <v>0</v>
      </c>
      <c r="N17" s="15" t="str">
        <f>Deployments!BK17</f>
        <v>Power Cable, Battery, Epic Beans Relay</v>
      </c>
      <c r="O17" s="23" t="str">
        <f>Deployments!BL17</f>
        <v>Epic Beans Relay</v>
      </c>
      <c r="P17" s="2" t="str">
        <f>Deployments!BA17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Deployments!H18</f>
        <v>LIJ SDF</v>
      </c>
      <c r="B18" s="23" t="str">
        <f>Deployments!V18</f>
        <v>LIJ-SDF-MACH-Q</v>
      </c>
      <c r="C18" s="23" t="str">
        <f>Deployments!W18</f>
        <v>A0F5097FDF52</v>
      </c>
      <c r="D18" s="15" t="str">
        <f>Deployments!AJ18</f>
        <v>2008T</v>
      </c>
      <c r="E18" s="15" t="str">
        <f>Deployments!N18</f>
        <v>NA</v>
      </c>
      <c r="F18" s="23" t="str">
        <f>Deployments!O18</f>
        <v>NA</v>
      </c>
      <c r="G18" s="15" t="str">
        <f>Deployments!P18</f>
        <v>NA</v>
      </c>
      <c r="H18" s="15">
        <f>'13 - Config_Intake_View'!M18</f>
        <v>0</v>
      </c>
      <c r="I18" s="23">
        <f>IF('13 - Config_Intake_View'!Q18&lt;&gt;"",'13 - Config_Intake_View'!Q18,Deployments!BH18)</f>
        <v>0</v>
      </c>
      <c r="J18" s="15" t="str">
        <f>IF('13 - Config_Intake_View'!Q18&lt;&gt;"","PM Approved",IF(Deployments!BH18&lt;&gt;"","Assumed",""))</f>
        <v/>
      </c>
      <c r="K18" s="23" t="str">
        <f>Deployments!BG18</f>
        <v>Yes</v>
      </c>
      <c r="L18" s="15">
        <f>Deployments!T18</f>
        <v>0</v>
      </c>
      <c r="M18" s="15">
        <f>Deployments!L18</f>
        <v>0</v>
      </c>
      <c r="N18" s="15" t="str">
        <f>Deployments!BK18</f>
        <v>Power Cable, Battery, Epic Beans Relay</v>
      </c>
      <c r="O18" s="23" t="str">
        <f>Deployments!BL18</f>
        <v>Epic Beans Relay</v>
      </c>
      <c r="P18" s="2" t="str">
        <f>Deployments!BA18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Deployments!H19</f>
        <v>LIJ SDF</v>
      </c>
      <c r="B19" s="23" t="str">
        <f>Deployments!V19</f>
        <v>LIJ-SDF-MACH-R</v>
      </c>
      <c r="C19" s="23" t="str">
        <f>Deployments!W19</f>
        <v>A0F5097B99F8</v>
      </c>
      <c r="D19" s="15" t="str">
        <f>Deployments!AJ19</f>
        <v>2008T</v>
      </c>
      <c r="E19" s="15" t="str">
        <f>Deployments!N19</f>
        <v>NA</v>
      </c>
      <c r="F19" s="23" t="str">
        <f>Deployments!O19</f>
        <v>NA</v>
      </c>
      <c r="G19" s="15" t="str">
        <f>Deployments!P19</f>
        <v>NA</v>
      </c>
      <c r="H19" s="15">
        <f>'13 - Config_Intake_View'!M19</f>
        <v>0</v>
      </c>
      <c r="I19" s="23">
        <f>IF('13 - Config_Intake_View'!Q19&lt;&gt;"",'13 - Config_Intake_View'!Q19,Deployments!BH19)</f>
        <v>0</v>
      </c>
      <c r="J19" s="15" t="str">
        <f>IF('13 - Config_Intake_View'!Q19&lt;&gt;"","PM Approved",IF(Deployments!BH19&lt;&gt;"","Assumed",""))</f>
        <v/>
      </c>
      <c r="K19" s="23" t="str">
        <f>Deployments!BG19</f>
        <v>Yes</v>
      </c>
      <c r="L19" s="15">
        <f>Deployments!T19</f>
        <v>0</v>
      </c>
      <c r="M19" s="15">
        <f>Deployments!L19</f>
        <v>0</v>
      </c>
      <c r="N19" s="15" t="str">
        <f>Deployments!BK19</f>
        <v>Power Cable, Battery, Epic Beans Relay</v>
      </c>
      <c r="O19" s="23" t="str">
        <f>Deployments!BL19</f>
        <v>Epic Beans Relay</v>
      </c>
      <c r="P19" s="2" t="str">
        <f>Deployments!BA19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Deployments!H20</f>
        <v>LIJ SDF</v>
      </c>
      <c r="B20" s="23" t="str">
        <f>Deployments!V20</f>
        <v>LIJ-SDF-MACH-S</v>
      </c>
      <c r="C20" s="23" t="str">
        <f>Deployments!W20</f>
        <v>A0F5097B975D</v>
      </c>
      <c r="D20" s="15" t="str">
        <f>Deployments!AJ20</f>
        <v>2008T</v>
      </c>
      <c r="E20" s="15" t="str">
        <f>Deployments!N20</f>
        <v>NA</v>
      </c>
      <c r="F20" s="23" t="str">
        <f>Deployments!O20</f>
        <v>NA</v>
      </c>
      <c r="G20" s="15" t="str">
        <f>Deployments!P20</f>
        <v>NA</v>
      </c>
      <c r="H20" s="15">
        <f>'13 - Config_Intake_View'!M20</f>
        <v>0</v>
      </c>
      <c r="I20" s="23">
        <f>IF('13 - Config_Intake_View'!Q20&lt;&gt;"",'13 - Config_Intake_View'!Q20,Deployments!BH20)</f>
        <v>0</v>
      </c>
      <c r="J20" s="15" t="str">
        <f>IF('13 - Config_Intake_View'!Q20&lt;&gt;"","PM Approved",IF(Deployments!BH20&lt;&gt;"","Assumed",""))</f>
        <v/>
      </c>
      <c r="K20" s="23" t="str">
        <f>Deployments!BG20</f>
        <v>Yes</v>
      </c>
      <c r="L20" s="15">
        <f>Deployments!T20</f>
        <v>0</v>
      </c>
      <c r="M20" s="15">
        <f>Deployments!L20</f>
        <v>0</v>
      </c>
      <c r="N20" s="15" t="str">
        <f>Deployments!BK20</f>
        <v>Power Cable, Battery, Epic Beans Relay</v>
      </c>
      <c r="O20" s="23" t="str">
        <f>Deployments!BL20</f>
        <v>Epic Beans Relay</v>
      </c>
      <c r="P20" s="2" t="str">
        <f>Deployments!BA20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Deployments!H21</f>
        <v>LIJ SDF</v>
      </c>
      <c r="B21" s="23" t="str">
        <f>Deployments!V21</f>
        <v>LIJ-SDF-MACH-T</v>
      </c>
      <c r="C21" s="23" t="str">
        <f>Deployments!W21</f>
        <v>A0F5097BA007</v>
      </c>
      <c r="D21" s="15" t="str">
        <f>Deployments!AJ21</f>
        <v>2008T</v>
      </c>
      <c r="E21" s="15" t="str">
        <f>Deployments!N21</f>
        <v>NA</v>
      </c>
      <c r="F21" s="23" t="str">
        <f>Deployments!O21</f>
        <v>NA</v>
      </c>
      <c r="G21" s="15" t="str">
        <f>Deployments!P21</f>
        <v>NA</v>
      </c>
      <c r="H21" s="15">
        <f>'13 - Config_Intake_View'!M21</f>
        <v>0</v>
      </c>
      <c r="I21" s="23">
        <f>IF('13 - Config_Intake_View'!Q21&lt;&gt;"",'13 - Config_Intake_View'!Q21,Deployments!BH21)</f>
        <v>0</v>
      </c>
      <c r="J21" s="15" t="str">
        <f>IF('13 - Config_Intake_View'!Q21&lt;&gt;"","PM Approved",IF(Deployments!BH21&lt;&gt;"","Assumed",""))</f>
        <v/>
      </c>
      <c r="K21" s="23" t="str">
        <f>Deployments!BG21</f>
        <v>Yes</v>
      </c>
      <c r="L21" s="15">
        <f>Deployments!T21</f>
        <v>0</v>
      </c>
      <c r="M21" s="15">
        <f>Deployments!L21</f>
        <v>0</v>
      </c>
      <c r="N21" s="15" t="str">
        <f>Deployments!BK21</f>
        <v>Power Cable, Battery, Epic Beans Relay</v>
      </c>
      <c r="O21" s="23" t="str">
        <f>Deployments!BL21</f>
        <v>Epic Beans Relay</v>
      </c>
      <c r="P21" s="2" t="str">
        <f>Deployments!BA21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Deployments!H22</f>
        <v>LIJ SDF</v>
      </c>
      <c r="B22" s="23" t="str">
        <f>Deployments!V22</f>
        <v>LIJ-SDF-MACH-U</v>
      </c>
      <c r="C22" s="23" t="str">
        <f>Deployments!W22</f>
        <v>A0F5097B9629</v>
      </c>
      <c r="D22" s="15" t="str">
        <f>Deployments!AJ22</f>
        <v>2008T</v>
      </c>
      <c r="E22" s="15" t="str">
        <f>Deployments!N22</f>
        <v>NA</v>
      </c>
      <c r="F22" s="23" t="str">
        <f>Deployments!O22</f>
        <v>NA</v>
      </c>
      <c r="G22" s="15" t="str">
        <f>Deployments!P22</f>
        <v>NA</v>
      </c>
      <c r="H22" s="15">
        <f>'13 - Config_Intake_View'!M22</f>
        <v>0</v>
      </c>
      <c r="I22" s="23">
        <f>IF('13 - Config_Intake_View'!Q22&lt;&gt;"",'13 - Config_Intake_View'!Q22,Deployments!BH22)</f>
        <v>0</v>
      </c>
      <c r="J22" s="15" t="str">
        <f>IF('13 - Config_Intake_View'!Q22&lt;&gt;"","PM Approved",IF(Deployments!BH22&lt;&gt;"","Assumed",""))</f>
        <v/>
      </c>
      <c r="K22" s="23" t="str">
        <f>Deployments!BG22</f>
        <v>Yes</v>
      </c>
      <c r="L22" s="15">
        <f>Deployments!T22</f>
        <v>0</v>
      </c>
      <c r="M22" s="15">
        <f>Deployments!L22</f>
        <v>0</v>
      </c>
      <c r="N22" s="15" t="str">
        <f>Deployments!BK22</f>
        <v>Power Cable, Battery, Epic Beans Relay</v>
      </c>
      <c r="O22" s="23" t="str">
        <f>Deployments!BL22</f>
        <v>Epic Beans Relay</v>
      </c>
      <c r="P22" s="2" t="str">
        <f>Deployments!BA22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Deployments!H23</f>
        <v>LIJ SDF</v>
      </c>
      <c r="B23" s="23" t="str">
        <f>Deployments!V23</f>
        <v>LIJ-SDF-MACH-V</v>
      </c>
      <c r="C23" s="23" t="str">
        <f>Deployments!W23</f>
        <v>A0F5097B9C84</v>
      </c>
      <c r="D23" s="15" t="str">
        <f>Deployments!AJ23</f>
        <v>2008T</v>
      </c>
      <c r="E23" s="15" t="str">
        <f>Deployments!N23</f>
        <v>NA</v>
      </c>
      <c r="F23" s="23" t="str">
        <f>Deployments!O23</f>
        <v>NA</v>
      </c>
      <c r="G23" s="15" t="str">
        <f>Deployments!P23</f>
        <v>NA</v>
      </c>
      <c r="H23" s="15">
        <f>'13 - Config_Intake_View'!M23</f>
        <v>0</v>
      </c>
      <c r="I23" s="23">
        <f>IF('13 - Config_Intake_View'!Q23&lt;&gt;"",'13 - Config_Intake_View'!Q23,Deployments!BH23)</f>
        <v>0</v>
      </c>
      <c r="J23" s="15" t="str">
        <f>IF('13 - Config_Intake_View'!Q23&lt;&gt;"","PM Approved",IF(Deployments!BH23&lt;&gt;"","Assumed",""))</f>
        <v/>
      </c>
      <c r="K23" s="23" t="str">
        <f>Deployments!BG23</f>
        <v>Yes</v>
      </c>
      <c r="L23" s="15">
        <f>Deployments!T23</f>
        <v>0</v>
      </c>
      <c r="M23" s="15">
        <f>Deployments!L23</f>
        <v>0</v>
      </c>
      <c r="N23" s="15" t="str">
        <f>Deployments!BK23</f>
        <v>Power Cable, Battery, Epic Beans Relay</v>
      </c>
      <c r="O23" s="23" t="str">
        <f>Deployments!BL23</f>
        <v>Epic Beans Relay</v>
      </c>
      <c r="P23" s="2" t="str">
        <f>Deployments!BA23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Deployments!H24</f>
        <v>LIJ SDF</v>
      </c>
      <c r="B24" s="23" t="str">
        <f>Deployments!V24</f>
        <v>LIJ-SDF-MACH-W</v>
      </c>
      <c r="C24" s="23" t="str">
        <f>Deployments!W24</f>
        <v>A0F5097FDD3F</v>
      </c>
      <c r="D24" s="15" t="str">
        <f>Deployments!AJ24</f>
        <v>2008T</v>
      </c>
      <c r="E24" s="15" t="str">
        <f>Deployments!N24</f>
        <v>NA</v>
      </c>
      <c r="F24" s="23" t="str">
        <f>Deployments!O24</f>
        <v>NA</v>
      </c>
      <c r="G24" s="15" t="str">
        <f>Deployments!P24</f>
        <v>NA</v>
      </c>
      <c r="H24" s="15">
        <f>'13 - Config_Intake_View'!M24</f>
        <v>0</v>
      </c>
      <c r="I24" s="23">
        <f>IF('13 - Config_Intake_View'!Q24&lt;&gt;"",'13 - Config_Intake_View'!Q24,Deployments!BH24)</f>
        <v>0</v>
      </c>
      <c r="J24" s="15" t="str">
        <f>IF('13 - Config_Intake_View'!Q24&lt;&gt;"","PM Approved",IF(Deployments!BH24&lt;&gt;"","Assumed",""))</f>
        <v/>
      </c>
      <c r="K24" s="23" t="str">
        <f>Deployments!BG24</f>
        <v>Yes</v>
      </c>
      <c r="L24" s="15">
        <f>Deployments!T24</f>
        <v>0</v>
      </c>
      <c r="M24" s="15">
        <f>Deployments!L24</f>
        <v>0</v>
      </c>
      <c r="N24" s="15" t="str">
        <f>Deployments!BK24</f>
        <v>Power Cable, Battery, Epic Beans Relay</v>
      </c>
      <c r="O24" s="23" t="str">
        <f>Deployments!BL24</f>
        <v>Epic Beans Relay</v>
      </c>
      <c r="P24" s="2" t="str">
        <f>Deployments!BA24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Deployments!H25</f>
        <v>LIJ SDF</v>
      </c>
      <c r="B25" s="23" t="str">
        <f>Deployments!V25</f>
        <v>LIJ-SDF-MACH-X</v>
      </c>
      <c r="C25" s="23" t="str">
        <f>Deployments!W25</f>
        <v>A0F5097FEBFE</v>
      </c>
      <c r="D25" s="15" t="str">
        <f>Deployments!AJ25</f>
        <v>2008T</v>
      </c>
      <c r="E25" s="15" t="str">
        <f>Deployments!N25</f>
        <v>NA</v>
      </c>
      <c r="F25" s="23" t="str">
        <f>Deployments!O25</f>
        <v>NA</v>
      </c>
      <c r="G25" s="15" t="str">
        <f>Deployments!P25</f>
        <v>NA</v>
      </c>
      <c r="H25" s="15">
        <f>'13 - Config_Intake_View'!M25</f>
        <v>0</v>
      </c>
      <c r="I25" s="23">
        <f>IF('13 - Config_Intake_View'!Q25&lt;&gt;"",'13 - Config_Intake_View'!Q25,Deployments!BH25)</f>
        <v>0</v>
      </c>
      <c r="J25" s="15" t="str">
        <f>IF('13 - Config_Intake_View'!Q25&lt;&gt;"","PM Approved",IF(Deployments!BH25&lt;&gt;"","Assumed",""))</f>
        <v/>
      </c>
      <c r="K25" s="23" t="str">
        <f>Deployments!BG25</f>
        <v>Yes</v>
      </c>
      <c r="L25" s="15">
        <f>Deployments!T25</f>
        <v>0</v>
      </c>
      <c r="M25" s="15">
        <f>Deployments!L25</f>
        <v>0</v>
      </c>
      <c r="N25" s="15" t="str">
        <f>Deployments!BK25</f>
        <v>Power Cable, Battery, Epic Beans Relay</v>
      </c>
      <c r="O25" s="23" t="str">
        <f>Deployments!BL25</f>
        <v>Epic Beans Relay</v>
      </c>
      <c r="P25" s="2" t="str">
        <f>Deployments!BA25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Deployments!H26</f>
        <v>LIJ SDF</v>
      </c>
      <c r="B26" s="23" t="str">
        <f>Deployments!V26</f>
        <v>LIJ-SDF-MACH-Y</v>
      </c>
      <c r="C26" s="23" t="str">
        <f>Deployments!W26</f>
        <v>A0F5097B9FA6</v>
      </c>
      <c r="D26" s="15" t="str">
        <f>Deployments!AJ26</f>
        <v>2008T</v>
      </c>
      <c r="E26" s="15" t="str">
        <f>Deployments!N26</f>
        <v>NA</v>
      </c>
      <c r="F26" s="23" t="str">
        <f>Deployments!O26</f>
        <v>NA</v>
      </c>
      <c r="G26" s="15" t="str">
        <f>Deployments!P26</f>
        <v>NA</v>
      </c>
      <c r="H26" s="15">
        <f>'13 - Config_Intake_View'!M26</f>
        <v>0</v>
      </c>
      <c r="I26" s="23">
        <f>IF('13 - Config_Intake_View'!Q26&lt;&gt;"",'13 - Config_Intake_View'!Q26,Deployments!BH26)</f>
        <v>0</v>
      </c>
      <c r="J26" s="15" t="str">
        <f>IF('13 - Config_Intake_View'!Q26&lt;&gt;"","PM Approved",IF(Deployments!BH26&lt;&gt;"","Assumed",""))</f>
        <v/>
      </c>
      <c r="K26" s="23" t="str">
        <f>Deployments!BG26</f>
        <v>Yes</v>
      </c>
      <c r="L26" s="15">
        <f>Deployments!T26</f>
        <v>0</v>
      </c>
      <c r="M26" s="15">
        <f>Deployments!L26</f>
        <v>0</v>
      </c>
      <c r="N26" s="15" t="str">
        <f>Deployments!BK26</f>
        <v>Power Cable, Battery, Epic Beans Relay</v>
      </c>
      <c r="O26" s="23" t="str">
        <f>Deployments!BL26</f>
        <v>Epic Beans Relay</v>
      </c>
      <c r="P26" s="2" t="str">
        <f>Deployments!BA26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Deployments!H27</f>
        <v>LIJ SDF</v>
      </c>
      <c r="B27" s="23" t="str">
        <f>Deployments!V27</f>
        <v>LIJ-SDF-MACH-Z</v>
      </c>
      <c r="C27" s="23" t="str">
        <f>Deployments!W27</f>
        <v>A0F5097B9FB3</v>
      </c>
      <c r="D27" s="15">
        <f>Deployments!AJ27</f>
        <v>0</v>
      </c>
      <c r="E27" s="15" t="str">
        <f>Deployments!N27</f>
        <v>NA</v>
      </c>
      <c r="F27" s="23" t="str">
        <f>Deployments!O27</f>
        <v>NA</v>
      </c>
      <c r="G27" s="15" t="str">
        <f>Deployments!P27</f>
        <v>NA</v>
      </c>
      <c r="H27" s="15">
        <f>'13 - Config_Intake_View'!M27</f>
        <v>0</v>
      </c>
      <c r="I27" s="23">
        <f>IF('13 - Config_Intake_View'!Q27&lt;&gt;"",'13 - Config_Intake_View'!Q27,Deployments!BH27)</f>
        <v>0</v>
      </c>
      <c r="J27" s="15" t="str">
        <f>IF('13 - Config_Intake_View'!Q27&lt;&gt;"","PM Approved",IF(Deployments!BH27&lt;&gt;"","Assumed",""))</f>
        <v/>
      </c>
      <c r="K27" s="23" t="str">
        <f>Deployments!BG27</f>
        <v>Yes</v>
      </c>
      <c r="L27" s="15">
        <f>Deployments!T27</f>
        <v>0</v>
      </c>
      <c r="M27" s="15">
        <f>Deployments!L27</f>
        <v>0</v>
      </c>
      <c r="N27" s="15" t="str">
        <f>Deployments!BK27</f>
        <v>Power Cable, Battery, Epic Beans Relay</v>
      </c>
      <c r="O27" s="23" t="str">
        <f>Deployments!BL27</f>
        <v>Epic Beans Relay</v>
      </c>
      <c r="P27" s="2" t="str">
        <f>Deployments!BA27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Deployments!H28</f>
        <v>LIJ SDF</v>
      </c>
      <c r="B28" s="23" t="str">
        <f>Deployments!V28</f>
        <v>LIJ-SDF-MACH-AA</v>
      </c>
      <c r="C28" s="23" t="str">
        <f>Deployments!W28</f>
        <v>A0F5097BA00D</v>
      </c>
      <c r="D28" s="15">
        <f>Deployments!AJ28</f>
        <v>0</v>
      </c>
      <c r="E28" s="15" t="str">
        <f>Deployments!N28</f>
        <v>NA</v>
      </c>
      <c r="F28" s="23" t="str">
        <f>Deployments!O28</f>
        <v>NA</v>
      </c>
      <c r="G28" s="15" t="str">
        <f>Deployments!P28</f>
        <v>NA</v>
      </c>
      <c r="H28" s="15">
        <f>'13 - Config_Intake_View'!M28</f>
        <v>0</v>
      </c>
      <c r="I28" s="23">
        <f>IF('13 - Config_Intake_View'!Q28&lt;&gt;"",'13 - Config_Intake_View'!Q28,Deployments!BH28)</f>
        <v>0</v>
      </c>
      <c r="J28" s="15" t="str">
        <f>IF('13 - Config_Intake_View'!Q28&lt;&gt;"","PM Approved",IF(Deployments!BH28&lt;&gt;"","Assumed",""))</f>
        <v/>
      </c>
      <c r="K28" s="23" t="str">
        <f>Deployments!BG28</f>
        <v>Yes</v>
      </c>
      <c r="L28" s="15">
        <f>Deployments!T28</f>
        <v>0</v>
      </c>
      <c r="M28" s="15">
        <f>Deployments!L28</f>
        <v>0</v>
      </c>
      <c r="N28" s="15" t="str">
        <f>Deployments!BK28</f>
        <v>Power Cable, Battery, Epic Beans Relay</v>
      </c>
      <c r="O28" s="23" t="str">
        <f>Deployments!BL28</f>
        <v>Epic Beans Relay</v>
      </c>
      <c r="P28" s="2" t="str">
        <f>Deployments!BA28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Deployments!H29</f>
        <v>LIJ SDF</v>
      </c>
      <c r="B29" s="23" t="str">
        <f>Deployments!V29</f>
        <v>LIJ-SDF-MACH-AB</v>
      </c>
      <c r="C29" s="23" t="str">
        <f>Deployments!W29</f>
        <v>A0F5097B8E58</v>
      </c>
      <c r="D29" s="15">
        <f>Deployments!AJ29</f>
        <v>0</v>
      </c>
      <c r="E29" s="15" t="str">
        <f>Deployments!N29</f>
        <v>NA</v>
      </c>
      <c r="F29" s="23" t="str">
        <f>Deployments!O29</f>
        <v>NA</v>
      </c>
      <c r="G29" s="15" t="str">
        <f>Deployments!P29</f>
        <v>NA</v>
      </c>
      <c r="H29" s="15">
        <f>'13 - Config_Intake_View'!M29</f>
        <v>0</v>
      </c>
      <c r="I29" s="23">
        <f>IF('13 - Config_Intake_View'!Q29&lt;&gt;"",'13 - Config_Intake_View'!Q29,Deployments!BH29)</f>
        <v>0</v>
      </c>
      <c r="J29" s="15" t="str">
        <f>IF('13 - Config_Intake_View'!Q29&lt;&gt;"","PM Approved",IF(Deployments!BH29&lt;&gt;"","Assumed",""))</f>
        <v/>
      </c>
      <c r="K29" s="23" t="str">
        <f>Deployments!BG29</f>
        <v>Yes</v>
      </c>
      <c r="L29" s="15">
        <f>Deployments!T29</f>
        <v>0</v>
      </c>
      <c r="M29" s="15">
        <f>Deployments!L29</f>
        <v>0</v>
      </c>
      <c r="N29" s="15" t="str">
        <f>Deployments!BK29</f>
        <v>Power Cable, Battery, Epic Beans Relay</v>
      </c>
      <c r="O29" s="23" t="str">
        <f>Deployments!BL29</f>
        <v>Epic Beans Relay</v>
      </c>
      <c r="P29" s="2" t="str">
        <f>Deployments!BA29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Deployments!H30</f>
        <v>LIJ SDF</v>
      </c>
      <c r="B30" s="23" t="str">
        <f>Deployments!V30</f>
        <v>LIJ-SDF-MACH-AC</v>
      </c>
      <c r="C30" s="23" t="str">
        <f>Deployments!W30</f>
        <v>A0F5097B8B74</v>
      </c>
      <c r="D30" s="15">
        <f>Deployments!AJ30</f>
        <v>0</v>
      </c>
      <c r="E30" s="15">
        <f>Deployments!N30</f>
        <v>0</v>
      </c>
      <c r="F30" s="23">
        <f>Deployments!O30</f>
        <v>0</v>
      </c>
      <c r="G30" s="15">
        <f>Deployments!P30</f>
        <v>0</v>
      </c>
      <c r="H30" s="15">
        <f>'13 - Config_Intake_View'!M30</f>
        <v>0</v>
      </c>
      <c r="I30" s="23">
        <f>IF('13 - Config_Intake_View'!Q30&lt;&gt;"",'13 - Config_Intake_View'!Q30,Deployments!BH30)</f>
        <v>0</v>
      </c>
      <c r="J30" s="15" t="str">
        <f>IF('13 - Config_Intake_View'!Q30&lt;&gt;"","PM Approved",IF(Deployments!BH30&lt;&gt;"","Assumed",""))</f>
        <v/>
      </c>
      <c r="K30" s="23" t="str">
        <f>Deployments!BG30</f>
        <v>Yes</v>
      </c>
      <c r="L30" s="15">
        <f>Deployments!T30</f>
        <v>0</v>
      </c>
      <c r="M30" s="15">
        <f>Deployments!L30</f>
        <v>0</v>
      </c>
      <c r="N30" s="15" t="str">
        <f>Deployments!BK30</f>
        <v>Power Cable, Battery, Epic Beans Relay</v>
      </c>
      <c r="O30" s="23" t="str">
        <f>Deployments!BL30</f>
        <v>Epic Beans Relay</v>
      </c>
      <c r="P30" s="2" t="str">
        <f>Deployments!BA30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Deployments!H31</f>
        <v>LIJ SDF</v>
      </c>
      <c r="B31" s="23" t="str">
        <f>Deployments!V31</f>
        <v>LIJ-SDF-MACH-AD</v>
      </c>
      <c r="C31" s="23" t="str">
        <f>Deployments!W31</f>
        <v>A0F5097BA067</v>
      </c>
      <c r="D31" s="15">
        <f>Deployments!AJ31</f>
        <v>0</v>
      </c>
      <c r="E31" s="15">
        <f>Deployments!N31</f>
        <v>0</v>
      </c>
      <c r="F31" s="23">
        <f>Deployments!O31</f>
        <v>0</v>
      </c>
      <c r="G31" s="15">
        <f>Deployments!P31</f>
        <v>0</v>
      </c>
      <c r="H31" s="15">
        <f>'13 - Config_Intake_View'!M31</f>
        <v>0</v>
      </c>
      <c r="I31" s="23">
        <f>IF('13 - Config_Intake_View'!Q31&lt;&gt;"",'13 - Config_Intake_View'!Q31,Deployments!BH31)</f>
        <v>0</v>
      </c>
      <c r="J31" s="15" t="str">
        <f>IF('13 - Config_Intake_View'!Q31&lt;&gt;"","PM Approved",IF(Deployments!BH31&lt;&gt;"","Assumed",""))</f>
        <v/>
      </c>
      <c r="K31" s="23" t="str">
        <f>Deployments!BG31</f>
        <v>Yes</v>
      </c>
      <c r="L31" s="15">
        <f>Deployments!T31</f>
        <v>0</v>
      </c>
      <c r="M31" s="15">
        <f>Deployments!L31</f>
        <v>0</v>
      </c>
      <c r="N31" s="15" t="str">
        <f>Deployments!BK31</f>
        <v>Power Cable, Battery, Epic Beans Relay</v>
      </c>
      <c r="O31" s="23" t="str">
        <f>Deployments!BL31</f>
        <v>Epic Beans Relay</v>
      </c>
      <c r="P31" s="2" t="str">
        <f>Deployments!BA31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Deployments!H32</f>
        <v>LIJ SDF</v>
      </c>
      <c r="B32" s="23" t="str">
        <f>Deployments!V32</f>
        <v>LIJ-SDF-MACH-AE</v>
      </c>
      <c r="C32" s="23" t="str">
        <f>Deployments!W32</f>
        <v>A0F5097B8AFD</v>
      </c>
      <c r="D32" s="15">
        <f>Deployments!AJ32</f>
        <v>0</v>
      </c>
      <c r="E32" s="15">
        <f>Deployments!N32</f>
        <v>0</v>
      </c>
      <c r="F32" s="23">
        <f>Deployments!O32</f>
        <v>0</v>
      </c>
      <c r="G32" s="15">
        <f>Deployments!P32</f>
        <v>0</v>
      </c>
      <c r="H32" s="15">
        <f>'13 - Config_Intake_View'!M32</f>
        <v>0</v>
      </c>
      <c r="I32" s="23">
        <f>IF('13 - Config_Intake_View'!Q32&lt;&gt;"",'13 - Config_Intake_View'!Q32,Deployments!BH32)</f>
        <v>0</v>
      </c>
      <c r="J32" s="15" t="str">
        <f>IF('13 - Config_Intake_View'!Q32&lt;&gt;"","PM Approved",IF(Deployments!BH32&lt;&gt;"","Assumed",""))</f>
        <v/>
      </c>
      <c r="K32" s="23" t="str">
        <f>Deployments!BG32</f>
        <v>Yes</v>
      </c>
      <c r="L32" s="15">
        <f>Deployments!T32</f>
        <v>0</v>
      </c>
      <c r="M32" s="15">
        <f>Deployments!L32</f>
        <v>0</v>
      </c>
      <c r="N32" s="15" t="str">
        <f>Deployments!BK32</f>
        <v>Power Cable, Battery, Epic Beans Relay</v>
      </c>
      <c r="O32" s="23" t="str">
        <f>Deployments!BL32</f>
        <v>Epic Beans Relay</v>
      </c>
      <c r="P32" s="2" t="str">
        <f>Deployments!BA32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Deployments!H33</f>
        <v>LIJ SDF</v>
      </c>
      <c r="B33" s="23" t="str">
        <f>Deployments!V33</f>
        <v>LIJ-SDF-MACH-AF</v>
      </c>
      <c r="C33" s="23" t="str">
        <f>Deployments!W33</f>
        <v>A0F5097B8ADC</v>
      </c>
      <c r="D33" s="15">
        <f>Deployments!AJ33</f>
        <v>0</v>
      </c>
      <c r="E33" s="15">
        <f>Deployments!N33</f>
        <v>0</v>
      </c>
      <c r="F33" s="23">
        <f>Deployments!O33</f>
        <v>0</v>
      </c>
      <c r="G33" s="15">
        <f>Deployments!P33</f>
        <v>0</v>
      </c>
      <c r="H33" s="15">
        <f>'13 - Config_Intake_View'!M33</f>
        <v>0</v>
      </c>
      <c r="I33" s="23">
        <f>IF('13 - Config_Intake_View'!Q33&lt;&gt;"",'13 - Config_Intake_View'!Q33,Deployments!BH33)</f>
        <v>0</v>
      </c>
      <c r="J33" s="15" t="str">
        <f>IF('13 - Config_Intake_View'!Q33&lt;&gt;"","PM Approved",IF(Deployments!BH33&lt;&gt;"","Assumed",""))</f>
        <v/>
      </c>
      <c r="K33" s="23" t="str">
        <f>Deployments!BG33</f>
        <v>Yes</v>
      </c>
      <c r="L33" s="15">
        <f>Deployments!T33</f>
        <v>0</v>
      </c>
      <c r="M33" s="15">
        <f>Deployments!L33</f>
        <v>0</v>
      </c>
      <c r="N33" s="15" t="str">
        <f>Deployments!BK33</f>
        <v>Power Cable, Battery, Epic Beans Relay</v>
      </c>
      <c r="O33" s="23" t="str">
        <f>Deployments!BL33</f>
        <v>Epic Beans Relay</v>
      </c>
      <c r="P33" s="2" t="str">
        <f>Deployments!BA33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Deployments!H34</f>
        <v>PBMC</v>
      </c>
      <c r="B34" s="23" t="str">
        <f>Deployments!V34</f>
        <v>PBMC-MACH-N</v>
      </c>
      <c r="C34" s="23" t="str">
        <f>Deployments!W34</f>
        <v>A0F5097BA02C</v>
      </c>
      <c r="D34" s="15" t="str">
        <f>Deployments!AJ34</f>
        <v>Atlan A350</v>
      </c>
      <c r="E34" s="15" t="str">
        <f>Deployments!N34</f>
        <v>NA</v>
      </c>
      <c r="F34" s="23" t="str">
        <f>Deployments!O34</f>
        <v>NA</v>
      </c>
      <c r="G34" s="15" t="str">
        <f>Deployments!P34</f>
        <v>NA</v>
      </c>
      <c r="H34" s="15">
        <f>'13 - Config_Intake_View'!M34</f>
        <v>0</v>
      </c>
      <c r="I34" s="23">
        <f>IF('13 - Config_Intake_View'!Q34&lt;&gt;"",'13 - Config_Intake_View'!Q34,Deployments!BH34)</f>
        <v>0</v>
      </c>
      <c r="J34" s="15" t="str">
        <f>IF('13 - Config_Intake_View'!Q34&lt;&gt;"","PM Approved",IF(Deployments!BH34&lt;&gt;"","Assumed",""))</f>
        <v/>
      </c>
      <c r="K34" s="23" t="str">
        <f>Deployments!BG34</f>
        <v>Yes</v>
      </c>
      <c r="L34" s="15">
        <f>Deployments!T34</f>
        <v>0</v>
      </c>
      <c r="M34" s="15">
        <f>Deployments!L34</f>
        <v>0</v>
      </c>
      <c r="N34" s="15" t="str">
        <f>Deployments!BK34</f>
        <v>Power Cable, Battery, Epic Beans Relay</v>
      </c>
      <c r="O34" s="23" t="str">
        <f>Deployments!BL34</f>
        <v>Epic Beans Relay</v>
      </c>
      <c r="P34" s="2" t="str">
        <f>Deployments!BA34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Deployments!H35</f>
        <v>PBMC</v>
      </c>
      <c r="B35" s="23" t="str">
        <f>Deployments!V35</f>
        <v>n/a</v>
      </c>
      <c r="C35" s="23" t="str">
        <f>Deployments!W35</f>
        <v>n/a</v>
      </c>
      <c r="D35" s="15" t="str">
        <f>Deployments!AJ35</f>
        <v>Atlan A350</v>
      </c>
      <c r="E35" s="15">
        <f>Deployments!N35</f>
        <v>0</v>
      </c>
      <c r="F35" s="23">
        <f>Deployments!O35</f>
        <v>0</v>
      </c>
      <c r="G35" s="15">
        <f>Deployments!P35</f>
        <v>0</v>
      </c>
      <c r="H35" s="15">
        <f>'13 - Config_Intake_View'!M35</f>
        <v>0</v>
      </c>
      <c r="I35" s="23">
        <f>IF('13 - Config_Intake_View'!Q35&lt;&gt;"",'13 - Config_Intake_View'!Q35,Deployments!BH35)</f>
        <v>0</v>
      </c>
      <c r="J35" s="15" t="str">
        <f>IF('13 - Config_Intake_View'!Q35&lt;&gt;"","PM Approved",IF(Deployments!BH35&lt;&gt;"","Assumed",""))</f>
        <v/>
      </c>
      <c r="K35" s="23" t="str">
        <f>Deployments!BG35</f>
        <v>Yes</v>
      </c>
      <c r="L35" s="15">
        <f>Deployments!T35</f>
        <v>0</v>
      </c>
      <c r="M35" s="15">
        <f>Deployments!L35</f>
        <v>0</v>
      </c>
      <c r="N35" s="15" t="str">
        <f>Deployments!BK35</f>
        <v>Power Cable, Battery, Epic Beans Relay</v>
      </c>
      <c r="O35" s="23" t="str">
        <f>Deployments!BL35</f>
        <v>Epic Beans Relay</v>
      </c>
      <c r="P35" s="2" t="str">
        <f>Deployments!BA35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Deployments!H36</f>
        <v>MEETH</v>
      </c>
      <c r="B36" s="23" t="str">
        <f>Deployments!V36</f>
        <v>MEETH-MACH-U</v>
      </c>
      <c r="C36" s="23" t="str">
        <f>Deployments!W36</f>
        <v>A0F5097BA067</v>
      </c>
      <c r="D36" s="15">
        <f>Deployments!AJ36</f>
        <v>0</v>
      </c>
      <c r="E36" s="15" t="str">
        <f>Deployments!N36</f>
        <v>NA</v>
      </c>
      <c r="F36" s="23" t="str">
        <f>Deployments!O36</f>
        <v>NA</v>
      </c>
      <c r="G36" s="15" t="str">
        <f>Deployments!P36</f>
        <v>NA</v>
      </c>
      <c r="H36" s="15">
        <f>'13 - Config_Intake_View'!M36</f>
        <v>0</v>
      </c>
      <c r="I36" s="23">
        <f>IF('13 - Config_Intake_View'!Q36&lt;&gt;"",'13 - Config_Intake_View'!Q36,Deployments!BH36)</f>
        <v>0</v>
      </c>
      <c r="J36" s="15" t="str">
        <f>IF('13 - Config_Intake_View'!Q36&lt;&gt;"","PM Approved",IF(Deployments!BH36&lt;&gt;"","Assumed",""))</f>
        <v/>
      </c>
      <c r="K36" s="23">
        <f>Deployments!BG36</f>
        <v>0</v>
      </c>
      <c r="L36" s="15">
        <f>Deployments!T36</f>
        <v>0</v>
      </c>
      <c r="M36" s="15">
        <f>Deployments!L36</f>
        <v>0</v>
      </c>
      <c r="N36" s="15" t="str">
        <f>Deployments!BK36</f>
        <v>Power Cable, Battery, Firmware Download, Device ID, Epic Beans Relay</v>
      </c>
      <c r="O36" s="23" t="str">
        <f>Deployments!BL36</f>
        <v>Power Cable, Battery, Firmware Download, Device ID, Epic Beans Relay</v>
      </c>
      <c r="P36" s="2">
        <f>Deployments!BA36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Deployments!H37</f>
        <v>MEETH</v>
      </c>
      <c r="B37" s="23" t="str">
        <f>Deployments!V37</f>
        <v>MEETH-MACH-V</v>
      </c>
      <c r="C37" s="23" t="str">
        <f>Deployments!W37</f>
        <v>A0F5097BA08B</v>
      </c>
      <c r="D37" s="15">
        <f>Deployments!AJ37</f>
        <v>0</v>
      </c>
      <c r="E37" s="15" t="str">
        <f>Deployments!N37</f>
        <v>NA</v>
      </c>
      <c r="F37" s="23" t="str">
        <f>Deployments!O37</f>
        <v>NA</v>
      </c>
      <c r="G37" s="15" t="str">
        <f>Deployments!P37</f>
        <v>NA</v>
      </c>
      <c r="H37" s="15">
        <f>'13 - Config_Intake_View'!M37</f>
        <v>0</v>
      </c>
      <c r="I37" s="23">
        <f>IF('13 - Config_Intake_View'!Q37&lt;&gt;"",'13 - Config_Intake_View'!Q37,Deployments!BH37)</f>
        <v>0</v>
      </c>
      <c r="J37" s="15" t="str">
        <f>IF('13 - Config_Intake_View'!Q37&lt;&gt;"","PM Approved",IF(Deployments!BH37&lt;&gt;"","Assumed",""))</f>
        <v/>
      </c>
      <c r="K37" s="23">
        <f>Deployments!BG37</f>
        <v>0</v>
      </c>
      <c r="L37" s="15">
        <f>Deployments!T37</f>
        <v>0</v>
      </c>
      <c r="M37" s="15">
        <f>Deployments!L37</f>
        <v>0</v>
      </c>
      <c r="N37" s="15" t="str">
        <f>Deployments!BK37</f>
        <v>Power Cable, Battery, Firmware Download, Device ID, Epic Beans Relay</v>
      </c>
      <c r="O37" s="23" t="str">
        <f>Deployments!BL37</f>
        <v>Power Cable, Battery, Firmware Download, Device ID, Epic Beans Relay</v>
      </c>
      <c r="P37" s="2">
        <f>Deployments!BA37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Deployments!H38</f>
        <v>MEETH</v>
      </c>
      <c r="B38" s="23" t="str">
        <f>Deployments!V38</f>
        <v>MEETH-MACH-W</v>
      </c>
      <c r="C38" s="23" t="str">
        <f>Deployments!W38</f>
        <v>A0F5097B969A</v>
      </c>
      <c r="D38" s="15">
        <f>Deployments!AJ38</f>
        <v>0</v>
      </c>
      <c r="E38" s="15" t="str">
        <f>Deployments!N38</f>
        <v>NA</v>
      </c>
      <c r="F38" s="23" t="str">
        <f>Deployments!O38</f>
        <v>NA</v>
      </c>
      <c r="G38" s="15" t="str">
        <f>Deployments!P38</f>
        <v>NA</v>
      </c>
      <c r="H38" s="15">
        <f>'13 - Config_Intake_View'!M38</f>
        <v>0</v>
      </c>
      <c r="I38" s="23">
        <f>IF('13 - Config_Intake_View'!Q38&lt;&gt;"",'13 - Config_Intake_View'!Q38,Deployments!BH38)</f>
        <v>0</v>
      </c>
      <c r="J38" s="15" t="str">
        <f>IF('13 - Config_Intake_View'!Q38&lt;&gt;"","PM Approved",IF(Deployments!BH38&lt;&gt;"","Assumed",""))</f>
        <v/>
      </c>
      <c r="K38" s="23">
        <f>Deployments!BG38</f>
        <v>0</v>
      </c>
      <c r="L38" s="15">
        <f>Deployments!T38</f>
        <v>0</v>
      </c>
      <c r="M38" s="15">
        <f>Deployments!L38</f>
        <v>0</v>
      </c>
      <c r="N38" s="15" t="str">
        <f>Deployments!BK38</f>
        <v>Power Cable, Battery, Firmware Download, Device ID, Epic Beans Relay</v>
      </c>
      <c r="O38" s="23" t="str">
        <f>Deployments!BL38</f>
        <v>Power Cable, Battery, Firmware Download, Device ID, Epic Beans Relay</v>
      </c>
      <c r="P38" s="2">
        <f>Deployments!BA38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Deployments!H39</f>
        <v>ZUCKER HOSPITAL</v>
      </c>
      <c r="B39" s="23" t="str">
        <f>Deployments!V39</f>
        <v>ZHH-MACH-A</v>
      </c>
      <c r="C39" s="23" t="str">
        <f>Deployments!W39</f>
        <v>A0F5097B961B</v>
      </c>
      <c r="D39" s="15">
        <f>Deployments!AJ39</f>
        <v>0</v>
      </c>
      <c r="E39" s="15" t="str">
        <f>Deployments!N39</f>
        <v>NA</v>
      </c>
      <c r="F39" s="23" t="str">
        <f>Deployments!O39</f>
        <v>NA</v>
      </c>
      <c r="G39" s="15" t="str">
        <f>Deployments!P39</f>
        <v>NA</v>
      </c>
      <c r="H39" s="15">
        <f>'13 - Config_Intake_View'!M39</f>
        <v>0</v>
      </c>
      <c r="I39" s="23">
        <f>IF('13 - Config_Intake_View'!Q39&lt;&gt;"",'13 - Config_Intake_View'!Q39,Deployments!BH39)</f>
        <v>0</v>
      </c>
      <c r="J39" s="15" t="str">
        <f>IF('13 - Config_Intake_View'!Q39&lt;&gt;"","PM Approved",IF(Deployments!BH39&lt;&gt;"","Assumed",""))</f>
        <v/>
      </c>
      <c r="K39" s="23">
        <f>Deployments!BG39</f>
        <v>0</v>
      </c>
      <c r="L39" s="15">
        <f>Deployments!T39</f>
        <v>0</v>
      </c>
      <c r="M39" s="15">
        <f>Deployments!L39</f>
        <v>0</v>
      </c>
      <c r="N39" s="15" t="str">
        <f>Deployments!BK39</f>
        <v>Power Cable, Battery, Firmware Download, Device ID, Epic Beans Relay</v>
      </c>
      <c r="O39" s="23" t="str">
        <f>Deployments!BL39</f>
        <v>Power Cable, Battery, Firmware Download, Device ID, Epic Beans Relay</v>
      </c>
      <c r="P39" s="2">
        <f>Deployments!BA39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Deployments!H40</f>
        <v>ZUCKER HOSPITAL</v>
      </c>
      <c r="B40" s="23" t="str">
        <f>Deployments!V40</f>
        <v>ZHH-MACH-B</v>
      </c>
      <c r="C40" s="23" t="str">
        <f>Deployments!W40</f>
        <v>A0F5097B8D8E</v>
      </c>
      <c r="D40" s="15">
        <f>Deployments!AJ40</f>
        <v>0</v>
      </c>
      <c r="E40" s="15" t="str">
        <f>Deployments!N40</f>
        <v>NA</v>
      </c>
      <c r="F40" s="23" t="str">
        <f>Deployments!O40</f>
        <v>NA</v>
      </c>
      <c r="G40" s="15" t="str">
        <f>Deployments!P40</f>
        <v>NA</v>
      </c>
      <c r="H40" s="15">
        <f>'13 - Config_Intake_View'!M40</f>
        <v>0</v>
      </c>
      <c r="I40" s="23">
        <f>IF('13 - Config_Intake_View'!Q40&lt;&gt;"",'13 - Config_Intake_View'!Q40,Deployments!BH40)</f>
        <v>0</v>
      </c>
      <c r="J40" s="15" t="str">
        <f>IF('13 - Config_Intake_View'!Q40&lt;&gt;"","PM Approved",IF(Deployments!BH40&lt;&gt;"","Assumed",""))</f>
        <v/>
      </c>
      <c r="K40" s="23">
        <f>Deployments!BG40</f>
        <v>0</v>
      </c>
      <c r="L40" s="15">
        <f>Deployments!T40</f>
        <v>0</v>
      </c>
      <c r="M40" s="15">
        <f>Deployments!L40</f>
        <v>0</v>
      </c>
      <c r="N40" s="15" t="str">
        <f>Deployments!BK40</f>
        <v>Power Cable, Battery, Firmware Download, Device ID, Epic Beans Relay</v>
      </c>
      <c r="O40" s="23" t="str">
        <f>Deployments!BL40</f>
        <v>Power Cable, Battery, Firmware Download, Device ID, Epic Beans Relay</v>
      </c>
      <c r="P40" s="2">
        <f>Deployments!BA40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Deployments!H41</f>
        <v>ZUCKER HOSPITAL</v>
      </c>
      <c r="B41" s="23" t="str">
        <f>Deployments!V41</f>
        <v>ZHH-MACH-C</v>
      </c>
      <c r="C41" s="23" t="str">
        <f>Deployments!W41</f>
        <v>A0F5097B9BB8</v>
      </c>
      <c r="D41" s="15">
        <f>Deployments!AJ41</f>
        <v>0</v>
      </c>
      <c r="E41" s="15" t="str">
        <f>Deployments!N41</f>
        <v>NA</v>
      </c>
      <c r="F41" s="23" t="str">
        <f>Deployments!O41</f>
        <v>NA</v>
      </c>
      <c r="G41" s="15" t="str">
        <f>Deployments!P41</f>
        <v>NA</v>
      </c>
      <c r="H41" s="15">
        <f>'13 - Config_Intake_View'!M41</f>
        <v>0</v>
      </c>
      <c r="I41" s="23">
        <f>IF('13 - Config_Intake_View'!Q41&lt;&gt;"",'13 - Config_Intake_View'!Q41,Deployments!BH41)</f>
        <v>0</v>
      </c>
      <c r="J41" s="15" t="str">
        <f>IF('13 - Config_Intake_View'!Q41&lt;&gt;"","PM Approved",IF(Deployments!BH41&lt;&gt;"","Assumed",""))</f>
        <v/>
      </c>
      <c r="K41" s="23">
        <f>Deployments!BG41</f>
        <v>0</v>
      </c>
      <c r="L41" s="15">
        <f>Deployments!T41</f>
        <v>0</v>
      </c>
      <c r="M41" s="15">
        <f>Deployments!L41</f>
        <v>0</v>
      </c>
      <c r="N41" s="15" t="str">
        <f>Deployments!BK41</f>
        <v>Power Cable, Battery, Firmware Download, Device ID, Epic Beans Relay</v>
      </c>
      <c r="O41" s="23" t="str">
        <f>Deployments!BL41</f>
        <v>Power Cable, Battery, Firmware Download, Device ID, Epic Beans Relay</v>
      </c>
      <c r="P41" s="2">
        <f>Deployments!BA41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Deployments!H42</f>
        <v>CCMC</v>
      </c>
      <c r="B42" s="23" t="str">
        <f>Deployments!V42</f>
        <v>CCMC-MACH-A</v>
      </c>
      <c r="C42" s="23" t="str">
        <f>Deployments!W42</f>
        <v>A0F5097B8C9F</v>
      </c>
      <c r="D42" s="15">
        <f>Deployments!AJ42</f>
        <v>0</v>
      </c>
      <c r="E42" s="15" t="str">
        <f>Deployments!N42</f>
        <v>NA</v>
      </c>
      <c r="F42" s="23" t="str">
        <f>Deployments!O42</f>
        <v>NA</v>
      </c>
      <c r="G42" s="15" t="str">
        <f>Deployments!P42</f>
        <v>NA</v>
      </c>
      <c r="H42" s="15">
        <f>'13 - Config_Intake_View'!M42</f>
        <v>0</v>
      </c>
      <c r="I42" s="23">
        <f>IF('13 - Config_Intake_View'!Q42&lt;&gt;"",'13 - Config_Intake_View'!Q42,Deployments!BH42)</f>
        <v>0</v>
      </c>
      <c r="J42" s="15" t="str">
        <f>IF('13 - Config_Intake_View'!Q42&lt;&gt;"","PM Approved",IF(Deployments!BH42&lt;&gt;"","Assumed",""))</f>
        <v/>
      </c>
      <c r="K42" s="23">
        <f>Deployments!BG42</f>
        <v>0</v>
      </c>
      <c r="L42" s="15">
        <f>Deployments!T42</f>
        <v>0</v>
      </c>
      <c r="M42" s="15">
        <f>Deployments!L42</f>
        <v>0</v>
      </c>
      <c r="N42" s="15" t="str">
        <f>Deployments!BK42</f>
        <v>Power Cable, Battery, Firmware Download, Device ID, Epic Beans Relay</v>
      </c>
      <c r="O42" s="23" t="str">
        <f>Deployments!BL42</f>
        <v>Power Cable, Battery, Firmware Download, Device ID, Epic Beans Relay</v>
      </c>
      <c r="P42" s="2">
        <f>Deployments!BA42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Deployments!H43</f>
        <v>Glen Cove</v>
      </c>
      <c r="B43" s="23" t="str">
        <f>Deployments!V43</f>
        <v>GCH-MACH-E</v>
      </c>
      <c r="C43" s="23" t="str">
        <f>Deployments!W43</f>
        <v>A0F5097B8E02</v>
      </c>
      <c r="D43" s="15">
        <f>Deployments!AJ43</f>
        <v>0</v>
      </c>
      <c r="E43" s="15" t="str">
        <f>Deployments!N43</f>
        <v>NA</v>
      </c>
      <c r="F43" s="23" t="str">
        <f>Deployments!O43</f>
        <v>NA</v>
      </c>
      <c r="G43" s="15" t="str">
        <f>Deployments!P43</f>
        <v>NA</v>
      </c>
      <c r="H43" s="15">
        <f>'13 - Config_Intake_View'!M43</f>
        <v>0</v>
      </c>
      <c r="I43" s="23">
        <f>IF('13 - Config_Intake_View'!Q43&lt;&gt;"",'13 - Config_Intake_View'!Q43,Deployments!BH43)</f>
        <v>0</v>
      </c>
      <c r="J43" s="15" t="str">
        <f>IF('13 - Config_Intake_View'!Q43&lt;&gt;"","PM Approved",IF(Deployments!BH43&lt;&gt;"","Assumed",""))</f>
        <v/>
      </c>
      <c r="K43" s="23">
        <f>Deployments!BG43</f>
        <v>0</v>
      </c>
      <c r="L43" s="15">
        <f>Deployments!T43</f>
        <v>0</v>
      </c>
      <c r="M43" s="15">
        <f>Deployments!L43</f>
        <v>0</v>
      </c>
      <c r="N43" s="15" t="str">
        <f>Deployments!BK43</f>
        <v>Power Cable, Battery, Firmware Download, Device ID, Epic Beans Relay</v>
      </c>
      <c r="O43" s="23" t="str">
        <f>Deployments!BL43</f>
        <v>Power Cable, Battery, Firmware Download, Device ID, Epic Beans Relay</v>
      </c>
      <c r="P43" s="2">
        <f>Deployments!BA43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Deployments!H44</f>
        <v>Glen Cove</v>
      </c>
      <c r="B44" s="23" t="str">
        <f>Deployments!V44</f>
        <v>GCH-MACH-F</v>
      </c>
      <c r="C44" s="23" t="str">
        <f>Deployments!W44</f>
        <v>A0F5097B8BC2</v>
      </c>
      <c r="D44" s="15">
        <f>Deployments!AJ44</f>
        <v>0</v>
      </c>
      <c r="E44" s="15" t="str">
        <f>Deployments!N44</f>
        <v>NA</v>
      </c>
      <c r="F44" s="23" t="str">
        <f>Deployments!O44</f>
        <v>NA</v>
      </c>
      <c r="G44" s="15" t="str">
        <f>Deployments!P44</f>
        <v>NA</v>
      </c>
      <c r="H44" s="15">
        <f>'13 - Config_Intake_View'!M44</f>
        <v>0</v>
      </c>
      <c r="I44" s="23">
        <f>IF('13 - Config_Intake_View'!Q44&lt;&gt;"",'13 - Config_Intake_View'!Q44,Deployments!BH44)</f>
        <v>0</v>
      </c>
      <c r="J44" s="15" t="str">
        <f>IF('13 - Config_Intake_View'!Q44&lt;&gt;"","PM Approved",IF(Deployments!BH44&lt;&gt;"","Assumed",""))</f>
        <v/>
      </c>
      <c r="K44" s="23">
        <f>Deployments!BG44</f>
        <v>0</v>
      </c>
      <c r="L44" s="15">
        <f>Deployments!T44</f>
        <v>0</v>
      </c>
      <c r="M44" s="15">
        <f>Deployments!L44</f>
        <v>0</v>
      </c>
      <c r="N44" s="15" t="str">
        <f>Deployments!BK44</f>
        <v>Power Cable, Battery, Firmware Download, Device ID, Epic Beans Relay</v>
      </c>
      <c r="O44" s="23" t="str">
        <f>Deployments!BL44</f>
        <v>Power Cable, Battery, Firmware Download, Device ID, Epic Beans Relay</v>
      </c>
      <c r="P44" s="2">
        <f>Deployments!BA44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Deployments!H45</f>
        <v>Glen Cove</v>
      </c>
      <c r="B45" s="23" t="str">
        <f>Deployments!V45</f>
        <v>GCH-MACH-G</v>
      </c>
      <c r="C45" s="23" t="str">
        <f>Deployments!W45</f>
        <v>A0F5097B8E6F</v>
      </c>
      <c r="D45" s="15">
        <f>Deployments!AJ45</f>
        <v>0</v>
      </c>
      <c r="E45" s="15" t="str">
        <f>Deployments!N45</f>
        <v>NA</v>
      </c>
      <c r="F45" s="23" t="str">
        <f>Deployments!O45</f>
        <v>NA</v>
      </c>
      <c r="G45" s="15" t="str">
        <f>Deployments!P45</f>
        <v>NA</v>
      </c>
      <c r="H45" s="15">
        <f>'13 - Config_Intake_View'!M45</f>
        <v>0</v>
      </c>
      <c r="I45" s="23">
        <f>IF('13 - Config_Intake_View'!Q45&lt;&gt;"",'13 - Config_Intake_View'!Q45,Deployments!BH45)</f>
        <v>0</v>
      </c>
      <c r="J45" s="15" t="str">
        <f>IF('13 - Config_Intake_View'!Q45&lt;&gt;"","PM Approved",IF(Deployments!BH45&lt;&gt;"","Assumed",""))</f>
        <v/>
      </c>
      <c r="K45" s="23">
        <f>Deployments!BG45</f>
        <v>0</v>
      </c>
      <c r="L45" s="15">
        <f>Deployments!T45</f>
        <v>0</v>
      </c>
      <c r="M45" s="15">
        <f>Deployments!L45</f>
        <v>0</v>
      </c>
      <c r="N45" s="15" t="str">
        <f>Deployments!BK45</f>
        <v>Power Cable, Battery, Firmware Download, Device ID, Epic Beans Relay</v>
      </c>
      <c r="O45" s="23" t="str">
        <f>Deployments!BL45</f>
        <v>Power Cable, Battery, Firmware Download, Device ID, Epic Beans Relay</v>
      </c>
      <c r="P45" s="2">
        <f>Deployments!BA45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Deployments!H46</f>
        <v>Glen Cove</v>
      </c>
      <c r="B46" s="23" t="str">
        <f>Deployments!V46</f>
        <v>GCH-MACH-H</v>
      </c>
      <c r="C46" s="23" t="str">
        <f>Deployments!W46</f>
        <v>A0F5097B8CD0</v>
      </c>
      <c r="D46" s="15">
        <f>Deployments!AJ46</f>
        <v>0</v>
      </c>
      <c r="E46" s="15">
        <f>Deployments!N46</f>
        <v>0</v>
      </c>
      <c r="F46" s="23">
        <f>Deployments!O46</f>
        <v>0</v>
      </c>
      <c r="G46" s="15">
        <f>Deployments!P46</f>
        <v>0</v>
      </c>
      <c r="H46" s="15">
        <f>'13 - Config_Intake_View'!M46</f>
        <v>0</v>
      </c>
      <c r="I46" s="23">
        <f>IF('13 - Config_Intake_View'!Q46&lt;&gt;"",'13 - Config_Intake_View'!Q46,Deployments!BH46)</f>
        <v>0</v>
      </c>
      <c r="J46" s="15" t="str">
        <f>IF('13 - Config_Intake_View'!Q46&lt;&gt;"","PM Approved",IF(Deployments!BH46&lt;&gt;"","Assumed",""))</f>
        <v/>
      </c>
      <c r="K46" s="23">
        <f>Deployments!BG46</f>
        <v>0</v>
      </c>
      <c r="L46" s="15">
        <f>Deployments!T46</f>
        <v>0</v>
      </c>
      <c r="M46" s="15">
        <f>Deployments!L46</f>
        <v>0</v>
      </c>
      <c r="N46" s="15" t="str">
        <f>Deployments!BK46</f>
        <v>Power Cable, Battery, Firmware Download, Device ID, Epic Beans Relay</v>
      </c>
      <c r="O46" s="23" t="str">
        <f>Deployments!BL46</f>
        <v>Power Cable, Battery, Firmware Download, Device ID, Epic Beans Relay</v>
      </c>
      <c r="P46" s="2">
        <f>Deployments!BA46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Deployments!H47</f>
        <v>Glen Cove</v>
      </c>
      <c r="B47" s="23" t="str">
        <f>Deployments!V47</f>
        <v>GCH-MACH-I</v>
      </c>
      <c r="C47" s="23" t="str">
        <f>Deployments!W47</f>
        <v>A0F5097B8B9A</v>
      </c>
      <c r="D47" s="15">
        <f>Deployments!AJ47</f>
        <v>0</v>
      </c>
      <c r="E47" s="15" t="str">
        <f>Deployments!N47</f>
        <v>NA</v>
      </c>
      <c r="F47" s="23" t="str">
        <f>Deployments!O47</f>
        <v>NA</v>
      </c>
      <c r="G47" s="15" t="str">
        <f>Deployments!P47</f>
        <v>NA</v>
      </c>
      <c r="H47" s="15">
        <f>'13 - Config_Intake_View'!M47</f>
        <v>0</v>
      </c>
      <c r="I47" s="23">
        <f>IF('13 - Config_Intake_View'!Q47&lt;&gt;"",'13 - Config_Intake_View'!Q47,Deployments!BH47)</f>
        <v>0</v>
      </c>
      <c r="J47" s="15" t="str">
        <f>IF('13 - Config_Intake_View'!Q47&lt;&gt;"","PM Approved",IF(Deployments!BH47&lt;&gt;"","Assumed",""))</f>
        <v/>
      </c>
      <c r="K47" s="23">
        <f>Deployments!BG47</f>
        <v>0</v>
      </c>
      <c r="L47" s="15">
        <f>Deployments!T47</f>
        <v>0</v>
      </c>
      <c r="M47" s="15">
        <f>Deployments!L47</f>
        <v>0</v>
      </c>
      <c r="N47" s="15" t="str">
        <f>Deployments!BK47</f>
        <v>Power Cable, Battery, Firmware Download, Device ID, Epic Beans Relay</v>
      </c>
      <c r="O47" s="23" t="str">
        <f>Deployments!BL47</f>
        <v>Power Cable, Battery, Firmware Download, Device ID, Epic Beans Relay</v>
      </c>
      <c r="P47" s="2">
        <f>Deployments!BA47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Deployments!H48</f>
        <v>Glen Cove</v>
      </c>
      <c r="B48" s="23" t="str">
        <f>Deployments!V48</f>
        <v>GCH-MACH-J</v>
      </c>
      <c r="C48" s="23" t="str">
        <f>Deployments!W48</f>
        <v>A0F5097B8CF9</v>
      </c>
      <c r="D48" s="15">
        <f>Deployments!AJ48</f>
        <v>0</v>
      </c>
      <c r="E48" s="15" t="str">
        <f>Deployments!N48</f>
        <v>NA</v>
      </c>
      <c r="F48" s="23" t="str">
        <f>Deployments!O48</f>
        <v>NA</v>
      </c>
      <c r="G48" s="15" t="str">
        <f>Deployments!P48</f>
        <v>NA</v>
      </c>
      <c r="H48" s="15">
        <f>'13 - Config_Intake_View'!M48</f>
        <v>0</v>
      </c>
      <c r="I48" s="23">
        <f>IF('13 - Config_Intake_View'!Q48&lt;&gt;"",'13 - Config_Intake_View'!Q48,Deployments!BH48)</f>
        <v>0</v>
      </c>
      <c r="J48" s="15" t="str">
        <f>IF('13 - Config_Intake_View'!Q48&lt;&gt;"","PM Approved",IF(Deployments!BH48&lt;&gt;"","Assumed",""))</f>
        <v/>
      </c>
      <c r="K48" s="23">
        <f>Deployments!BG48</f>
        <v>0</v>
      </c>
      <c r="L48" s="15">
        <f>Deployments!T48</f>
        <v>0</v>
      </c>
      <c r="M48" s="15">
        <f>Deployments!L48</f>
        <v>0</v>
      </c>
      <c r="N48" s="15" t="str">
        <f>Deployments!BK48</f>
        <v>Power Cable, Battery, Firmware Download, Device ID, Epic Beans Relay</v>
      </c>
      <c r="O48" s="23" t="str">
        <f>Deployments!BL48</f>
        <v>Power Cable, Battery, Firmware Download, Device ID, Epic Beans Relay</v>
      </c>
      <c r="P48" s="2">
        <f>Deployments!BA48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Deployments!H49</f>
        <v>Glen Cove</v>
      </c>
      <c r="B49" s="23" t="str">
        <f>Deployments!V49</f>
        <v>GCH-MACH-K</v>
      </c>
      <c r="C49" s="23" t="str">
        <f>Deployments!W49</f>
        <v>A0F5097B8B74</v>
      </c>
      <c r="D49" s="15">
        <f>Deployments!AJ49</f>
        <v>0</v>
      </c>
      <c r="E49" s="15" t="str">
        <f>Deployments!N49</f>
        <v>NA</v>
      </c>
      <c r="F49" s="23" t="str">
        <f>Deployments!O49</f>
        <v>NA</v>
      </c>
      <c r="G49" s="15" t="str">
        <f>Deployments!P49</f>
        <v>NA</v>
      </c>
      <c r="H49" s="15">
        <f>'13 - Config_Intake_View'!M49</f>
        <v>0</v>
      </c>
      <c r="I49" s="23">
        <f>IF('13 - Config_Intake_View'!Q49&lt;&gt;"",'13 - Config_Intake_View'!Q49,Deployments!BH49)</f>
        <v>0</v>
      </c>
      <c r="J49" s="15" t="str">
        <f>IF('13 - Config_Intake_View'!Q49&lt;&gt;"","PM Approved",IF(Deployments!BH49&lt;&gt;"","Assumed",""))</f>
        <v/>
      </c>
      <c r="K49" s="23">
        <f>Deployments!BG49</f>
        <v>0</v>
      </c>
      <c r="L49" s="15">
        <f>Deployments!T49</f>
        <v>0</v>
      </c>
      <c r="M49" s="15">
        <f>Deployments!L49</f>
        <v>0</v>
      </c>
      <c r="N49" s="15" t="str">
        <f>Deployments!BK49</f>
        <v>Power Cable, Battery, Firmware Download, Device ID, Epic Beans Relay</v>
      </c>
      <c r="O49" s="23" t="str">
        <f>Deployments!BL49</f>
        <v>Power Cable, Battery, Firmware Download, Device ID, Epic Beans Relay</v>
      </c>
      <c r="P49" s="2">
        <f>Deployments!BA49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Deployments!H50</f>
        <v>LIJ-IR</v>
      </c>
      <c r="B50" s="23" t="str">
        <f>Deployments!V50</f>
        <v>WNH270INR001</v>
      </c>
      <c r="C50" s="23">
        <f>Deployments!W50</f>
        <v>0</v>
      </c>
      <c r="D50" s="15" t="str">
        <f>Deployments!AJ50</f>
        <v>CyberMed-S24 TGL</v>
      </c>
      <c r="E50" s="15" t="str">
        <f>Deployments!N50</f>
        <v>Yes</v>
      </c>
      <c r="F50" s="23" t="str">
        <f>Deployments!O50</f>
        <v>No</v>
      </c>
      <c r="G50" s="15" t="str">
        <f>Deployments!P50</f>
        <v>No</v>
      </c>
      <c r="H50" s="15">
        <f>'13 - Config_Intake_View'!M50</f>
        <v>0</v>
      </c>
      <c r="I50" s="23">
        <f>IF('13 - Config_Intake_View'!Q50&lt;&gt;"",'13 - Config_Intake_View'!Q50,Deployments!BH50)</f>
        <v>0</v>
      </c>
      <c r="J50" s="15" t="str">
        <f>IF('13 - Config_Intake_View'!Q50&lt;&gt;"","PM Approved",IF(Deployments!BH50&lt;&gt;"","Assumed",""))</f>
        <v/>
      </c>
      <c r="K50" s="23">
        <f>Deployments!BG50</f>
        <v>0</v>
      </c>
      <c r="L50" s="15">
        <f>Deployments!T50</f>
        <v>0</v>
      </c>
      <c r="M50" s="15">
        <f>Deployments!L50</f>
        <v>0</v>
      </c>
      <c r="N50" s="15" t="str">
        <f>Deployments!BK50</f>
        <v/>
      </c>
      <c r="O50" s="23" t="str">
        <f>Deployments!BL50</f>
        <v/>
      </c>
      <c r="P50" s="2">
        <f>Deployments!BA50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Deployments!H51</f>
        <v>LIJ-IR</v>
      </c>
      <c r="B51" s="23" t="str">
        <f>Deployments!V51</f>
        <v>WNH270INR002</v>
      </c>
      <c r="C51" s="23">
        <f>Deployments!W51</f>
        <v>0</v>
      </c>
      <c r="D51" s="15" t="str">
        <f>Deployments!AJ51</f>
        <v>CyberMed-S24 TGL</v>
      </c>
      <c r="E51" s="15" t="str">
        <f>Deployments!N51</f>
        <v>Yes</v>
      </c>
      <c r="F51" s="23" t="str">
        <f>Deployments!O51</f>
        <v>No</v>
      </c>
      <c r="G51" s="15" t="str">
        <f>Deployments!P51</f>
        <v>No</v>
      </c>
      <c r="H51" s="15">
        <f>'13 - Config_Intake_View'!M51</f>
        <v>0</v>
      </c>
      <c r="I51" s="23">
        <f>IF('13 - Config_Intake_View'!Q51&lt;&gt;"",'13 - Config_Intake_View'!Q51,Deployments!BH51)</f>
        <v>0</v>
      </c>
      <c r="J51" s="15" t="str">
        <f>IF('13 - Config_Intake_View'!Q51&lt;&gt;"","PM Approved",IF(Deployments!BH51&lt;&gt;"","Assumed",""))</f>
        <v/>
      </c>
      <c r="K51" s="23">
        <f>Deployments!BG51</f>
        <v>0</v>
      </c>
      <c r="L51" s="15">
        <f>Deployments!T51</f>
        <v>0</v>
      </c>
      <c r="M51" s="15">
        <f>Deployments!L51</f>
        <v>0</v>
      </c>
      <c r="N51" s="15" t="str">
        <f>Deployments!BK51</f>
        <v/>
      </c>
      <c r="O51" s="23" t="str">
        <f>Deployments!BL51</f>
        <v/>
      </c>
      <c r="P51" s="2">
        <f>Deployments!BA51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Deployments!H52</f>
        <v>MEETH</v>
      </c>
      <c r="B52" s="23" t="str">
        <f>Deployments!V52</f>
        <v>WNY210OPR053</v>
      </c>
      <c r="C52" s="23">
        <f>Deployments!W52</f>
        <v>0</v>
      </c>
      <c r="D52" s="15">
        <f>Deployments!AJ52</f>
        <v>0</v>
      </c>
      <c r="E52" s="15" t="str">
        <f>Deployments!N52</f>
        <v>Yes</v>
      </c>
      <c r="F52" s="23" t="str">
        <f>Deployments!O52</f>
        <v>No</v>
      </c>
      <c r="G52" s="15" t="str">
        <f>Deployments!P52</f>
        <v>No</v>
      </c>
      <c r="H52" s="15">
        <f>'13 - Config_Intake_View'!M52</f>
        <v>0</v>
      </c>
      <c r="I52" s="23">
        <f>IF('13 - Config_Intake_View'!Q52&lt;&gt;"",'13 - Config_Intake_View'!Q52,Deployments!BH52)</f>
        <v>0</v>
      </c>
      <c r="J52" s="15" t="str">
        <f>IF('13 - Config_Intake_View'!Q52&lt;&gt;"","PM Approved",IF(Deployments!BH52&lt;&gt;"","Assumed",""))</f>
        <v/>
      </c>
      <c r="K52" s="23">
        <f>Deployments!BG52</f>
        <v>0</v>
      </c>
      <c r="L52" s="15">
        <f>Deployments!T52</f>
        <v>0</v>
      </c>
      <c r="M52" s="15">
        <f>Deployments!L52</f>
        <v>0</v>
      </c>
      <c r="N52" s="15" t="str">
        <f>Deployments!BK52</f>
        <v/>
      </c>
      <c r="O52" s="23" t="str">
        <f>Deployments!BL52</f>
        <v/>
      </c>
      <c r="P52" s="2">
        <f>Deployments!BA52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Deployments!H53</f>
        <v>MEETH</v>
      </c>
      <c r="B53" s="23" t="str">
        <f>Deployments!V53</f>
        <v>WNY210OPR054</v>
      </c>
      <c r="C53" s="23">
        <f>Deployments!W53</f>
        <v>0</v>
      </c>
      <c r="D53" s="15">
        <f>Deployments!AJ53</f>
        <v>0</v>
      </c>
      <c r="E53" s="15" t="str">
        <f>Deployments!N53</f>
        <v>Yes</v>
      </c>
      <c r="F53" s="23" t="str">
        <f>Deployments!O53</f>
        <v>No</v>
      </c>
      <c r="G53" s="15" t="str">
        <f>Deployments!P53</f>
        <v>No</v>
      </c>
      <c r="H53" s="15">
        <f>'13 - Config_Intake_View'!M53</f>
        <v>0</v>
      </c>
      <c r="I53" s="23">
        <f>IF('13 - Config_Intake_View'!Q53&lt;&gt;"",'13 - Config_Intake_View'!Q53,Deployments!BH53)</f>
        <v>0</v>
      </c>
      <c r="J53" s="15" t="str">
        <f>IF('13 - Config_Intake_View'!Q53&lt;&gt;"","PM Approved",IF(Deployments!BH53&lt;&gt;"","Assumed",""))</f>
        <v/>
      </c>
      <c r="K53" s="23">
        <f>Deployments!BG53</f>
        <v>0</v>
      </c>
      <c r="L53" s="15">
        <f>Deployments!T53</f>
        <v>0</v>
      </c>
      <c r="M53" s="15">
        <f>Deployments!L53</f>
        <v>0</v>
      </c>
      <c r="N53" s="15" t="str">
        <f>Deployments!BK53</f>
        <v/>
      </c>
      <c r="O53" s="23" t="str">
        <f>Deployments!BL53</f>
        <v/>
      </c>
      <c r="P53" s="2">
        <f>Deployments!BA53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Deployments!H54</f>
        <v>NSUH</v>
      </c>
      <c r="B54" s="23" t="str">
        <f>Deployments!V54</f>
        <v>WMH300OPR336</v>
      </c>
      <c r="C54" s="23">
        <f>Deployments!W54</f>
        <v>0</v>
      </c>
      <c r="D54" s="15" t="str">
        <f>Deployments!AJ54</f>
        <v>CyberMed-S24 TGL</v>
      </c>
      <c r="E54" s="15" t="str">
        <f>Deployments!N54</f>
        <v>Yes</v>
      </c>
      <c r="F54" s="23" t="str">
        <f>Deployments!O54</f>
        <v>No</v>
      </c>
      <c r="G54" s="15" t="str">
        <f>Deployments!P54</f>
        <v>No</v>
      </c>
      <c r="H54" s="15">
        <f>'13 - Config_Intake_View'!M54</f>
        <v>0</v>
      </c>
      <c r="I54" s="23">
        <f>IF('13 - Config_Intake_View'!Q54&lt;&gt;"",'13 - Config_Intake_View'!Q54,Deployments!BH54)</f>
        <v>0</v>
      </c>
      <c r="J54" s="15" t="str">
        <f>IF('13 - Config_Intake_View'!Q54&lt;&gt;"","PM Approved",IF(Deployments!BH54&lt;&gt;"","Assumed",""))</f>
        <v/>
      </c>
      <c r="K54" s="23">
        <f>Deployments!BG54</f>
        <v>0</v>
      </c>
      <c r="L54" s="15">
        <f>Deployments!T54</f>
        <v>0</v>
      </c>
      <c r="M54" s="15">
        <f>Deployments!L54</f>
        <v>0</v>
      </c>
      <c r="N54" s="15" t="str">
        <f>Deployments!BK54</f>
        <v/>
      </c>
      <c r="O54" s="23" t="str">
        <f>Deployments!BL54</f>
        <v/>
      </c>
      <c r="P54" s="2">
        <f>Deployments!BA54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Deployments!H55</f>
        <v>NSUH</v>
      </c>
      <c r="B55" s="23" t="str">
        <f>Deployments!V55</f>
        <v>WMH300OPR337</v>
      </c>
      <c r="C55" s="23">
        <f>Deployments!W55</f>
        <v>0</v>
      </c>
      <c r="D55" s="15" t="str">
        <f>Deployments!AJ55</f>
        <v>CyberMed-S24 TGL</v>
      </c>
      <c r="E55" s="15" t="str">
        <f>Deployments!N55</f>
        <v>Yes</v>
      </c>
      <c r="F55" s="23" t="str">
        <f>Deployments!O55</f>
        <v>No</v>
      </c>
      <c r="G55" s="15" t="str">
        <f>Deployments!P55</f>
        <v>No</v>
      </c>
      <c r="H55" s="15">
        <f>'13 - Config_Intake_View'!M55</f>
        <v>0</v>
      </c>
      <c r="I55" s="23">
        <f>IF('13 - Config_Intake_View'!Q55&lt;&gt;"",'13 - Config_Intake_View'!Q55,Deployments!BH55)</f>
        <v>0</v>
      </c>
      <c r="J55" s="15" t="str">
        <f>IF('13 - Config_Intake_View'!Q55&lt;&gt;"","PM Approved",IF(Deployments!BH55&lt;&gt;"","Assumed",""))</f>
        <v/>
      </c>
      <c r="K55" s="23">
        <f>Deployments!BG55</f>
        <v>0</v>
      </c>
      <c r="L55" s="15">
        <f>Deployments!T55</f>
        <v>0</v>
      </c>
      <c r="M55" s="15">
        <f>Deployments!L55</f>
        <v>0</v>
      </c>
      <c r="N55" s="15" t="str">
        <f>Deployments!BK55</f>
        <v/>
      </c>
      <c r="O55" s="23" t="str">
        <f>Deployments!BL55</f>
        <v/>
      </c>
      <c r="P55" s="2">
        <f>Deployments!BA55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Deployments!H56</f>
        <v>NSUH</v>
      </c>
      <c r="B56" s="23" t="str">
        <f>Deployments!V56</f>
        <v>WMH300OPR338</v>
      </c>
      <c r="C56" s="23">
        <f>Deployments!W56</f>
        <v>0</v>
      </c>
      <c r="D56" s="15">
        <f>Deployments!AJ56</f>
        <v>0</v>
      </c>
      <c r="E56" s="15" t="str">
        <f>Deployments!N56</f>
        <v>Yes</v>
      </c>
      <c r="F56" s="23" t="str">
        <f>Deployments!O56</f>
        <v>No</v>
      </c>
      <c r="G56" s="15" t="str">
        <f>Deployments!P56</f>
        <v>No</v>
      </c>
      <c r="H56" s="15">
        <f>'13 - Config_Intake_View'!M56</f>
        <v>0</v>
      </c>
      <c r="I56" s="23">
        <f>IF('13 - Config_Intake_View'!Q56&lt;&gt;"",'13 - Config_Intake_View'!Q56,Deployments!BH56)</f>
        <v>0</v>
      </c>
      <c r="J56" s="15" t="str">
        <f>IF('13 - Config_Intake_View'!Q56&lt;&gt;"","PM Approved",IF(Deployments!BH56&lt;&gt;"","Assumed",""))</f>
        <v/>
      </c>
      <c r="K56" s="23">
        <f>Deployments!BG56</f>
        <v>0</v>
      </c>
      <c r="L56" s="15">
        <f>Deployments!T56</f>
        <v>0</v>
      </c>
      <c r="M56" s="15">
        <f>Deployments!L56</f>
        <v>0</v>
      </c>
      <c r="N56" s="15" t="str">
        <f>Deployments!BK56</f>
        <v/>
      </c>
      <c r="O56" s="23" t="str">
        <f>Deployments!BL56</f>
        <v/>
      </c>
      <c r="P56" s="2">
        <f>Deployments!BA56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Deployments!H57</f>
        <v>NSUH</v>
      </c>
      <c r="B57" s="23" t="str">
        <f>Deployments!V57</f>
        <v>WMH300OPR339</v>
      </c>
      <c r="C57" s="23">
        <f>Deployments!W57</f>
        <v>0</v>
      </c>
      <c r="D57" s="15">
        <f>Deployments!AJ57</f>
        <v>0</v>
      </c>
      <c r="E57" s="15" t="str">
        <f>Deployments!N57</f>
        <v>Yes</v>
      </c>
      <c r="F57" s="23" t="str">
        <f>Deployments!O57</f>
        <v>No</v>
      </c>
      <c r="G57" s="15" t="str">
        <f>Deployments!P57</f>
        <v>No</v>
      </c>
      <c r="H57" s="15">
        <f>'13 - Config_Intake_View'!M57</f>
        <v>0</v>
      </c>
      <c r="I57" s="23">
        <f>IF('13 - Config_Intake_View'!Q57&lt;&gt;"",'13 - Config_Intake_View'!Q57,Deployments!BH57)</f>
        <v>0</v>
      </c>
      <c r="J57" s="15" t="str">
        <f>IF('13 - Config_Intake_View'!Q57&lt;&gt;"","PM Approved",IF(Deployments!BH57&lt;&gt;"","Assumed",""))</f>
        <v/>
      </c>
      <c r="K57" s="23">
        <f>Deployments!BG57</f>
        <v>0</v>
      </c>
      <c r="L57" s="15">
        <f>Deployments!T57</f>
        <v>0</v>
      </c>
      <c r="M57" s="15">
        <f>Deployments!L57</f>
        <v>0</v>
      </c>
      <c r="N57" s="15" t="str">
        <f>Deployments!BK57</f>
        <v/>
      </c>
      <c r="O57" s="23" t="str">
        <f>Deployments!BL57</f>
        <v/>
      </c>
      <c r="P57" s="2">
        <f>Deployments!BA57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Deployments!H58</f>
        <v>NSUH</v>
      </c>
      <c r="B58" s="23" t="str">
        <f>Deployments!V58</f>
        <v>WMH300OPR340</v>
      </c>
      <c r="C58" s="23">
        <f>Deployments!W58</f>
        <v>0</v>
      </c>
      <c r="D58" s="15">
        <f>Deployments!AJ58</f>
        <v>0</v>
      </c>
      <c r="E58" s="15" t="str">
        <f>Deployments!N58</f>
        <v>Yes</v>
      </c>
      <c r="F58" s="23" t="str">
        <f>Deployments!O58</f>
        <v>No</v>
      </c>
      <c r="G58" s="15" t="str">
        <f>Deployments!P58</f>
        <v>No</v>
      </c>
      <c r="H58" s="15">
        <f>'13 - Config_Intake_View'!M58</f>
        <v>0</v>
      </c>
      <c r="I58" s="23">
        <f>IF('13 - Config_Intake_View'!Q58&lt;&gt;"",'13 - Config_Intake_View'!Q58,Deployments!BH58)</f>
        <v>0</v>
      </c>
      <c r="J58" s="15" t="str">
        <f>IF('13 - Config_Intake_View'!Q58&lt;&gt;"","PM Approved",IF(Deployments!BH58&lt;&gt;"","Assumed",""))</f>
        <v/>
      </c>
      <c r="K58" s="23">
        <f>Deployments!BG58</f>
        <v>0</v>
      </c>
      <c r="L58" s="15">
        <f>Deployments!T58</f>
        <v>0</v>
      </c>
      <c r="M58" s="15">
        <f>Deployments!L58</f>
        <v>0</v>
      </c>
      <c r="N58" s="15" t="str">
        <f>Deployments!BK58</f>
        <v/>
      </c>
      <c r="O58" s="23" t="str">
        <f>Deployments!BL58</f>
        <v/>
      </c>
      <c r="P58" s="2">
        <f>Deployments!BA58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Deployments!H59</f>
        <v>NSUH</v>
      </c>
      <c r="B59" s="23" t="str">
        <f>Deployments!V59</f>
        <v>WMH300OPR341</v>
      </c>
      <c r="C59" s="23">
        <f>Deployments!W59</f>
        <v>0</v>
      </c>
      <c r="D59" s="15">
        <f>Deployments!AJ59</f>
        <v>0</v>
      </c>
      <c r="E59" s="15" t="str">
        <f>Deployments!N59</f>
        <v>Yes</v>
      </c>
      <c r="F59" s="23" t="str">
        <f>Deployments!O59</f>
        <v>No</v>
      </c>
      <c r="G59" s="15" t="str">
        <f>Deployments!P59</f>
        <v>No</v>
      </c>
      <c r="H59" s="15">
        <f>'13 - Config_Intake_View'!M59</f>
        <v>0</v>
      </c>
      <c r="I59" s="23">
        <f>IF('13 - Config_Intake_View'!Q59&lt;&gt;"",'13 - Config_Intake_View'!Q59,Deployments!BH59)</f>
        <v>0</v>
      </c>
      <c r="J59" s="15" t="str">
        <f>IF('13 - Config_Intake_View'!Q59&lt;&gt;"","PM Approved",IF(Deployments!BH59&lt;&gt;"","Assumed",""))</f>
        <v/>
      </c>
      <c r="K59" s="23">
        <f>Deployments!BG59</f>
        <v>0</v>
      </c>
      <c r="L59" s="15">
        <f>Deployments!T59</f>
        <v>0</v>
      </c>
      <c r="M59" s="15">
        <f>Deployments!L59</f>
        <v>0</v>
      </c>
      <c r="N59" s="15" t="str">
        <f>Deployments!BK59</f>
        <v/>
      </c>
      <c r="O59" s="23" t="str">
        <f>Deployments!BL59</f>
        <v/>
      </c>
      <c r="P59" s="2">
        <f>Deployments!BA59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Deployments!H60</f>
        <v>NSUH</v>
      </c>
      <c r="B60" s="23" t="str">
        <f>Deployments!V60</f>
        <v>WMH300OPR342</v>
      </c>
      <c r="C60" s="23">
        <f>Deployments!W60</f>
        <v>0</v>
      </c>
      <c r="D60" s="15">
        <f>Deployments!AJ60</f>
        <v>0</v>
      </c>
      <c r="E60" s="15" t="str">
        <f>Deployments!N60</f>
        <v>Yes</v>
      </c>
      <c r="F60" s="23" t="str">
        <f>Deployments!O60</f>
        <v>No</v>
      </c>
      <c r="G60" s="15" t="str">
        <f>Deployments!P60</f>
        <v>No</v>
      </c>
      <c r="H60" s="15">
        <f>'13 - Config_Intake_View'!M60</f>
        <v>0</v>
      </c>
      <c r="I60" s="23">
        <f>IF('13 - Config_Intake_View'!Q60&lt;&gt;"",'13 - Config_Intake_View'!Q60,Deployments!BH60)</f>
        <v>0</v>
      </c>
      <c r="J60" s="15" t="str">
        <f>IF('13 - Config_Intake_View'!Q60&lt;&gt;"","PM Approved",IF(Deployments!BH60&lt;&gt;"","Assumed",""))</f>
        <v/>
      </c>
      <c r="K60" s="23">
        <f>Deployments!BG60</f>
        <v>0</v>
      </c>
      <c r="L60" s="15">
        <f>Deployments!T60</f>
        <v>0</v>
      </c>
      <c r="M60" s="15">
        <f>Deployments!L60</f>
        <v>0</v>
      </c>
      <c r="N60" s="15" t="str">
        <f>Deployments!BK60</f>
        <v/>
      </c>
      <c r="O60" s="23" t="str">
        <f>Deployments!BL60</f>
        <v/>
      </c>
      <c r="P60" s="2">
        <f>Deployments!BA60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Deployments!H61</f>
        <v>NSUH</v>
      </c>
      <c r="B61" s="23" t="str">
        <f>Deployments!V61</f>
        <v>WMH300OPR343</v>
      </c>
      <c r="C61" s="23">
        <f>Deployments!W61</f>
        <v>0</v>
      </c>
      <c r="D61" s="15">
        <f>Deployments!AJ61</f>
        <v>0</v>
      </c>
      <c r="E61" s="15" t="str">
        <f>Deployments!N61</f>
        <v>Yes</v>
      </c>
      <c r="F61" s="23" t="str">
        <f>Deployments!O61</f>
        <v>No</v>
      </c>
      <c r="G61" s="15" t="str">
        <f>Deployments!P61</f>
        <v>No</v>
      </c>
      <c r="H61" s="15">
        <f>'13 - Config_Intake_View'!M61</f>
        <v>0</v>
      </c>
      <c r="I61" s="23">
        <f>IF('13 - Config_Intake_View'!Q61&lt;&gt;"",'13 - Config_Intake_View'!Q61,Deployments!BH61)</f>
        <v>0</v>
      </c>
      <c r="J61" s="15" t="str">
        <f>IF('13 - Config_Intake_View'!Q61&lt;&gt;"","PM Approved",IF(Deployments!BH61&lt;&gt;"","Assumed",""))</f>
        <v/>
      </c>
      <c r="K61" s="23">
        <f>Deployments!BG61</f>
        <v>0</v>
      </c>
      <c r="L61" s="15">
        <f>Deployments!T61</f>
        <v>0</v>
      </c>
      <c r="M61" s="15">
        <f>Deployments!L61</f>
        <v>0</v>
      </c>
      <c r="N61" s="15" t="str">
        <f>Deployments!BK61</f>
        <v/>
      </c>
      <c r="O61" s="23" t="str">
        <f>Deployments!BL61</f>
        <v/>
      </c>
      <c r="P61" s="2">
        <f>Deployments!BA61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Deployments!H62</f>
        <v>NSUH</v>
      </c>
      <c r="B62" s="23" t="str">
        <f>Deployments!V62</f>
        <v>WMH300OPR344</v>
      </c>
      <c r="C62" s="23">
        <f>Deployments!W62</f>
        <v>0</v>
      </c>
      <c r="D62" s="15">
        <f>Deployments!AJ62</f>
        <v>0</v>
      </c>
      <c r="E62" s="15" t="str">
        <f>Deployments!N62</f>
        <v>Yes</v>
      </c>
      <c r="F62" s="23" t="str">
        <f>Deployments!O62</f>
        <v>No</v>
      </c>
      <c r="G62" s="15" t="str">
        <f>Deployments!P62</f>
        <v>No</v>
      </c>
      <c r="H62" s="15">
        <f>'13 - Config_Intake_View'!M62</f>
        <v>0</v>
      </c>
      <c r="I62" s="23">
        <f>IF('13 - Config_Intake_View'!Q62&lt;&gt;"",'13 - Config_Intake_View'!Q62,Deployments!BH62)</f>
        <v>0</v>
      </c>
      <c r="J62" s="15" t="str">
        <f>IF('13 - Config_Intake_View'!Q62&lt;&gt;"","PM Approved",IF(Deployments!BH62&lt;&gt;"","Assumed",""))</f>
        <v/>
      </c>
      <c r="K62" s="23">
        <f>Deployments!BG62</f>
        <v>0</v>
      </c>
      <c r="L62" s="15">
        <f>Deployments!T62</f>
        <v>0</v>
      </c>
      <c r="M62" s="15">
        <f>Deployments!L62</f>
        <v>0</v>
      </c>
      <c r="N62" s="15" t="str">
        <f>Deployments!BK62</f>
        <v/>
      </c>
      <c r="O62" s="23" t="str">
        <f>Deployments!BL62</f>
        <v/>
      </c>
      <c r="P62" s="2">
        <f>Deployments!BA62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Deployments!H63</f>
        <v>NSUH</v>
      </c>
      <c r="B63" s="23" t="str">
        <f>Deployments!V63</f>
        <v>WMH300OPR345</v>
      </c>
      <c r="C63" s="23">
        <f>Deployments!W63</f>
        <v>0</v>
      </c>
      <c r="D63" s="15">
        <f>Deployments!AJ63</f>
        <v>0</v>
      </c>
      <c r="E63" s="15" t="str">
        <f>Deployments!N63</f>
        <v>Yes</v>
      </c>
      <c r="F63" s="23" t="str">
        <f>Deployments!O63</f>
        <v>No</v>
      </c>
      <c r="G63" s="15" t="str">
        <f>Deployments!P63</f>
        <v>No</v>
      </c>
      <c r="H63" s="15">
        <f>'13 - Config_Intake_View'!M63</f>
        <v>0</v>
      </c>
      <c r="I63" s="23">
        <f>IF('13 - Config_Intake_View'!Q63&lt;&gt;"",'13 - Config_Intake_View'!Q63,Deployments!BH63)</f>
        <v>0</v>
      </c>
      <c r="J63" s="15" t="str">
        <f>IF('13 - Config_Intake_View'!Q63&lt;&gt;"","PM Approved",IF(Deployments!BH63&lt;&gt;"","Assumed",""))</f>
        <v/>
      </c>
      <c r="K63" s="23">
        <f>Deployments!BG63</f>
        <v>0</v>
      </c>
      <c r="L63" s="15">
        <f>Deployments!T63</f>
        <v>0</v>
      </c>
      <c r="M63" s="15">
        <f>Deployments!L63</f>
        <v>0</v>
      </c>
      <c r="N63" s="15" t="str">
        <f>Deployments!BK63</f>
        <v/>
      </c>
      <c r="O63" s="23" t="str">
        <f>Deployments!BL63</f>
        <v/>
      </c>
      <c r="P63" s="2">
        <f>Deployments!BA63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Deployments!H64</f>
        <v>NSUH</v>
      </c>
      <c r="B64" s="23" t="str">
        <f>Deployments!V64</f>
        <v>WMH300OPR346</v>
      </c>
      <c r="C64" s="23">
        <f>Deployments!W64</f>
        <v>0</v>
      </c>
      <c r="D64" s="15">
        <f>Deployments!AJ64</f>
        <v>0</v>
      </c>
      <c r="E64" s="15" t="str">
        <f>Deployments!N64</f>
        <v>Yes</v>
      </c>
      <c r="F64" s="23" t="str">
        <f>Deployments!O64</f>
        <v>No</v>
      </c>
      <c r="G64" s="15" t="str">
        <f>Deployments!P64</f>
        <v>No</v>
      </c>
      <c r="H64" s="15">
        <f>'13 - Config_Intake_View'!M64</f>
        <v>0</v>
      </c>
      <c r="I64" s="23">
        <f>IF('13 - Config_Intake_View'!Q64&lt;&gt;"",'13 - Config_Intake_View'!Q64,Deployments!BH64)</f>
        <v>0</v>
      </c>
      <c r="J64" s="15" t="str">
        <f>IF('13 - Config_Intake_View'!Q64&lt;&gt;"","PM Approved",IF(Deployments!BH64&lt;&gt;"","Assumed",""))</f>
        <v/>
      </c>
      <c r="K64" s="23">
        <f>Deployments!BG64</f>
        <v>0</v>
      </c>
      <c r="L64" s="15">
        <f>Deployments!T64</f>
        <v>0</v>
      </c>
      <c r="M64" s="15">
        <f>Deployments!L64</f>
        <v>0</v>
      </c>
      <c r="N64" s="15" t="str">
        <f>Deployments!BK64</f>
        <v/>
      </c>
      <c r="O64" s="23" t="str">
        <f>Deployments!BL64</f>
        <v/>
      </c>
      <c r="P64" s="2">
        <f>Deployments!BA64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Deployments!H65</f>
        <v>NSUH</v>
      </c>
      <c r="B65" s="23" t="str">
        <f>Deployments!V65</f>
        <v>WMH300OPR347</v>
      </c>
      <c r="C65" s="23">
        <f>Deployments!W65</f>
        <v>0</v>
      </c>
      <c r="D65" s="15">
        <f>Deployments!AJ65</f>
        <v>0</v>
      </c>
      <c r="E65" s="15" t="str">
        <f>Deployments!N65</f>
        <v>Yes</v>
      </c>
      <c r="F65" s="23" t="str">
        <f>Deployments!O65</f>
        <v>No</v>
      </c>
      <c r="G65" s="15" t="str">
        <f>Deployments!P65</f>
        <v>No</v>
      </c>
      <c r="H65" s="15">
        <f>'13 - Config_Intake_View'!M65</f>
        <v>0</v>
      </c>
      <c r="I65" s="23">
        <f>IF('13 - Config_Intake_View'!Q65&lt;&gt;"",'13 - Config_Intake_View'!Q65,Deployments!BH65)</f>
        <v>0</v>
      </c>
      <c r="J65" s="15" t="str">
        <f>IF('13 - Config_Intake_View'!Q65&lt;&gt;"","PM Approved",IF(Deployments!BH65&lt;&gt;"","Assumed",""))</f>
        <v/>
      </c>
      <c r="K65" s="23">
        <f>Deployments!BG65</f>
        <v>0</v>
      </c>
      <c r="L65" s="15">
        <f>Deployments!T65</f>
        <v>0</v>
      </c>
      <c r="M65" s="15">
        <f>Deployments!L65</f>
        <v>0</v>
      </c>
      <c r="N65" s="15" t="str">
        <f>Deployments!BK65</f>
        <v/>
      </c>
      <c r="O65" s="23" t="str">
        <f>Deployments!BL65</f>
        <v/>
      </c>
      <c r="P65" s="2">
        <f>Deployments!BA65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Deployments!H66</f>
        <v>NSUH</v>
      </c>
      <c r="B66" s="23" t="str">
        <f>Deployments!V66</f>
        <v>WMH300OPR348</v>
      </c>
      <c r="C66" s="23">
        <f>Deployments!W66</f>
        <v>0</v>
      </c>
      <c r="D66" s="15">
        <f>Deployments!AJ66</f>
        <v>0</v>
      </c>
      <c r="E66" s="15" t="str">
        <f>Deployments!N66</f>
        <v>Yes</v>
      </c>
      <c r="F66" s="23" t="str">
        <f>Deployments!O66</f>
        <v>No</v>
      </c>
      <c r="G66" s="15" t="str">
        <f>Deployments!P66</f>
        <v>No</v>
      </c>
      <c r="H66" s="15">
        <f>'13 - Config_Intake_View'!M66</f>
        <v>0</v>
      </c>
      <c r="I66" s="23">
        <f>IF('13 - Config_Intake_View'!Q66&lt;&gt;"",'13 - Config_Intake_View'!Q66,Deployments!BH66)</f>
        <v>0</v>
      </c>
      <c r="J66" s="15" t="str">
        <f>IF('13 - Config_Intake_View'!Q66&lt;&gt;"","PM Approved",IF(Deployments!BH66&lt;&gt;"","Assumed",""))</f>
        <v/>
      </c>
      <c r="K66" s="23">
        <f>Deployments!BG66</f>
        <v>0</v>
      </c>
      <c r="L66" s="15">
        <f>Deployments!T66</f>
        <v>0</v>
      </c>
      <c r="M66" s="15">
        <f>Deployments!L66</f>
        <v>0</v>
      </c>
      <c r="N66" s="15" t="str">
        <f>Deployments!BK66</f>
        <v/>
      </c>
      <c r="O66" s="23" t="str">
        <f>Deployments!BL66</f>
        <v/>
      </c>
      <c r="P66" s="2">
        <f>Deployments!BA66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Deployments!H67</f>
        <v>NSUH</v>
      </c>
      <c r="B67" s="23" t="str">
        <f>Deployments!V67</f>
        <v>WMH300OPR349</v>
      </c>
      <c r="C67" s="23">
        <f>Deployments!W67</f>
        <v>0</v>
      </c>
      <c r="D67" s="15">
        <f>Deployments!AJ67</f>
        <v>0</v>
      </c>
      <c r="E67" s="15" t="str">
        <f>Deployments!N67</f>
        <v>Yes</v>
      </c>
      <c r="F67" s="23" t="str">
        <f>Deployments!O67</f>
        <v>No</v>
      </c>
      <c r="G67" s="15" t="str">
        <f>Deployments!P67</f>
        <v>No</v>
      </c>
      <c r="H67" s="15">
        <f>'13 - Config_Intake_View'!M67</f>
        <v>0</v>
      </c>
      <c r="I67" s="23">
        <f>IF('13 - Config_Intake_View'!Q67&lt;&gt;"",'13 - Config_Intake_View'!Q67,Deployments!BH67)</f>
        <v>0</v>
      </c>
      <c r="J67" s="15" t="str">
        <f>IF('13 - Config_Intake_View'!Q67&lt;&gt;"","PM Approved",IF(Deployments!BH67&lt;&gt;"","Assumed",""))</f>
        <v/>
      </c>
      <c r="K67" s="23">
        <f>Deployments!BG67</f>
        <v>0</v>
      </c>
      <c r="L67" s="15">
        <f>Deployments!T67</f>
        <v>0</v>
      </c>
      <c r="M67" s="15">
        <f>Deployments!L67</f>
        <v>0</v>
      </c>
      <c r="N67" s="15" t="str">
        <f>Deployments!BK67</f>
        <v/>
      </c>
      <c r="O67" s="23" t="str">
        <f>Deployments!BL67</f>
        <v/>
      </c>
      <c r="P67" s="2">
        <f>Deployments!BA67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Deployments!H68</f>
        <v>NSUH</v>
      </c>
      <c r="B68" s="23" t="str">
        <f>Deployments!V68</f>
        <v>WMH300OPR350</v>
      </c>
      <c r="C68" s="23">
        <f>Deployments!W68</f>
        <v>0</v>
      </c>
      <c r="D68" s="15">
        <f>Deployments!AJ68</f>
        <v>0</v>
      </c>
      <c r="E68" s="15" t="str">
        <f>Deployments!N68</f>
        <v>Yes</v>
      </c>
      <c r="F68" s="23" t="str">
        <f>Deployments!O68</f>
        <v>No</v>
      </c>
      <c r="G68" s="15" t="str">
        <f>Deployments!P68</f>
        <v>No</v>
      </c>
      <c r="H68" s="15">
        <f>'13 - Config_Intake_View'!M68</f>
        <v>0</v>
      </c>
      <c r="I68" s="23">
        <f>IF('13 - Config_Intake_View'!Q68&lt;&gt;"",'13 - Config_Intake_View'!Q68,Deployments!BH68)</f>
        <v>0</v>
      </c>
      <c r="J68" s="15" t="str">
        <f>IF('13 - Config_Intake_View'!Q68&lt;&gt;"","PM Approved",IF(Deployments!BH68&lt;&gt;"","Assumed",""))</f>
        <v/>
      </c>
      <c r="K68" s="23">
        <f>Deployments!BG68</f>
        <v>0</v>
      </c>
      <c r="L68" s="15">
        <f>Deployments!T68</f>
        <v>0</v>
      </c>
      <c r="M68" s="15">
        <f>Deployments!L68</f>
        <v>0</v>
      </c>
      <c r="N68" s="15" t="str">
        <f>Deployments!BK68</f>
        <v/>
      </c>
      <c r="O68" s="23" t="str">
        <f>Deployments!BL68</f>
        <v/>
      </c>
      <c r="P68" s="2">
        <f>Deployments!BA68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Deployments!H69</f>
        <v>LIJ - CCMC</v>
      </c>
      <c r="B69" s="23" t="str">
        <f>Deployments!V69</f>
        <v>WNH269OPR013</v>
      </c>
      <c r="C69" s="23">
        <f>Deployments!W69</f>
        <v>0</v>
      </c>
      <c r="D69" s="15">
        <f>Deployments!AJ69</f>
        <v>0</v>
      </c>
      <c r="E69" s="15" t="str">
        <f>Deployments!N69</f>
        <v>Yes</v>
      </c>
      <c r="F69" s="23" t="str">
        <f>Deployments!O69</f>
        <v>No</v>
      </c>
      <c r="G69" s="15" t="str">
        <f>Deployments!P69</f>
        <v>No</v>
      </c>
      <c r="H69" s="15">
        <f>'13 - Config_Intake_View'!M69</f>
        <v>0</v>
      </c>
      <c r="I69" s="23">
        <f>IF('13 - Config_Intake_View'!Q69&lt;&gt;"",'13 - Config_Intake_View'!Q69,Deployments!BH69)</f>
        <v>0</v>
      </c>
      <c r="J69" s="15" t="str">
        <f>IF('13 - Config_Intake_View'!Q69&lt;&gt;"","PM Approved",IF(Deployments!BH69&lt;&gt;"","Assumed",""))</f>
        <v/>
      </c>
      <c r="K69" s="23">
        <f>Deployments!BG69</f>
        <v>0</v>
      </c>
      <c r="L69" s="15">
        <f>Deployments!T69</f>
        <v>0</v>
      </c>
      <c r="M69" s="15">
        <f>Deployments!L69</f>
        <v>0</v>
      </c>
      <c r="N69" s="15" t="str">
        <f>Deployments!BK69</f>
        <v/>
      </c>
      <c r="O69" s="23" t="str">
        <f>Deployments!BL69</f>
        <v/>
      </c>
      <c r="P69" s="2">
        <f>Deployments!BA69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Deployments!H70</f>
        <v>LIJ - CCMC</v>
      </c>
      <c r="B70" s="23" t="str">
        <f>Deployments!V70</f>
        <v>WNH269OPR014</v>
      </c>
      <c r="C70" s="23">
        <f>Deployments!W70</f>
        <v>0</v>
      </c>
      <c r="D70" s="15">
        <f>Deployments!AJ70</f>
        <v>0</v>
      </c>
      <c r="E70" s="15" t="str">
        <f>Deployments!N70</f>
        <v>Yes</v>
      </c>
      <c r="F70" s="23" t="str">
        <f>Deployments!O70</f>
        <v>No</v>
      </c>
      <c r="G70" s="15" t="str">
        <f>Deployments!P70</f>
        <v>No</v>
      </c>
      <c r="H70" s="15">
        <f>'13 - Config_Intake_View'!M70</f>
        <v>0</v>
      </c>
      <c r="I70" s="23">
        <f>IF('13 - Config_Intake_View'!Q70&lt;&gt;"",'13 - Config_Intake_View'!Q70,Deployments!BH70)</f>
        <v>0</v>
      </c>
      <c r="J70" s="15" t="str">
        <f>IF('13 - Config_Intake_View'!Q70&lt;&gt;"","PM Approved",IF(Deployments!BH70&lt;&gt;"","Assumed",""))</f>
        <v/>
      </c>
      <c r="K70" s="23">
        <f>Deployments!BG70</f>
        <v>0</v>
      </c>
      <c r="L70" s="15">
        <f>Deployments!T70</f>
        <v>0</v>
      </c>
      <c r="M70" s="15">
        <f>Deployments!L70</f>
        <v>0</v>
      </c>
      <c r="N70" s="15" t="str">
        <f>Deployments!BK70</f>
        <v/>
      </c>
      <c r="O70" s="23" t="str">
        <f>Deployments!BL70</f>
        <v/>
      </c>
      <c r="P70" s="2">
        <f>Deployments!BA70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Deployments!H71</f>
        <v>LIJ - CCMC</v>
      </c>
      <c r="B71" s="23" t="str">
        <f>Deployments!V71</f>
        <v>WNH269OPR015</v>
      </c>
      <c r="C71" s="23">
        <f>Deployments!W71</f>
        <v>0</v>
      </c>
      <c r="D71" s="15">
        <f>Deployments!AJ71</f>
        <v>0</v>
      </c>
      <c r="E71" s="15" t="str">
        <f>Deployments!N71</f>
        <v>Yes</v>
      </c>
      <c r="F71" s="23" t="str">
        <f>Deployments!O71</f>
        <v>No</v>
      </c>
      <c r="G71" s="15" t="str">
        <f>Deployments!P71</f>
        <v>No</v>
      </c>
      <c r="H71" s="15">
        <f>'13 - Config_Intake_View'!M71</f>
        <v>0</v>
      </c>
      <c r="I71" s="23">
        <f>IF('13 - Config_Intake_View'!Q71&lt;&gt;"",'13 - Config_Intake_View'!Q71,Deployments!BH71)</f>
        <v>0</v>
      </c>
      <c r="J71" s="15" t="str">
        <f>IF('13 - Config_Intake_View'!Q71&lt;&gt;"","PM Approved",IF(Deployments!BH71&lt;&gt;"","Assumed",""))</f>
        <v/>
      </c>
      <c r="K71" s="23">
        <f>Deployments!BG71</f>
        <v>0</v>
      </c>
      <c r="L71" s="15">
        <f>Deployments!T71</f>
        <v>0</v>
      </c>
      <c r="M71" s="15">
        <f>Deployments!L71</f>
        <v>0</v>
      </c>
      <c r="N71" s="15" t="str">
        <f>Deployments!BK71</f>
        <v/>
      </c>
      <c r="O71" s="23" t="str">
        <f>Deployments!BL71</f>
        <v/>
      </c>
      <c r="P71" s="2">
        <f>Deployments!BA71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Deployments!H72</f>
        <v>LIJ - CCMC</v>
      </c>
      <c r="B72" s="23" t="str">
        <f>Deployments!V72</f>
        <v>WNH269OPR016</v>
      </c>
      <c r="C72" s="23">
        <f>Deployments!W72</f>
        <v>0</v>
      </c>
      <c r="D72" s="15">
        <f>Deployments!AJ72</f>
        <v>0</v>
      </c>
      <c r="E72" s="15" t="str">
        <f>Deployments!N72</f>
        <v>Yes</v>
      </c>
      <c r="F72" s="23" t="str">
        <f>Deployments!O72</f>
        <v>No</v>
      </c>
      <c r="G72" s="15" t="str">
        <f>Deployments!P72</f>
        <v>No</v>
      </c>
      <c r="H72" s="15">
        <f>'13 - Config_Intake_View'!M72</f>
        <v>0</v>
      </c>
      <c r="I72" s="23">
        <f>IF('13 - Config_Intake_View'!Q72&lt;&gt;"",'13 - Config_Intake_View'!Q72,Deployments!BH72)</f>
        <v>0</v>
      </c>
      <c r="J72" s="15" t="str">
        <f>IF('13 - Config_Intake_View'!Q72&lt;&gt;"","PM Approved",IF(Deployments!BH72&lt;&gt;"","Assumed",""))</f>
        <v/>
      </c>
      <c r="K72" s="23">
        <f>Deployments!BG72</f>
        <v>0</v>
      </c>
      <c r="L72" s="15">
        <f>Deployments!T72</f>
        <v>0</v>
      </c>
      <c r="M72" s="15">
        <f>Deployments!L72</f>
        <v>0</v>
      </c>
      <c r="N72" s="15" t="str">
        <f>Deployments!BK72</f>
        <v/>
      </c>
      <c r="O72" s="23" t="str">
        <f>Deployments!BL72</f>
        <v/>
      </c>
      <c r="P72" s="2">
        <f>Deployments!BA72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Deployments!H73</f>
        <v>LIJ - CCMC</v>
      </c>
      <c r="B73" s="23" t="str">
        <f>Deployments!V73</f>
        <v>WNH269OPR017</v>
      </c>
      <c r="C73" s="23">
        <f>Deployments!W73</f>
        <v>0</v>
      </c>
      <c r="D73" s="15">
        <f>Deployments!AJ73</f>
        <v>0</v>
      </c>
      <c r="E73" s="15" t="str">
        <f>Deployments!N73</f>
        <v>Yes</v>
      </c>
      <c r="F73" s="23" t="str">
        <f>Deployments!O73</f>
        <v>No</v>
      </c>
      <c r="G73" s="15" t="str">
        <f>Deployments!P73</f>
        <v>No</v>
      </c>
      <c r="H73" s="15">
        <f>'13 - Config_Intake_View'!M73</f>
        <v>0</v>
      </c>
      <c r="I73" s="23">
        <f>IF('13 - Config_Intake_View'!Q73&lt;&gt;"",'13 - Config_Intake_View'!Q73,Deployments!BH73)</f>
        <v>0</v>
      </c>
      <c r="J73" s="15" t="str">
        <f>IF('13 - Config_Intake_View'!Q73&lt;&gt;"","PM Approved",IF(Deployments!BH73&lt;&gt;"","Assumed",""))</f>
        <v/>
      </c>
      <c r="K73" s="23">
        <f>Deployments!BG73</f>
        <v>0</v>
      </c>
      <c r="L73" s="15">
        <f>Deployments!T73</f>
        <v>0</v>
      </c>
      <c r="M73" s="15">
        <f>Deployments!L73</f>
        <v>0</v>
      </c>
      <c r="N73" s="15" t="str">
        <f>Deployments!BK73</f>
        <v/>
      </c>
      <c r="O73" s="23" t="str">
        <f>Deployments!BL73</f>
        <v/>
      </c>
      <c r="P73" s="2">
        <f>Deployments!BA73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Deployments!H74</f>
        <v>LIJ - CCMC</v>
      </c>
      <c r="B74" s="23" t="str">
        <f>Deployments!V74</f>
        <v>WNH269OPR018</v>
      </c>
      <c r="C74" s="23">
        <f>Deployments!W74</f>
        <v>0</v>
      </c>
      <c r="D74" s="15">
        <f>Deployments!AJ74</f>
        <v>0</v>
      </c>
      <c r="E74" s="15" t="str">
        <f>Deployments!N74</f>
        <v>Yes</v>
      </c>
      <c r="F74" s="23" t="str">
        <f>Deployments!O74</f>
        <v>No</v>
      </c>
      <c r="G74" s="15" t="str">
        <f>Deployments!P74</f>
        <v>No</v>
      </c>
      <c r="H74" s="15">
        <f>'13 - Config_Intake_View'!M74</f>
        <v>0</v>
      </c>
      <c r="I74" s="23">
        <f>IF('13 - Config_Intake_View'!Q74&lt;&gt;"",'13 - Config_Intake_View'!Q74,Deployments!BH74)</f>
        <v>0</v>
      </c>
      <c r="J74" s="15" t="str">
        <f>IF('13 - Config_Intake_View'!Q74&lt;&gt;"","PM Approved",IF(Deployments!BH74&lt;&gt;"","Assumed",""))</f>
        <v/>
      </c>
      <c r="K74" s="23">
        <f>Deployments!BG74</f>
        <v>0</v>
      </c>
      <c r="L74" s="15">
        <f>Deployments!T74</f>
        <v>0</v>
      </c>
      <c r="M74" s="15">
        <f>Deployments!L74</f>
        <v>0</v>
      </c>
      <c r="N74" s="15" t="str">
        <f>Deployments!BK74</f>
        <v/>
      </c>
      <c r="O74" s="23" t="str">
        <f>Deployments!BL74</f>
        <v/>
      </c>
      <c r="P74" s="2">
        <f>Deployments!BA74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Deployments!H75</f>
        <v>LIJ - CCMC</v>
      </c>
      <c r="B75" s="23" t="str">
        <f>Deployments!V75</f>
        <v>WNH269OPR019</v>
      </c>
      <c r="C75" s="23">
        <f>Deployments!W75</f>
        <v>0</v>
      </c>
      <c r="D75" s="15">
        <f>Deployments!AJ75</f>
        <v>0</v>
      </c>
      <c r="E75" s="15" t="str">
        <f>Deployments!N75</f>
        <v>Yes</v>
      </c>
      <c r="F75" s="23" t="str">
        <f>Deployments!O75</f>
        <v>No</v>
      </c>
      <c r="G75" s="15" t="str">
        <f>Deployments!P75</f>
        <v>No</v>
      </c>
      <c r="H75" s="15">
        <f>'13 - Config_Intake_View'!M75</f>
        <v>0</v>
      </c>
      <c r="I75" s="23">
        <f>IF('13 - Config_Intake_View'!Q75&lt;&gt;"",'13 - Config_Intake_View'!Q75,Deployments!BH75)</f>
        <v>0</v>
      </c>
      <c r="J75" s="15" t="str">
        <f>IF('13 - Config_Intake_View'!Q75&lt;&gt;"","PM Approved",IF(Deployments!BH75&lt;&gt;"","Assumed",""))</f>
        <v/>
      </c>
      <c r="K75" s="23">
        <f>Deployments!BG75</f>
        <v>0</v>
      </c>
      <c r="L75" s="15">
        <f>Deployments!T75</f>
        <v>0</v>
      </c>
      <c r="M75" s="15">
        <f>Deployments!L75</f>
        <v>0</v>
      </c>
      <c r="N75" s="15" t="str">
        <f>Deployments!BK75</f>
        <v/>
      </c>
      <c r="O75" s="23" t="str">
        <f>Deployments!BL75</f>
        <v/>
      </c>
      <c r="P75" s="2">
        <f>Deployments!BA75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Deployments!H76</f>
        <v>LIJ - CCMC</v>
      </c>
      <c r="B76" s="23" t="str">
        <f>Deployments!V76</f>
        <v>WNH269OPR020</v>
      </c>
      <c r="C76" s="23">
        <f>Deployments!W76</f>
        <v>0</v>
      </c>
      <c r="D76" s="15">
        <f>Deployments!AJ76</f>
        <v>0</v>
      </c>
      <c r="E76" s="15" t="str">
        <f>Deployments!N76</f>
        <v>Yes</v>
      </c>
      <c r="F76" s="23" t="str">
        <f>Deployments!O76</f>
        <v>No</v>
      </c>
      <c r="G76" s="15" t="str">
        <f>Deployments!P76</f>
        <v>No</v>
      </c>
      <c r="H76" s="15">
        <f>'13 - Config_Intake_View'!M76</f>
        <v>0</v>
      </c>
      <c r="I76" s="23">
        <f>IF('13 - Config_Intake_View'!Q76&lt;&gt;"",'13 - Config_Intake_View'!Q76,Deployments!BH76)</f>
        <v>0</v>
      </c>
      <c r="J76" s="15" t="str">
        <f>IF('13 - Config_Intake_View'!Q76&lt;&gt;"","PM Approved",IF(Deployments!BH76&lt;&gt;"","Assumed",""))</f>
        <v/>
      </c>
      <c r="K76" s="23">
        <f>Deployments!BG76</f>
        <v>0</v>
      </c>
      <c r="L76" s="15">
        <f>Deployments!T76</f>
        <v>0</v>
      </c>
      <c r="M76" s="15">
        <f>Deployments!L76</f>
        <v>0</v>
      </c>
      <c r="N76" s="15" t="str">
        <f>Deployments!BK76</f>
        <v/>
      </c>
      <c r="O76" s="23" t="str">
        <f>Deployments!BL76</f>
        <v/>
      </c>
      <c r="P76" s="2">
        <f>Deployments!BA76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Deployments!H77</f>
        <v>LIJ - CCMC</v>
      </c>
      <c r="B77" s="23" t="str">
        <f>Deployments!V77</f>
        <v>WNH269OPR021</v>
      </c>
      <c r="C77" s="23">
        <f>Deployments!W77</f>
        <v>0</v>
      </c>
      <c r="D77" s="15">
        <f>Deployments!AJ77</f>
        <v>0</v>
      </c>
      <c r="E77" s="15" t="str">
        <f>Deployments!N77</f>
        <v>Yes</v>
      </c>
      <c r="F77" s="23" t="str">
        <f>Deployments!O77</f>
        <v>No</v>
      </c>
      <c r="G77" s="15" t="str">
        <f>Deployments!P77</f>
        <v>No</v>
      </c>
      <c r="H77" s="15">
        <f>'13 - Config_Intake_View'!M77</f>
        <v>0</v>
      </c>
      <c r="I77" s="23">
        <f>IF('13 - Config_Intake_View'!Q77&lt;&gt;"",'13 - Config_Intake_View'!Q77,Deployments!BH77)</f>
        <v>0</v>
      </c>
      <c r="J77" s="15" t="str">
        <f>IF('13 - Config_Intake_View'!Q77&lt;&gt;"","PM Approved",IF(Deployments!BH77&lt;&gt;"","Assumed",""))</f>
        <v/>
      </c>
      <c r="K77" s="23">
        <f>Deployments!BG77</f>
        <v>0</v>
      </c>
      <c r="L77" s="15">
        <f>Deployments!T77</f>
        <v>0</v>
      </c>
      <c r="M77" s="15">
        <f>Deployments!L77</f>
        <v>0</v>
      </c>
      <c r="N77" s="15" t="str">
        <f>Deployments!BK77</f>
        <v/>
      </c>
      <c r="O77" s="23" t="str">
        <f>Deployments!BL77</f>
        <v/>
      </c>
      <c r="P77" s="2">
        <f>Deployments!BA77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Deployments!H78</f>
        <v>CFAM</v>
      </c>
      <c r="B78" s="23" t="str">
        <f>Deployments!V78</f>
        <v>WLS450OPR001</v>
      </c>
      <c r="C78" s="23">
        <f>Deployments!W78</f>
        <v>0</v>
      </c>
      <c r="D78" s="15">
        <f>Deployments!AJ78</f>
        <v>0</v>
      </c>
      <c r="E78" s="15" t="str">
        <f>Deployments!N78</f>
        <v>Yes</v>
      </c>
      <c r="F78" s="23" t="str">
        <f>Deployments!O78</f>
        <v>No</v>
      </c>
      <c r="G78" s="15" t="str">
        <f>Deployments!P78</f>
        <v>No</v>
      </c>
      <c r="H78" s="15">
        <f>'13 - Config_Intake_View'!M78</f>
        <v>0</v>
      </c>
      <c r="I78" s="23">
        <f>IF('13 - Config_Intake_View'!Q78&lt;&gt;"",'13 - Config_Intake_View'!Q78,Deployments!BH78)</f>
        <v>0</v>
      </c>
      <c r="J78" s="15" t="str">
        <f>IF('13 - Config_Intake_View'!Q78&lt;&gt;"","PM Approved",IF(Deployments!BH78&lt;&gt;"","Assumed",""))</f>
        <v/>
      </c>
      <c r="K78" s="23">
        <f>Deployments!BG78</f>
        <v>0</v>
      </c>
      <c r="L78" s="15">
        <f>Deployments!T78</f>
        <v>0</v>
      </c>
      <c r="M78" s="15">
        <f>Deployments!L78</f>
        <v>0</v>
      </c>
      <c r="N78" s="15" t="str">
        <f>Deployments!BK78</f>
        <v/>
      </c>
      <c r="O78" s="23" t="str">
        <f>Deployments!BL78</f>
        <v/>
      </c>
      <c r="P78" s="2">
        <f>Deployments!BA78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Deployments!H79</f>
        <v>CFAM</v>
      </c>
      <c r="B79" s="23" t="str">
        <f>Deployments!V79</f>
        <v>WLS450OPR002</v>
      </c>
      <c r="C79" s="23">
        <f>Deployments!W79</f>
        <v>0</v>
      </c>
      <c r="D79" s="15">
        <f>Deployments!AJ79</f>
        <v>0</v>
      </c>
      <c r="E79" s="15" t="str">
        <f>Deployments!N79</f>
        <v>Yes</v>
      </c>
      <c r="F79" s="23" t="str">
        <f>Deployments!O79</f>
        <v>No</v>
      </c>
      <c r="G79" s="15" t="str">
        <f>Deployments!P79</f>
        <v>No</v>
      </c>
      <c r="H79" s="15">
        <f>'13 - Config_Intake_View'!M79</f>
        <v>0</v>
      </c>
      <c r="I79" s="23">
        <f>IF('13 - Config_Intake_View'!Q79&lt;&gt;"",'13 - Config_Intake_View'!Q79,Deployments!BH79)</f>
        <v>0</v>
      </c>
      <c r="J79" s="15" t="str">
        <f>IF('13 - Config_Intake_View'!Q79&lt;&gt;"","PM Approved",IF(Deployments!BH79&lt;&gt;"","Assumed",""))</f>
        <v/>
      </c>
      <c r="K79" s="23">
        <f>Deployments!BG79</f>
        <v>0</v>
      </c>
      <c r="L79" s="15">
        <f>Deployments!T79</f>
        <v>0</v>
      </c>
      <c r="M79" s="15">
        <f>Deployments!L79</f>
        <v>0</v>
      </c>
      <c r="N79" s="15" t="str">
        <f>Deployments!BK79</f>
        <v/>
      </c>
      <c r="O79" s="23" t="str">
        <f>Deployments!BL79</f>
        <v/>
      </c>
      <c r="P79" s="2">
        <f>Deployments!BA79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Deployments!H80</f>
        <v>CFAM</v>
      </c>
      <c r="B80" s="23" t="str">
        <f>Deployments!V80</f>
        <v>WLS450OPR003</v>
      </c>
      <c r="C80" s="23">
        <f>Deployments!W80</f>
        <v>0</v>
      </c>
      <c r="D80" s="15">
        <f>Deployments!AJ80</f>
        <v>0</v>
      </c>
      <c r="E80" s="15" t="str">
        <f>Deployments!N80</f>
        <v>Yes</v>
      </c>
      <c r="F80" s="23" t="str">
        <f>Deployments!O80</f>
        <v>No</v>
      </c>
      <c r="G80" s="15" t="str">
        <f>Deployments!P80</f>
        <v>No</v>
      </c>
      <c r="H80" s="15">
        <f>'13 - Config_Intake_View'!M80</f>
        <v>0</v>
      </c>
      <c r="I80" s="23">
        <f>IF('13 - Config_Intake_View'!Q80&lt;&gt;"",'13 - Config_Intake_View'!Q80,Deployments!BH80)</f>
        <v>0</v>
      </c>
      <c r="J80" s="15" t="str">
        <f>IF('13 - Config_Intake_View'!Q80&lt;&gt;"","PM Approved",IF(Deployments!BH80&lt;&gt;"","Assumed",""))</f>
        <v/>
      </c>
      <c r="K80" s="23">
        <f>Deployments!BG80</f>
        <v>0</v>
      </c>
      <c r="L80" s="15">
        <f>Deployments!T80</f>
        <v>0</v>
      </c>
      <c r="M80" s="15">
        <f>Deployments!L80</f>
        <v>0</v>
      </c>
      <c r="N80" s="15" t="str">
        <f>Deployments!BK80</f>
        <v/>
      </c>
      <c r="O80" s="23" t="str">
        <f>Deployments!BL80</f>
        <v/>
      </c>
      <c r="P80" s="2">
        <f>Deployments!BA80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Deployments!H81</f>
        <v>CFAM</v>
      </c>
      <c r="B81" s="23" t="str">
        <f>Deployments!V81</f>
        <v>WLS450OPR004</v>
      </c>
      <c r="C81" s="23">
        <f>Deployments!W81</f>
        <v>0</v>
      </c>
      <c r="D81" s="15">
        <f>Deployments!AJ81</f>
        <v>0</v>
      </c>
      <c r="E81" s="15" t="str">
        <f>Deployments!N81</f>
        <v>Yes</v>
      </c>
      <c r="F81" s="23" t="str">
        <f>Deployments!O81</f>
        <v>No</v>
      </c>
      <c r="G81" s="15" t="str">
        <f>Deployments!P81</f>
        <v>No</v>
      </c>
      <c r="H81" s="15">
        <f>'13 - Config_Intake_View'!M81</f>
        <v>0</v>
      </c>
      <c r="I81" s="23">
        <f>IF('13 - Config_Intake_View'!Q81&lt;&gt;"",'13 - Config_Intake_View'!Q81,Deployments!BH81)</f>
        <v>0</v>
      </c>
      <c r="J81" s="15" t="str">
        <f>IF('13 - Config_Intake_View'!Q81&lt;&gt;"","PM Approved",IF(Deployments!BH81&lt;&gt;"","Assumed",""))</f>
        <v/>
      </c>
      <c r="K81" s="23">
        <f>Deployments!BG81</f>
        <v>0</v>
      </c>
      <c r="L81" s="15">
        <f>Deployments!T81</f>
        <v>0</v>
      </c>
      <c r="M81" s="15">
        <f>Deployments!L81</f>
        <v>0</v>
      </c>
      <c r="N81" s="15" t="str">
        <f>Deployments!BK81</f>
        <v/>
      </c>
      <c r="O81" s="23" t="str">
        <f>Deployments!BL81</f>
        <v/>
      </c>
      <c r="P81" s="2">
        <f>Deployments!BA81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Deployments!H82</f>
        <v>CFAM</v>
      </c>
      <c r="B82" s="23" t="str">
        <f>Deployments!V82</f>
        <v>WLS450OPR005</v>
      </c>
      <c r="C82" s="23">
        <f>Deployments!W82</f>
        <v>0</v>
      </c>
      <c r="D82" s="15">
        <f>Deployments!AJ82</f>
        <v>0</v>
      </c>
      <c r="E82" s="15" t="str">
        <f>Deployments!N82</f>
        <v>Yes</v>
      </c>
      <c r="F82" s="23" t="str">
        <f>Deployments!O82</f>
        <v>No</v>
      </c>
      <c r="G82" s="15" t="str">
        <f>Deployments!P82</f>
        <v>No</v>
      </c>
      <c r="H82" s="15">
        <f>'13 - Config_Intake_View'!M82</f>
        <v>0</v>
      </c>
      <c r="I82" s="23">
        <f>IF('13 - Config_Intake_View'!Q82&lt;&gt;"",'13 - Config_Intake_View'!Q82,Deployments!BH82)</f>
        <v>0</v>
      </c>
      <c r="J82" s="15" t="str">
        <f>IF('13 - Config_Intake_View'!Q82&lt;&gt;"","PM Approved",IF(Deployments!BH82&lt;&gt;"","Assumed",""))</f>
        <v/>
      </c>
      <c r="K82" s="23">
        <f>Deployments!BG82</f>
        <v>0</v>
      </c>
      <c r="L82" s="15">
        <f>Deployments!T82</f>
        <v>0</v>
      </c>
      <c r="M82" s="15">
        <f>Deployments!L82</f>
        <v>0</v>
      </c>
      <c r="N82" s="15" t="str">
        <f>Deployments!BK82</f>
        <v/>
      </c>
      <c r="O82" s="23" t="str">
        <f>Deployments!BL82</f>
        <v/>
      </c>
      <c r="P82" s="2">
        <f>Deployments!BA82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Deployments!H83</f>
        <v>CFAM</v>
      </c>
      <c r="B83" s="23" t="str">
        <f>Deployments!V83</f>
        <v>WLS450OPR006</v>
      </c>
      <c r="C83" s="23">
        <f>Deployments!W83</f>
        <v>0</v>
      </c>
      <c r="D83" s="15">
        <f>Deployments!AJ83</f>
        <v>0</v>
      </c>
      <c r="E83" s="15" t="str">
        <f>Deployments!N83</f>
        <v>Yes</v>
      </c>
      <c r="F83" s="23" t="str">
        <f>Deployments!O83</f>
        <v>No</v>
      </c>
      <c r="G83" s="15" t="str">
        <f>Deployments!P83</f>
        <v>No</v>
      </c>
      <c r="H83" s="15">
        <f>'13 - Config_Intake_View'!M83</f>
        <v>0</v>
      </c>
      <c r="I83" s="23">
        <f>IF('13 - Config_Intake_View'!Q83&lt;&gt;"",'13 - Config_Intake_View'!Q83,Deployments!BH83)</f>
        <v>0</v>
      </c>
      <c r="J83" s="15" t="str">
        <f>IF('13 - Config_Intake_View'!Q83&lt;&gt;"","PM Approved",IF(Deployments!BH83&lt;&gt;"","Assumed",""))</f>
        <v/>
      </c>
      <c r="K83" s="23">
        <f>Deployments!BG83</f>
        <v>0</v>
      </c>
      <c r="L83" s="15">
        <f>Deployments!T83</f>
        <v>0</v>
      </c>
      <c r="M83" s="15">
        <f>Deployments!L83</f>
        <v>0</v>
      </c>
      <c r="N83" s="15" t="str">
        <f>Deployments!BK83</f>
        <v/>
      </c>
      <c r="O83" s="23" t="str">
        <f>Deployments!BL83</f>
        <v/>
      </c>
      <c r="P83" s="2">
        <f>Deployments!BA83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Deployments!H84</f>
        <v>CFAM</v>
      </c>
      <c r="B84" s="23" t="str">
        <f>Deployments!V84</f>
        <v>WLS450OPR007</v>
      </c>
      <c r="C84" s="23">
        <f>Deployments!W84</f>
        <v>0</v>
      </c>
      <c r="D84" s="15">
        <f>Deployments!AJ84</f>
        <v>0</v>
      </c>
      <c r="E84" s="15" t="str">
        <f>Deployments!N84</f>
        <v>Yes</v>
      </c>
      <c r="F84" s="23" t="str">
        <f>Deployments!O84</f>
        <v>No</v>
      </c>
      <c r="G84" s="15" t="str">
        <f>Deployments!P84</f>
        <v>No</v>
      </c>
      <c r="H84" s="15">
        <f>'13 - Config_Intake_View'!M84</f>
        <v>0</v>
      </c>
      <c r="I84" s="23">
        <f>IF('13 - Config_Intake_View'!Q84&lt;&gt;"",'13 - Config_Intake_View'!Q84,Deployments!BH84)</f>
        <v>0</v>
      </c>
      <c r="J84" s="15" t="str">
        <f>IF('13 - Config_Intake_View'!Q84&lt;&gt;"","PM Approved",IF(Deployments!BH84&lt;&gt;"","Assumed",""))</f>
        <v/>
      </c>
      <c r="K84" s="23">
        <f>Deployments!BG84</f>
        <v>0</v>
      </c>
      <c r="L84" s="15">
        <f>Deployments!T84</f>
        <v>0</v>
      </c>
      <c r="M84" s="15">
        <f>Deployments!L84</f>
        <v>0</v>
      </c>
      <c r="N84" s="15" t="str">
        <f>Deployments!BK84</f>
        <v/>
      </c>
      <c r="O84" s="23" t="str">
        <f>Deployments!BL84</f>
        <v/>
      </c>
      <c r="P84" s="2">
        <f>Deployments!BA84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Deployments!H85</f>
        <v>LIJ - CCMC</v>
      </c>
      <c r="B85" s="23" t="str">
        <f>Deployments!V85</f>
        <v>WNH269OPR022</v>
      </c>
      <c r="C85" s="23">
        <f>Deployments!W85</f>
        <v>0</v>
      </c>
      <c r="D85" s="15">
        <f>Deployments!AJ85</f>
        <v>0</v>
      </c>
      <c r="E85" s="15" t="str">
        <f>Deployments!N85</f>
        <v>Yes</v>
      </c>
      <c r="F85" s="23" t="str">
        <f>Deployments!O85</f>
        <v>No</v>
      </c>
      <c r="G85" s="15" t="str">
        <f>Deployments!P85</f>
        <v>No</v>
      </c>
      <c r="H85" s="15">
        <f>'13 - Config_Intake_View'!M85</f>
        <v>0</v>
      </c>
      <c r="I85" s="23">
        <f>IF('13 - Config_Intake_View'!Q85&lt;&gt;"",'13 - Config_Intake_View'!Q85,Deployments!BH85)</f>
        <v>0</v>
      </c>
      <c r="J85" s="15" t="str">
        <f>IF('13 - Config_Intake_View'!Q85&lt;&gt;"","PM Approved",IF(Deployments!BH85&lt;&gt;"","Assumed",""))</f>
        <v/>
      </c>
      <c r="K85" s="23">
        <f>Deployments!BG85</f>
        <v>0</v>
      </c>
      <c r="L85" s="15">
        <f>Deployments!T85</f>
        <v>0</v>
      </c>
      <c r="M85" s="15">
        <f>Deployments!L85</f>
        <v>0</v>
      </c>
      <c r="N85" s="15" t="str">
        <f>Deployments!BK85</f>
        <v/>
      </c>
      <c r="O85" s="23" t="str">
        <f>Deployments!BL85</f>
        <v/>
      </c>
      <c r="P85" s="2">
        <f>Deployments!BA85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Deployments!H86</f>
        <v>LIJ - CCMC</v>
      </c>
      <c r="B86" s="23" t="str">
        <f>Deployments!V86</f>
        <v>WNH269OPR023</v>
      </c>
      <c r="C86" s="23">
        <f>Deployments!W86</f>
        <v>0</v>
      </c>
      <c r="D86" s="15">
        <f>Deployments!AJ86</f>
        <v>0</v>
      </c>
      <c r="E86" s="15" t="str">
        <f>Deployments!N86</f>
        <v>Yes</v>
      </c>
      <c r="F86" s="23" t="str">
        <f>Deployments!O86</f>
        <v>No</v>
      </c>
      <c r="G86" s="15" t="str">
        <f>Deployments!P86</f>
        <v>No</v>
      </c>
      <c r="H86" s="15">
        <f>'13 - Config_Intake_View'!M86</f>
        <v>0</v>
      </c>
      <c r="I86" s="23">
        <f>IF('13 - Config_Intake_View'!Q86&lt;&gt;"",'13 - Config_Intake_View'!Q86,Deployments!BH86)</f>
        <v>0</v>
      </c>
      <c r="J86" s="15" t="str">
        <f>IF('13 - Config_Intake_View'!Q86&lt;&gt;"","PM Approved",IF(Deployments!BH86&lt;&gt;"","Assumed",""))</f>
        <v/>
      </c>
      <c r="K86" s="23">
        <f>Deployments!BG86</f>
        <v>0</v>
      </c>
      <c r="L86" s="15">
        <f>Deployments!T86</f>
        <v>0</v>
      </c>
      <c r="M86" s="15">
        <f>Deployments!L86</f>
        <v>0</v>
      </c>
      <c r="N86" s="15" t="str">
        <f>Deployments!BK86</f>
        <v/>
      </c>
      <c r="O86" s="23" t="str">
        <f>Deployments!BL86</f>
        <v/>
      </c>
      <c r="P86" s="2">
        <f>Deployments!BA86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Deployments!H87</f>
        <v>LIJ - CCMC</v>
      </c>
      <c r="B87" s="23" t="str">
        <f>Deployments!V87</f>
        <v>WNH269OPR024</v>
      </c>
      <c r="C87" s="23">
        <f>Deployments!W87</f>
        <v>0</v>
      </c>
      <c r="D87" s="15">
        <f>Deployments!AJ87</f>
        <v>0</v>
      </c>
      <c r="E87" s="15" t="str">
        <f>Deployments!N87</f>
        <v>Yes</v>
      </c>
      <c r="F87" s="23" t="str">
        <f>Deployments!O87</f>
        <v>No</v>
      </c>
      <c r="G87" s="15" t="str">
        <f>Deployments!P87</f>
        <v>No</v>
      </c>
      <c r="H87" s="15">
        <f>'13 - Config_Intake_View'!M87</f>
        <v>0</v>
      </c>
      <c r="I87" s="23">
        <f>IF('13 - Config_Intake_View'!Q87&lt;&gt;"",'13 - Config_Intake_View'!Q87,Deployments!BH87)</f>
        <v>0</v>
      </c>
      <c r="J87" s="15" t="str">
        <f>IF('13 - Config_Intake_View'!Q87&lt;&gt;"","PM Approved",IF(Deployments!BH87&lt;&gt;"","Assumed",""))</f>
        <v/>
      </c>
      <c r="K87" s="23">
        <f>Deployments!BG87</f>
        <v>0</v>
      </c>
      <c r="L87" s="15">
        <f>Deployments!T87</f>
        <v>0</v>
      </c>
      <c r="M87" s="15">
        <f>Deployments!L87</f>
        <v>0</v>
      </c>
      <c r="N87" s="15" t="str">
        <f>Deployments!BK87</f>
        <v/>
      </c>
      <c r="O87" s="23" t="str">
        <f>Deployments!BL87</f>
        <v/>
      </c>
      <c r="P87" s="2">
        <f>Deployments!BA87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Deployments!H88</f>
        <v>LIJ - CCMC</v>
      </c>
      <c r="B88" s="23" t="str">
        <f>Deployments!V88</f>
        <v>WNH269OPR025</v>
      </c>
      <c r="C88" s="23">
        <f>Deployments!W88</f>
        <v>0</v>
      </c>
      <c r="D88" s="15">
        <f>Deployments!AJ88</f>
        <v>0</v>
      </c>
      <c r="E88" s="15" t="str">
        <f>Deployments!N88</f>
        <v>Yes</v>
      </c>
      <c r="F88" s="23" t="str">
        <f>Deployments!O88</f>
        <v>No</v>
      </c>
      <c r="G88" s="15" t="str">
        <f>Deployments!P88</f>
        <v>No</v>
      </c>
      <c r="H88" s="15">
        <f>'13 - Config_Intake_View'!M88</f>
        <v>0</v>
      </c>
      <c r="I88" s="23">
        <f>IF('13 - Config_Intake_View'!Q88&lt;&gt;"",'13 - Config_Intake_View'!Q88,Deployments!BH88)</f>
        <v>0</v>
      </c>
      <c r="J88" s="15" t="str">
        <f>IF('13 - Config_Intake_View'!Q88&lt;&gt;"","PM Approved",IF(Deployments!BH88&lt;&gt;"","Assumed",""))</f>
        <v/>
      </c>
      <c r="K88" s="23">
        <f>Deployments!BG88</f>
        <v>0</v>
      </c>
      <c r="L88" s="15">
        <f>Deployments!T88</f>
        <v>0</v>
      </c>
      <c r="M88" s="15">
        <f>Deployments!L88</f>
        <v>0</v>
      </c>
      <c r="N88" s="15" t="str">
        <f>Deployments!BK88</f>
        <v/>
      </c>
      <c r="O88" s="23" t="str">
        <f>Deployments!BL88</f>
        <v/>
      </c>
      <c r="P88" s="2">
        <f>Deployments!BA88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Deployments!H89</f>
        <v>LIJ - CCMC</v>
      </c>
      <c r="B89" s="23" t="str">
        <f>Deployments!V89</f>
        <v>WNH269OPR026</v>
      </c>
      <c r="C89" s="23">
        <f>Deployments!W89</f>
        <v>0</v>
      </c>
      <c r="D89" s="15">
        <f>Deployments!AJ89</f>
        <v>0</v>
      </c>
      <c r="E89" s="15" t="str">
        <f>Deployments!N89</f>
        <v>Yes</v>
      </c>
      <c r="F89" s="23" t="str">
        <f>Deployments!O89</f>
        <v>No</v>
      </c>
      <c r="G89" s="15" t="str">
        <f>Deployments!P89</f>
        <v>No</v>
      </c>
      <c r="H89" s="15">
        <f>'13 - Config_Intake_View'!M89</f>
        <v>0</v>
      </c>
      <c r="I89" s="23">
        <f>IF('13 - Config_Intake_View'!Q89&lt;&gt;"",'13 - Config_Intake_View'!Q89,Deployments!BH89)</f>
        <v>0</v>
      </c>
      <c r="J89" s="15" t="str">
        <f>IF('13 - Config_Intake_View'!Q89&lt;&gt;"","PM Approved",IF(Deployments!BH89&lt;&gt;"","Assumed",""))</f>
        <v/>
      </c>
      <c r="K89" s="23">
        <f>Deployments!BG89</f>
        <v>0</v>
      </c>
      <c r="L89" s="15">
        <f>Deployments!T89</f>
        <v>0</v>
      </c>
      <c r="M89" s="15">
        <f>Deployments!L89</f>
        <v>0</v>
      </c>
      <c r="N89" s="15" t="str">
        <f>Deployments!BK89</f>
        <v/>
      </c>
      <c r="O89" s="23" t="str">
        <f>Deployments!BL89</f>
        <v/>
      </c>
      <c r="P89" s="2">
        <f>Deployments!BA89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Deployments!H90</f>
        <v>LIJ - Other</v>
      </c>
      <c r="B90" s="23" t="str">
        <f>Deployments!V90</f>
        <v>WNH270OPR403</v>
      </c>
      <c r="C90" s="23">
        <f>Deployments!W90</f>
        <v>0</v>
      </c>
      <c r="D90" s="15">
        <f>Deployments!AJ90</f>
        <v>0</v>
      </c>
      <c r="E90" s="15" t="str">
        <f>Deployments!N90</f>
        <v>Yes</v>
      </c>
      <c r="F90" s="23" t="str">
        <f>Deployments!O90</f>
        <v>No</v>
      </c>
      <c r="G90" s="15" t="str">
        <f>Deployments!P90</f>
        <v>No</v>
      </c>
      <c r="H90" s="15">
        <f>'13 - Config_Intake_View'!M90</f>
        <v>0</v>
      </c>
      <c r="I90" s="23">
        <f>IF('13 - Config_Intake_View'!Q90&lt;&gt;"",'13 - Config_Intake_View'!Q90,Deployments!BH90)</f>
        <v>0</v>
      </c>
      <c r="J90" s="15" t="str">
        <f>IF('13 - Config_Intake_View'!Q90&lt;&gt;"","PM Approved",IF(Deployments!BH90&lt;&gt;"","Assumed",""))</f>
        <v/>
      </c>
      <c r="K90" s="23">
        <f>Deployments!BG90</f>
        <v>0</v>
      </c>
      <c r="L90" s="15">
        <f>Deployments!T90</f>
        <v>0</v>
      </c>
      <c r="M90" s="15">
        <f>Deployments!L90</f>
        <v>0</v>
      </c>
      <c r="N90" s="15" t="str">
        <f>Deployments!BK90</f>
        <v/>
      </c>
      <c r="O90" s="23" t="str">
        <f>Deployments!BL90</f>
        <v/>
      </c>
      <c r="P90" s="2">
        <f>Deployments!BA90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Deployments!H91</f>
        <v>LIJ - Other</v>
      </c>
      <c r="B91" s="23" t="str">
        <f>Deployments!V91</f>
        <v>WNH270OPR404</v>
      </c>
      <c r="C91" s="23">
        <f>Deployments!W91</f>
        <v>0</v>
      </c>
      <c r="D91" s="15">
        <f>Deployments!AJ91</f>
        <v>0</v>
      </c>
      <c r="E91" s="15" t="str">
        <f>Deployments!N91</f>
        <v>Yes</v>
      </c>
      <c r="F91" s="23" t="str">
        <f>Deployments!O91</f>
        <v>No</v>
      </c>
      <c r="G91" s="15" t="str">
        <f>Deployments!P91</f>
        <v>No</v>
      </c>
      <c r="H91" s="15">
        <f>'13 - Config_Intake_View'!M91</f>
        <v>0</v>
      </c>
      <c r="I91" s="23">
        <f>IF('13 - Config_Intake_View'!Q91&lt;&gt;"",'13 - Config_Intake_View'!Q91,Deployments!BH91)</f>
        <v>0</v>
      </c>
      <c r="J91" s="15" t="str">
        <f>IF('13 - Config_Intake_View'!Q91&lt;&gt;"","PM Approved",IF(Deployments!BH91&lt;&gt;"","Assumed",""))</f>
        <v/>
      </c>
      <c r="K91" s="23">
        <f>Deployments!BG91</f>
        <v>0</v>
      </c>
      <c r="L91" s="15">
        <f>Deployments!T91</f>
        <v>0</v>
      </c>
      <c r="M91" s="15">
        <f>Deployments!L91</f>
        <v>0</v>
      </c>
      <c r="N91" s="15" t="str">
        <f>Deployments!BK91</f>
        <v/>
      </c>
      <c r="O91" s="23" t="str">
        <f>Deployments!BL91</f>
        <v/>
      </c>
      <c r="P91" s="2">
        <f>Deployments!BA91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Deployments!H92</f>
        <v>LIJ - Other</v>
      </c>
      <c r="B92" s="23" t="str">
        <f>Deployments!V92</f>
        <v>WNH270OPR405</v>
      </c>
      <c r="C92" s="23">
        <f>Deployments!W92</f>
        <v>0</v>
      </c>
      <c r="D92" s="15">
        <f>Deployments!AJ92</f>
        <v>0</v>
      </c>
      <c r="E92" s="15" t="str">
        <f>Deployments!N92</f>
        <v>Yes</v>
      </c>
      <c r="F92" s="23" t="str">
        <f>Deployments!O92</f>
        <v>No</v>
      </c>
      <c r="G92" s="15" t="str">
        <f>Deployments!P92</f>
        <v>No</v>
      </c>
      <c r="H92" s="15">
        <f>'13 - Config_Intake_View'!M92</f>
        <v>0</v>
      </c>
      <c r="I92" s="23">
        <f>IF('13 - Config_Intake_View'!Q92&lt;&gt;"",'13 - Config_Intake_View'!Q92,Deployments!BH92)</f>
        <v>0</v>
      </c>
      <c r="J92" s="15" t="str">
        <f>IF('13 - Config_Intake_View'!Q92&lt;&gt;"","PM Approved",IF(Deployments!BH92&lt;&gt;"","Assumed",""))</f>
        <v/>
      </c>
      <c r="K92" s="23">
        <f>Deployments!BG92</f>
        <v>0</v>
      </c>
      <c r="L92" s="15">
        <f>Deployments!T92</f>
        <v>0</v>
      </c>
      <c r="M92" s="15">
        <f>Deployments!L92</f>
        <v>0</v>
      </c>
      <c r="N92" s="15" t="str">
        <f>Deployments!BK92</f>
        <v/>
      </c>
      <c r="O92" s="23" t="str">
        <f>Deployments!BL92</f>
        <v/>
      </c>
      <c r="P92" s="2">
        <f>Deployments!BA92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Deployments!H93</f>
        <v>LIJ - Other</v>
      </c>
      <c r="B93" s="23" t="str">
        <f>Deployments!V93</f>
        <v>WNH270OPR406</v>
      </c>
      <c r="C93" s="23">
        <f>Deployments!W93</f>
        <v>0</v>
      </c>
      <c r="D93" s="15">
        <f>Deployments!AJ93</f>
        <v>0</v>
      </c>
      <c r="E93" s="15" t="str">
        <f>Deployments!N93</f>
        <v>Yes</v>
      </c>
      <c r="F93" s="23" t="str">
        <f>Deployments!O93</f>
        <v>No</v>
      </c>
      <c r="G93" s="15" t="str">
        <f>Deployments!P93</f>
        <v>No</v>
      </c>
      <c r="H93" s="15">
        <f>'13 - Config_Intake_View'!M93</f>
        <v>0</v>
      </c>
      <c r="I93" s="23">
        <f>IF('13 - Config_Intake_View'!Q93&lt;&gt;"",'13 - Config_Intake_View'!Q93,Deployments!BH93)</f>
        <v>0</v>
      </c>
      <c r="J93" s="15" t="str">
        <f>IF('13 - Config_Intake_View'!Q93&lt;&gt;"","PM Approved",IF(Deployments!BH93&lt;&gt;"","Assumed",""))</f>
        <v/>
      </c>
      <c r="K93" s="23">
        <f>Deployments!BG93</f>
        <v>0</v>
      </c>
      <c r="L93" s="15">
        <f>Deployments!T93</f>
        <v>0</v>
      </c>
      <c r="M93" s="15">
        <f>Deployments!L93</f>
        <v>0</v>
      </c>
      <c r="N93" s="15" t="str">
        <f>Deployments!BK93</f>
        <v/>
      </c>
      <c r="O93" s="23" t="str">
        <f>Deployments!BL93</f>
        <v/>
      </c>
      <c r="P93" s="2">
        <f>Deployments!BA93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Deployments!H94</f>
        <v>LIJ - Other</v>
      </c>
      <c r="B94" s="23" t="str">
        <f>Deployments!V94</f>
        <v>WNH270OPR407</v>
      </c>
      <c r="C94" s="23">
        <f>Deployments!W94</f>
        <v>0</v>
      </c>
      <c r="D94" s="15">
        <f>Deployments!AJ94</f>
        <v>0</v>
      </c>
      <c r="E94" s="15" t="str">
        <f>Deployments!N94</f>
        <v>Yes</v>
      </c>
      <c r="F94" s="23" t="str">
        <f>Deployments!O94</f>
        <v>No</v>
      </c>
      <c r="G94" s="15" t="str">
        <f>Deployments!P94</f>
        <v>No</v>
      </c>
      <c r="H94" s="15">
        <f>'13 - Config_Intake_View'!M94</f>
        <v>0</v>
      </c>
      <c r="I94" s="23">
        <f>IF('13 - Config_Intake_View'!Q94&lt;&gt;"",'13 - Config_Intake_View'!Q94,Deployments!BH94)</f>
        <v>0</v>
      </c>
      <c r="J94" s="15" t="str">
        <f>IF('13 - Config_Intake_View'!Q94&lt;&gt;"","PM Approved",IF(Deployments!BH94&lt;&gt;"","Assumed",""))</f>
        <v/>
      </c>
      <c r="K94" s="23">
        <f>Deployments!BG94</f>
        <v>0</v>
      </c>
      <c r="L94" s="15">
        <f>Deployments!T94</f>
        <v>0</v>
      </c>
      <c r="M94" s="15">
        <f>Deployments!L94</f>
        <v>0</v>
      </c>
      <c r="N94" s="15" t="str">
        <f>Deployments!BK94</f>
        <v/>
      </c>
      <c r="O94" s="23" t="str">
        <f>Deployments!BL94</f>
        <v/>
      </c>
      <c r="P94" s="2">
        <f>Deployments!BA94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Deployments!H95</f>
        <v>LIJ - Other</v>
      </c>
      <c r="B95" s="23" t="str">
        <f>Deployments!V95</f>
        <v>WNH270OPR408</v>
      </c>
      <c r="C95" s="23">
        <f>Deployments!W95</f>
        <v>0</v>
      </c>
      <c r="D95" s="15">
        <f>Deployments!AJ95</f>
        <v>0</v>
      </c>
      <c r="E95" s="15" t="str">
        <f>Deployments!N95</f>
        <v>Yes</v>
      </c>
      <c r="F95" s="23" t="str">
        <f>Deployments!O95</f>
        <v>No</v>
      </c>
      <c r="G95" s="15" t="str">
        <f>Deployments!P95</f>
        <v>No</v>
      </c>
      <c r="H95" s="15">
        <f>'13 - Config_Intake_View'!M95</f>
        <v>0</v>
      </c>
      <c r="I95" s="23">
        <f>IF('13 - Config_Intake_View'!Q95&lt;&gt;"",'13 - Config_Intake_View'!Q95,Deployments!BH95)</f>
        <v>0</v>
      </c>
      <c r="J95" s="15" t="str">
        <f>IF('13 - Config_Intake_View'!Q95&lt;&gt;"","PM Approved",IF(Deployments!BH95&lt;&gt;"","Assumed",""))</f>
        <v/>
      </c>
      <c r="K95" s="23">
        <f>Deployments!BG95</f>
        <v>0</v>
      </c>
      <c r="L95" s="15">
        <f>Deployments!T95</f>
        <v>0</v>
      </c>
      <c r="M95" s="15">
        <f>Deployments!L95</f>
        <v>0</v>
      </c>
      <c r="N95" s="15" t="str">
        <f>Deployments!BK95</f>
        <v/>
      </c>
      <c r="O95" s="23" t="str">
        <f>Deployments!BL95</f>
        <v/>
      </c>
      <c r="P95" s="2">
        <f>Deployments!BA95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Deployments!H96</f>
        <v>LIJ - Other</v>
      </c>
      <c r="B96" s="23" t="str">
        <f>Deployments!V96</f>
        <v>WNH270OPR409</v>
      </c>
      <c r="C96" s="23">
        <f>Deployments!W96</f>
        <v>0</v>
      </c>
      <c r="D96" s="15">
        <f>Deployments!AJ96</f>
        <v>0</v>
      </c>
      <c r="E96" s="15" t="str">
        <f>Deployments!N96</f>
        <v>Yes</v>
      </c>
      <c r="F96" s="23" t="str">
        <f>Deployments!O96</f>
        <v>No</v>
      </c>
      <c r="G96" s="15" t="str">
        <f>Deployments!P96</f>
        <v>No</v>
      </c>
      <c r="H96" s="15">
        <f>'13 - Config_Intake_View'!M96</f>
        <v>0</v>
      </c>
      <c r="I96" s="23">
        <f>IF('13 - Config_Intake_View'!Q96&lt;&gt;"",'13 - Config_Intake_View'!Q96,Deployments!BH96)</f>
        <v>0</v>
      </c>
      <c r="J96" s="15" t="str">
        <f>IF('13 - Config_Intake_View'!Q96&lt;&gt;"","PM Approved",IF(Deployments!BH96&lt;&gt;"","Assumed",""))</f>
        <v/>
      </c>
      <c r="K96" s="23">
        <f>Deployments!BG96</f>
        <v>0</v>
      </c>
      <c r="L96" s="15">
        <f>Deployments!T96</f>
        <v>0</v>
      </c>
      <c r="M96" s="15">
        <f>Deployments!L96</f>
        <v>0</v>
      </c>
      <c r="N96" s="15" t="str">
        <f>Deployments!BK96</f>
        <v/>
      </c>
      <c r="O96" s="23" t="str">
        <f>Deployments!BL96</f>
        <v/>
      </c>
      <c r="P96" s="2">
        <f>Deployments!BA96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Deployments!H97</f>
        <v>LIJ - Other</v>
      </c>
      <c r="B97" s="23" t="str">
        <f>Deployments!V97</f>
        <v>WNH270OPR410</v>
      </c>
      <c r="C97" s="23">
        <f>Deployments!W97</f>
        <v>0</v>
      </c>
      <c r="D97" s="15">
        <f>Deployments!AJ97</f>
        <v>0</v>
      </c>
      <c r="E97" s="15" t="str">
        <f>Deployments!N97</f>
        <v>Yes</v>
      </c>
      <c r="F97" s="23" t="str">
        <f>Deployments!O97</f>
        <v>No</v>
      </c>
      <c r="G97" s="15" t="str">
        <f>Deployments!P97</f>
        <v>No</v>
      </c>
      <c r="H97" s="15">
        <f>'13 - Config_Intake_View'!M97</f>
        <v>0</v>
      </c>
      <c r="I97" s="23">
        <f>IF('13 - Config_Intake_View'!Q97&lt;&gt;"",'13 - Config_Intake_View'!Q97,Deployments!BH97)</f>
        <v>0</v>
      </c>
      <c r="J97" s="15" t="str">
        <f>IF('13 - Config_Intake_View'!Q97&lt;&gt;"","PM Approved",IF(Deployments!BH97&lt;&gt;"","Assumed",""))</f>
        <v/>
      </c>
      <c r="K97" s="23">
        <f>Deployments!BG97</f>
        <v>0</v>
      </c>
      <c r="L97" s="15">
        <f>Deployments!T97</f>
        <v>0</v>
      </c>
      <c r="M97" s="15">
        <f>Deployments!L97</f>
        <v>0</v>
      </c>
      <c r="N97" s="15" t="str">
        <f>Deployments!BK97</f>
        <v/>
      </c>
      <c r="O97" s="23" t="str">
        <f>Deployments!BL97</f>
        <v/>
      </c>
      <c r="P97" s="2">
        <f>Deployments!BA97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Deployments!H98</f>
        <v>LIJ - Other</v>
      </c>
      <c r="B98" s="23" t="str">
        <f>Deployments!V98</f>
        <v>WNH270OPR411</v>
      </c>
      <c r="C98" s="23">
        <f>Deployments!W98</f>
        <v>0</v>
      </c>
      <c r="D98" s="15">
        <f>Deployments!AJ98</f>
        <v>0</v>
      </c>
      <c r="E98" s="15" t="str">
        <f>Deployments!N98</f>
        <v>Yes</v>
      </c>
      <c r="F98" s="23" t="str">
        <f>Deployments!O98</f>
        <v>No</v>
      </c>
      <c r="G98" s="15" t="str">
        <f>Deployments!P98</f>
        <v>No</v>
      </c>
      <c r="H98" s="15">
        <f>'13 - Config_Intake_View'!M98</f>
        <v>0</v>
      </c>
      <c r="I98" s="23">
        <f>IF('13 - Config_Intake_View'!Q98&lt;&gt;"",'13 - Config_Intake_View'!Q98,Deployments!BH98)</f>
        <v>0</v>
      </c>
      <c r="J98" s="15" t="str">
        <f>IF('13 - Config_Intake_View'!Q98&lt;&gt;"","PM Approved",IF(Deployments!BH98&lt;&gt;"","Assumed",""))</f>
        <v/>
      </c>
      <c r="K98" s="23">
        <f>Deployments!BG98</f>
        <v>0</v>
      </c>
      <c r="L98" s="15">
        <f>Deployments!T98</f>
        <v>0</v>
      </c>
      <c r="M98" s="15">
        <f>Deployments!L98</f>
        <v>0</v>
      </c>
      <c r="N98" s="15" t="str">
        <f>Deployments!BK98</f>
        <v/>
      </c>
      <c r="O98" s="23" t="str">
        <f>Deployments!BL98</f>
        <v/>
      </c>
      <c r="P98" s="2">
        <f>Deployments!BA98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Deployments!H99</f>
        <v>LIJ - Other</v>
      </c>
      <c r="B99" s="23" t="str">
        <f>Deployments!V99</f>
        <v>WNH270OPR412</v>
      </c>
      <c r="C99" s="23">
        <f>Deployments!W99</f>
        <v>0</v>
      </c>
      <c r="D99" s="15">
        <f>Deployments!AJ99</f>
        <v>0</v>
      </c>
      <c r="E99" s="15" t="str">
        <f>Deployments!N99</f>
        <v>Yes</v>
      </c>
      <c r="F99" s="23" t="str">
        <f>Deployments!O99</f>
        <v>No</v>
      </c>
      <c r="G99" s="15" t="str">
        <f>Deployments!P99</f>
        <v>No</v>
      </c>
      <c r="H99" s="15">
        <f>'13 - Config_Intake_View'!M99</f>
        <v>0</v>
      </c>
      <c r="I99" s="23">
        <f>IF('13 - Config_Intake_View'!Q99&lt;&gt;"",'13 - Config_Intake_View'!Q99,Deployments!BH99)</f>
        <v>0</v>
      </c>
      <c r="J99" s="15" t="str">
        <f>IF('13 - Config_Intake_View'!Q99&lt;&gt;"","PM Approved",IF(Deployments!BH99&lt;&gt;"","Assumed",""))</f>
        <v/>
      </c>
      <c r="K99" s="23">
        <f>Deployments!BG99</f>
        <v>0</v>
      </c>
      <c r="L99" s="15">
        <f>Deployments!T99</f>
        <v>0</v>
      </c>
      <c r="M99" s="15">
        <f>Deployments!L99</f>
        <v>0</v>
      </c>
      <c r="N99" s="15" t="str">
        <f>Deployments!BK99</f>
        <v/>
      </c>
      <c r="O99" s="23" t="str">
        <f>Deployments!BL99</f>
        <v/>
      </c>
      <c r="P99" s="2">
        <f>Deployments!BA99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Deployments!H100</f>
        <v>LIJ - Other</v>
      </c>
      <c r="B100" s="23" t="str">
        <f>Deployments!V100</f>
        <v>BROKEN - Bluescreen@boot</v>
      </c>
      <c r="C100" s="23">
        <f>Deployments!W100</f>
        <v>0</v>
      </c>
      <c r="D100" s="15">
        <f>Deployments!AJ100</f>
        <v>0</v>
      </c>
      <c r="E100" s="15" t="str">
        <f>Deployments!N100</f>
        <v>Yes</v>
      </c>
      <c r="F100" s="23" t="str">
        <f>Deployments!O100</f>
        <v>No</v>
      </c>
      <c r="G100" s="15" t="str">
        <f>Deployments!P100</f>
        <v>No</v>
      </c>
      <c r="H100" s="15">
        <f>'13 - Config_Intake_View'!M100</f>
        <v>0</v>
      </c>
      <c r="I100" s="23">
        <f>IF('13 - Config_Intake_View'!Q100&lt;&gt;"",'13 - Config_Intake_View'!Q100,Deployments!BH100)</f>
        <v>0</v>
      </c>
      <c r="J100" s="15" t="str">
        <f>IF('13 - Config_Intake_View'!Q100&lt;&gt;"","PM Approved",IF(Deployments!BH100&lt;&gt;"","Assumed",""))</f>
        <v/>
      </c>
      <c r="K100" s="23">
        <f>Deployments!BG100</f>
        <v>0</v>
      </c>
      <c r="L100" s="15">
        <f>Deployments!T100</f>
        <v>0</v>
      </c>
      <c r="M100" s="15">
        <f>Deployments!L100</f>
        <v>0</v>
      </c>
      <c r="N100" s="15" t="str">
        <f>Deployments!BK100</f>
        <v/>
      </c>
      <c r="O100" s="23" t="str">
        <f>Deployments!BL100</f>
        <v/>
      </c>
      <c r="P100" s="2">
        <f>Deployments!BA100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Deployments!H101</f>
        <v>LIJ - Other</v>
      </c>
      <c r="B101" s="23" t="str">
        <f>Deployments!V101</f>
        <v>WNH270OPR413</v>
      </c>
      <c r="C101" s="23">
        <f>Deployments!W101</f>
        <v>0</v>
      </c>
      <c r="D101" s="15">
        <f>Deployments!AJ101</f>
        <v>0</v>
      </c>
      <c r="E101" s="15" t="str">
        <f>Deployments!N101</f>
        <v>Yes</v>
      </c>
      <c r="F101" s="23" t="str">
        <f>Deployments!O101</f>
        <v>No</v>
      </c>
      <c r="G101" s="15" t="str">
        <f>Deployments!P101</f>
        <v>No</v>
      </c>
      <c r="H101" s="15">
        <f>'13 - Config_Intake_View'!M101</f>
        <v>0</v>
      </c>
      <c r="I101" s="23">
        <f>IF('13 - Config_Intake_View'!Q101&lt;&gt;"",'13 - Config_Intake_View'!Q101,Deployments!BH101)</f>
        <v>0</v>
      </c>
      <c r="J101" s="15" t="str">
        <f>IF('13 - Config_Intake_View'!Q101&lt;&gt;"","PM Approved",IF(Deployments!BH101&lt;&gt;"","Assumed",""))</f>
        <v/>
      </c>
      <c r="K101" s="23">
        <f>Deployments!BG101</f>
        <v>0</v>
      </c>
      <c r="L101" s="15">
        <f>Deployments!T101</f>
        <v>0</v>
      </c>
      <c r="M101" s="15">
        <f>Deployments!L101</f>
        <v>0</v>
      </c>
      <c r="N101" s="15" t="str">
        <f>Deployments!BK101</f>
        <v/>
      </c>
      <c r="O101" s="23" t="str">
        <f>Deployments!BL101</f>
        <v>Firmware Download, Device ID, Epic Beans Relay</v>
      </c>
      <c r="P101" s="2">
        <f>Deployments!BA101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Deployments!H102</f>
        <v>LIJ - Other</v>
      </c>
      <c r="B102" s="23" t="str">
        <f>Deployments!V102</f>
        <v>WNH270OPR414</v>
      </c>
      <c r="C102" s="23">
        <f>Deployments!W102</f>
        <v>0</v>
      </c>
      <c r="D102" s="15">
        <f>Deployments!AJ102</f>
        <v>0</v>
      </c>
      <c r="E102" s="15" t="str">
        <f>Deployments!N102</f>
        <v>Yes</v>
      </c>
      <c r="F102" s="23" t="str">
        <f>Deployments!O102</f>
        <v>No</v>
      </c>
      <c r="G102" s="15" t="str">
        <f>Deployments!P102</f>
        <v>No</v>
      </c>
      <c r="H102" s="15">
        <f>'13 - Config_Intake_View'!M102</f>
        <v>0</v>
      </c>
      <c r="I102" s="23">
        <f>IF('13 - Config_Intake_View'!Q102&lt;&gt;"",'13 - Config_Intake_View'!Q102,Deployments!BH102)</f>
        <v>0</v>
      </c>
      <c r="J102" s="15" t="str">
        <f>IF('13 - Config_Intake_View'!Q102&lt;&gt;"","PM Approved",IF(Deployments!BH102&lt;&gt;"","Assumed",""))</f>
        <v/>
      </c>
      <c r="K102" s="23">
        <f>Deployments!BG102</f>
        <v>0</v>
      </c>
      <c r="L102" s="15">
        <f>Deployments!T102</f>
        <v>0</v>
      </c>
      <c r="M102" s="15">
        <f>Deployments!L102</f>
        <v>0</v>
      </c>
      <c r="N102" s="15" t="str">
        <f>Deployments!BK102</f>
        <v/>
      </c>
      <c r="O102" s="23" t="str">
        <f>Deployments!BL102</f>
        <v>Firmware Download, Device ID, Epic Beans Relay</v>
      </c>
      <c r="P102" s="2">
        <f>Deployments!BA102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Deployments!H103</f>
        <v>LIJ - Other</v>
      </c>
      <c r="B103" s="23" t="str">
        <f>Deployments!V103</f>
        <v>WNH270OPR415</v>
      </c>
      <c r="C103" s="23">
        <f>Deployments!W103</f>
        <v>0</v>
      </c>
      <c r="D103" s="15">
        <f>Deployments!AJ103</f>
        <v>0</v>
      </c>
      <c r="E103" s="15" t="str">
        <f>Deployments!N103</f>
        <v>Yes</v>
      </c>
      <c r="F103" s="23" t="str">
        <f>Deployments!O103</f>
        <v>No</v>
      </c>
      <c r="G103" s="15" t="str">
        <f>Deployments!P103</f>
        <v>No</v>
      </c>
      <c r="H103" s="15">
        <f>'13 - Config_Intake_View'!M103</f>
        <v>0</v>
      </c>
      <c r="I103" s="23">
        <f>IF('13 - Config_Intake_View'!Q103&lt;&gt;"",'13 - Config_Intake_View'!Q103,Deployments!BH103)</f>
        <v>0</v>
      </c>
      <c r="J103" s="15" t="str">
        <f>IF('13 - Config_Intake_View'!Q103&lt;&gt;"","PM Approved",IF(Deployments!BH103&lt;&gt;"","Assumed",""))</f>
        <v/>
      </c>
      <c r="K103" s="23">
        <f>Deployments!BG103</f>
        <v>0</v>
      </c>
      <c r="L103" s="15">
        <f>Deployments!T103</f>
        <v>0</v>
      </c>
      <c r="M103" s="15">
        <f>Deployments!L103</f>
        <v>0</v>
      </c>
      <c r="N103" s="15" t="str">
        <f>Deployments!BK103</f>
        <v/>
      </c>
      <c r="O103" s="23" t="str">
        <f>Deployments!BL103</f>
        <v>Firmware Download, Device ID, Epic Beans Relay</v>
      </c>
      <c r="P103" s="2">
        <f>Deployments!BA103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Deployments!H104</f>
        <v>LIJ - Other</v>
      </c>
      <c r="B104" s="23" t="str">
        <f>Deployments!V104</f>
        <v>WNH270OPR416</v>
      </c>
      <c r="C104" s="23">
        <f>Deployments!W104</f>
        <v>0</v>
      </c>
      <c r="D104" s="15">
        <f>Deployments!AJ104</f>
        <v>0</v>
      </c>
      <c r="E104" s="15" t="str">
        <f>Deployments!N104</f>
        <v>Yes</v>
      </c>
      <c r="F104" s="23" t="str">
        <f>Deployments!O104</f>
        <v>No</v>
      </c>
      <c r="G104" s="15" t="str">
        <f>Deployments!P104</f>
        <v>No</v>
      </c>
      <c r="H104" s="15">
        <f>'13 - Config_Intake_View'!M104</f>
        <v>0</v>
      </c>
      <c r="I104" s="23">
        <f>IF('13 - Config_Intake_View'!Q104&lt;&gt;"",'13 - Config_Intake_View'!Q104,Deployments!BH104)</f>
        <v>0</v>
      </c>
      <c r="J104" s="15" t="str">
        <f>IF('13 - Config_Intake_View'!Q104&lt;&gt;"","PM Approved",IF(Deployments!BH104&lt;&gt;"","Assumed",""))</f>
        <v/>
      </c>
      <c r="K104" s="23">
        <f>Deployments!BG104</f>
        <v>0</v>
      </c>
      <c r="L104" s="15">
        <f>Deployments!T104</f>
        <v>0</v>
      </c>
      <c r="M104" s="15">
        <f>Deployments!L104</f>
        <v>0</v>
      </c>
      <c r="N104" s="15" t="str">
        <f>Deployments!BK104</f>
        <v/>
      </c>
      <c r="O104" s="23" t="e">
        <f>Deployments!BL104</f>
        <v>#REF!</v>
      </c>
      <c r="P104" s="2">
        <f>Deployments!BA104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Deployments!H105</f>
        <v>LIJ - Other</v>
      </c>
      <c r="B105" s="23" t="str">
        <f>Deployments!V105</f>
        <v>WNH270OPR417</v>
      </c>
      <c r="C105" s="23">
        <f>Deployments!W105</f>
        <v>0</v>
      </c>
      <c r="D105" s="15">
        <f>Deployments!AJ105</f>
        <v>0</v>
      </c>
      <c r="E105" s="15" t="str">
        <f>Deployments!N105</f>
        <v>Yes</v>
      </c>
      <c r="F105" s="23" t="str">
        <f>Deployments!O105</f>
        <v>No</v>
      </c>
      <c r="G105" s="15" t="str">
        <f>Deployments!P105</f>
        <v>No</v>
      </c>
      <c r="H105" s="15">
        <f>'13 - Config_Intake_View'!M105</f>
        <v>0</v>
      </c>
      <c r="I105" s="23">
        <f>IF('13 - Config_Intake_View'!Q105&lt;&gt;"",'13 - Config_Intake_View'!Q105,Deployments!BH105)</f>
        <v>0</v>
      </c>
      <c r="J105" s="15" t="str">
        <f>IF('13 - Config_Intake_View'!Q105&lt;&gt;"","PM Approved",IF(Deployments!BH105&lt;&gt;"","Assumed",""))</f>
        <v/>
      </c>
      <c r="K105" s="23">
        <f>Deployments!BG105</f>
        <v>0</v>
      </c>
      <c r="L105" s="15">
        <f>Deployments!T105</f>
        <v>0</v>
      </c>
      <c r="M105" s="15">
        <f>Deployments!L105</f>
        <v>0</v>
      </c>
      <c r="N105" s="15" t="str">
        <f>Deployments!BK105</f>
        <v/>
      </c>
      <c r="O105" s="23" t="str">
        <f>Deployments!BL105</f>
        <v>Firmware Download, Device ID, Epic Beans Relay</v>
      </c>
      <c r="P105" s="2">
        <f>Deployments!BA105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Deployments!H106</f>
        <v>LIJ - Other</v>
      </c>
      <c r="B106" s="23" t="str">
        <f>Deployments!V106</f>
        <v>WNH270OPR418</v>
      </c>
      <c r="C106" s="23">
        <f>Deployments!W106</f>
        <v>0</v>
      </c>
      <c r="D106" s="15">
        <f>Deployments!AJ106</f>
        <v>0</v>
      </c>
      <c r="E106" s="15" t="str">
        <f>Deployments!N106</f>
        <v>Yes</v>
      </c>
      <c r="F106" s="23" t="str">
        <f>Deployments!O106</f>
        <v>No</v>
      </c>
      <c r="G106" s="15" t="str">
        <f>Deployments!P106</f>
        <v>No</v>
      </c>
      <c r="H106" s="15">
        <f>'13 - Config_Intake_View'!M106</f>
        <v>0</v>
      </c>
      <c r="I106" s="23">
        <f>IF('13 - Config_Intake_View'!Q106&lt;&gt;"",'13 - Config_Intake_View'!Q106,Deployments!BH106)</f>
        <v>0</v>
      </c>
      <c r="J106" s="15" t="str">
        <f>IF('13 - Config_Intake_View'!Q106&lt;&gt;"","PM Approved",IF(Deployments!BH106&lt;&gt;"","Assumed",""))</f>
        <v/>
      </c>
      <c r="K106" s="23">
        <f>Deployments!BG106</f>
        <v>0</v>
      </c>
      <c r="L106" s="15">
        <f>Deployments!T106</f>
        <v>0</v>
      </c>
      <c r="M106" s="15">
        <f>Deployments!L106</f>
        <v>0</v>
      </c>
      <c r="N106" s="15" t="str">
        <f>Deployments!BK106</f>
        <v/>
      </c>
      <c r="O106" s="23" t="str">
        <f>Deployments!BL106</f>
        <v/>
      </c>
      <c r="P106" s="2">
        <f>Deployments!BA106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Deployments!H107</f>
        <v>LIJ - Other</v>
      </c>
      <c r="B107" s="23" t="str">
        <f>Deployments!V107</f>
        <v>WNH270OPR419</v>
      </c>
      <c r="C107" s="23">
        <f>Deployments!W107</f>
        <v>0</v>
      </c>
      <c r="D107" s="15">
        <f>Deployments!AJ107</f>
        <v>0</v>
      </c>
      <c r="E107" s="15" t="str">
        <f>Deployments!N107</f>
        <v>Yes</v>
      </c>
      <c r="F107" s="23" t="str">
        <f>Deployments!O107</f>
        <v>No</v>
      </c>
      <c r="G107" s="15" t="str">
        <f>Deployments!P107</f>
        <v>No</v>
      </c>
      <c r="H107" s="15">
        <f>'13 - Config_Intake_View'!M107</f>
        <v>0</v>
      </c>
      <c r="I107" s="23">
        <f>IF('13 - Config_Intake_View'!Q107&lt;&gt;"",'13 - Config_Intake_View'!Q107,Deployments!BH107)</f>
        <v>0</v>
      </c>
      <c r="J107" s="15" t="str">
        <f>IF('13 - Config_Intake_View'!Q107&lt;&gt;"","PM Approved",IF(Deployments!BH107&lt;&gt;"","Assumed",""))</f>
        <v/>
      </c>
      <c r="K107" s="23">
        <f>Deployments!BG107</f>
        <v>0</v>
      </c>
      <c r="L107" s="15">
        <f>Deployments!T107</f>
        <v>0</v>
      </c>
      <c r="M107" s="15">
        <f>Deployments!L107</f>
        <v>0</v>
      </c>
      <c r="N107" s="15" t="str">
        <f>Deployments!BK107</f>
        <v/>
      </c>
      <c r="O107" s="23" t="str">
        <f>Deployments!BL107</f>
        <v>Firmware Download, Device ID, Epic Beans Relay</v>
      </c>
      <c r="P107" s="2">
        <f>Deployments!BA107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Deployments!H108</f>
        <v>LIJ - Other</v>
      </c>
      <c r="B108" s="23" t="str">
        <f>Deployments!V108</f>
        <v>WNH270OPR420</v>
      </c>
      <c r="C108" s="23">
        <f>Deployments!W108</f>
        <v>0</v>
      </c>
      <c r="D108" s="15">
        <f>Deployments!AJ108</f>
        <v>0</v>
      </c>
      <c r="E108" s="15" t="str">
        <f>Deployments!N108</f>
        <v>Yes</v>
      </c>
      <c r="F108" s="23" t="str">
        <f>Deployments!O108</f>
        <v>No</v>
      </c>
      <c r="G108" s="15" t="str">
        <f>Deployments!P108</f>
        <v>No</v>
      </c>
      <c r="H108" s="15">
        <f>'13 - Config_Intake_View'!M108</f>
        <v>0</v>
      </c>
      <c r="I108" s="23">
        <f>IF('13 - Config_Intake_View'!Q108&lt;&gt;"",'13 - Config_Intake_View'!Q108,Deployments!BH108)</f>
        <v>0</v>
      </c>
      <c r="J108" s="15" t="str">
        <f>IF('13 - Config_Intake_View'!Q108&lt;&gt;"","PM Approved",IF(Deployments!BH108&lt;&gt;"","Assumed",""))</f>
        <v/>
      </c>
      <c r="K108" s="23">
        <f>Deployments!BG108</f>
        <v>0</v>
      </c>
      <c r="L108" s="15">
        <f>Deployments!T108</f>
        <v>0</v>
      </c>
      <c r="M108" s="15">
        <f>Deployments!L108</f>
        <v>0</v>
      </c>
      <c r="N108" s="15" t="str">
        <f>Deployments!BK108</f>
        <v/>
      </c>
      <c r="O108" s="23" t="str">
        <f>Deployments!BL108</f>
        <v>Firmware Download, Device ID, Epic Beans Relay</v>
      </c>
      <c r="P108" s="2">
        <f>Deployments!BA108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Deployments!H109</f>
        <v>LIJ - Other</v>
      </c>
      <c r="B109" s="23" t="str">
        <f>Deployments!V109</f>
        <v>WNH270OPR421</v>
      </c>
      <c r="C109" s="23">
        <f>Deployments!W109</f>
        <v>0</v>
      </c>
      <c r="D109" s="15">
        <f>Deployments!AJ109</f>
        <v>0</v>
      </c>
      <c r="E109" s="15" t="str">
        <f>Deployments!N109</f>
        <v>Yes</v>
      </c>
      <c r="F109" s="23" t="str">
        <f>Deployments!O109</f>
        <v>No</v>
      </c>
      <c r="G109" s="15" t="str">
        <f>Deployments!P109</f>
        <v>No</v>
      </c>
      <c r="H109" s="15">
        <f>'13 - Config_Intake_View'!M109</f>
        <v>0</v>
      </c>
      <c r="I109" s="23">
        <f>IF('13 - Config_Intake_View'!Q109&lt;&gt;"",'13 - Config_Intake_View'!Q109,Deployments!BH109)</f>
        <v>0</v>
      </c>
      <c r="J109" s="15" t="str">
        <f>IF('13 - Config_Intake_View'!Q109&lt;&gt;"","PM Approved",IF(Deployments!BH109&lt;&gt;"","Assumed",""))</f>
        <v/>
      </c>
      <c r="K109" s="23">
        <f>Deployments!BG109</f>
        <v>0</v>
      </c>
      <c r="L109" s="15">
        <f>Deployments!T109</f>
        <v>0</v>
      </c>
      <c r="M109" s="15">
        <f>Deployments!L109</f>
        <v>0</v>
      </c>
      <c r="N109" s="15" t="str">
        <f>Deployments!BK109</f>
        <v/>
      </c>
      <c r="O109" s="23" t="str">
        <f>Deployments!BL109</f>
        <v>Firmware Download, Device ID, Epic Beans Relay</v>
      </c>
      <c r="P109" s="2">
        <f>Deployments!BA109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Deployments!H110</f>
        <v>LIJ - OR</v>
      </c>
      <c r="B110" s="23" t="str">
        <f>Deployments!V110</f>
        <v>WNH270OPR422</v>
      </c>
      <c r="C110" s="23">
        <f>Deployments!W110</f>
        <v>0</v>
      </c>
      <c r="D110" s="15">
        <f>Deployments!AJ110</f>
        <v>0</v>
      </c>
      <c r="E110" s="15" t="str">
        <f>Deployments!N110</f>
        <v>Yes</v>
      </c>
      <c r="F110" s="23" t="str">
        <f>Deployments!O110</f>
        <v>No</v>
      </c>
      <c r="G110" s="15" t="str">
        <f>Deployments!P110</f>
        <v>No</v>
      </c>
      <c r="H110" s="15">
        <f>'13 - Config_Intake_View'!M110</f>
        <v>0</v>
      </c>
      <c r="I110" s="23">
        <f>IF('13 - Config_Intake_View'!Q110&lt;&gt;"",'13 - Config_Intake_View'!Q110,Deployments!BH110)</f>
        <v>0</v>
      </c>
      <c r="J110" s="15" t="str">
        <f>IF('13 - Config_Intake_View'!Q110&lt;&gt;"","PM Approved",IF(Deployments!BH110&lt;&gt;"","Assumed",""))</f>
        <v/>
      </c>
      <c r="K110" s="23">
        <f>Deployments!BG110</f>
        <v>0</v>
      </c>
      <c r="L110" s="15">
        <f>Deployments!T110</f>
        <v>0</v>
      </c>
      <c r="M110" s="15">
        <f>Deployments!L110</f>
        <v>0</v>
      </c>
      <c r="N110" s="15" t="str">
        <f>Deployments!BK110</f>
        <v/>
      </c>
      <c r="O110" s="23" t="str">
        <f>Deployments!BL110</f>
        <v>Firmware Download, Device ID, Epic Beans Relay</v>
      </c>
      <c r="P110" s="2">
        <f>Deployments!BA110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Deployments!H111</f>
        <v>LIJ - OR</v>
      </c>
      <c r="B111" s="23" t="str">
        <f>Deployments!V111</f>
        <v>WNH270OPR423</v>
      </c>
      <c r="C111" s="23">
        <f>Deployments!W111</f>
        <v>0</v>
      </c>
      <c r="D111" s="15">
        <f>Deployments!AJ111</f>
        <v>0</v>
      </c>
      <c r="E111" s="15" t="str">
        <f>Deployments!N111</f>
        <v>Yes</v>
      </c>
      <c r="F111" s="23" t="str">
        <f>Deployments!O111</f>
        <v>No</v>
      </c>
      <c r="G111" s="15" t="str">
        <f>Deployments!P111</f>
        <v>No</v>
      </c>
      <c r="H111" s="15">
        <f>'13 - Config_Intake_View'!M111</f>
        <v>0</v>
      </c>
      <c r="I111" s="23">
        <f>IF('13 - Config_Intake_View'!Q111&lt;&gt;"",'13 - Config_Intake_View'!Q111,Deployments!BH111)</f>
        <v>0</v>
      </c>
      <c r="J111" s="15" t="str">
        <f>IF('13 - Config_Intake_View'!Q111&lt;&gt;"","PM Approved",IF(Deployments!BH111&lt;&gt;"","Assumed",""))</f>
        <v/>
      </c>
      <c r="K111" s="23">
        <f>Deployments!BG111</f>
        <v>0</v>
      </c>
      <c r="L111" s="15">
        <f>Deployments!T111</f>
        <v>0</v>
      </c>
      <c r="M111" s="15">
        <f>Deployments!L111</f>
        <v>0</v>
      </c>
      <c r="N111" s="15" t="str">
        <f>Deployments!BK111</f>
        <v/>
      </c>
      <c r="O111" s="23" t="str">
        <f>Deployments!BL111</f>
        <v>Firmware Download, Device ID, Epic Beans Relay</v>
      </c>
      <c r="P111" s="2">
        <f>Deployments!BA111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Deployments!H112</f>
        <v>LIJ - OR</v>
      </c>
      <c r="B112" s="23" t="str">
        <f>Deployments!V112</f>
        <v>WNH270OPR424</v>
      </c>
      <c r="C112" s="23">
        <f>Deployments!W112</f>
        <v>0</v>
      </c>
      <c r="D112" s="15">
        <f>Deployments!AJ112</f>
        <v>0</v>
      </c>
      <c r="E112" s="15" t="str">
        <f>Deployments!N112</f>
        <v>Yes</v>
      </c>
      <c r="F112" s="23" t="str">
        <f>Deployments!O112</f>
        <v>No</v>
      </c>
      <c r="G112" s="15" t="str">
        <f>Deployments!P112</f>
        <v>No</v>
      </c>
      <c r="H112" s="15">
        <f>'13 - Config_Intake_View'!M112</f>
        <v>0</v>
      </c>
      <c r="I112" s="23">
        <f>IF('13 - Config_Intake_View'!Q112&lt;&gt;"",'13 - Config_Intake_View'!Q112,Deployments!BH112)</f>
        <v>0</v>
      </c>
      <c r="J112" s="15" t="str">
        <f>IF('13 - Config_Intake_View'!Q112&lt;&gt;"","PM Approved",IF(Deployments!BH112&lt;&gt;"","Assumed",""))</f>
        <v/>
      </c>
      <c r="K112" s="23">
        <f>Deployments!BG112</f>
        <v>0</v>
      </c>
      <c r="L112" s="15">
        <f>Deployments!T112</f>
        <v>0</v>
      </c>
      <c r="M112" s="15">
        <f>Deployments!L112</f>
        <v>0</v>
      </c>
      <c r="N112" s="15" t="str">
        <f>Deployments!BK112</f>
        <v/>
      </c>
      <c r="O112" s="23" t="str">
        <f>Deployments!BL112</f>
        <v>Firmware Download, Device ID, Epic Beans Relay</v>
      </c>
      <c r="P112" s="2">
        <f>Deployments!BA112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Deployments!H113</f>
        <v>LIJ - OR</v>
      </c>
      <c r="B113" s="23" t="str">
        <f>Deployments!V113</f>
        <v>WNH270OPR425</v>
      </c>
      <c r="C113" s="23">
        <f>Deployments!W113</f>
        <v>0</v>
      </c>
      <c r="D113" s="15">
        <f>Deployments!AJ113</f>
        <v>0</v>
      </c>
      <c r="E113" s="15" t="str">
        <f>Deployments!N113</f>
        <v>Yes</v>
      </c>
      <c r="F113" s="23" t="str">
        <f>Deployments!O113</f>
        <v>No</v>
      </c>
      <c r="G113" s="15" t="str">
        <f>Deployments!P113</f>
        <v>No</v>
      </c>
      <c r="H113" s="15">
        <f>'13 - Config_Intake_View'!M113</f>
        <v>0</v>
      </c>
      <c r="I113" s="23">
        <f>IF('13 - Config_Intake_View'!Q113&lt;&gt;"",'13 - Config_Intake_View'!Q113,Deployments!BH113)</f>
        <v>0</v>
      </c>
      <c r="J113" s="15" t="str">
        <f>IF('13 - Config_Intake_View'!Q113&lt;&gt;"","PM Approved",IF(Deployments!BH113&lt;&gt;"","Assumed",""))</f>
        <v/>
      </c>
      <c r="K113" s="23">
        <f>Deployments!BG113</f>
        <v>0</v>
      </c>
      <c r="L113" s="15">
        <f>Deployments!T113</f>
        <v>0</v>
      </c>
      <c r="M113" s="15">
        <f>Deployments!L113</f>
        <v>0</v>
      </c>
      <c r="N113" s="15" t="str">
        <f>Deployments!BK113</f>
        <v/>
      </c>
      <c r="O113" s="23" t="str">
        <f>Deployments!BL113</f>
        <v/>
      </c>
      <c r="P113" s="2">
        <f>Deployments!BA113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Deployments!H114</f>
        <v>LIJ - OR</v>
      </c>
      <c r="B114" s="23" t="str">
        <f>Deployments!V114</f>
        <v>WNH270OPR426</v>
      </c>
      <c r="C114" s="23">
        <f>Deployments!W114</f>
        <v>0</v>
      </c>
      <c r="D114" s="15">
        <f>Deployments!AJ114</f>
        <v>0</v>
      </c>
      <c r="E114" s="15" t="str">
        <f>Deployments!N114</f>
        <v>Yes</v>
      </c>
      <c r="F114" s="23" t="str">
        <f>Deployments!O114</f>
        <v>No</v>
      </c>
      <c r="G114" s="15" t="str">
        <f>Deployments!P114</f>
        <v>No</v>
      </c>
      <c r="H114" s="15">
        <f>'13 - Config_Intake_View'!M114</f>
        <v>0</v>
      </c>
      <c r="I114" s="23">
        <f>IF('13 - Config_Intake_View'!Q114&lt;&gt;"",'13 - Config_Intake_View'!Q114,Deployments!BH114)</f>
        <v>0</v>
      </c>
      <c r="J114" s="15" t="str">
        <f>IF('13 - Config_Intake_View'!Q114&lt;&gt;"","PM Approved",IF(Deployments!BH114&lt;&gt;"","Assumed",""))</f>
        <v/>
      </c>
      <c r="K114" s="23">
        <f>Deployments!BG114</f>
        <v>0</v>
      </c>
      <c r="L114" s="15">
        <f>Deployments!T114</f>
        <v>0</v>
      </c>
      <c r="M114" s="15">
        <f>Deployments!L114</f>
        <v>0</v>
      </c>
      <c r="N114" s="15" t="str">
        <f>Deployments!BK114</f>
        <v/>
      </c>
      <c r="O114" s="23" t="str">
        <f>Deployments!BL114</f>
        <v/>
      </c>
      <c r="P114" s="2">
        <f>Deployments!BA114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Deployments!H115</f>
        <v>LIJ - OR</v>
      </c>
      <c r="B115" s="23" t="str">
        <f>Deployments!V115</f>
        <v>WNH270OPR427</v>
      </c>
      <c r="C115" s="23">
        <f>Deployments!W115</f>
        <v>0</v>
      </c>
      <c r="D115" s="15">
        <f>Deployments!AJ115</f>
        <v>0</v>
      </c>
      <c r="E115" s="15" t="str">
        <f>Deployments!N115</f>
        <v>Yes</v>
      </c>
      <c r="F115" s="23" t="str">
        <f>Deployments!O115</f>
        <v>No</v>
      </c>
      <c r="G115" s="15" t="str">
        <f>Deployments!P115</f>
        <v>No</v>
      </c>
      <c r="H115" s="15">
        <f>'13 - Config_Intake_View'!M115</f>
        <v>0</v>
      </c>
      <c r="I115" s="23">
        <f>IF('13 - Config_Intake_View'!Q115&lt;&gt;"",'13 - Config_Intake_View'!Q115,Deployments!BH115)</f>
        <v>0</v>
      </c>
      <c r="J115" s="15" t="str">
        <f>IF('13 - Config_Intake_View'!Q115&lt;&gt;"","PM Approved",IF(Deployments!BH115&lt;&gt;"","Assumed",""))</f>
        <v/>
      </c>
      <c r="K115" s="23">
        <f>Deployments!BG115</f>
        <v>0</v>
      </c>
      <c r="L115" s="15">
        <f>Deployments!T115</f>
        <v>0</v>
      </c>
      <c r="M115" s="15">
        <f>Deployments!L115</f>
        <v>0</v>
      </c>
      <c r="N115" s="15" t="str">
        <f>Deployments!BK115</f>
        <v/>
      </c>
      <c r="O115" s="23" t="str">
        <f>Deployments!BL115</f>
        <v/>
      </c>
      <c r="P115" s="2">
        <f>Deployments!BA115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Deployments!H116</f>
        <v>LIJ - OR</v>
      </c>
      <c r="B116" s="23" t="str">
        <f>Deployments!V116</f>
        <v>WNH270OPR428</v>
      </c>
      <c r="C116" s="23">
        <f>Deployments!W116</f>
        <v>0</v>
      </c>
      <c r="D116" s="15">
        <f>Deployments!AJ116</f>
        <v>0</v>
      </c>
      <c r="E116" s="15" t="str">
        <f>Deployments!N116</f>
        <v>Yes</v>
      </c>
      <c r="F116" s="23" t="str">
        <f>Deployments!O116</f>
        <v>No</v>
      </c>
      <c r="G116" s="15" t="str">
        <f>Deployments!P116</f>
        <v>No</v>
      </c>
      <c r="H116" s="15">
        <f>'13 - Config_Intake_View'!M116</f>
        <v>0</v>
      </c>
      <c r="I116" s="23">
        <f>IF('13 - Config_Intake_View'!Q116&lt;&gt;"",'13 - Config_Intake_View'!Q116,Deployments!BH116)</f>
        <v>0</v>
      </c>
      <c r="J116" s="15" t="str">
        <f>IF('13 - Config_Intake_View'!Q116&lt;&gt;"","PM Approved",IF(Deployments!BH116&lt;&gt;"","Assumed",""))</f>
        <v/>
      </c>
      <c r="K116" s="23">
        <f>Deployments!BG116</f>
        <v>0</v>
      </c>
      <c r="L116" s="15">
        <f>Deployments!T116</f>
        <v>0</v>
      </c>
      <c r="M116" s="15">
        <f>Deployments!L116</f>
        <v>0</v>
      </c>
      <c r="N116" s="15" t="str">
        <f>Deployments!BK116</f>
        <v/>
      </c>
      <c r="O116" s="23" t="str">
        <f>Deployments!BL116</f>
        <v/>
      </c>
      <c r="P116" s="2">
        <f>Deployments!BA116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Deployments!H117</f>
        <v>LIJ - OR</v>
      </c>
      <c r="B117" s="23" t="str">
        <f>Deployments!V117</f>
        <v>WNH270OPR429</v>
      </c>
      <c r="C117" s="23">
        <f>Deployments!W117</f>
        <v>0</v>
      </c>
      <c r="D117" s="15">
        <f>Deployments!AJ117</f>
        <v>0</v>
      </c>
      <c r="E117" s="15" t="str">
        <f>Deployments!N117</f>
        <v>Yes</v>
      </c>
      <c r="F117" s="23" t="str">
        <f>Deployments!O117</f>
        <v>No</v>
      </c>
      <c r="G117" s="15" t="str">
        <f>Deployments!P117</f>
        <v>No</v>
      </c>
      <c r="H117" s="15">
        <f>'13 - Config_Intake_View'!M117</f>
        <v>0</v>
      </c>
      <c r="I117" s="23">
        <f>IF('13 - Config_Intake_View'!Q117&lt;&gt;"",'13 - Config_Intake_View'!Q117,Deployments!BH117)</f>
        <v>0</v>
      </c>
      <c r="J117" s="15" t="str">
        <f>IF('13 - Config_Intake_View'!Q117&lt;&gt;"","PM Approved",IF(Deployments!BH117&lt;&gt;"","Assumed",""))</f>
        <v/>
      </c>
      <c r="K117" s="23">
        <f>Deployments!BG117</f>
        <v>0</v>
      </c>
      <c r="L117" s="15">
        <f>Deployments!T117</f>
        <v>0</v>
      </c>
      <c r="M117" s="15">
        <f>Deployments!L117</f>
        <v>0</v>
      </c>
      <c r="N117" s="15" t="str">
        <f>Deployments!BK117</f>
        <v/>
      </c>
      <c r="O117" s="23" t="str">
        <f>Deployments!BL117</f>
        <v>Firmware Download, Device ID, Epic Beans Relay</v>
      </c>
      <c r="P117" s="2">
        <f>Deployments!BA117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Deployments!H118</f>
        <v>LIJ - OR</v>
      </c>
      <c r="B118" s="23" t="str">
        <f>Deployments!V118</f>
        <v>WNH270OPR430</v>
      </c>
      <c r="C118" s="23">
        <f>Deployments!W118</f>
        <v>0</v>
      </c>
      <c r="D118" s="15">
        <f>Deployments!AJ118</f>
        <v>0</v>
      </c>
      <c r="E118" s="15" t="str">
        <f>Deployments!N118</f>
        <v>Yes</v>
      </c>
      <c r="F118" s="23" t="str">
        <f>Deployments!O118</f>
        <v>No</v>
      </c>
      <c r="G118" s="15" t="str">
        <f>Deployments!P118</f>
        <v>No</v>
      </c>
      <c r="H118" s="15">
        <f>'13 - Config_Intake_View'!M118</f>
        <v>0</v>
      </c>
      <c r="I118" s="23">
        <f>IF('13 - Config_Intake_View'!Q118&lt;&gt;"",'13 - Config_Intake_View'!Q118,Deployments!BH118)</f>
        <v>0</v>
      </c>
      <c r="J118" s="15" t="str">
        <f>IF('13 - Config_Intake_View'!Q118&lt;&gt;"","PM Approved",IF(Deployments!BH118&lt;&gt;"","Assumed",""))</f>
        <v/>
      </c>
      <c r="K118" s="23">
        <f>Deployments!BG118</f>
        <v>0</v>
      </c>
      <c r="L118" s="15">
        <f>Deployments!T118</f>
        <v>0</v>
      </c>
      <c r="M118" s="15">
        <f>Deployments!L118</f>
        <v>0</v>
      </c>
      <c r="N118" s="15" t="str">
        <f>Deployments!BK118</f>
        <v/>
      </c>
      <c r="O118" s="23" t="str">
        <f>Deployments!BL118</f>
        <v>Firmware Download, Device ID, Epic Beans Relay</v>
      </c>
      <c r="P118" s="2">
        <f>Deployments!BA118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Deployments!H119</f>
        <v>LIJ - OR</v>
      </c>
      <c r="B119" s="23" t="str">
        <f>Deployments!V119</f>
        <v>WNH270OPR431</v>
      </c>
      <c r="C119" s="23">
        <f>Deployments!W119</f>
        <v>0</v>
      </c>
      <c r="D119" s="15">
        <f>Deployments!AJ119</f>
        <v>0</v>
      </c>
      <c r="E119" s="15" t="str">
        <f>Deployments!N119</f>
        <v>Yes</v>
      </c>
      <c r="F119" s="23" t="str">
        <f>Deployments!O119</f>
        <v>No</v>
      </c>
      <c r="G119" s="15" t="str">
        <f>Deployments!P119</f>
        <v>No</v>
      </c>
      <c r="H119" s="15">
        <f>'13 - Config_Intake_View'!M119</f>
        <v>0</v>
      </c>
      <c r="I119" s="23">
        <f>IF('13 - Config_Intake_View'!Q119&lt;&gt;"",'13 - Config_Intake_View'!Q119,Deployments!BH119)</f>
        <v>0</v>
      </c>
      <c r="J119" s="15" t="str">
        <f>IF('13 - Config_Intake_View'!Q119&lt;&gt;"","PM Approved",IF(Deployments!BH119&lt;&gt;"","Assumed",""))</f>
        <v/>
      </c>
      <c r="K119" s="23">
        <f>Deployments!BG119</f>
        <v>0</v>
      </c>
      <c r="L119" s="15">
        <f>Deployments!T119</f>
        <v>0</v>
      </c>
      <c r="M119" s="15">
        <f>Deployments!L119</f>
        <v>0</v>
      </c>
      <c r="N119" s="15" t="str">
        <f>Deployments!BK119</f>
        <v/>
      </c>
      <c r="O119" s="23" t="str">
        <f>Deployments!BL119</f>
        <v/>
      </c>
      <c r="P119" s="2">
        <f>Deployments!BA119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Deployments!H120</f>
        <v>LIJ - OR</v>
      </c>
      <c r="B120" s="23" t="str">
        <f>Deployments!V120</f>
        <v>WNH270OPR432</v>
      </c>
      <c r="C120" s="23">
        <f>Deployments!W120</f>
        <v>0</v>
      </c>
      <c r="D120" s="15">
        <f>Deployments!AJ120</f>
        <v>0</v>
      </c>
      <c r="E120" s="15" t="str">
        <f>Deployments!N120</f>
        <v>Yes</v>
      </c>
      <c r="F120" s="23" t="str">
        <f>Deployments!O120</f>
        <v>No</v>
      </c>
      <c r="G120" s="15" t="str">
        <f>Deployments!P120</f>
        <v>No</v>
      </c>
      <c r="H120" s="15">
        <f>'13 - Config_Intake_View'!M120</f>
        <v>0</v>
      </c>
      <c r="I120" s="23">
        <f>IF('13 - Config_Intake_View'!Q120&lt;&gt;"",'13 - Config_Intake_View'!Q120,Deployments!BH120)</f>
        <v>0</v>
      </c>
      <c r="J120" s="15" t="str">
        <f>IF('13 - Config_Intake_View'!Q120&lt;&gt;"","PM Approved",IF(Deployments!BH120&lt;&gt;"","Assumed",""))</f>
        <v/>
      </c>
      <c r="K120" s="23">
        <f>Deployments!BG120</f>
        <v>0</v>
      </c>
      <c r="L120" s="15">
        <f>Deployments!T120</f>
        <v>0</v>
      </c>
      <c r="M120" s="15">
        <f>Deployments!L120</f>
        <v>0</v>
      </c>
      <c r="N120" s="15" t="str">
        <f>Deployments!BK120</f>
        <v/>
      </c>
      <c r="O120" s="23" t="str">
        <f>Deployments!BL120</f>
        <v>Firmware Download, Device ID, Epic Beans Relay</v>
      </c>
      <c r="P120" s="2">
        <f>Deployments!BA120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Deployments!H121</f>
        <v>LIJ - OR</v>
      </c>
      <c r="B121" s="23" t="str">
        <f>Deployments!V121</f>
        <v>WNH270OPR433</v>
      </c>
      <c r="C121" s="23">
        <f>Deployments!W121</f>
        <v>0</v>
      </c>
      <c r="D121" s="15">
        <f>Deployments!AJ121</f>
        <v>0</v>
      </c>
      <c r="E121" s="15" t="str">
        <f>Deployments!N121</f>
        <v>Yes</v>
      </c>
      <c r="F121" s="23" t="str">
        <f>Deployments!O121</f>
        <v>No</v>
      </c>
      <c r="G121" s="15" t="str">
        <f>Deployments!P121</f>
        <v>No</v>
      </c>
      <c r="H121" s="15">
        <f>'13 - Config_Intake_View'!M121</f>
        <v>0</v>
      </c>
      <c r="I121" s="23">
        <f>IF('13 - Config_Intake_View'!Q121&lt;&gt;"",'13 - Config_Intake_View'!Q121,Deployments!BH121)</f>
        <v>0</v>
      </c>
      <c r="J121" s="15" t="str">
        <f>IF('13 - Config_Intake_View'!Q121&lt;&gt;"","PM Approved",IF(Deployments!BH121&lt;&gt;"","Assumed",""))</f>
        <v/>
      </c>
      <c r="K121" s="23">
        <f>Deployments!BG121</f>
        <v>0</v>
      </c>
      <c r="L121" s="15">
        <f>Deployments!T121</f>
        <v>0</v>
      </c>
      <c r="M121" s="15">
        <f>Deployments!L121</f>
        <v>0</v>
      </c>
      <c r="N121" s="15" t="str">
        <f>Deployments!BK121</f>
        <v/>
      </c>
      <c r="O121" s="23" t="str">
        <f>Deployments!BL121</f>
        <v/>
      </c>
      <c r="P121" s="2">
        <f>Deployments!BA121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Deployments!H122</f>
        <v>LIJ - OR</v>
      </c>
      <c r="B122" s="23" t="str">
        <f>Deployments!V122</f>
        <v>WNH270OPR434</v>
      </c>
      <c r="C122" s="23">
        <f>Deployments!W122</f>
        <v>0</v>
      </c>
      <c r="D122" s="15">
        <f>Deployments!AJ122</f>
        <v>0</v>
      </c>
      <c r="E122" s="15" t="str">
        <f>Deployments!N122</f>
        <v>Yes</v>
      </c>
      <c r="F122" s="23" t="str">
        <f>Deployments!O122</f>
        <v>No</v>
      </c>
      <c r="G122" s="15" t="str">
        <f>Deployments!P122</f>
        <v>No</v>
      </c>
      <c r="H122" s="15">
        <f>'13 - Config_Intake_View'!M122</f>
        <v>0</v>
      </c>
      <c r="I122" s="23">
        <f>IF('13 - Config_Intake_View'!Q122&lt;&gt;"",'13 - Config_Intake_View'!Q122,Deployments!BH122)</f>
        <v>0</v>
      </c>
      <c r="J122" s="15" t="str">
        <f>IF('13 - Config_Intake_View'!Q122&lt;&gt;"","PM Approved",IF(Deployments!BH122&lt;&gt;"","Assumed",""))</f>
        <v/>
      </c>
      <c r="K122" s="23">
        <f>Deployments!BG122</f>
        <v>0</v>
      </c>
      <c r="L122" s="15">
        <f>Deployments!T122</f>
        <v>0</v>
      </c>
      <c r="M122" s="15">
        <f>Deployments!L122</f>
        <v>0</v>
      </c>
      <c r="N122" s="15" t="str">
        <f>Deployments!BK122</f>
        <v/>
      </c>
      <c r="O122" s="23" t="str">
        <f>Deployments!BL122</f>
        <v/>
      </c>
      <c r="P122" s="2">
        <f>Deployments!BA122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Deployments!H123</f>
        <v>LIJ - OR</v>
      </c>
      <c r="B123" s="23" t="str">
        <f>Deployments!V123</f>
        <v>WNH270OPR435</v>
      </c>
      <c r="C123" s="23">
        <f>Deployments!W123</f>
        <v>0</v>
      </c>
      <c r="D123" s="15">
        <f>Deployments!AJ123</f>
        <v>0</v>
      </c>
      <c r="E123" s="15" t="str">
        <f>Deployments!N123</f>
        <v>Yes</v>
      </c>
      <c r="F123" s="23" t="str">
        <f>Deployments!O123</f>
        <v>No</v>
      </c>
      <c r="G123" s="15" t="str">
        <f>Deployments!P123</f>
        <v>No</v>
      </c>
      <c r="H123" s="15">
        <f>'13 - Config_Intake_View'!M123</f>
        <v>0</v>
      </c>
      <c r="I123" s="23">
        <f>IF('13 - Config_Intake_View'!Q123&lt;&gt;"",'13 - Config_Intake_View'!Q123,Deployments!BH123)</f>
        <v>0</v>
      </c>
      <c r="J123" s="15" t="str">
        <f>IF('13 - Config_Intake_View'!Q123&lt;&gt;"","PM Approved",IF(Deployments!BH123&lt;&gt;"","Assumed",""))</f>
        <v/>
      </c>
      <c r="K123" s="23">
        <f>Deployments!BG123</f>
        <v>0</v>
      </c>
      <c r="L123" s="15">
        <f>Deployments!T123</f>
        <v>0</v>
      </c>
      <c r="M123" s="15">
        <f>Deployments!L123</f>
        <v>0</v>
      </c>
      <c r="N123" s="15" t="str">
        <f>Deployments!BK123</f>
        <v/>
      </c>
      <c r="O123" s="23" t="str">
        <f>Deployments!BL123</f>
        <v>Firmware Download, Device ID, Epic Beans Relay</v>
      </c>
      <c r="P123" s="2">
        <f>Deployments!BA123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Deployments!H124</f>
        <v>LIJ - OR</v>
      </c>
      <c r="B124" s="23" t="str">
        <f>Deployments!V124</f>
        <v>WNH270OPR436</v>
      </c>
      <c r="C124" s="23">
        <f>Deployments!W124</f>
        <v>0</v>
      </c>
      <c r="D124" s="15">
        <f>Deployments!AJ124</f>
        <v>0</v>
      </c>
      <c r="E124" s="15" t="str">
        <f>Deployments!N124</f>
        <v>Yes</v>
      </c>
      <c r="F124" s="23" t="str">
        <f>Deployments!O124</f>
        <v>No</v>
      </c>
      <c r="G124" s="15" t="str">
        <f>Deployments!P124</f>
        <v>No</v>
      </c>
      <c r="H124" s="15">
        <f>'13 - Config_Intake_View'!M124</f>
        <v>0</v>
      </c>
      <c r="I124" s="23">
        <f>IF('13 - Config_Intake_View'!Q124&lt;&gt;"",'13 - Config_Intake_View'!Q124,Deployments!BH124)</f>
        <v>0</v>
      </c>
      <c r="J124" s="15" t="str">
        <f>IF('13 - Config_Intake_View'!Q124&lt;&gt;"","PM Approved",IF(Deployments!BH124&lt;&gt;"","Assumed",""))</f>
        <v/>
      </c>
      <c r="K124" s="23">
        <f>Deployments!BG124</f>
        <v>0</v>
      </c>
      <c r="L124" s="15">
        <f>Deployments!T124</f>
        <v>0</v>
      </c>
      <c r="M124" s="15">
        <f>Deployments!L124</f>
        <v>0</v>
      </c>
      <c r="N124" s="15" t="str">
        <f>Deployments!BK124</f>
        <v/>
      </c>
      <c r="O124" s="23" t="str">
        <f>Deployments!BL124</f>
        <v>Firmware Download, Device ID, Epic Beans Relay</v>
      </c>
      <c r="P124" s="2">
        <f>Deployments!BA124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Deployments!H125</f>
        <v>LIJ - OR</v>
      </c>
      <c r="B125" s="23" t="str">
        <f>Deployments!V125</f>
        <v>WNH270OPR437</v>
      </c>
      <c r="C125" s="23">
        <f>Deployments!W125</f>
        <v>0</v>
      </c>
      <c r="D125" s="15">
        <f>Deployments!AJ125</f>
        <v>0</v>
      </c>
      <c r="E125" s="15" t="str">
        <f>Deployments!N125</f>
        <v>Yes</v>
      </c>
      <c r="F125" s="23" t="str">
        <f>Deployments!O125</f>
        <v>No</v>
      </c>
      <c r="G125" s="15" t="str">
        <f>Deployments!P125</f>
        <v>No</v>
      </c>
      <c r="H125" s="15">
        <f>'13 - Config_Intake_View'!M125</f>
        <v>0</v>
      </c>
      <c r="I125" s="23">
        <f>IF('13 - Config_Intake_View'!Q125&lt;&gt;"",'13 - Config_Intake_View'!Q125,Deployments!BH125)</f>
        <v>0</v>
      </c>
      <c r="J125" s="15" t="str">
        <f>IF('13 - Config_Intake_View'!Q125&lt;&gt;"","PM Approved",IF(Deployments!BH125&lt;&gt;"","Assumed",""))</f>
        <v/>
      </c>
      <c r="K125" s="23">
        <f>Deployments!BG125</f>
        <v>0</v>
      </c>
      <c r="L125" s="15">
        <f>Deployments!T125</f>
        <v>0</v>
      </c>
      <c r="M125" s="15">
        <f>Deployments!L125</f>
        <v>0</v>
      </c>
      <c r="N125" s="15" t="str">
        <f>Deployments!BK125</f>
        <v/>
      </c>
      <c r="O125" s="23" t="str">
        <f>Deployments!BL125</f>
        <v>Firmware Download, Device ID, Epic Beans Relay</v>
      </c>
      <c r="P125" s="2">
        <f>Deployments!BA125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Deployments!H126</f>
        <v>LIJ - OR</v>
      </c>
      <c r="B126" s="23" t="str">
        <f>Deployments!V126</f>
        <v>WNH270OPR438</v>
      </c>
      <c r="C126" s="23">
        <f>Deployments!W126</f>
        <v>0</v>
      </c>
      <c r="D126" s="15">
        <f>Deployments!AJ126</f>
        <v>0</v>
      </c>
      <c r="E126" s="15" t="str">
        <f>Deployments!N126</f>
        <v>Yes</v>
      </c>
      <c r="F126" s="23" t="str">
        <f>Deployments!O126</f>
        <v>No</v>
      </c>
      <c r="G126" s="15" t="str">
        <f>Deployments!P126</f>
        <v>No</v>
      </c>
      <c r="H126" s="15">
        <f>'13 - Config_Intake_View'!M126</f>
        <v>0</v>
      </c>
      <c r="I126" s="23">
        <f>IF('13 - Config_Intake_View'!Q126&lt;&gt;"",'13 - Config_Intake_View'!Q126,Deployments!BH126)</f>
        <v>0</v>
      </c>
      <c r="J126" s="15" t="str">
        <f>IF('13 - Config_Intake_View'!Q126&lt;&gt;"","PM Approved",IF(Deployments!BH126&lt;&gt;"","Assumed",""))</f>
        <v/>
      </c>
      <c r="K126" s="23">
        <f>Deployments!BG126</f>
        <v>0</v>
      </c>
      <c r="L126" s="15">
        <f>Deployments!T126</f>
        <v>0</v>
      </c>
      <c r="M126" s="15">
        <f>Deployments!L126</f>
        <v>0</v>
      </c>
      <c r="N126" s="15" t="str">
        <f>Deployments!BK126</f>
        <v/>
      </c>
      <c r="O126" s="23" t="str">
        <f>Deployments!BL126</f>
        <v>Firmware Download, Device ID, Epic Beans Relay</v>
      </c>
      <c r="P126" s="2">
        <f>Deployments!BA126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Deployments!H127</f>
        <v>LIJ - OR</v>
      </c>
      <c r="B127" s="23" t="str">
        <f>Deployments!V127</f>
        <v>WNH270OPR439</v>
      </c>
      <c r="C127" s="23">
        <f>Deployments!W127</f>
        <v>0</v>
      </c>
      <c r="D127" s="15">
        <f>Deployments!AJ127</f>
        <v>0</v>
      </c>
      <c r="E127" s="15" t="str">
        <f>Deployments!N127</f>
        <v>Yes</v>
      </c>
      <c r="F127" s="23" t="str">
        <f>Deployments!O127</f>
        <v>No</v>
      </c>
      <c r="G127" s="15" t="str">
        <f>Deployments!P127</f>
        <v>No</v>
      </c>
      <c r="H127" s="15">
        <f>'13 - Config_Intake_View'!M127</f>
        <v>0</v>
      </c>
      <c r="I127" s="23">
        <f>IF('13 - Config_Intake_View'!Q127&lt;&gt;"",'13 - Config_Intake_View'!Q127,Deployments!BH127)</f>
        <v>0</v>
      </c>
      <c r="J127" s="15" t="str">
        <f>IF('13 - Config_Intake_View'!Q127&lt;&gt;"","PM Approved",IF(Deployments!BH127&lt;&gt;"","Assumed",""))</f>
        <v/>
      </c>
      <c r="K127" s="23">
        <f>Deployments!BG127</f>
        <v>0</v>
      </c>
      <c r="L127" s="15">
        <f>Deployments!T127</f>
        <v>0</v>
      </c>
      <c r="M127" s="15">
        <f>Deployments!L127</f>
        <v>0</v>
      </c>
      <c r="N127" s="15" t="str">
        <f>Deployments!BK127</f>
        <v/>
      </c>
      <c r="O127" s="23" t="str">
        <f>Deployments!BL127</f>
        <v/>
      </c>
      <c r="P127" s="2">
        <f>Deployments!BA127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Deployments!H128</f>
        <v>LIJ - OR</v>
      </c>
      <c r="B128" s="23" t="str">
        <f>Deployments!V128</f>
        <v>WNH270OPR440</v>
      </c>
      <c r="C128" s="23">
        <f>Deployments!W128</f>
        <v>0</v>
      </c>
      <c r="D128" s="15">
        <f>Deployments!AJ128</f>
        <v>0</v>
      </c>
      <c r="E128" s="15" t="str">
        <f>Deployments!N128</f>
        <v>Yes</v>
      </c>
      <c r="F128" s="23" t="str">
        <f>Deployments!O128</f>
        <v>No</v>
      </c>
      <c r="G128" s="15" t="str">
        <f>Deployments!P128</f>
        <v>No</v>
      </c>
      <c r="H128" s="15">
        <f>'13 - Config_Intake_View'!M128</f>
        <v>0</v>
      </c>
      <c r="I128" s="23">
        <f>IF('13 - Config_Intake_View'!Q128&lt;&gt;"",'13 - Config_Intake_View'!Q128,Deployments!BH128)</f>
        <v>0</v>
      </c>
      <c r="J128" s="15" t="str">
        <f>IF('13 - Config_Intake_View'!Q128&lt;&gt;"","PM Approved",IF(Deployments!BH128&lt;&gt;"","Assumed",""))</f>
        <v/>
      </c>
      <c r="K128" s="23">
        <f>Deployments!BG128</f>
        <v>0</v>
      </c>
      <c r="L128" s="15">
        <f>Deployments!T128</f>
        <v>0</v>
      </c>
      <c r="M128" s="15">
        <f>Deployments!L128</f>
        <v>0</v>
      </c>
      <c r="N128" s="15" t="str">
        <f>Deployments!BK128</f>
        <v/>
      </c>
      <c r="O128" s="23" t="str">
        <f>Deployments!BL128</f>
        <v>Firmware Download, Device ID, Epic Beans Relay</v>
      </c>
      <c r="P128" s="2">
        <f>Deployments!BA128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Deployments!H129</f>
        <v>LIJ - OR</v>
      </c>
      <c r="B129" s="23" t="str">
        <f>Deployments!V129</f>
        <v>WNH270OPR441</v>
      </c>
      <c r="C129" s="23">
        <f>Deployments!W129</f>
        <v>0</v>
      </c>
      <c r="D129" s="15">
        <f>Deployments!AJ129</f>
        <v>0</v>
      </c>
      <c r="E129" s="15" t="str">
        <f>Deployments!N129</f>
        <v>Yes</v>
      </c>
      <c r="F129" s="23" t="str">
        <f>Deployments!O129</f>
        <v>No</v>
      </c>
      <c r="G129" s="15" t="str">
        <f>Deployments!P129</f>
        <v>No</v>
      </c>
      <c r="H129" s="15">
        <f>'13 - Config_Intake_View'!M129</f>
        <v>0</v>
      </c>
      <c r="I129" s="23">
        <f>IF('13 - Config_Intake_View'!Q129&lt;&gt;"",'13 - Config_Intake_View'!Q129,Deployments!BH129)</f>
        <v>0</v>
      </c>
      <c r="J129" s="15" t="str">
        <f>IF('13 - Config_Intake_View'!Q129&lt;&gt;"","PM Approved",IF(Deployments!BH129&lt;&gt;"","Assumed",""))</f>
        <v/>
      </c>
      <c r="K129" s="23">
        <f>Deployments!BG129</f>
        <v>0</v>
      </c>
      <c r="L129" s="15">
        <f>Deployments!T129</f>
        <v>0</v>
      </c>
      <c r="M129" s="15">
        <f>Deployments!L129</f>
        <v>0</v>
      </c>
      <c r="N129" s="15" t="str">
        <f>Deployments!BK129</f>
        <v/>
      </c>
      <c r="O129" s="23" t="str">
        <f>Deployments!BL129</f>
        <v>Firmware Download, Device ID, Epic Beans Relay</v>
      </c>
      <c r="P129" s="2">
        <f>Deployments!BA129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Deployments!H130</f>
        <v>LIJ - OR</v>
      </c>
      <c r="B130" s="23" t="str">
        <f>Deployments!V130</f>
        <v>WNH270OPR442</v>
      </c>
      <c r="C130" s="23">
        <f>Deployments!W130</f>
        <v>0</v>
      </c>
      <c r="D130" s="15">
        <f>Deployments!AJ130</f>
        <v>0</v>
      </c>
      <c r="E130" s="15" t="str">
        <f>Deployments!N130</f>
        <v>Yes</v>
      </c>
      <c r="F130" s="23" t="str">
        <f>Deployments!O130</f>
        <v>No</v>
      </c>
      <c r="G130" s="15" t="str">
        <f>Deployments!P130</f>
        <v>No</v>
      </c>
      <c r="H130" s="15">
        <f>'13 - Config_Intake_View'!M130</f>
        <v>0</v>
      </c>
      <c r="I130" s="23">
        <f>IF('13 - Config_Intake_View'!Q130&lt;&gt;"",'13 - Config_Intake_View'!Q130,Deployments!BH130)</f>
        <v>0</v>
      </c>
      <c r="J130" s="15" t="str">
        <f>IF('13 - Config_Intake_View'!Q130&lt;&gt;"","PM Approved",IF(Deployments!BH130&lt;&gt;"","Assumed",""))</f>
        <v/>
      </c>
      <c r="K130" s="23">
        <f>Deployments!BG130</f>
        <v>0</v>
      </c>
      <c r="L130" s="15">
        <f>Deployments!T130</f>
        <v>0</v>
      </c>
      <c r="M130" s="15">
        <f>Deployments!L130</f>
        <v>0</v>
      </c>
      <c r="N130" s="15" t="str">
        <f>Deployments!BK130</f>
        <v/>
      </c>
      <c r="O130" s="23" t="str">
        <f>Deployments!BL130</f>
        <v>Firmware Download, Device ID, Epic Beans Relay</v>
      </c>
      <c r="P130" s="2">
        <f>Deployments!BA130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Deployments!H131</f>
        <v>LIJ - OR</v>
      </c>
      <c r="B131" s="23" t="str">
        <f>Deployments!V131</f>
        <v>WNH270OPR443</v>
      </c>
      <c r="C131" s="23">
        <f>Deployments!W131</f>
        <v>0</v>
      </c>
      <c r="D131" s="15">
        <f>Deployments!AJ131</f>
        <v>0</v>
      </c>
      <c r="E131" s="15" t="str">
        <f>Deployments!N131</f>
        <v>Yes</v>
      </c>
      <c r="F131" s="23" t="str">
        <f>Deployments!O131</f>
        <v>No</v>
      </c>
      <c r="G131" s="15" t="str">
        <f>Deployments!P131</f>
        <v>No</v>
      </c>
      <c r="H131" s="15">
        <f>'13 - Config_Intake_View'!M131</f>
        <v>0</v>
      </c>
      <c r="I131" s="23">
        <f>IF('13 - Config_Intake_View'!Q131&lt;&gt;"",'13 - Config_Intake_View'!Q131,Deployments!BH131)</f>
        <v>0</v>
      </c>
      <c r="J131" s="15" t="str">
        <f>IF('13 - Config_Intake_View'!Q131&lt;&gt;"","PM Approved",IF(Deployments!BH131&lt;&gt;"","Assumed",""))</f>
        <v/>
      </c>
      <c r="K131" s="23">
        <f>Deployments!BG131</f>
        <v>0</v>
      </c>
      <c r="L131" s="15">
        <f>Deployments!T131</f>
        <v>0</v>
      </c>
      <c r="M131" s="15">
        <f>Deployments!L131</f>
        <v>0</v>
      </c>
      <c r="N131" s="15" t="str">
        <f>Deployments!BK131</f>
        <v/>
      </c>
      <c r="O131" s="23" t="str">
        <f>Deployments!BL131</f>
        <v/>
      </c>
      <c r="P131" s="2">
        <f>Deployments!BA131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Deployments!H132</f>
        <v>LIJ - OR</v>
      </c>
      <c r="B132" s="23" t="str">
        <f>Deployments!V132</f>
        <v>WNH270OPR444</v>
      </c>
      <c r="C132" s="23">
        <f>Deployments!W132</f>
        <v>0</v>
      </c>
      <c r="D132" s="15">
        <f>Deployments!AJ132</f>
        <v>0</v>
      </c>
      <c r="E132" s="15" t="str">
        <f>Deployments!N132</f>
        <v>Yes</v>
      </c>
      <c r="F132" s="23" t="str">
        <f>Deployments!O132</f>
        <v>No</v>
      </c>
      <c r="G132" s="15" t="str">
        <f>Deployments!P132</f>
        <v>No</v>
      </c>
      <c r="H132" s="15">
        <f>'13 - Config_Intake_View'!M132</f>
        <v>0</v>
      </c>
      <c r="I132" s="23">
        <f>IF('13 - Config_Intake_View'!Q132&lt;&gt;"",'13 - Config_Intake_View'!Q132,Deployments!BH132)</f>
        <v>0</v>
      </c>
      <c r="J132" s="15" t="str">
        <f>IF('13 - Config_Intake_View'!Q132&lt;&gt;"","PM Approved",IF(Deployments!BH132&lt;&gt;"","Assumed",""))</f>
        <v/>
      </c>
      <c r="K132" s="23">
        <f>Deployments!BG132</f>
        <v>0</v>
      </c>
      <c r="L132" s="15">
        <f>Deployments!T132</f>
        <v>0</v>
      </c>
      <c r="M132" s="15">
        <f>Deployments!L132</f>
        <v>0</v>
      </c>
      <c r="N132" s="15" t="str">
        <f>Deployments!BK132</f>
        <v/>
      </c>
      <c r="O132" s="23" t="str">
        <f>Deployments!BL132</f>
        <v/>
      </c>
      <c r="P132" s="2">
        <f>Deployments!BA132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Deployments!H133</f>
        <v>LIJ - OR</v>
      </c>
      <c r="B133" s="23" t="str">
        <f>Deployments!V133</f>
        <v>WNH270OPR445</v>
      </c>
      <c r="C133" s="23">
        <f>Deployments!W133</f>
        <v>0</v>
      </c>
      <c r="D133" s="15">
        <f>Deployments!AJ133</f>
        <v>0</v>
      </c>
      <c r="E133" s="15" t="str">
        <f>Deployments!N133</f>
        <v>Yes</v>
      </c>
      <c r="F133" s="23" t="str">
        <f>Deployments!O133</f>
        <v>No</v>
      </c>
      <c r="G133" s="15" t="str">
        <f>Deployments!P133</f>
        <v>No</v>
      </c>
      <c r="H133" s="15">
        <f>'13 - Config_Intake_View'!M133</f>
        <v>0</v>
      </c>
      <c r="I133" s="23">
        <f>IF('13 - Config_Intake_View'!Q133&lt;&gt;"",'13 - Config_Intake_View'!Q133,Deployments!BH133)</f>
        <v>0</v>
      </c>
      <c r="J133" s="15" t="str">
        <f>IF('13 - Config_Intake_View'!Q133&lt;&gt;"","PM Approved",IF(Deployments!BH133&lt;&gt;"","Assumed",""))</f>
        <v/>
      </c>
      <c r="K133" s="23">
        <f>Deployments!BG133</f>
        <v>0</v>
      </c>
      <c r="L133" s="15">
        <f>Deployments!T133</f>
        <v>0</v>
      </c>
      <c r="M133" s="15">
        <f>Deployments!L133</f>
        <v>0</v>
      </c>
      <c r="N133" s="15" t="str">
        <f>Deployments!BK133</f>
        <v/>
      </c>
      <c r="O133" s="23" t="str">
        <f>Deployments!BL133</f>
        <v/>
      </c>
      <c r="P133" s="2">
        <f>Deployments!BA133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Deployments!H134</f>
        <v>LIJ - OR</v>
      </c>
      <c r="B134" s="23" t="str">
        <f>Deployments!V134</f>
        <v>WNH270OPR446</v>
      </c>
      <c r="C134" s="23">
        <f>Deployments!W134</f>
        <v>0</v>
      </c>
      <c r="D134" s="15">
        <f>Deployments!AJ134</f>
        <v>0</v>
      </c>
      <c r="E134" s="15" t="str">
        <f>Deployments!N134</f>
        <v>Yes</v>
      </c>
      <c r="F134" s="23" t="str">
        <f>Deployments!O134</f>
        <v>No</v>
      </c>
      <c r="G134" s="15" t="str">
        <f>Deployments!P134</f>
        <v>No</v>
      </c>
      <c r="H134" s="15">
        <f>'13 - Config_Intake_View'!M134</f>
        <v>0</v>
      </c>
      <c r="I134" s="23">
        <f>IF('13 - Config_Intake_View'!Q134&lt;&gt;"",'13 - Config_Intake_View'!Q134,Deployments!BH134)</f>
        <v>0</v>
      </c>
      <c r="J134" s="15" t="str">
        <f>IF('13 - Config_Intake_View'!Q134&lt;&gt;"","PM Approved",IF(Deployments!BH134&lt;&gt;"","Assumed",""))</f>
        <v/>
      </c>
      <c r="K134" s="23">
        <f>Deployments!BG134</f>
        <v>0</v>
      </c>
      <c r="L134" s="15">
        <f>Deployments!T134</f>
        <v>0</v>
      </c>
      <c r="M134" s="15">
        <f>Deployments!L134</f>
        <v>0</v>
      </c>
      <c r="N134" s="15" t="str">
        <f>Deployments!BK134</f>
        <v/>
      </c>
      <c r="O134" s="23" t="str">
        <f>Deployments!BL134</f>
        <v/>
      </c>
      <c r="P134" s="2">
        <f>Deployments!BA134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Deployments!H135</f>
        <v>LIJ - OR</v>
      </c>
      <c r="B135" s="23" t="str">
        <f>Deployments!V135</f>
        <v>WNH270OPR447</v>
      </c>
      <c r="C135" s="23">
        <f>Deployments!W135</f>
        <v>0</v>
      </c>
      <c r="D135" s="15">
        <f>Deployments!AJ135</f>
        <v>0</v>
      </c>
      <c r="E135" s="15" t="str">
        <f>Deployments!N135</f>
        <v>Yes</v>
      </c>
      <c r="F135" s="23" t="str">
        <f>Deployments!O135</f>
        <v>No</v>
      </c>
      <c r="G135" s="15" t="str">
        <f>Deployments!P135</f>
        <v>No</v>
      </c>
      <c r="H135" s="15">
        <f>'13 - Config_Intake_View'!M135</f>
        <v>0</v>
      </c>
      <c r="I135" s="23">
        <f>IF('13 - Config_Intake_View'!Q135&lt;&gt;"",'13 - Config_Intake_View'!Q135,Deployments!BH135)</f>
        <v>0</v>
      </c>
      <c r="J135" s="15" t="str">
        <f>IF('13 - Config_Intake_View'!Q135&lt;&gt;"","PM Approved",IF(Deployments!BH135&lt;&gt;"","Assumed",""))</f>
        <v/>
      </c>
      <c r="K135" s="23">
        <f>Deployments!BG135</f>
        <v>0</v>
      </c>
      <c r="L135" s="15">
        <f>Deployments!T135</f>
        <v>0</v>
      </c>
      <c r="M135" s="15">
        <f>Deployments!L135</f>
        <v>0</v>
      </c>
      <c r="N135" s="15" t="str">
        <f>Deployments!BK135</f>
        <v/>
      </c>
      <c r="O135" s="23" t="str">
        <f>Deployments!BL135</f>
        <v/>
      </c>
      <c r="P135" s="2">
        <f>Deployments!BA135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Deployments!H136</f>
        <v>LIJ - OR</v>
      </c>
      <c r="B136" s="23" t="str">
        <f>Deployments!V136</f>
        <v>WNH270OPR448</v>
      </c>
      <c r="C136" s="23">
        <f>Deployments!W136</f>
        <v>0</v>
      </c>
      <c r="D136" s="15">
        <f>Deployments!AJ136</f>
        <v>0</v>
      </c>
      <c r="E136" s="15" t="str">
        <f>Deployments!N136</f>
        <v>Yes</v>
      </c>
      <c r="F136" s="23" t="str">
        <f>Deployments!O136</f>
        <v>No</v>
      </c>
      <c r="G136" s="15" t="str">
        <f>Deployments!P136</f>
        <v>No</v>
      </c>
      <c r="H136" s="15">
        <f>'13 - Config_Intake_View'!M136</f>
        <v>0</v>
      </c>
      <c r="I136" s="23">
        <f>IF('13 - Config_Intake_View'!Q136&lt;&gt;"",'13 - Config_Intake_View'!Q136,Deployments!BH136)</f>
        <v>0</v>
      </c>
      <c r="J136" s="15" t="str">
        <f>IF('13 - Config_Intake_View'!Q136&lt;&gt;"","PM Approved",IF(Deployments!BH136&lt;&gt;"","Assumed",""))</f>
        <v/>
      </c>
      <c r="K136" s="23">
        <f>Deployments!BG136</f>
        <v>0</v>
      </c>
      <c r="L136" s="15">
        <f>Deployments!T136</f>
        <v>0</v>
      </c>
      <c r="M136" s="15">
        <f>Deployments!L136</f>
        <v>0</v>
      </c>
      <c r="N136" s="15" t="str">
        <f>Deployments!BK136</f>
        <v/>
      </c>
      <c r="O136" s="23" t="str">
        <f>Deployments!BL136</f>
        <v/>
      </c>
      <c r="P136" s="2">
        <f>Deployments!BA136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Deployments!H137</f>
        <v>LIJ - OR</v>
      </c>
      <c r="B137" s="23" t="str">
        <f>Deployments!V137</f>
        <v>WNH270OPR449</v>
      </c>
      <c r="C137" s="23">
        <f>Deployments!W137</f>
        <v>0</v>
      </c>
      <c r="D137" s="15">
        <f>Deployments!AJ137</f>
        <v>0</v>
      </c>
      <c r="E137" s="15" t="str">
        <f>Deployments!N137</f>
        <v>Yes</v>
      </c>
      <c r="F137" s="23" t="str">
        <f>Deployments!O137</f>
        <v>No</v>
      </c>
      <c r="G137" s="15" t="str">
        <f>Deployments!P137</f>
        <v>No</v>
      </c>
      <c r="H137" s="15">
        <f>'13 - Config_Intake_View'!M137</f>
        <v>0</v>
      </c>
      <c r="I137" s="23">
        <f>IF('13 - Config_Intake_View'!Q137&lt;&gt;"",'13 - Config_Intake_View'!Q137,Deployments!BH137)</f>
        <v>0</v>
      </c>
      <c r="J137" s="15" t="str">
        <f>IF('13 - Config_Intake_View'!Q137&lt;&gt;"","PM Approved",IF(Deployments!BH137&lt;&gt;"","Assumed",""))</f>
        <v/>
      </c>
      <c r="K137" s="23">
        <f>Deployments!BG137</f>
        <v>0</v>
      </c>
      <c r="L137" s="15">
        <f>Deployments!T137</f>
        <v>0</v>
      </c>
      <c r="M137" s="15">
        <f>Deployments!L137</f>
        <v>0</v>
      </c>
      <c r="N137" s="15" t="str">
        <f>Deployments!BK137</f>
        <v/>
      </c>
      <c r="O137" s="23" t="str">
        <f>Deployments!BL137</f>
        <v/>
      </c>
      <c r="P137" s="2">
        <f>Deployments!BA137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Deployments!H139</f>
        <v>LIJVS</v>
      </c>
      <c r="B138" s="23" t="str">
        <f>Deployments!V139</f>
        <v>WVS900OPR028</v>
      </c>
      <c r="C138" s="23" t="str">
        <f>Deployments!W139</f>
        <v>A0F5097FA59B</v>
      </c>
      <c r="D138" s="15">
        <f>Deployments!AJ139</f>
        <v>0</v>
      </c>
      <c r="E138" s="15">
        <f>Deployments!N139</f>
        <v>0</v>
      </c>
      <c r="F138" s="23">
        <f>Deployments!O139</f>
        <v>0</v>
      </c>
      <c r="G138" s="15">
        <f>Deployments!P139</f>
        <v>0</v>
      </c>
      <c r="H138" s="15">
        <f>'13 - Config_Intake_View'!M138</f>
        <v>0</v>
      </c>
      <c r="I138" s="23">
        <f>IF('13 - Config_Intake_View'!Q138&lt;&gt;"",'13 - Config_Intake_View'!Q138,Deployments!BH139)</f>
        <v>0</v>
      </c>
      <c r="J138" s="15" t="str">
        <f>IF('13 - Config_Intake_View'!Q138&lt;&gt;"","PM Approved",IF(Deployments!BH139&lt;&gt;"","Assumed",""))</f>
        <v/>
      </c>
      <c r="K138" s="23">
        <f>Deployments!BG139</f>
        <v>0</v>
      </c>
      <c r="L138" s="15">
        <f>Deployments!T139</f>
        <v>0</v>
      </c>
      <c r="M138" s="15">
        <f>Deployments!L139</f>
        <v>0</v>
      </c>
      <c r="N138" s="15" t="str">
        <f>Deployments!BK139</f>
        <v>Power Cable, Battery, Firmware Download, Device ID, Epic Beans Relay</v>
      </c>
      <c r="O138" s="23" t="str">
        <f>Deployments!BL139</f>
        <v/>
      </c>
      <c r="P138" s="2" t="str">
        <f>Deployments!BA139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Deployments!H140</f>
        <v>LIJVS</v>
      </c>
      <c r="B139" s="23" t="str">
        <f>Deployments!V140</f>
        <v>WVS900OPR023</v>
      </c>
      <c r="C139" s="23" t="str">
        <f>Deployments!W140</f>
        <v>A0F5097FA526</v>
      </c>
      <c r="D139" s="15">
        <f>Deployments!AJ140</f>
        <v>0</v>
      </c>
      <c r="E139" s="15">
        <f>Deployments!N140</f>
        <v>0</v>
      </c>
      <c r="F139" s="23">
        <f>Deployments!O140</f>
        <v>0</v>
      </c>
      <c r="G139" s="15">
        <f>Deployments!P140</f>
        <v>0</v>
      </c>
      <c r="H139" s="15">
        <f>'13 - Config_Intake_View'!M139</f>
        <v>0</v>
      </c>
      <c r="I139" s="23">
        <f>IF('13 - Config_Intake_View'!Q139&lt;&gt;"",'13 - Config_Intake_View'!Q139,Deployments!BH140)</f>
        <v>0</v>
      </c>
      <c r="J139" s="15" t="str">
        <f>IF('13 - Config_Intake_View'!Q139&lt;&gt;"","PM Approved",IF(Deployments!BH140&lt;&gt;"","Assumed",""))</f>
        <v/>
      </c>
      <c r="K139" s="23">
        <f>Deployments!BG140</f>
        <v>0</v>
      </c>
      <c r="L139" s="15">
        <f>Deployments!T140</f>
        <v>0</v>
      </c>
      <c r="M139" s="15">
        <f>Deployments!L140</f>
        <v>0</v>
      </c>
      <c r="N139" s="15" t="str">
        <f>Deployments!BK140</f>
        <v>Power Cable, Battery, Firmware Download, Device ID, Epic Beans Relay</v>
      </c>
      <c r="O139" s="23" t="str">
        <f>Deployments!BL140</f>
        <v/>
      </c>
      <c r="P139" s="2" t="str">
        <f>Deployments!BA140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Deployments!H141</f>
        <v>LIJVS</v>
      </c>
      <c r="B140" s="23" t="str">
        <f>Deployments!V141</f>
        <v>WVS900OPR026</v>
      </c>
      <c r="C140" s="23" t="str">
        <f>Deployments!W141</f>
        <v>A0F5097FA52B</v>
      </c>
      <c r="D140" s="15">
        <f>Deployments!AJ141</f>
        <v>0</v>
      </c>
      <c r="E140" s="15">
        <f>Deployments!N141</f>
        <v>0</v>
      </c>
      <c r="F140" s="23">
        <f>Deployments!O141</f>
        <v>0</v>
      </c>
      <c r="G140" s="15">
        <f>Deployments!P141</f>
        <v>0</v>
      </c>
      <c r="H140" s="15">
        <f>'13 - Config_Intake_View'!M140</f>
        <v>0</v>
      </c>
      <c r="I140" s="23">
        <f>IF('13 - Config_Intake_View'!Q140&lt;&gt;"",'13 - Config_Intake_View'!Q140,Deployments!BH141)</f>
        <v>0</v>
      </c>
      <c r="J140" s="15" t="str">
        <f>IF('13 - Config_Intake_View'!Q140&lt;&gt;"","PM Approved",IF(Deployments!BH141&lt;&gt;"","Assumed",""))</f>
        <v/>
      </c>
      <c r="K140" s="23">
        <f>Deployments!BG141</f>
        <v>0</v>
      </c>
      <c r="L140" s="15">
        <f>Deployments!T141</f>
        <v>0</v>
      </c>
      <c r="M140" s="15">
        <f>Deployments!L141</f>
        <v>0</v>
      </c>
      <c r="N140" s="15" t="str">
        <f>Deployments!BK141</f>
        <v>Power Cable, Battery, Firmware Download, Device ID, Epic Beans Relay</v>
      </c>
      <c r="O140" s="23" t="str">
        <f>Deployments!BL141</f>
        <v/>
      </c>
      <c r="P140" s="2" t="str">
        <f>Deployments!BA141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Deployments!H142</f>
        <v>LIJVS</v>
      </c>
      <c r="B141" s="23" t="str">
        <f>Deployments!V142</f>
        <v>WVS900OPR030</v>
      </c>
      <c r="C141" s="23" t="str">
        <f>Deployments!W142</f>
        <v>A0F5097FA5C5</v>
      </c>
      <c r="D141" s="15">
        <f>Deployments!AJ142</f>
        <v>0</v>
      </c>
      <c r="E141" s="15">
        <f>Deployments!N142</f>
        <v>0</v>
      </c>
      <c r="F141" s="23">
        <f>Deployments!O142</f>
        <v>0</v>
      </c>
      <c r="G141" s="15">
        <f>Deployments!P142</f>
        <v>0</v>
      </c>
      <c r="H141" s="15">
        <f>'13 - Config_Intake_View'!M141</f>
        <v>0</v>
      </c>
      <c r="I141" s="23">
        <f>IF('13 - Config_Intake_View'!Q141&lt;&gt;"",'13 - Config_Intake_View'!Q141,Deployments!BH142)</f>
        <v>0</v>
      </c>
      <c r="J141" s="15" t="str">
        <f>IF('13 - Config_Intake_View'!Q141&lt;&gt;"","PM Approved",IF(Deployments!BH142&lt;&gt;"","Assumed",""))</f>
        <v/>
      </c>
      <c r="K141" s="23">
        <f>Deployments!BG142</f>
        <v>0</v>
      </c>
      <c r="L141" s="15">
        <f>Deployments!T142</f>
        <v>0</v>
      </c>
      <c r="M141" s="15">
        <f>Deployments!L142</f>
        <v>0</v>
      </c>
      <c r="N141" s="15" t="str">
        <f>Deployments!BK142</f>
        <v>Power Cable, Battery, Firmware Download, Device ID, Epic Beans Relay</v>
      </c>
      <c r="O141" s="23" t="str">
        <f>Deployments!BL142</f>
        <v/>
      </c>
      <c r="P141" s="2" t="str">
        <f>Deployments!BA142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Deployments!H143</f>
        <v>LIJVS</v>
      </c>
      <c r="B142" s="23" t="str">
        <f>Deployments!V143</f>
        <v>WVS900OPR029</v>
      </c>
      <c r="C142" s="23" t="str">
        <f>Deployments!W143</f>
        <v>A0F5097FA3F3</v>
      </c>
      <c r="D142" s="15">
        <f>Deployments!AJ143</f>
        <v>0</v>
      </c>
      <c r="E142" s="15">
        <f>Deployments!N143</f>
        <v>0</v>
      </c>
      <c r="F142" s="23">
        <f>Deployments!O143</f>
        <v>0</v>
      </c>
      <c r="G142" s="15">
        <f>Deployments!P143</f>
        <v>0</v>
      </c>
      <c r="H142" s="15">
        <f>'13 - Config_Intake_View'!M142</f>
        <v>0</v>
      </c>
      <c r="I142" s="23">
        <f>IF('13 - Config_Intake_View'!Q142&lt;&gt;"",'13 - Config_Intake_View'!Q142,Deployments!BH143)</f>
        <v>0</v>
      </c>
      <c r="J142" s="15" t="str">
        <f>IF('13 - Config_Intake_View'!Q142&lt;&gt;"","PM Approved",IF(Deployments!BH143&lt;&gt;"","Assumed",""))</f>
        <v/>
      </c>
      <c r="K142" s="23">
        <f>Deployments!BG143</f>
        <v>0</v>
      </c>
      <c r="L142" s="15">
        <f>Deployments!T143</f>
        <v>0</v>
      </c>
      <c r="M142" s="15">
        <f>Deployments!L143</f>
        <v>0</v>
      </c>
      <c r="N142" s="15" t="str">
        <f>Deployments!BK143</f>
        <v>Power Cable, Battery, Firmware Download, Device ID, Epic Beans Relay</v>
      </c>
      <c r="O142" s="23" t="str">
        <f>Deployments!BL143</f>
        <v>Power Cable, Battery, Firmware Download, Device ID, Epic Beans Relay</v>
      </c>
      <c r="P142" s="2" t="str">
        <f>Deployments!BA143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Deployments!H144</f>
        <v>LIJVS</v>
      </c>
      <c r="B143" s="23" t="str">
        <f>Deployments!V144</f>
        <v>WVS900OPR024</v>
      </c>
      <c r="C143" s="23" t="str">
        <f>Deployments!W144</f>
        <v>A0F5097FA58A</v>
      </c>
      <c r="D143" s="15">
        <f>Deployments!AJ144</f>
        <v>0</v>
      </c>
      <c r="E143" s="15">
        <f>Deployments!N144</f>
        <v>0</v>
      </c>
      <c r="F143" s="23">
        <f>Deployments!O144</f>
        <v>0</v>
      </c>
      <c r="G143" s="15">
        <f>Deployments!P144</f>
        <v>0</v>
      </c>
      <c r="H143" s="15">
        <f>'13 - Config_Intake_View'!M143</f>
        <v>0</v>
      </c>
      <c r="I143" s="23">
        <f>IF('13 - Config_Intake_View'!Q143&lt;&gt;"",'13 - Config_Intake_View'!Q143,Deployments!BH144)</f>
        <v>0</v>
      </c>
      <c r="J143" s="15" t="str">
        <f>IF('13 - Config_Intake_View'!Q143&lt;&gt;"","PM Approved",IF(Deployments!BH144&lt;&gt;"","Assumed",""))</f>
        <v/>
      </c>
      <c r="K143" s="23">
        <f>Deployments!BG144</f>
        <v>0</v>
      </c>
      <c r="L143" s="15">
        <f>Deployments!T144</f>
        <v>0</v>
      </c>
      <c r="M143" s="15">
        <f>Deployments!L144</f>
        <v>0</v>
      </c>
      <c r="N143" s="15" t="str">
        <f>Deployments!BK144</f>
        <v>Power Cable, Battery, Firmware Download, Device ID, Epic Beans Relay</v>
      </c>
      <c r="O143" s="23" t="str">
        <f>Deployments!BL144</f>
        <v>Power Cable, Battery, Firmware Download, Device ID, Epic Beans Relay</v>
      </c>
      <c r="P143" s="2" t="str">
        <f>Deployments!BA144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Deployments!H145</f>
        <v>LIJVS</v>
      </c>
      <c r="B144" s="23" t="str">
        <f>Deployments!V145</f>
        <v>WVS900OPR025</v>
      </c>
      <c r="C144" s="23" t="str">
        <f>Deployments!W145</f>
        <v>A0F5097F9550</v>
      </c>
      <c r="D144" s="15">
        <f>Deployments!AJ145</f>
        <v>0</v>
      </c>
      <c r="E144" s="15">
        <f>Deployments!N145</f>
        <v>0</v>
      </c>
      <c r="F144" s="23">
        <f>Deployments!O145</f>
        <v>0</v>
      </c>
      <c r="G144" s="15">
        <f>Deployments!P145</f>
        <v>0</v>
      </c>
      <c r="H144" s="15">
        <f>'13 - Config_Intake_View'!M144</f>
        <v>0</v>
      </c>
      <c r="I144" s="23">
        <f>IF('13 - Config_Intake_View'!Q144&lt;&gt;"",'13 - Config_Intake_View'!Q144,Deployments!BH145)</f>
        <v>0</v>
      </c>
      <c r="J144" s="15" t="str">
        <f>IF('13 - Config_Intake_View'!Q144&lt;&gt;"","PM Approved",IF(Deployments!BH145&lt;&gt;"","Assumed",""))</f>
        <v/>
      </c>
      <c r="K144" s="23">
        <f>Deployments!BG145</f>
        <v>0</v>
      </c>
      <c r="L144" s="15">
        <f>Deployments!T145</f>
        <v>0</v>
      </c>
      <c r="M144" s="15">
        <f>Deployments!L145</f>
        <v>0</v>
      </c>
      <c r="N144" s="15" t="str">
        <f>Deployments!BK145</f>
        <v>Power Cable, Battery, Firmware Download, Device ID, Epic Beans Relay</v>
      </c>
      <c r="O144" s="23" t="str">
        <f>Deployments!BL145</f>
        <v>Power Cable, Battery, Firmware Download, Device ID, Epic Beans Relay</v>
      </c>
      <c r="P144" s="2" t="str">
        <f>Deployments!BA145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Deployments!H146</f>
        <v>LIJVS</v>
      </c>
      <c r="B145" s="23">
        <f>Deployments!V146</f>
        <v>0</v>
      </c>
      <c r="C145" s="23">
        <f>Deployments!W146</f>
        <v>0</v>
      </c>
      <c r="D145" s="15">
        <f>Deployments!AJ146</f>
        <v>0</v>
      </c>
      <c r="E145" s="15">
        <f>Deployments!N146</f>
        <v>0</v>
      </c>
      <c r="F145" s="23">
        <f>Deployments!O146</f>
        <v>0</v>
      </c>
      <c r="G145" s="15">
        <f>Deployments!P146</f>
        <v>0</v>
      </c>
      <c r="H145" s="15">
        <f>'13 - Config_Intake_View'!M145</f>
        <v>0</v>
      </c>
      <c r="I145" s="23">
        <f>IF('13 - Config_Intake_View'!Q145&lt;&gt;"",'13 - Config_Intake_View'!Q145,Deployments!BH146)</f>
        <v>0</v>
      </c>
      <c r="J145" s="15" t="str">
        <f>IF('13 - Config_Intake_View'!Q145&lt;&gt;"","PM Approved",IF(Deployments!BH146&lt;&gt;"","Assumed",""))</f>
        <v/>
      </c>
      <c r="K145" s="23">
        <f>Deployments!BG146</f>
        <v>0</v>
      </c>
      <c r="L145" s="15">
        <f>Deployments!T146</f>
        <v>0</v>
      </c>
      <c r="M145" s="15">
        <f>Deployments!L146</f>
        <v>0</v>
      </c>
      <c r="N145" s="15" t="str">
        <f>Deployments!BK146</f>
        <v/>
      </c>
      <c r="O145" s="23" t="str">
        <f>Deployments!BL146</f>
        <v>Power Cable, Battery, Firmware Download, Device ID, Epic Beans Relay</v>
      </c>
      <c r="P145" s="2" t="str">
        <f>Deployments!BA146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Deployments!H147</f>
        <v>LIJVS</v>
      </c>
      <c r="B146" s="23">
        <f>Deployments!V147</f>
        <v>0</v>
      </c>
      <c r="C146" s="23">
        <f>Deployments!W147</f>
        <v>0</v>
      </c>
      <c r="D146" s="15">
        <f>Deployments!AJ147</f>
        <v>0</v>
      </c>
      <c r="E146" s="15">
        <f>Deployments!N147</f>
        <v>0</v>
      </c>
      <c r="F146" s="23">
        <f>Deployments!O147</f>
        <v>0</v>
      </c>
      <c r="G146" s="15">
        <f>Deployments!P147</f>
        <v>0</v>
      </c>
      <c r="H146" s="15">
        <f>'13 - Config_Intake_View'!M146</f>
        <v>0</v>
      </c>
      <c r="I146" s="23">
        <f>IF('13 - Config_Intake_View'!Q146&lt;&gt;"",'13 - Config_Intake_View'!Q146,Deployments!BH147)</f>
        <v>0</v>
      </c>
      <c r="J146" s="15" t="str">
        <f>IF('13 - Config_Intake_View'!Q146&lt;&gt;"","PM Approved",IF(Deployments!BH147&lt;&gt;"","Assumed",""))</f>
        <v/>
      </c>
      <c r="K146" s="23">
        <f>Deployments!BG147</f>
        <v>0</v>
      </c>
      <c r="L146" s="15">
        <f>Deployments!T147</f>
        <v>0</v>
      </c>
      <c r="M146" s="15">
        <f>Deployments!L147</f>
        <v>0</v>
      </c>
      <c r="N146" s="15" t="str">
        <f>Deployments!BK147</f>
        <v/>
      </c>
      <c r="O146" s="23" t="str">
        <f>Deployments!BL147</f>
        <v>Power Cable, Battery, Firmware Download, Device ID, Epic Beans Relay</v>
      </c>
      <c r="P146" s="2" t="str">
        <f>Deployments!BA147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Deployments!H148</f>
        <v>LIJVS</v>
      </c>
      <c r="B147" s="23">
        <f>Deployments!V148</f>
        <v>0</v>
      </c>
      <c r="C147" s="23">
        <f>Deployments!W148</f>
        <v>0</v>
      </c>
      <c r="D147" s="15">
        <f>Deployments!AJ148</f>
        <v>0</v>
      </c>
      <c r="E147" s="15">
        <f>Deployments!N148</f>
        <v>0</v>
      </c>
      <c r="F147" s="23">
        <f>Deployments!O148</f>
        <v>0</v>
      </c>
      <c r="G147" s="15">
        <f>Deployments!P148</f>
        <v>0</v>
      </c>
      <c r="H147" s="15">
        <f>'13 - Config_Intake_View'!M147</f>
        <v>0</v>
      </c>
      <c r="I147" s="23">
        <f>IF('13 - Config_Intake_View'!Q147&lt;&gt;"",'13 - Config_Intake_View'!Q147,Deployments!BH148)</f>
        <v>0</v>
      </c>
      <c r="J147" s="15" t="str">
        <f>IF('13 - Config_Intake_View'!Q147&lt;&gt;"","PM Approved",IF(Deployments!BH148&lt;&gt;"","Assumed",""))</f>
        <v/>
      </c>
      <c r="K147" s="23">
        <f>Deployments!BG148</f>
        <v>0</v>
      </c>
      <c r="L147" s="15">
        <f>Deployments!T148</f>
        <v>0</v>
      </c>
      <c r="M147" s="15">
        <f>Deployments!L148</f>
        <v>0</v>
      </c>
      <c r="N147" s="15" t="str">
        <f>Deployments!BK148</f>
        <v/>
      </c>
      <c r="O147" s="23" t="str">
        <f>Deployments!BL148</f>
        <v>Power Cable, Battery, Firmware Download, Device ID, Epic Beans Relay</v>
      </c>
      <c r="P147" s="2" t="str">
        <f>Deployments!BA148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Deployments!H149</f>
        <v>0</v>
      </c>
      <c r="B148" s="23">
        <f>Deployments!V149</f>
        <v>0</v>
      </c>
      <c r="C148" s="23">
        <f>Deployments!W149</f>
        <v>0</v>
      </c>
      <c r="D148" s="15">
        <f>Deployments!AJ149</f>
        <v>0</v>
      </c>
      <c r="E148" s="15">
        <f>Deployments!N149</f>
        <v>0</v>
      </c>
      <c r="F148" s="23">
        <f>Deployments!O149</f>
        <v>0</v>
      </c>
      <c r="G148" s="15">
        <f>Deployments!P149</f>
        <v>0</v>
      </c>
      <c r="H148" s="15">
        <f>'13 - Config_Intake_View'!M148</f>
        <v>0</v>
      </c>
      <c r="I148" s="23">
        <f>IF('13 - Config_Intake_View'!Q148&lt;&gt;"",'13 - Config_Intake_View'!Q148,Deployments!BH149)</f>
        <v>0</v>
      </c>
      <c r="J148" s="15" t="str">
        <f>IF('13 - Config_Intake_View'!Q148&lt;&gt;"","PM Approved",IF(Deployments!BH149&lt;&gt;"","Assumed",""))</f>
        <v/>
      </c>
      <c r="K148" s="23">
        <f>Deployments!BG149</f>
        <v>0</v>
      </c>
      <c r="L148" s="15">
        <f>Deployments!T149</f>
        <v>0</v>
      </c>
      <c r="M148" s="15">
        <f>Deployments!L149</f>
        <v>0</v>
      </c>
      <c r="N148" s="15" t="str">
        <f>Deployments!BK149</f>
        <v/>
      </c>
      <c r="O148" s="23" t="str">
        <f>Deployments!BL149</f>
        <v>Power Cable, Battery, Firmware Download, Device ID, Epic Beans Relay</v>
      </c>
      <c r="P148" s="2">
        <f>Deployments!BA149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Deployments!H150</f>
        <v>0</v>
      </c>
      <c r="B149" s="23">
        <f>Deployments!V150</f>
        <v>0</v>
      </c>
      <c r="C149" s="23">
        <f>Deployments!W150</f>
        <v>0</v>
      </c>
      <c r="D149" s="15">
        <f>Deployments!AJ150</f>
        <v>0</v>
      </c>
      <c r="E149" s="15">
        <f>Deployments!N150</f>
        <v>0</v>
      </c>
      <c r="F149" s="23">
        <f>Deployments!O150</f>
        <v>0</v>
      </c>
      <c r="G149" s="15">
        <f>Deployments!P150</f>
        <v>0</v>
      </c>
      <c r="H149" s="15">
        <f>'13 - Config_Intake_View'!M149</f>
        <v>0</v>
      </c>
      <c r="I149" s="23">
        <f>IF('13 - Config_Intake_View'!Q149&lt;&gt;"",'13 - Config_Intake_View'!Q149,Deployments!BH150)</f>
        <v>0</v>
      </c>
      <c r="J149" s="15" t="str">
        <f>IF('13 - Config_Intake_View'!Q149&lt;&gt;"","PM Approved",IF(Deployments!BH150&lt;&gt;"","Assumed",""))</f>
        <v/>
      </c>
      <c r="K149" s="23">
        <f>Deployments!BG150</f>
        <v>0</v>
      </c>
      <c r="L149" s="15">
        <f>Deployments!T150</f>
        <v>0</v>
      </c>
      <c r="M149" s="15">
        <f>Deployments!L150</f>
        <v>0</v>
      </c>
      <c r="N149" s="15" t="str">
        <f>Deployments!BK150</f>
        <v/>
      </c>
      <c r="O149" s="23" t="str">
        <f>Deployments!BL150</f>
        <v/>
      </c>
      <c r="P149" s="2">
        <f>Deployments!BA150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Deployments!H151</f>
        <v>0</v>
      </c>
      <c r="B150" s="23">
        <f>Deployments!V151</f>
        <v>0</v>
      </c>
      <c r="C150" s="23">
        <f>Deployments!W151</f>
        <v>0</v>
      </c>
      <c r="D150" s="15">
        <f>Deployments!AJ151</f>
        <v>0</v>
      </c>
      <c r="E150" s="15">
        <f>Deployments!N151</f>
        <v>0</v>
      </c>
      <c r="F150" s="23">
        <f>Deployments!O151</f>
        <v>0</v>
      </c>
      <c r="G150" s="15">
        <f>Deployments!P151</f>
        <v>0</v>
      </c>
      <c r="H150" s="15">
        <f>'13 - Config_Intake_View'!M150</f>
        <v>0</v>
      </c>
      <c r="I150" s="23">
        <f>IF('13 - Config_Intake_View'!Q150&lt;&gt;"",'13 - Config_Intake_View'!Q150,Deployments!BH151)</f>
        <v>0</v>
      </c>
      <c r="J150" s="15" t="str">
        <f>IF('13 - Config_Intake_View'!Q150&lt;&gt;"","PM Approved",IF(Deployments!BH151&lt;&gt;"","Assumed",""))</f>
        <v/>
      </c>
      <c r="K150" s="23">
        <f>Deployments!BG151</f>
        <v>0</v>
      </c>
      <c r="L150" s="15">
        <f>Deployments!T151</f>
        <v>0</v>
      </c>
      <c r="M150" s="15">
        <f>Deployments!L151</f>
        <v>0</v>
      </c>
      <c r="N150" s="15" t="str">
        <f>Deployments!BK151</f>
        <v/>
      </c>
      <c r="O150" s="23" t="str">
        <f>Deployments!BL151</f>
        <v/>
      </c>
      <c r="P150" s="2">
        <f>Deployments!BA151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Deployments!H152</f>
        <v>0</v>
      </c>
      <c r="B151" s="23">
        <f>Deployments!V152</f>
        <v>0</v>
      </c>
      <c r="C151" s="23">
        <f>Deployments!W152</f>
        <v>0</v>
      </c>
      <c r="D151" s="15">
        <f>Deployments!AJ152</f>
        <v>0</v>
      </c>
      <c r="E151" s="15">
        <f>Deployments!N152</f>
        <v>0</v>
      </c>
      <c r="F151" s="23">
        <f>Deployments!O152</f>
        <v>0</v>
      </c>
      <c r="G151" s="15">
        <f>Deployments!P152</f>
        <v>0</v>
      </c>
      <c r="H151" s="15">
        <f>'13 - Config_Intake_View'!M151</f>
        <v>0</v>
      </c>
      <c r="I151" s="23">
        <f>IF('13 - Config_Intake_View'!Q151&lt;&gt;"",'13 - Config_Intake_View'!Q151,Deployments!BH152)</f>
        <v>0</v>
      </c>
      <c r="J151" s="15" t="str">
        <f>IF('13 - Config_Intake_View'!Q151&lt;&gt;"","PM Approved",IF(Deployments!BH152&lt;&gt;"","Assumed",""))</f>
        <v/>
      </c>
      <c r="K151" s="23">
        <f>Deployments!BG152</f>
        <v>0</v>
      </c>
      <c r="L151" s="15">
        <f>Deployments!T152</f>
        <v>0</v>
      </c>
      <c r="M151" s="15">
        <f>Deployments!L152</f>
        <v>0</v>
      </c>
      <c r="N151" s="15" t="str">
        <f>Deployments!BK152</f>
        <v/>
      </c>
      <c r="O151" s="23" t="str">
        <f>Deployments!BL152</f>
        <v/>
      </c>
      <c r="P151" s="2">
        <f>Deployments!BA152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Deployments!H153</f>
        <v>0</v>
      </c>
      <c r="B152" s="23">
        <f>Deployments!V153</f>
        <v>0</v>
      </c>
      <c r="C152" s="23">
        <f>Deployments!W153</f>
        <v>0</v>
      </c>
      <c r="D152" s="15">
        <f>Deployments!AJ153</f>
        <v>0</v>
      </c>
      <c r="E152" s="15">
        <f>Deployments!N153</f>
        <v>0</v>
      </c>
      <c r="F152" s="23">
        <f>Deployments!O153</f>
        <v>0</v>
      </c>
      <c r="G152" s="15">
        <f>Deployments!P153</f>
        <v>0</v>
      </c>
      <c r="H152" s="15">
        <f>'13 - Config_Intake_View'!M152</f>
        <v>0</v>
      </c>
      <c r="I152" s="23">
        <f>IF('13 - Config_Intake_View'!Q152&lt;&gt;"",'13 - Config_Intake_View'!Q152,Deployments!BH153)</f>
        <v>0</v>
      </c>
      <c r="J152" s="15" t="str">
        <f>IF('13 - Config_Intake_View'!Q152&lt;&gt;"","PM Approved",IF(Deployments!BH153&lt;&gt;"","Assumed",""))</f>
        <v/>
      </c>
      <c r="K152" s="23">
        <f>Deployments!BG153</f>
        <v>0</v>
      </c>
      <c r="L152" s="15">
        <f>Deployments!T153</f>
        <v>0</v>
      </c>
      <c r="M152" s="15">
        <f>Deployments!L153</f>
        <v>0</v>
      </c>
      <c r="N152" s="15" t="str">
        <f>Deployments!BK153</f>
        <v/>
      </c>
      <c r="O152" s="23" t="str">
        <f>Deployments!BL153</f>
        <v/>
      </c>
      <c r="P152" s="2">
        <f>Deployments!BA153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Deployments!H154</f>
        <v>0</v>
      </c>
      <c r="B153" s="23">
        <f>Deployments!V154</f>
        <v>0</v>
      </c>
      <c r="C153" s="23">
        <f>Deployments!W154</f>
        <v>0</v>
      </c>
      <c r="D153" s="15">
        <f>Deployments!AJ154</f>
        <v>0</v>
      </c>
      <c r="E153" s="15">
        <f>Deployments!N154</f>
        <v>0</v>
      </c>
      <c r="F153" s="23">
        <f>Deployments!O154</f>
        <v>0</v>
      </c>
      <c r="G153" s="15">
        <f>Deployments!P154</f>
        <v>0</v>
      </c>
      <c r="H153" s="15">
        <f>'13 - Config_Intake_View'!M153</f>
        <v>0</v>
      </c>
      <c r="I153" s="23">
        <f>IF('13 - Config_Intake_View'!Q153&lt;&gt;"",'13 - Config_Intake_View'!Q153,Deployments!BH154)</f>
        <v>0</v>
      </c>
      <c r="J153" s="15" t="str">
        <f>IF('13 - Config_Intake_View'!Q153&lt;&gt;"","PM Approved",IF(Deployments!BH154&lt;&gt;"","Assumed",""))</f>
        <v/>
      </c>
      <c r="K153" s="23">
        <f>Deployments!BG154</f>
        <v>0</v>
      </c>
      <c r="L153" s="15">
        <f>Deployments!T154</f>
        <v>0</v>
      </c>
      <c r="M153" s="15">
        <f>Deployments!L154</f>
        <v>0</v>
      </c>
      <c r="N153" s="15" t="str">
        <f>Deployments!BK154</f>
        <v/>
      </c>
      <c r="O153" s="23" t="str">
        <f>Deployments!BL154</f>
        <v/>
      </c>
      <c r="P153" s="2">
        <f>Deployments!BA154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Deployments!H155</f>
        <v>0</v>
      </c>
      <c r="B154" s="23">
        <f>Deployments!V155</f>
        <v>0</v>
      </c>
      <c r="C154" s="23">
        <f>Deployments!W155</f>
        <v>0</v>
      </c>
      <c r="D154" s="15">
        <f>Deployments!AJ155</f>
        <v>0</v>
      </c>
      <c r="E154" s="15">
        <f>Deployments!N155</f>
        <v>0</v>
      </c>
      <c r="F154" s="23">
        <f>Deployments!O155</f>
        <v>0</v>
      </c>
      <c r="G154" s="15">
        <f>Deployments!P155</f>
        <v>0</v>
      </c>
      <c r="H154" s="15">
        <f>'13 - Config_Intake_View'!M154</f>
        <v>0</v>
      </c>
      <c r="I154" s="23">
        <f>IF('13 - Config_Intake_View'!Q154&lt;&gt;"",'13 - Config_Intake_View'!Q154,Deployments!BH155)</f>
        <v>0</v>
      </c>
      <c r="J154" s="15" t="str">
        <f>IF('13 - Config_Intake_View'!Q154&lt;&gt;"","PM Approved",IF(Deployments!BH155&lt;&gt;"","Assumed",""))</f>
        <v/>
      </c>
      <c r="K154" s="23">
        <f>Deployments!BG155</f>
        <v>0</v>
      </c>
      <c r="L154" s="15">
        <f>Deployments!T155</f>
        <v>0</v>
      </c>
      <c r="M154" s="15">
        <f>Deployments!L155</f>
        <v>0</v>
      </c>
      <c r="N154" s="15" t="str">
        <f>Deployments!BK155</f>
        <v/>
      </c>
      <c r="O154" s="23" t="str">
        <f>Deployments!BL155</f>
        <v/>
      </c>
      <c r="P154" s="2">
        <f>Deployments!BA155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Deployments!H156</f>
        <v>0</v>
      </c>
      <c r="B155" s="23">
        <f>Deployments!V156</f>
        <v>0</v>
      </c>
      <c r="C155" s="23">
        <f>Deployments!W156</f>
        <v>0</v>
      </c>
      <c r="D155" s="15">
        <f>Deployments!AJ156</f>
        <v>0</v>
      </c>
      <c r="E155" s="15">
        <f>Deployments!N156</f>
        <v>0</v>
      </c>
      <c r="F155" s="23">
        <f>Deployments!O156</f>
        <v>0</v>
      </c>
      <c r="G155" s="15">
        <f>Deployments!P156</f>
        <v>0</v>
      </c>
      <c r="H155" s="15">
        <f>'13 - Config_Intake_View'!M155</f>
        <v>0</v>
      </c>
      <c r="I155" s="23">
        <f>IF('13 - Config_Intake_View'!Q155&lt;&gt;"",'13 - Config_Intake_View'!Q155,Deployments!BH156)</f>
        <v>0</v>
      </c>
      <c r="J155" s="15" t="str">
        <f>IF('13 - Config_Intake_View'!Q155&lt;&gt;"","PM Approved",IF(Deployments!BH156&lt;&gt;"","Assumed",""))</f>
        <v/>
      </c>
      <c r="K155" s="23">
        <f>Deployments!BG156</f>
        <v>0</v>
      </c>
      <c r="L155" s="15">
        <f>Deployments!T156</f>
        <v>0</v>
      </c>
      <c r="M155" s="15">
        <f>Deployments!L156</f>
        <v>0</v>
      </c>
      <c r="N155" s="15" t="str">
        <f>Deployments!BK156</f>
        <v/>
      </c>
      <c r="O155" s="23" t="str">
        <f>Deployments!BL156</f>
        <v/>
      </c>
      <c r="P155" s="2">
        <f>Deployments!BA156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Deployments!H157</f>
        <v>0</v>
      </c>
      <c r="B156" s="23">
        <f>Deployments!V157</f>
        <v>0</v>
      </c>
      <c r="C156" s="23">
        <f>Deployments!W157</f>
        <v>0</v>
      </c>
      <c r="D156" s="15">
        <f>Deployments!AJ157</f>
        <v>0</v>
      </c>
      <c r="E156" s="15">
        <f>Deployments!N157</f>
        <v>0</v>
      </c>
      <c r="F156" s="23">
        <f>Deployments!O157</f>
        <v>0</v>
      </c>
      <c r="G156" s="15">
        <f>Deployments!P157</f>
        <v>0</v>
      </c>
      <c r="H156" s="15">
        <f>'13 - Config_Intake_View'!M156</f>
        <v>0</v>
      </c>
      <c r="I156" s="23">
        <f>IF('13 - Config_Intake_View'!Q156&lt;&gt;"",'13 - Config_Intake_View'!Q156,Deployments!BH157)</f>
        <v>0</v>
      </c>
      <c r="J156" s="15" t="str">
        <f>IF('13 - Config_Intake_View'!Q156&lt;&gt;"","PM Approved",IF(Deployments!BH157&lt;&gt;"","Assumed",""))</f>
        <v/>
      </c>
      <c r="K156" s="23">
        <f>Deployments!BG157</f>
        <v>0</v>
      </c>
      <c r="L156" s="15">
        <f>Deployments!T157</f>
        <v>0</v>
      </c>
      <c r="M156" s="15">
        <f>Deployments!L157</f>
        <v>0</v>
      </c>
      <c r="N156" s="15" t="str">
        <f>Deployments!BK157</f>
        <v/>
      </c>
      <c r="O156" s="23" t="str">
        <f>Deployments!BL157</f>
        <v/>
      </c>
      <c r="P156" s="2">
        <f>Deployments!BA157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Deployments!H158</f>
        <v>0</v>
      </c>
      <c r="B157" s="23">
        <f>Deployments!V158</f>
        <v>0</v>
      </c>
      <c r="C157" s="23">
        <f>Deployments!W158</f>
        <v>0</v>
      </c>
      <c r="D157" s="15">
        <f>Deployments!AJ158</f>
        <v>0</v>
      </c>
      <c r="E157" s="15">
        <f>Deployments!N158</f>
        <v>0</v>
      </c>
      <c r="F157" s="23">
        <f>Deployments!O158</f>
        <v>0</v>
      </c>
      <c r="G157" s="15">
        <f>Deployments!P158</f>
        <v>0</v>
      </c>
      <c r="H157" s="15">
        <f>'13 - Config_Intake_View'!M157</f>
        <v>0</v>
      </c>
      <c r="I157" s="23">
        <f>IF('13 - Config_Intake_View'!Q157&lt;&gt;"",'13 - Config_Intake_View'!Q157,Deployments!BH158)</f>
        <v>0</v>
      </c>
      <c r="J157" s="15" t="str">
        <f>IF('13 - Config_Intake_View'!Q157&lt;&gt;"","PM Approved",IF(Deployments!BH158&lt;&gt;"","Assumed",""))</f>
        <v/>
      </c>
      <c r="K157" s="23">
        <f>Deployments!BG158</f>
        <v>0</v>
      </c>
      <c r="L157" s="15">
        <f>Deployments!T158</f>
        <v>0</v>
      </c>
      <c r="M157" s="15">
        <f>Deployments!L158</f>
        <v>0</v>
      </c>
      <c r="N157" s="15" t="str">
        <f>Deployments!BK158</f>
        <v/>
      </c>
      <c r="O157" s="23" t="str">
        <f>Deployments!BL158</f>
        <v/>
      </c>
      <c r="P157" s="2">
        <f>Deployments!BA158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Deployments!H159</f>
        <v>0</v>
      </c>
      <c r="B158" s="23">
        <f>Deployments!V159</f>
        <v>0</v>
      </c>
      <c r="C158" s="23">
        <f>Deployments!W159</f>
        <v>0</v>
      </c>
      <c r="D158" s="15">
        <f>Deployments!AJ159</f>
        <v>0</v>
      </c>
      <c r="E158" s="15">
        <f>Deployments!N159</f>
        <v>0</v>
      </c>
      <c r="F158" s="23">
        <f>Deployments!O159</f>
        <v>0</v>
      </c>
      <c r="G158" s="15">
        <f>Deployments!P159</f>
        <v>0</v>
      </c>
      <c r="H158" s="15">
        <f>'13 - Config_Intake_View'!M158</f>
        <v>0</v>
      </c>
      <c r="I158" s="23">
        <f>IF('13 - Config_Intake_View'!Q158&lt;&gt;"",'13 - Config_Intake_View'!Q158,Deployments!BH159)</f>
        <v>0</v>
      </c>
      <c r="J158" s="15" t="str">
        <f>IF('13 - Config_Intake_View'!Q158&lt;&gt;"","PM Approved",IF(Deployments!BH159&lt;&gt;"","Assumed",""))</f>
        <v/>
      </c>
      <c r="K158" s="23">
        <f>Deployments!BG159</f>
        <v>0</v>
      </c>
      <c r="L158" s="15">
        <f>Deployments!T159</f>
        <v>0</v>
      </c>
      <c r="M158" s="15">
        <f>Deployments!L159</f>
        <v>0</v>
      </c>
      <c r="N158" s="15" t="str">
        <f>Deployments!BK159</f>
        <v/>
      </c>
      <c r="O158" s="23" t="str">
        <f>Deployments!BL159</f>
        <v/>
      </c>
      <c r="P158" s="2">
        <f>Deployments!BA159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Deployments!H160</f>
        <v>0</v>
      </c>
      <c r="B159" s="23">
        <f>Deployments!V160</f>
        <v>0</v>
      </c>
      <c r="C159" s="23">
        <f>Deployments!W160</f>
        <v>0</v>
      </c>
      <c r="D159" s="15">
        <f>Deployments!AJ160</f>
        <v>0</v>
      </c>
      <c r="E159" s="15">
        <f>Deployments!N160</f>
        <v>0</v>
      </c>
      <c r="F159" s="23">
        <f>Deployments!O160</f>
        <v>0</v>
      </c>
      <c r="G159" s="15">
        <f>Deployments!P160</f>
        <v>0</v>
      </c>
      <c r="H159" s="15">
        <f>'13 - Config_Intake_View'!M159</f>
        <v>0</v>
      </c>
      <c r="I159" s="23">
        <f>IF('13 - Config_Intake_View'!Q159&lt;&gt;"",'13 - Config_Intake_View'!Q159,Deployments!BH160)</f>
        <v>0</v>
      </c>
      <c r="J159" s="15" t="str">
        <f>IF('13 - Config_Intake_View'!Q159&lt;&gt;"","PM Approved",IF(Deployments!BH160&lt;&gt;"","Assumed",""))</f>
        <v/>
      </c>
      <c r="K159" s="23">
        <f>Deployments!BG160</f>
        <v>0</v>
      </c>
      <c r="L159" s="15">
        <f>Deployments!T160</f>
        <v>0</v>
      </c>
      <c r="M159" s="15">
        <f>Deployments!L160</f>
        <v>0</v>
      </c>
      <c r="N159" s="15" t="str">
        <f>Deployments!BK160</f>
        <v/>
      </c>
      <c r="O159" s="23" t="str">
        <f>Deployments!BL160</f>
        <v/>
      </c>
      <c r="P159" s="2">
        <f>Deployments!BA160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Deployments!H161</f>
        <v>0</v>
      </c>
      <c r="B160" s="23">
        <f>Deployments!V161</f>
        <v>0</v>
      </c>
      <c r="C160" s="23">
        <f>Deployments!W161</f>
        <v>0</v>
      </c>
      <c r="D160" s="15">
        <f>Deployments!AJ161</f>
        <v>0</v>
      </c>
      <c r="E160" s="15">
        <f>Deployments!N161</f>
        <v>0</v>
      </c>
      <c r="F160" s="23">
        <f>Deployments!O161</f>
        <v>0</v>
      </c>
      <c r="G160" s="15">
        <f>Deployments!P161</f>
        <v>0</v>
      </c>
      <c r="H160" s="15">
        <f>'13 - Config_Intake_View'!M160</f>
        <v>0</v>
      </c>
      <c r="I160" s="23">
        <f>IF('13 - Config_Intake_View'!Q160&lt;&gt;"",'13 - Config_Intake_View'!Q160,Deployments!BH161)</f>
        <v>0</v>
      </c>
      <c r="J160" s="15" t="str">
        <f>IF('13 - Config_Intake_View'!Q160&lt;&gt;"","PM Approved",IF(Deployments!BH161&lt;&gt;"","Assumed",""))</f>
        <v/>
      </c>
      <c r="K160" s="23">
        <f>Deployments!BG161</f>
        <v>0</v>
      </c>
      <c r="L160" s="15">
        <f>Deployments!T161</f>
        <v>0</v>
      </c>
      <c r="M160" s="15">
        <f>Deployments!L161</f>
        <v>0</v>
      </c>
      <c r="N160" s="15" t="str">
        <f>Deployments!BK161</f>
        <v/>
      </c>
      <c r="O160" s="23" t="str">
        <f>Deployments!BL161</f>
        <v/>
      </c>
      <c r="P160" s="2">
        <f>Deployments!BA161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Deployments!H162</f>
        <v>0</v>
      </c>
      <c r="B161" s="23">
        <f>Deployments!V162</f>
        <v>0</v>
      </c>
      <c r="C161" s="23">
        <f>Deployments!W162</f>
        <v>0</v>
      </c>
      <c r="D161" s="15">
        <f>Deployments!AJ162</f>
        <v>0</v>
      </c>
      <c r="E161" s="15">
        <f>Deployments!N162</f>
        <v>0</v>
      </c>
      <c r="F161" s="23">
        <f>Deployments!O162</f>
        <v>0</v>
      </c>
      <c r="G161" s="15">
        <f>Deployments!P162</f>
        <v>0</v>
      </c>
      <c r="H161" s="15">
        <f>'13 - Config_Intake_View'!M161</f>
        <v>0</v>
      </c>
      <c r="I161" s="23">
        <f>IF('13 - Config_Intake_View'!Q161&lt;&gt;"",'13 - Config_Intake_View'!Q161,Deployments!BH162)</f>
        <v>0</v>
      </c>
      <c r="J161" s="15" t="str">
        <f>IF('13 - Config_Intake_View'!Q161&lt;&gt;"","PM Approved",IF(Deployments!BH162&lt;&gt;"","Assumed",""))</f>
        <v/>
      </c>
      <c r="K161" s="23">
        <f>Deployments!BG162</f>
        <v>0</v>
      </c>
      <c r="L161" s="15">
        <f>Deployments!T162</f>
        <v>0</v>
      </c>
      <c r="M161" s="15">
        <f>Deployments!L162</f>
        <v>0</v>
      </c>
      <c r="N161" s="15" t="str">
        <f>Deployments!BK162</f>
        <v/>
      </c>
      <c r="O161" s="23" t="str">
        <f>Deployments!BL162</f>
        <v/>
      </c>
      <c r="P161" s="2">
        <f>Deployments!BA162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Deployments!H163</f>
        <v>0</v>
      </c>
      <c r="B162" s="23">
        <f>Deployments!V163</f>
        <v>0</v>
      </c>
      <c r="C162" s="23">
        <f>Deployments!W163</f>
        <v>0</v>
      </c>
      <c r="D162" s="15">
        <f>Deployments!AJ163</f>
        <v>0</v>
      </c>
      <c r="E162" s="15">
        <f>Deployments!N163</f>
        <v>0</v>
      </c>
      <c r="F162" s="23">
        <f>Deployments!O163</f>
        <v>0</v>
      </c>
      <c r="G162" s="15">
        <f>Deployments!P163</f>
        <v>0</v>
      </c>
      <c r="H162" s="15">
        <f>'13 - Config_Intake_View'!M162</f>
        <v>0</v>
      </c>
      <c r="I162" s="23">
        <f>IF('13 - Config_Intake_View'!Q162&lt;&gt;"",'13 - Config_Intake_View'!Q162,Deployments!BH163)</f>
        <v>0</v>
      </c>
      <c r="J162" s="15" t="str">
        <f>IF('13 - Config_Intake_View'!Q162&lt;&gt;"","PM Approved",IF(Deployments!BH163&lt;&gt;"","Assumed",""))</f>
        <v/>
      </c>
      <c r="K162" s="23">
        <f>Deployments!BG163</f>
        <v>0</v>
      </c>
      <c r="L162" s="15">
        <f>Deployments!T163</f>
        <v>0</v>
      </c>
      <c r="M162" s="15">
        <f>Deployments!L163</f>
        <v>0</v>
      </c>
      <c r="N162" s="15" t="str">
        <f>Deployments!BK163</f>
        <v/>
      </c>
      <c r="O162" s="23" t="str">
        <f>Deployments!BL163</f>
        <v/>
      </c>
      <c r="P162" s="2">
        <f>Deployments!BA163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Deployments!H164</f>
        <v>0</v>
      </c>
      <c r="B163" s="23">
        <f>Deployments!V164</f>
        <v>0</v>
      </c>
      <c r="C163" s="23">
        <f>Deployments!W164</f>
        <v>0</v>
      </c>
      <c r="D163" s="15">
        <f>Deployments!AJ164</f>
        <v>0</v>
      </c>
      <c r="E163" s="15">
        <f>Deployments!N164</f>
        <v>0</v>
      </c>
      <c r="F163" s="23">
        <f>Deployments!O164</f>
        <v>0</v>
      </c>
      <c r="G163" s="15">
        <f>Deployments!P164</f>
        <v>0</v>
      </c>
      <c r="H163" s="15">
        <f>'13 - Config_Intake_View'!M163</f>
        <v>0</v>
      </c>
      <c r="I163" s="23">
        <f>IF('13 - Config_Intake_View'!Q163&lt;&gt;"",'13 - Config_Intake_View'!Q163,Deployments!BH164)</f>
        <v>0</v>
      </c>
      <c r="J163" s="15" t="str">
        <f>IF('13 - Config_Intake_View'!Q163&lt;&gt;"","PM Approved",IF(Deployments!BH164&lt;&gt;"","Assumed",""))</f>
        <v/>
      </c>
      <c r="K163" s="23">
        <f>Deployments!BG164</f>
        <v>0</v>
      </c>
      <c r="L163" s="15">
        <f>Deployments!T164</f>
        <v>0</v>
      </c>
      <c r="M163" s="15">
        <f>Deployments!L164</f>
        <v>0</v>
      </c>
      <c r="N163" s="15" t="str">
        <f>Deployments!BK164</f>
        <v/>
      </c>
      <c r="O163" s="23" t="str">
        <f>Deployments!BL164</f>
        <v/>
      </c>
      <c r="P163" s="2">
        <f>Deployments!BA164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Deployments!H165</f>
        <v>0</v>
      </c>
      <c r="B164" s="23">
        <f>Deployments!V165</f>
        <v>0</v>
      </c>
      <c r="C164" s="23">
        <f>Deployments!W165</f>
        <v>0</v>
      </c>
      <c r="D164" s="15">
        <f>Deployments!AJ165</f>
        <v>0</v>
      </c>
      <c r="E164" s="15">
        <f>Deployments!N165</f>
        <v>0</v>
      </c>
      <c r="F164" s="23">
        <f>Deployments!O165</f>
        <v>0</v>
      </c>
      <c r="G164" s="15">
        <f>Deployments!P165</f>
        <v>0</v>
      </c>
      <c r="H164" s="15">
        <f>'13 - Config_Intake_View'!M164</f>
        <v>0</v>
      </c>
      <c r="I164" s="23">
        <f>IF('13 - Config_Intake_View'!Q164&lt;&gt;"",'13 - Config_Intake_View'!Q164,Deployments!BH165)</f>
        <v>0</v>
      </c>
      <c r="J164" s="15" t="str">
        <f>IF('13 - Config_Intake_View'!Q164&lt;&gt;"","PM Approved",IF(Deployments!BH165&lt;&gt;"","Assumed",""))</f>
        <v/>
      </c>
      <c r="K164" s="23">
        <f>Deployments!BG165</f>
        <v>0</v>
      </c>
      <c r="L164" s="15">
        <f>Deployments!T165</f>
        <v>0</v>
      </c>
      <c r="M164" s="15">
        <f>Deployments!L165</f>
        <v>0</v>
      </c>
      <c r="N164" s="15" t="str">
        <f>Deployments!BK165</f>
        <v/>
      </c>
      <c r="O164" s="23" t="str">
        <f>Deployments!BL165</f>
        <v/>
      </c>
      <c r="P164" s="2">
        <f>Deployments!BA165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Deployments!H166</f>
        <v>0</v>
      </c>
      <c r="B165" s="23">
        <f>Deployments!V166</f>
        <v>0</v>
      </c>
      <c r="C165" s="23">
        <f>Deployments!W166</f>
        <v>0</v>
      </c>
      <c r="D165" s="15">
        <f>Deployments!AJ166</f>
        <v>0</v>
      </c>
      <c r="E165" s="15">
        <f>Deployments!N166</f>
        <v>0</v>
      </c>
      <c r="F165" s="23">
        <f>Deployments!O166</f>
        <v>0</v>
      </c>
      <c r="G165" s="15">
        <f>Deployments!P166</f>
        <v>0</v>
      </c>
      <c r="H165" s="15">
        <f>'13 - Config_Intake_View'!M165</f>
        <v>0</v>
      </c>
      <c r="I165" s="23">
        <f>IF('13 - Config_Intake_View'!Q165&lt;&gt;"",'13 - Config_Intake_View'!Q165,Deployments!BH166)</f>
        <v>0</v>
      </c>
      <c r="J165" s="15" t="str">
        <f>IF('13 - Config_Intake_View'!Q165&lt;&gt;"","PM Approved",IF(Deployments!BH166&lt;&gt;"","Assumed",""))</f>
        <v/>
      </c>
      <c r="K165" s="23">
        <f>Deployments!BG166</f>
        <v>0</v>
      </c>
      <c r="L165" s="15">
        <f>Deployments!T166</f>
        <v>0</v>
      </c>
      <c r="M165" s="15">
        <f>Deployments!L166</f>
        <v>0</v>
      </c>
      <c r="N165" s="15" t="str">
        <f>Deployments!BK166</f>
        <v/>
      </c>
      <c r="O165" s="23" t="str">
        <f>Deployments!BL166</f>
        <v/>
      </c>
      <c r="P165" s="2">
        <f>Deployments!BA166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Deployments!H167</f>
        <v>0</v>
      </c>
      <c r="B166" s="23">
        <f>Deployments!V167</f>
        <v>0</v>
      </c>
      <c r="C166" s="23">
        <f>Deployments!W167</f>
        <v>0</v>
      </c>
      <c r="D166" s="15">
        <f>Deployments!AJ167</f>
        <v>0</v>
      </c>
      <c r="E166" s="15">
        <f>Deployments!N167</f>
        <v>0</v>
      </c>
      <c r="F166" s="23">
        <f>Deployments!O167</f>
        <v>0</v>
      </c>
      <c r="G166" s="15">
        <f>Deployments!P167</f>
        <v>0</v>
      </c>
      <c r="H166" s="15">
        <f>'13 - Config_Intake_View'!M166</f>
        <v>0</v>
      </c>
      <c r="I166" s="23">
        <f>IF('13 - Config_Intake_View'!Q166&lt;&gt;"",'13 - Config_Intake_View'!Q166,Deployments!BH167)</f>
        <v>0</v>
      </c>
      <c r="J166" s="15" t="str">
        <f>IF('13 - Config_Intake_View'!Q166&lt;&gt;"","PM Approved",IF(Deployments!BH167&lt;&gt;"","Assumed",""))</f>
        <v/>
      </c>
      <c r="K166" s="23">
        <f>Deployments!BG167</f>
        <v>0</v>
      </c>
      <c r="L166" s="15">
        <f>Deployments!T167</f>
        <v>0</v>
      </c>
      <c r="M166" s="15">
        <f>Deployments!L167</f>
        <v>0</v>
      </c>
      <c r="N166" s="15" t="str">
        <f>Deployments!BK167</f>
        <v/>
      </c>
      <c r="O166" s="23" t="str">
        <f>Deployments!BL167</f>
        <v/>
      </c>
      <c r="P166" s="2">
        <f>Deployments!BA167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Deployments!H168</f>
        <v>0</v>
      </c>
      <c r="B167" s="23">
        <f>Deployments!V168</f>
        <v>0</v>
      </c>
      <c r="C167" s="23">
        <f>Deployments!W168</f>
        <v>0</v>
      </c>
      <c r="D167" s="15">
        <f>Deployments!AJ168</f>
        <v>0</v>
      </c>
      <c r="E167" s="15">
        <f>Deployments!N168</f>
        <v>0</v>
      </c>
      <c r="F167" s="23">
        <f>Deployments!O168</f>
        <v>0</v>
      </c>
      <c r="G167" s="15">
        <f>Deployments!P168</f>
        <v>0</v>
      </c>
      <c r="H167" s="15">
        <f>'13 - Config_Intake_View'!M167</f>
        <v>0</v>
      </c>
      <c r="I167" s="23">
        <f>IF('13 - Config_Intake_View'!Q167&lt;&gt;"",'13 - Config_Intake_View'!Q167,Deployments!BH168)</f>
        <v>0</v>
      </c>
      <c r="J167" s="15" t="str">
        <f>IF('13 - Config_Intake_View'!Q167&lt;&gt;"","PM Approved",IF(Deployments!BH168&lt;&gt;"","Assumed",""))</f>
        <v/>
      </c>
      <c r="K167" s="23">
        <f>Deployments!BG168</f>
        <v>0</v>
      </c>
      <c r="L167" s="15">
        <f>Deployments!T168</f>
        <v>0</v>
      </c>
      <c r="M167" s="15">
        <f>Deployments!L168</f>
        <v>0</v>
      </c>
      <c r="N167" s="15" t="str">
        <f>Deployments!BK168</f>
        <v/>
      </c>
      <c r="O167" s="23" t="str">
        <f>Deployments!BL168</f>
        <v/>
      </c>
      <c r="P167" s="2">
        <f>Deployments!BA168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Deployments!H169</f>
        <v>0</v>
      </c>
      <c r="B168" s="23">
        <f>Deployments!V169</f>
        <v>0</v>
      </c>
      <c r="C168" s="23">
        <f>Deployments!W169</f>
        <v>0</v>
      </c>
      <c r="D168" s="15">
        <f>Deployments!AJ169</f>
        <v>0</v>
      </c>
      <c r="E168" s="15">
        <f>Deployments!N169</f>
        <v>0</v>
      </c>
      <c r="F168" s="23">
        <f>Deployments!O169</f>
        <v>0</v>
      </c>
      <c r="G168" s="15">
        <f>Deployments!P169</f>
        <v>0</v>
      </c>
      <c r="H168" s="15">
        <f>'13 - Config_Intake_View'!M168</f>
        <v>0</v>
      </c>
      <c r="I168" s="23">
        <f>IF('13 - Config_Intake_View'!Q168&lt;&gt;"",'13 - Config_Intake_View'!Q168,Deployments!BH169)</f>
        <v>0</v>
      </c>
      <c r="J168" s="15" t="str">
        <f>IF('13 - Config_Intake_View'!Q168&lt;&gt;"","PM Approved",IF(Deployments!BH169&lt;&gt;"","Assumed",""))</f>
        <v/>
      </c>
      <c r="K168" s="23">
        <f>Deployments!BG169</f>
        <v>0</v>
      </c>
      <c r="L168" s="15">
        <f>Deployments!T169</f>
        <v>0</v>
      </c>
      <c r="M168" s="15">
        <f>Deployments!L169</f>
        <v>0</v>
      </c>
      <c r="N168" s="15" t="str">
        <f>Deployments!BK169</f>
        <v/>
      </c>
      <c r="O168" s="23" t="str">
        <f>Deployments!BL169</f>
        <v/>
      </c>
      <c r="P168" s="2">
        <f>Deployments!BA169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Deployments!H170</f>
        <v>0</v>
      </c>
      <c r="B169" s="23">
        <f>Deployments!V170</f>
        <v>0</v>
      </c>
      <c r="C169" s="23">
        <f>Deployments!W170</f>
        <v>0</v>
      </c>
      <c r="D169" s="15">
        <f>Deployments!AJ170</f>
        <v>0</v>
      </c>
      <c r="E169" s="15">
        <f>Deployments!N170</f>
        <v>0</v>
      </c>
      <c r="F169" s="23">
        <f>Deployments!O170</f>
        <v>0</v>
      </c>
      <c r="G169" s="15">
        <f>Deployments!P170</f>
        <v>0</v>
      </c>
      <c r="H169" s="15">
        <f>'13 - Config_Intake_View'!M169</f>
        <v>0</v>
      </c>
      <c r="I169" s="23">
        <f>IF('13 - Config_Intake_View'!Q169&lt;&gt;"",'13 - Config_Intake_View'!Q169,Deployments!BH170)</f>
        <v>0</v>
      </c>
      <c r="J169" s="15" t="str">
        <f>IF('13 - Config_Intake_View'!Q169&lt;&gt;"","PM Approved",IF(Deployments!BH170&lt;&gt;"","Assumed",""))</f>
        <v/>
      </c>
      <c r="K169" s="23">
        <f>Deployments!BG170</f>
        <v>0</v>
      </c>
      <c r="L169" s="15">
        <f>Deployments!T170</f>
        <v>0</v>
      </c>
      <c r="M169" s="15">
        <f>Deployments!L170</f>
        <v>0</v>
      </c>
      <c r="N169" s="15" t="str">
        <f>Deployments!BK170</f>
        <v/>
      </c>
      <c r="O169" s="23" t="str">
        <f>Deployments!BL170</f>
        <v/>
      </c>
      <c r="P169" s="2">
        <f>Deployments!BA170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Deployments!H171</f>
        <v>0</v>
      </c>
      <c r="B170" s="23">
        <f>Deployments!V171</f>
        <v>0</v>
      </c>
      <c r="C170" s="23">
        <f>Deployments!W171</f>
        <v>0</v>
      </c>
      <c r="D170" s="15">
        <f>Deployments!AJ171</f>
        <v>0</v>
      </c>
      <c r="E170" s="15">
        <f>Deployments!N171</f>
        <v>0</v>
      </c>
      <c r="F170" s="23">
        <f>Deployments!O171</f>
        <v>0</v>
      </c>
      <c r="G170" s="15">
        <f>Deployments!P171</f>
        <v>0</v>
      </c>
      <c r="H170" s="15">
        <f>'13 - Config_Intake_View'!M170</f>
        <v>0</v>
      </c>
      <c r="I170" s="23">
        <f>IF('13 - Config_Intake_View'!Q170&lt;&gt;"",'13 - Config_Intake_View'!Q170,Deployments!BH171)</f>
        <v>0</v>
      </c>
      <c r="J170" s="15" t="str">
        <f>IF('13 - Config_Intake_View'!Q170&lt;&gt;"","PM Approved",IF(Deployments!BH171&lt;&gt;"","Assumed",""))</f>
        <v/>
      </c>
      <c r="K170" s="23">
        <f>Deployments!BG171</f>
        <v>0</v>
      </c>
      <c r="L170" s="15">
        <f>Deployments!T171</f>
        <v>0</v>
      </c>
      <c r="M170" s="15">
        <f>Deployments!L171</f>
        <v>0</v>
      </c>
      <c r="N170" s="15" t="str">
        <f>Deployments!BK171</f>
        <v/>
      </c>
      <c r="O170" s="23" t="str">
        <f>Deployments!BL171</f>
        <v/>
      </c>
      <c r="P170" s="2">
        <f>Deployments!BA171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Deployments!H172</f>
        <v>0</v>
      </c>
      <c r="B171" s="23">
        <f>Deployments!V172</f>
        <v>0</v>
      </c>
      <c r="C171" s="23">
        <f>Deployments!W172</f>
        <v>0</v>
      </c>
      <c r="D171" s="15">
        <f>Deployments!AJ172</f>
        <v>0</v>
      </c>
      <c r="E171" s="15">
        <f>Deployments!N172</f>
        <v>0</v>
      </c>
      <c r="F171" s="23">
        <f>Deployments!O172</f>
        <v>0</v>
      </c>
      <c r="G171" s="15">
        <f>Deployments!P172</f>
        <v>0</v>
      </c>
      <c r="H171" s="15">
        <f>'13 - Config_Intake_View'!M171</f>
        <v>0</v>
      </c>
      <c r="I171" s="23">
        <f>IF('13 - Config_Intake_View'!Q171&lt;&gt;"",'13 - Config_Intake_View'!Q171,Deployments!BH172)</f>
        <v>0</v>
      </c>
      <c r="J171" s="15" t="str">
        <f>IF('13 - Config_Intake_View'!Q171&lt;&gt;"","PM Approved",IF(Deployments!BH172&lt;&gt;"","Assumed",""))</f>
        <v/>
      </c>
      <c r="K171" s="23">
        <f>Deployments!BG172</f>
        <v>0</v>
      </c>
      <c r="L171" s="15">
        <f>Deployments!T172</f>
        <v>0</v>
      </c>
      <c r="M171" s="15">
        <f>Deployments!L172</f>
        <v>0</v>
      </c>
      <c r="N171" s="15" t="str">
        <f>Deployments!BK172</f>
        <v/>
      </c>
      <c r="O171" s="23" t="str">
        <f>Deployments!BL172</f>
        <v/>
      </c>
      <c r="P171" s="2">
        <f>Deployments!BA172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Deployments!H173</f>
        <v>0</v>
      </c>
      <c r="B172" s="23">
        <f>Deployments!V173</f>
        <v>0</v>
      </c>
      <c r="C172" s="23">
        <f>Deployments!W173</f>
        <v>0</v>
      </c>
      <c r="D172" s="15">
        <f>Deployments!AJ173</f>
        <v>0</v>
      </c>
      <c r="E172" s="15">
        <f>Deployments!N173</f>
        <v>0</v>
      </c>
      <c r="F172" s="23">
        <f>Deployments!O173</f>
        <v>0</v>
      </c>
      <c r="G172" s="15">
        <f>Deployments!P173</f>
        <v>0</v>
      </c>
      <c r="H172" s="15">
        <f>'13 - Config_Intake_View'!M172</f>
        <v>0</v>
      </c>
      <c r="I172" s="23">
        <f>IF('13 - Config_Intake_View'!Q172&lt;&gt;"",'13 - Config_Intake_View'!Q172,Deployments!BH173)</f>
        <v>0</v>
      </c>
      <c r="J172" s="15" t="str">
        <f>IF('13 - Config_Intake_View'!Q172&lt;&gt;"","PM Approved",IF(Deployments!BH173&lt;&gt;"","Assumed",""))</f>
        <v/>
      </c>
      <c r="K172" s="23">
        <f>Deployments!BG173</f>
        <v>0</v>
      </c>
      <c r="L172" s="15">
        <f>Deployments!T173</f>
        <v>0</v>
      </c>
      <c r="M172" s="15">
        <f>Deployments!L173</f>
        <v>0</v>
      </c>
      <c r="N172" s="15" t="str">
        <f>Deployments!BK173</f>
        <v/>
      </c>
      <c r="O172" s="23" t="str">
        <f>Deployments!BL173</f>
        <v/>
      </c>
      <c r="P172" s="2">
        <f>Deployments!BA173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Deployments!H174</f>
        <v>0</v>
      </c>
      <c r="B173" s="23">
        <f>Deployments!V174</f>
        <v>0</v>
      </c>
      <c r="C173" s="23">
        <f>Deployments!W174</f>
        <v>0</v>
      </c>
      <c r="D173" s="15">
        <f>Deployments!AJ174</f>
        <v>0</v>
      </c>
      <c r="E173" s="15">
        <f>Deployments!N174</f>
        <v>0</v>
      </c>
      <c r="F173" s="23">
        <f>Deployments!O174</f>
        <v>0</v>
      </c>
      <c r="G173" s="15">
        <f>Deployments!P174</f>
        <v>0</v>
      </c>
      <c r="H173" s="15">
        <f>'13 - Config_Intake_View'!M173</f>
        <v>0</v>
      </c>
      <c r="I173" s="23">
        <f>IF('13 - Config_Intake_View'!Q173&lt;&gt;"",'13 - Config_Intake_View'!Q173,Deployments!BH174)</f>
        <v>0</v>
      </c>
      <c r="J173" s="15" t="str">
        <f>IF('13 - Config_Intake_View'!Q173&lt;&gt;"","PM Approved",IF(Deployments!BH174&lt;&gt;"","Assumed",""))</f>
        <v/>
      </c>
      <c r="K173" s="23">
        <f>Deployments!BG174</f>
        <v>0</v>
      </c>
      <c r="L173" s="15">
        <f>Deployments!T174</f>
        <v>0</v>
      </c>
      <c r="M173" s="15">
        <f>Deployments!L174</f>
        <v>0</v>
      </c>
      <c r="N173" s="15" t="str">
        <f>Deployments!BK174</f>
        <v/>
      </c>
      <c r="O173" s="23" t="str">
        <f>Deployments!BL174</f>
        <v/>
      </c>
      <c r="P173" s="2">
        <f>Deployments!BA174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Deployments!H175</f>
        <v>0</v>
      </c>
      <c r="B174" s="23">
        <f>Deployments!V175</f>
        <v>0</v>
      </c>
      <c r="C174" s="23">
        <f>Deployments!W175</f>
        <v>0</v>
      </c>
      <c r="D174" s="15">
        <f>Deployments!AJ175</f>
        <v>0</v>
      </c>
      <c r="E174" s="15">
        <f>Deployments!N175</f>
        <v>0</v>
      </c>
      <c r="F174" s="23">
        <f>Deployments!O175</f>
        <v>0</v>
      </c>
      <c r="G174" s="15">
        <f>Deployments!P175</f>
        <v>0</v>
      </c>
      <c r="H174" s="15">
        <f>'13 - Config_Intake_View'!M174</f>
        <v>0</v>
      </c>
      <c r="I174" s="23">
        <f>IF('13 - Config_Intake_View'!Q174&lt;&gt;"",'13 - Config_Intake_View'!Q174,Deployments!BH175)</f>
        <v>0</v>
      </c>
      <c r="J174" s="15" t="str">
        <f>IF('13 - Config_Intake_View'!Q174&lt;&gt;"","PM Approved",IF(Deployments!BH175&lt;&gt;"","Assumed",""))</f>
        <v/>
      </c>
      <c r="K174" s="23">
        <f>Deployments!BG175</f>
        <v>0</v>
      </c>
      <c r="L174" s="15">
        <f>Deployments!T175</f>
        <v>0</v>
      </c>
      <c r="M174" s="15">
        <f>Deployments!L175</f>
        <v>0</v>
      </c>
      <c r="N174" s="15" t="str">
        <f>Deployments!BK175</f>
        <v/>
      </c>
      <c r="O174" s="23" t="str">
        <f>Deployments!BL175</f>
        <v/>
      </c>
      <c r="P174" s="2">
        <f>Deployments!BA175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Deployments!H176</f>
        <v>0</v>
      </c>
      <c r="B175" s="23">
        <f>Deployments!V176</f>
        <v>0</v>
      </c>
      <c r="C175" s="23">
        <f>Deployments!W176</f>
        <v>0</v>
      </c>
      <c r="D175" s="15">
        <f>Deployments!AJ176</f>
        <v>0</v>
      </c>
      <c r="E175" s="15">
        <f>Deployments!N176</f>
        <v>0</v>
      </c>
      <c r="F175" s="23">
        <f>Deployments!O176</f>
        <v>0</v>
      </c>
      <c r="G175" s="15">
        <f>Deployments!P176</f>
        <v>0</v>
      </c>
      <c r="H175" s="15">
        <f>'13 - Config_Intake_View'!M175</f>
        <v>0</v>
      </c>
      <c r="I175" s="23">
        <f>IF('13 - Config_Intake_View'!Q175&lt;&gt;"",'13 - Config_Intake_View'!Q175,Deployments!BH176)</f>
        <v>0</v>
      </c>
      <c r="J175" s="15" t="str">
        <f>IF('13 - Config_Intake_View'!Q175&lt;&gt;"","PM Approved",IF(Deployments!BH176&lt;&gt;"","Assumed",""))</f>
        <v/>
      </c>
      <c r="K175" s="23">
        <f>Deployments!BG176</f>
        <v>0</v>
      </c>
      <c r="L175" s="15">
        <f>Deployments!T176</f>
        <v>0</v>
      </c>
      <c r="M175" s="15">
        <f>Deployments!L176</f>
        <v>0</v>
      </c>
      <c r="N175" s="15" t="str">
        <f>Deployments!BK176</f>
        <v/>
      </c>
      <c r="O175" s="23" t="str">
        <f>Deployments!BL176</f>
        <v/>
      </c>
      <c r="P175" s="2">
        <f>Deployments!BA176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Deployments!H177</f>
        <v>0</v>
      </c>
      <c r="B176" s="23">
        <f>Deployments!V177</f>
        <v>0</v>
      </c>
      <c r="C176" s="23">
        <f>Deployments!W177</f>
        <v>0</v>
      </c>
      <c r="D176" s="15">
        <f>Deployments!AJ177</f>
        <v>0</v>
      </c>
      <c r="E176" s="15">
        <f>Deployments!N177</f>
        <v>0</v>
      </c>
      <c r="F176" s="23">
        <f>Deployments!O177</f>
        <v>0</v>
      </c>
      <c r="G176" s="15">
        <f>Deployments!P177</f>
        <v>0</v>
      </c>
      <c r="H176" s="15">
        <f>'13 - Config_Intake_View'!M176</f>
        <v>0</v>
      </c>
      <c r="I176" s="23">
        <f>IF('13 - Config_Intake_View'!Q176&lt;&gt;"",'13 - Config_Intake_View'!Q176,Deployments!BH177)</f>
        <v>0</v>
      </c>
      <c r="J176" s="15" t="str">
        <f>IF('13 - Config_Intake_View'!Q176&lt;&gt;"","PM Approved",IF(Deployments!BH177&lt;&gt;"","Assumed",""))</f>
        <v/>
      </c>
      <c r="K176" s="23">
        <f>Deployments!BG177</f>
        <v>0</v>
      </c>
      <c r="L176" s="15">
        <f>Deployments!T177</f>
        <v>0</v>
      </c>
      <c r="M176" s="15">
        <f>Deployments!L177</f>
        <v>0</v>
      </c>
      <c r="N176" s="15" t="str">
        <f>Deployments!BK177</f>
        <v/>
      </c>
      <c r="O176" s="23" t="str">
        <f>Deployments!BL177</f>
        <v/>
      </c>
      <c r="P176" s="2">
        <f>Deployments!BA177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Deployments!H178</f>
        <v>0</v>
      </c>
      <c r="B177" s="23">
        <f>Deployments!V178</f>
        <v>0</v>
      </c>
      <c r="C177" s="23">
        <f>Deployments!W178</f>
        <v>0</v>
      </c>
      <c r="D177" s="15">
        <f>Deployments!AJ178</f>
        <v>0</v>
      </c>
      <c r="E177" s="15">
        <f>Deployments!N178</f>
        <v>0</v>
      </c>
      <c r="F177" s="23">
        <f>Deployments!O178</f>
        <v>0</v>
      </c>
      <c r="G177" s="15">
        <f>Deployments!P178</f>
        <v>0</v>
      </c>
      <c r="H177" s="15">
        <f>'13 - Config_Intake_View'!M177</f>
        <v>0</v>
      </c>
      <c r="I177" s="23">
        <f>IF('13 - Config_Intake_View'!Q177&lt;&gt;"",'13 - Config_Intake_View'!Q177,Deployments!BH178)</f>
        <v>0</v>
      </c>
      <c r="J177" s="15" t="str">
        <f>IF('13 - Config_Intake_View'!Q177&lt;&gt;"","PM Approved",IF(Deployments!BH178&lt;&gt;"","Assumed",""))</f>
        <v/>
      </c>
      <c r="K177" s="23">
        <f>Deployments!BG178</f>
        <v>0</v>
      </c>
      <c r="L177" s="15">
        <f>Deployments!T178</f>
        <v>0</v>
      </c>
      <c r="M177" s="15">
        <f>Deployments!L178</f>
        <v>0</v>
      </c>
      <c r="N177" s="15" t="str">
        <f>Deployments!BK178</f>
        <v/>
      </c>
      <c r="O177" s="23" t="str">
        <f>Deployments!BL178</f>
        <v/>
      </c>
      <c r="P177" s="2">
        <f>Deployments!BA178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Deployments!H179</f>
        <v>0</v>
      </c>
      <c r="B178" s="23">
        <f>Deployments!V179</f>
        <v>0</v>
      </c>
      <c r="C178" s="23">
        <f>Deployments!W179</f>
        <v>0</v>
      </c>
      <c r="D178" s="15">
        <f>Deployments!AJ179</f>
        <v>0</v>
      </c>
      <c r="E178" s="15">
        <f>Deployments!N179</f>
        <v>0</v>
      </c>
      <c r="F178" s="23">
        <f>Deployments!O179</f>
        <v>0</v>
      </c>
      <c r="G178" s="15">
        <f>Deployments!P179</f>
        <v>0</v>
      </c>
      <c r="H178" s="15">
        <f>'13 - Config_Intake_View'!M178</f>
        <v>0</v>
      </c>
      <c r="I178" s="23">
        <f>IF('13 - Config_Intake_View'!Q178&lt;&gt;"",'13 - Config_Intake_View'!Q178,Deployments!BH179)</f>
        <v>0</v>
      </c>
      <c r="J178" s="15" t="str">
        <f>IF('13 - Config_Intake_View'!Q178&lt;&gt;"","PM Approved",IF(Deployments!BH179&lt;&gt;"","Assumed",""))</f>
        <v/>
      </c>
      <c r="K178" s="23">
        <f>Deployments!BG179</f>
        <v>0</v>
      </c>
      <c r="L178" s="15">
        <f>Deployments!T179</f>
        <v>0</v>
      </c>
      <c r="M178" s="15">
        <f>Deployments!L179</f>
        <v>0</v>
      </c>
      <c r="N178" s="15" t="str">
        <f>Deployments!BK179</f>
        <v/>
      </c>
      <c r="O178" s="23" t="str">
        <f>Deployments!BL179</f>
        <v/>
      </c>
      <c r="P178" s="2">
        <f>Deployments!BA179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Deployments!H180</f>
        <v>0</v>
      </c>
      <c r="B179" s="23">
        <f>Deployments!V180</f>
        <v>0</v>
      </c>
      <c r="C179" s="23">
        <f>Deployments!W180</f>
        <v>0</v>
      </c>
      <c r="D179" s="15">
        <f>Deployments!AJ180</f>
        <v>0</v>
      </c>
      <c r="E179" s="15">
        <f>Deployments!N180</f>
        <v>0</v>
      </c>
      <c r="F179" s="23">
        <f>Deployments!O180</f>
        <v>0</v>
      </c>
      <c r="G179" s="15">
        <f>Deployments!P180</f>
        <v>0</v>
      </c>
      <c r="H179" s="15">
        <f>'13 - Config_Intake_View'!M179</f>
        <v>0</v>
      </c>
      <c r="I179" s="23">
        <f>IF('13 - Config_Intake_View'!Q179&lt;&gt;"",'13 - Config_Intake_View'!Q179,Deployments!BH180)</f>
        <v>0</v>
      </c>
      <c r="J179" s="15" t="str">
        <f>IF('13 - Config_Intake_View'!Q179&lt;&gt;"","PM Approved",IF(Deployments!BH180&lt;&gt;"","Assumed",""))</f>
        <v/>
      </c>
      <c r="K179" s="23">
        <f>Deployments!BG180</f>
        <v>0</v>
      </c>
      <c r="L179" s="15">
        <f>Deployments!T180</f>
        <v>0</v>
      </c>
      <c r="M179" s="15">
        <f>Deployments!L180</f>
        <v>0</v>
      </c>
      <c r="N179" s="15" t="str">
        <f>Deployments!BK180</f>
        <v/>
      </c>
      <c r="O179" s="23" t="str">
        <f>Deployments!BL180</f>
        <v/>
      </c>
      <c r="P179" s="2">
        <f>Deployments!BA180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Deployments!H181</f>
        <v>0</v>
      </c>
      <c r="B180" s="23">
        <f>Deployments!V181</f>
        <v>0</v>
      </c>
      <c r="C180" s="23">
        <f>Deployments!W181</f>
        <v>0</v>
      </c>
      <c r="D180" s="15">
        <f>Deployments!AJ181</f>
        <v>0</v>
      </c>
      <c r="E180" s="15">
        <f>Deployments!N181</f>
        <v>0</v>
      </c>
      <c r="F180" s="23">
        <f>Deployments!O181</f>
        <v>0</v>
      </c>
      <c r="G180" s="15">
        <f>Deployments!P181</f>
        <v>0</v>
      </c>
      <c r="H180" s="15">
        <f>'13 - Config_Intake_View'!M180</f>
        <v>0</v>
      </c>
      <c r="I180" s="23">
        <f>IF('13 - Config_Intake_View'!Q180&lt;&gt;"",'13 - Config_Intake_View'!Q180,Deployments!BH181)</f>
        <v>0</v>
      </c>
      <c r="J180" s="15" t="str">
        <f>IF('13 - Config_Intake_View'!Q180&lt;&gt;"","PM Approved",IF(Deployments!BH181&lt;&gt;"","Assumed",""))</f>
        <v/>
      </c>
      <c r="K180" s="23">
        <f>Deployments!BG181</f>
        <v>0</v>
      </c>
      <c r="L180" s="15">
        <f>Deployments!T181</f>
        <v>0</v>
      </c>
      <c r="M180" s="15">
        <f>Deployments!L181</f>
        <v>0</v>
      </c>
      <c r="N180" s="15" t="str">
        <f>Deployments!BK181</f>
        <v/>
      </c>
      <c r="O180" s="23" t="str">
        <f>Deployments!BL181</f>
        <v/>
      </c>
      <c r="P180" s="2">
        <f>Deployments!BA181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Deployments!H182</f>
        <v>0</v>
      </c>
      <c r="B181" s="23">
        <f>Deployments!V182</f>
        <v>0</v>
      </c>
      <c r="C181" s="23">
        <f>Deployments!W182</f>
        <v>0</v>
      </c>
      <c r="D181" s="15">
        <f>Deployments!AJ182</f>
        <v>0</v>
      </c>
      <c r="E181" s="15">
        <f>Deployments!N182</f>
        <v>0</v>
      </c>
      <c r="F181" s="23">
        <f>Deployments!O182</f>
        <v>0</v>
      </c>
      <c r="G181" s="15">
        <f>Deployments!P182</f>
        <v>0</v>
      </c>
      <c r="H181" s="15">
        <f>'13 - Config_Intake_View'!M181</f>
        <v>0</v>
      </c>
      <c r="I181" s="23">
        <f>IF('13 - Config_Intake_View'!Q181&lt;&gt;"",'13 - Config_Intake_View'!Q181,Deployments!BH182)</f>
        <v>0</v>
      </c>
      <c r="J181" s="15" t="str">
        <f>IF('13 - Config_Intake_View'!Q181&lt;&gt;"","PM Approved",IF(Deployments!BH182&lt;&gt;"","Assumed",""))</f>
        <v/>
      </c>
      <c r="K181" s="23">
        <f>Deployments!BG182</f>
        <v>0</v>
      </c>
      <c r="L181" s="15">
        <f>Deployments!T182</f>
        <v>0</v>
      </c>
      <c r="M181" s="15">
        <f>Deployments!L182</f>
        <v>0</v>
      </c>
      <c r="N181" s="15" t="str">
        <f>Deployments!BK182</f>
        <v/>
      </c>
      <c r="O181" s="23" t="str">
        <f>Deployments!BL182</f>
        <v/>
      </c>
      <c r="P181" s="2">
        <f>Deployments!BA182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Deployments!H183</f>
        <v>0</v>
      </c>
      <c r="B182" s="23">
        <f>Deployments!V183</f>
        <v>0</v>
      </c>
      <c r="C182" s="23">
        <f>Deployments!W183</f>
        <v>0</v>
      </c>
      <c r="D182" s="15">
        <f>Deployments!AJ183</f>
        <v>0</v>
      </c>
      <c r="E182" s="15">
        <f>Deployments!N183</f>
        <v>0</v>
      </c>
      <c r="F182" s="23">
        <f>Deployments!O183</f>
        <v>0</v>
      </c>
      <c r="G182" s="15">
        <f>Deployments!P183</f>
        <v>0</v>
      </c>
      <c r="H182" s="15">
        <f>'13 - Config_Intake_View'!M182</f>
        <v>0</v>
      </c>
      <c r="I182" s="23">
        <f>IF('13 - Config_Intake_View'!Q182&lt;&gt;"",'13 - Config_Intake_View'!Q182,Deployments!BH183)</f>
        <v>0</v>
      </c>
      <c r="J182" s="15" t="str">
        <f>IF('13 - Config_Intake_View'!Q182&lt;&gt;"","PM Approved",IF(Deployments!BH183&lt;&gt;"","Assumed",""))</f>
        <v/>
      </c>
      <c r="K182" s="23">
        <f>Deployments!BG183</f>
        <v>0</v>
      </c>
      <c r="L182" s="15">
        <f>Deployments!T183</f>
        <v>0</v>
      </c>
      <c r="M182" s="15">
        <f>Deployments!L183</f>
        <v>0</v>
      </c>
      <c r="N182" s="15" t="str">
        <f>Deployments!BK183</f>
        <v/>
      </c>
      <c r="O182" s="23" t="str">
        <f>Deployments!BL183</f>
        <v/>
      </c>
      <c r="P182" s="2">
        <f>Deployments!BA183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Deployments!H184</f>
        <v>0</v>
      </c>
      <c r="B183" s="23">
        <f>Deployments!V184</f>
        <v>0</v>
      </c>
      <c r="C183" s="23">
        <f>Deployments!W184</f>
        <v>0</v>
      </c>
      <c r="D183" s="15">
        <f>Deployments!AJ184</f>
        <v>0</v>
      </c>
      <c r="E183" s="15">
        <f>Deployments!N184</f>
        <v>0</v>
      </c>
      <c r="F183" s="23">
        <f>Deployments!O184</f>
        <v>0</v>
      </c>
      <c r="G183" s="15">
        <f>Deployments!P184</f>
        <v>0</v>
      </c>
      <c r="H183" s="15">
        <f>'13 - Config_Intake_View'!M183</f>
        <v>0</v>
      </c>
      <c r="I183" s="23">
        <f>IF('13 - Config_Intake_View'!Q183&lt;&gt;"",'13 - Config_Intake_View'!Q183,Deployments!BH184)</f>
        <v>0</v>
      </c>
      <c r="J183" s="15" t="str">
        <f>IF('13 - Config_Intake_View'!Q183&lt;&gt;"","PM Approved",IF(Deployments!BH184&lt;&gt;"","Assumed",""))</f>
        <v/>
      </c>
      <c r="K183" s="23">
        <f>Deployments!BG184</f>
        <v>0</v>
      </c>
      <c r="L183" s="15">
        <f>Deployments!T184</f>
        <v>0</v>
      </c>
      <c r="M183" s="15">
        <f>Deployments!L184</f>
        <v>0</v>
      </c>
      <c r="N183" s="15" t="str">
        <f>Deployments!BK184</f>
        <v/>
      </c>
      <c r="O183" s="23" t="str">
        <f>Deployments!BL184</f>
        <v/>
      </c>
      <c r="P183" s="2">
        <f>Deployments!BA184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Deployments!H185</f>
        <v>0</v>
      </c>
      <c r="B184" s="23">
        <f>Deployments!V185</f>
        <v>0</v>
      </c>
      <c r="C184" s="23">
        <f>Deployments!W185</f>
        <v>0</v>
      </c>
      <c r="D184" s="15">
        <f>Deployments!AJ185</f>
        <v>0</v>
      </c>
      <c r="E184" s="15">
        <f>Deployments!N185</f>
        <v>0</v>
      </c>
      <c r="F184" s="23">
        <f>Deployments!O185</f>
        <v>0</v>
      </c>
      <c r="G184" s="15">
        <f>Deployments!P185</f>
        <v>0</v>
      </c>
      <c r="H184" s="15">
        <f>'13 - Config_Intake_View'!M184</f>
        <v>0</v>
      </c>
      <c r="I184" s="23">
        <f>IF('13 - Config_Intake_View'!Q184&lt;&gt;"",'13 - Config_Intake_View'!Q184,Deployments!BH185)</f>
        <v>0</v>
      </c>
      <c r="J184" s="15" t="str">
        <f>IF('13 - Config_Intake_View'!Q184&lt;&gt;"","PM Approved",IF(Deployments!BH185&lt;&gt;"","Assumed",""))</f>
        <v/>
      </c>
      <c r="K184" s="23">
        <f>Deployments!BG185</f>
        <v>0</v>
      </c>
      <c r="L184" s="15">
        <f>Deployments!T185</f>
        <v>0</v>
      </c>
      <c r="M184" s="15">
        <f>Deployments!L185</f>
        <v>0</v>
      </c>
      <c r="N184" s="15" t="str">
        <f>Deployments!BK185</f>
        <v/>
      </c>
      <c r="O184" s="23" t="str">
        <f>Deployments!BL185</f>
        <v/>
      </c>
      <c r="P184" s="2">
        <f>Deployments!BA185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Deployments!H186</f>
        <v>0</v>
      </c>
      <c r="B185" s="23">
        <f>Deployments!V186</f>
        <v>0</v>
      </c>
      <c r="C185" s="23">
        <f>Deployments!W186</f>
        <v>0</v>
      </c>
      <c r="D185" s="15">
        <f>Deployments!AJ186</f>
        <v>0</v>
      </c>
      <c r="E185" s="15">
        <f>Deployments!N186</f>
        <v>0</v>
      </c>
      <c r="F185" s="23">
        <f>Deployments!O186</f>
        <v>0</v>
      </c>
      <c r="G185" s="15">
        <f>Deployments!P186</f>
        <v>0</v>
      </c>
      <c r="H185" s="15">
        <f>'13 - Config_Intake_View'!M185</f>
        <v>0</v>
      </c>
      <c r="I185" s="23">
        <f>IF('13 - Config_Intake_View'!Q185&lt;&gt;"",'13 - Config_Intake_View'!Q185,Deployments!BH186)</f>
        <v>0</v>
      </c>
      <c r="J185" s="15" t="str">
        <f>IF('13 - Config_Intake_View'!Q185&lt;&gt;"","PM Approved",IF(Deployments!BH186&lt;&gt;"","Assumed",""))</f>
        <v/>
      </c>
      <c r="K185" s="23">
        <f>Deployments!BG186</f>
        <v>0</v>
      </c>
      <c r="L185" s="15">
        <f>Deployments!T186</f>
        <v>0</v>
      </c>
      <c r="M185" s="15">
        <f>Deployments!L186</f>
        <v>0</v>
      </c>
      <c r="N185" s="15" t="str">
        <f>Deployments!BK186</f>
        <v/>
      </c>
      <c r="O185" s="23" t="str">
        <f>Deployments!BL186</f>
        <v/>
      </c>
      <c r="P185" s="2">
        <f>Deployments!BA186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Deployments!H187</f>
        <v>0</v>
      </c>
      <c r="B186" s="23">
        <f>Deployments!V187</f>
        <v>0</v>
      </c>
      <c r="C186" s="23">
        <f>Deployments!W187</f>
        <v>0</v>
      </c>
      <c r="D186" s="15">
        <f>Deployments!AJ187</f>
        <v>0</v>
      </c>
      <c r="E186" s="15">
        <f>Deployments!N187</f>
        <v>0</v>
      </c>
      <c r="F186" s="23">
        <f>Deployments!O187</f>
        <v>0</v>
      </c>
      <c r="G186" s="15">
        <f>Deployments!P187</f>
        <v>0</v>
      </c>
      <c r="H186" s="15">
        <f>'13 - Config_Intake_View'!M186</f>
        <v>0</v>
      </c>
      <c r="I186" s="23">
        <f>IF('13 - Config_Intake_View'!Q186&lt;&gt;"",'13 - Config_Intake_View'!Q186,Deployments!BH187)</f>
        <v>0</v>
      </c>
      <c r="J186" s="15" t="str">
        <f>IF('13 - Config_Intake_View'!Q186&lt;&gt;"","PM Approved",IF(Deployments!BH187&lt;&gt;"","Assumed",""))</f>
        <v/>
      </c>
      <c r="K186" s="23">
        <f>Deployments!BG187</f>
        <v>0</v>
      </c>
      <c r="L186" s="15">
        <f>Deployments!T187</f>
        <v>0</v>
      </c>
      <c r="M186" s="15">
        <f>Deployments!L187</f>
        <v>0</v>
      </c>
      <c r="N186" s="15" t="str">
        <f>Deployments!BK187</f>
        <v/>
      </c>
      <c r="O186" s="23" t="str">
        <f>Deployments!BL187</f>
        <v/>
      </c>
      <c r="P186" s="2">
        <f>Deployments!BA187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Deployments!H188</f>
        <v>0</v>
      </c>
      <c r="B187" s="23">
        <f>Deployments!V188</f>
        <v>0</v>
      </c>
      <c r="C187" s="23">
        <f>Deployments!W188</f>
        <v>0</v>
      </c>
      <c r="D187" s="15">
        <f>Deployments!AJ188</f>
        <v>0</v>
      </c>
      <c r="E187" s="15">
        <f>Deployments!N188</f>
        <v>0</v>
      </c>
      <c r="F187" s="23">
        <f>Deployments!O188</f>
        <v>0</v>
      </c>
      <c r="G187" s="15">
        <f>Deployments!P188</f>
        <v>0</v>
      </c>
      <c r="H187" s="15">
        <f>'13 - Config_Intake_View'!M187</f>
        <v>0</v>
      </c>
      <c r="I187" s="23">
        <f>IF('13 - Config_Intake_View'!Q187&lt;&gt;"",'13 - Config_Intake_View'!Q187,Deployments!BH188)</f>
        <v>0</v>
      </c>
      <c r="J187" s="15" t="str">
        <f>IF('13 - Config_Intake_View'!Q187&lt;&gt;"","PM Approved",IF(Deployments!BH188&lt;&gt;"","Assumed",""))</f>
        <v/>
      </c>
      <c r="K187" s="23">
        <f>Deployments!BG188</f>
        <v>0</v>
      </c>
      <c r="L187" s="15">
        <f>Deployments!T188</f>
        <v>0</v>
      </c>
      <c r="M187" s="15">
        <f>Deployments!L188</f>
        <v>0</v>
      </c>
      <c r="N187" s="15" t="str">
        <f>Deployments!BK188</f>
        <v/>
      </c>
      <c r="O187" s="23" t="str">
        <f>Deployments!BL188</f>
        <v/>
      </c>
      <c r="P187" s="2">
        <f>Deployments!BA188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Deployments!H189</f>
        <v>0</v>
      </c>
      <c r="B188" s="23">
        <f>Deployments!V189</f>
        <v>0</v>
      </c>
      <c r="C188" s="23">
        <f>Deployments!W189</f>
        <v>0</v>
      </c>
      <c r="D188" s="15">
        <f>Deployments!AJ189</f>
        <v>0</v>
      </c>
      <c r="E188" s="15">
        <f>Deployments!N189</f>
        <v>0</v>
      </c>
      <c r="F188" s="23">
        <f>Deployments!O189</f>
        <v>0</v>
      </c>
      <c r="G188" s="15">
        <f>Deployments!P189</f>
        <v>0</v>
      </c>
      <c r="H188" s="15">
        <f>'13 - Config_Intake_View'!M188</f>
        <v>0</v>
      </c>
      <c r="I188" s="23">
        <f>IF('13 - Config_Intake_View'!Q188&lt;&gt;"",'13 - Config_Intake_View'!Q188,Deployments!BH189)</f>
        <v>0</v>
      </c>
      <c r="J188" s="15" t="str">
        <f>IF('13 - Config_Intake_View'!Q188&lt;&gt;"","PM Approved",IF(Deployments!BH189&lt;&gt;"","Assumed",""))</f>
        <v/>
      </c>
      <c r="K188" s="23">
        <f>Deployments!BG189</f>
        <v>0</v>
      </c>
      <c r="L188" s="15">
        <f>Deployments!T189</f>
        <v>0</v>
      </c>
      <c r="M188" s="15">
        <f>Deployments!L189</f>
        <v>0</v>
      </c>
      <c r="N188" s="15" t="str">
        <f>Deployments!BK189</f>
        <v/>
      </c>
      <c r="O188" s="23" t="str">
        <f>Deployments!BL189</f>
        <v/>
      </c>
      <c r="P188" s="2">
        <f>Deployments!BA189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Deployments!H190</f>
        <v>0</v>
      </c>
      <c r="B189" s="23">
        <f>Deployments!V190</f>
        <v>0</v>
      </c>
      <c r="C189" s="23">
        <f>Deployments!W190</f>
        <v>0</v>
      </c>
      <c r="D189" s="15">
        <f>Deployments!AJ190</f>
        <v>0</v>
      </c>
      <c r="E189" s="15">
        <f>Deployments!N190</f>
        <v>0</v>
      </c>
      <c r="F189" s="23">
        <f>Deployments!O190</f>
        <v>0</v>
      </c>
      <c r="G189" s="15">
        <f>Deployments!P190</f>
        <v>0</v>
      </c>
      <c r="H189" s="15">
        <f>'13 - Config_Intake_View'!M189</f>
        <v>0</v>
      </c>
      <c r="I189" s="23">
        <f>IF('13 - Config_Intake_View'!Q189&lt;&gt;"",'13 - Config_Intake_View'!Q189,Deployments!BH190)</f>
        <v>0</v>
      </c>
      <c r="J189" s="15" t="str">
        <f>IF('13 - Config_Intake_View'!Q189&lt;&gt;"","PM Approved",IF(Deployments!BH190&lt;&gt;"","Assumed",""))</f>
        <v/>
      </c>
      <c r="K189" s="23">
        <f>Deployments!BG190</f>
        <v>0</v>
      </c>
      <c r="L189" s="15">
        <f>Deployments!T190</f>
        <v>0</v>
      </c>
      <c r="M189" s="15">
        <f>Deployments!L190</f>
        <v>0</v>
      </c>
      <c r="N189" s="15" t="str">
        <f>Deployments!BK190</f>
        <v/>
      </c>
      <c r="O189" s="23" t="str">
        <f>Deployments!BL190</f>
        <v/>
      </c>
      <c r="P189" s="2">
        <f>Deployments!BA190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Deployments!H191</f>
        <v>0</v>
      </c>
      <c r="B190" s="23">
        <f>Deployments!V191</f>
        <v>0</v>
      </c>
      <c r="C190" s="23">
        <f>Deployments!W191</f>
        <v>0</v>
      </c>
      <c r="D190" s="15">
        <f>Deployments!AJ191</f>
        <v>0</v>
      </c>
      <c r="E190" s="15">
        <f>Deployments!N191</f>
        <v>0</v>
      </c>
      <c r="F190" s="23">
        <f>Deployments!O191</f>
        <v>0</v>
      </c>
      <c r="G190" s="15">
        <f>Deployments!P191</f>
        <v>0</v>
      </c>
      <c r="H190" s="15">
        <f>'13 - Config_Intake_View'!M190</f>
        <v>0</v>
      </c>
      <c r="I190" s="23">
        <f>IF('13 - Config_Intake_View'!Q190&lt;&gt;"",'13 - Config_Intake_View'!Q190,Deployments!BH191)</f>
        <v>0</v>
      </c>
      <c r="J190" s="15" t="str">
        <f>IF('13 - Config_Intake_View'!Q190&lt;&gt;"","PM Approved",IF(Deployments!BH191&lt;&gt;"","Assumed",""))</f>
        <v/>
      </c>
      <c r="K190" s="23">
        <f>Deployments!BG191</f>
        <v>0</v>
      </c>
      <c r="L190" s="15">
        <f>Deployments!T191</f>
        <v>0</v>
      </c>
      <c r="M190" s="15">
        <f>Deployments!L191</f>
        <v>0</v>
      </c>
      <c r="N190" s="15" t="str">
        <f>Deployments!BK191</f>
        <v/>
      </c>
      <c r="O190" s="23" t="str">
        <f>Deployments!BL191</f>
        <v/>
      </c>
      <c r="P190" s="2">
        <f>Deployments!BA191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Deployments!H192</f>
        <v>0</v>
      </c>
      <c r="B191" s="23">
        <f>Deployments!V192</f>
        <v>0</v>
      </c>
      <c r="C191" s="23">
        <f>Deployments!W192</f>
        <v>0</v>
      </c>
      <c r="D191" s="15">
        <f>Deployments!AJ192</f>
        <v>0</v>
      </c>
      <c r="E191" s="15">
        <f>Deployments!N192</f>
        <v>0</v>
      </c>
      <c r="F191" s="23">
        <f>Deployments!O192</f>
        <v>0</v>
      </c>
      <c r="G191" s="15">
        <f>Deployments!P192</f>
        <v>0</v>
      </c>
      <c r="H191" s="15">
        <f>'13 - Config_Intake_View'!M191</f>
        <v>0</v>
      </c>
      <c r="I191" s="23">
        <f>IF('13 - Config_Intake_View'!Q191&lt;&gt;"",'13 - Config_Intake_View'!Q191,Deployments!BH192)</f>
        <v>0</v>
      </c>
      <c r="J191" s="15" t="str">
        <f>IF('13 - Config_Intake_View'!Q191&lt;&gt;"","PM Approved",IF(Deployments!BH192&lt;&gt;"","Assumed",""))</f>
        <v/>
      </c>
      <c r="K191" s="23">
        <f>Deployments!BG192</f>
        <v>0</v>
      </c>
      <c r="L191" s="15">
        <f>Deployments!T192</f>
        <v>0</v>
      </c>
      <c r="M191" s="15">
        <f>Deployments!L192</f>
        <v>0</v>
      </c>
      <c r="N191" s="15" t="str">
        <f>Deployments!BK192</f>
        <v/>
      </c>
      <c r="O191" s="23" t="str">
        <f>Deployments!BL192</f>
        <v/>
      </c>
      <c r="P191" s="2">
        <f>Deployments!BA192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Deployments!H193</f>
        <v>0</v>
      </c>
      <c r="B192" s="23">
        <f>Deployments!V193</f>
        <v>0</v>
      </c>
      <c r="C192" s="23">
        <f>Deployments!W193</f>
        <v>0</v>
      </c>
      <c r="D192" s="15">
        <f>Deployments!AJ193</f>
        <v>0</v>
      </c>
      <c r="E192" s="15">
        <f>Deployments!N193</f>
        <v>0</v>
      </c>
      <c r="F192" s="23">
        <f>Deployments!O193</f>
        <v>0</v>
      </c>
      <c r="G192" s="15">
        <f>Deployments!P193</f>
        <v>0</v>
      </c>
      <c r="H192" s="15">
        <f>'13 - Config_Intake_View'!M192</f>
        <v>0</v>
      </c>
      <c r="I192" s="23">
        <f>IF('13 - Config_Intake_View'!Q192&lt;&gt;"",'13 - Config_Intake_View'!Q192,Deployments!BH193)</f>
        <v>0</v>
      </c>
      <c r="J192" s="15" t="str">
        <f>IF('13 - Config_Intake_View'!Q192&lt;&gt;"","PM Approved",IF(Deployments!BH193&lt;&gt;"","Assumed",""))</f>
        <v/>
      </c>
      <c r="K192" s="23">
        <f>Deployments!BG193</f>
        <v>0</v>
      </c>
      <c r="L192" s="15">
        <f>Deployments!T193</f>
        <v>0</v>
      </c>
      <c r="M192" s="15">
        <f>Deployments!L193</f>
        <v>0</v>
      </c>
      <c r="N192" s="15" t="str">
        <f>Deployments!BK193</f>
        <v/>
      </c>
      <c r="O192" s="23" t="str">
        <f>Deployments!BL193</f>
        <v/>
      </c>
      <c r="P192" s="2">
        <f>Deployments!BA193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Deployments!H194</f>
        <v>0</v>
      </c>
      <c r="B193" s="23">
        <f>Deployments!V194</f>
        <v>0</v>
      </c>
      <c r="C193" s="23">
        <f>Deployments!W194</f>
        <v>0</v>
      </c>
      <c r="D193" s="15">
        <f>Deployments!AJ194</f>
        <v>0</v>
      </c>
      <c r="E193" s="15">
        <f>Deployments!N194</f>
        <v>0</v>
      </c>
      <c r="F193" s="23">
        <f>Deployments!O194</f>
        <v>0</v>
      </c>
      <c r="G193" s="15">
        <f>Deployments!P194</f>
        <v>0</v>
      </c>
      <c r="H193" s="15">
        <f>'13 - Config_Intake_View'!M193</f>
        <v>0</v>
      </c>
      <c r="I193" s="23">
        <f>IF('13 - Config_Intake_View'!Q193&lt;&gt;"",'13 - Config_Intake_View'!Q193,Deployments!BH194)</f>
        <v>0</v>
      </c>
      <c r="J193" s="15" t="str">
        <f>IF('13 - Config_Intake_View'!Q193&lt;&gt;"","PM Approved",IF(Deployments!BH194&lt;&gt;"","Assumed",""))</f>
        <v/>
      </c>
      <c r="K193" s="23">
        <f>Deployments!BG194</f>
        <v>0</v>
      </c>
      <c r="L193" s="15">
        <f>Deployments!T194</f>
        <v>0</v>
      </c>
      <c r="M193" s="15">
        <f>Deployments!L194</f>
        <v>0</v>
      </c>
      <c r="N193" s="15" t="str">
        <f>Deployments!BK194</f>
        <v/>
      </c>
      <c r="O193" s="23" t="str">
        <f>Deployments!BL194</f>
        <v/>
      </c>
      <c r="P193" s="2">
        <f>Deployments!BA194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Deployments!H195</f>
        <v>0</v>
      </c>
      <c r="B194" s="23">
        <f>Deployments!V195</f>
        <v>0</v>
      </c>
      <c r="C194" s="23">
        <f>Deployments!W195</f>
        <v>0</v>
      </c>
      <c r="D194" s="15">
        <f>Deployments!AJ195</f>
        <v>0</v>
      </c>
      <c r="E194" s="15">
        <f>Deployments!N195</f>
        <v>0</v>
      </c>
      <c r="F194" s="23">
        <f>Deployments!O195</f>
        <v>0</v>
      </c>
      <c r="G194" s="15">
        <f>Deployments!P195</f>
        <v>0</v>
      </c>
      <c r="H194" s="15">
        <f>'13 - Config_Intake_View'!M194</f>
        <v>0</v>
      </c>
      <c r="I194" s="23">
        <f>IF('13 - Config_Intake_View'!Q194&lt;&gt;"",'13 - Config_Intake_View'!Q194,Deployments!BH195)</f>
        <v>0</v>
      </c>
      <c r="J194" s="15" t="str">
        <f>IF('13 - Config_Intake_View'!Q194&lt;&gt;"","PM Approved",IF(Deployments!BH195&lt;&gt;"","Assumed",""))</f>
        <v/>
      </c>
      <c r="K194" s="23">
        <f>Deployments!BG195</f>
        <v>0</v>
      </c>
      <c r="L194" s="15">
        <f>Deployments!T195</f>
        <v>0</v>
      </c>
      <c r="M194" s="15">
        <f>Deployments!L195</f>
        <v>0</v>
      </c>
      <c r="N194" s="15" t="str">
        <f>Deployments!BK195</f>
        <v/>
      </c>
      <c r="O194" s="23" t="str">
        <f>Deployments!BL195</f>
        <v/>
      </c>
      <c r="P194" s="2">
        <f>Deployments!BA195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Deployments!H196</f>
        <v>0</v>
      </c>
      <c r="B195" s="23">
        <f>Deployments!V196</f>
        <v>0</v>
      </c>
      <c r="C195" s="23">
        <f>Deployments!W196</f>
        <v>0</v>
      </c>
      <c r="D195" s="15">
        <f>Deployments!AJ196</f>
        <v>0</v>
      </c>
      <c r="E195" s="15">
        <f>Deployments!N196</f>
        <v>0</v>
      </c>
      <c r="F195" s="23">
        <f>Deployments!O196</f>
        <v>0</v>
      </c>
      <c r="G195" s="15">
        <f>Deployments!P196</f>
        <v>0</v>
      </c>
      <c r="H195" s="15">
        <f>'13 - Config_Intake_View'!M195</f>
        <v>0</v>
      </c>
      <c r="I195" s="23">
        <f>IF('13 - Config_Intake_View'!Q195&lt;&gt;"",'13 - Config_Intake_View'!Q195,Deployments!BH196)</f>
        <v>0</v>
      </c>
      <c r="J195" s="15" t="str">
        <f>IF('13 - Config_Intake_View'!Q195&lt;&gt;"","PM Approved",IF(Deployments!BH196&lt;&gt;"","Assumed",""))</f>
        <v/>
      </c>
      <c r="K195" s="23">
        <f>Deployments!BG196</f>
        <v>0</v>
      </c>
      <c r="L195" s="15">
        <f>Deployments!T196</f>
        <v>0</v>
      </c>
      <c r="M195" s="15">
        <f>Deployments!L196</f>
        <v>0</v>
      </c>
      <c r="N195" s="15" t="str">
        <f>Deployments!BK196</f>
        <v/>
      </c>
      <c r="O195" s="23" t="str">
        <f>Deployments!BL196</f>
        <v/>
      </c>
      <c r="P195" s="2">
        <f>Deployments!BA196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Deployments!H197</f>
        <v>0</v>
      </c>
      <c r="B196" s="23">
        <f>Deployments!V197</f>
        <v>0</v>
      </c>
      <c r="C196" s="23">
        <f>Deployments!W197</f>
        <v>0</v>
      </c>
      <c r="D196" s="15">
        <f>Deployments!AJ197</f>
        <v>0</v>
      </c>
      <c r="E196" s="15">
        <f>Deployments!N197</f>
        <v>0</v>
      </c>
      <c r="F196" s="23">
        <f>Deployments!O197</f>
        <v>0</v>
      </c>
      <c r="G196" s="15">
        <f>Deployments!P197</f>
        <v>0</v>
      </c>
      <c r="H196" s="15">
        <f>'13 - Config_Intake_View'!M196</f>
        <v>0</v>
      </c>
      <c r="I196" s="23">
        <f>IF('13 - Config_Intake_View'!Q196&lt;&gt;"",'13 - Config_Intake_View'!Q196,Deployments!BH197)</f>
        <v>0</v>
      </c>
      <c r="J196" s="15" t="str">
        <f>IF('13 - Config_Intake_View'!Q196&lt;&gt;"","PM Approved",IF(Deployments!BH197&lt;&gt;"","Assumed",""))</f>
        <v/>
      </c>
      <c r="K196" s="23">
        <f>Deployments!BG197</f>
        <v>0</v>
      </c>
      <c r="L196" s="15">
        <f>Deployments!T197</f>
        <v>0</v>
      </c>
      <c r="M196" s="15">
        <f>Deployments!L197</f>
        <v>0</v>
      </c>
      <c r="N196" s="15" t="str">
        <f>Deployments!BK197</f>
        <v/>
      </c>
      <c r="O196" s="23" t="str">
        <f>Deployments!BL197</f>
        <v/>
      </c>
      <c r="P196" s="2">
        <f>Deployments!BA197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Deployments!H198</f>
        <v>0</v>
      </c>
      <c r="B197" s="23">
        <f>Deployments!V198</f>
        <v>0</v>
      </c>
      <c r="C197" s="23">
        <f>Deployments!W198</f>
        <v>0</v>
      </c>
      <c r="D197" s="15">
        <f>Deployments!AJ198</f>
        <v>0</v>
      </c>
      <c r="E197" s="15">
        <f>Deployments!N198</f>
        <v>0</v>
      </c>
      <c r="F197" s="23">
        <f>Deployments!O198</f>
        <v>0</v>
      </c>
      <c r="G197" s="15">
        <f>Deployments!P198</f>
        <v>0</v>
      </c>
      <c r="H197" s="15">
        <f>'13 - Config_Intake_View'!M197</f>
        <v>0</v>
      </c>
      <c r="I197" s="23">
        <f>IF('13 - Config_Intake_View'!Q197&lt;&gt;"",'13 - Config_Intake_View'!Q197,Deployments!BH198)</f>
        <v>0</v>
      </c>
      <c r="J197" s="15" t="str">
        <f>IF('13 - Config_Intake_View'!Q197&lt;&gt;"","PM Approved",IF(Deployments!BH198&lt;&gt;"","Assumed",""))</f>
        <v/>
      </c>
      <c r="K197" s="23">
        <f>Deployments!BG198</f>
        <v>0</v>
      </c>
      <c r="L197" s="15">
        <f>Deployments!T198</f>
        <v>0</v>
      </c>
      <c r="M197" s="15">
        <f>Deployments!L198</f>
        <v>0</v>
      </c>
      <c r="N197" s="15" t="str">
        <f>Deployments!BK198</f>
        <v/>
      </c>
      <c r="O197" s="23" t="str">
        <f>Deployments!BL198</f>
        <v/>
      </c>
      <c r="P197" s="2">
        <f>Deployments!BA198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Deployments!H199</f>
        <v>0</v>
      </c>
      <c r="B198" s="23">
        <f>Deployments!V199</f>
        <v>0</v>
      </c>
      <c r="C198" s="23">
        <f>Deployments!W199</f>
        <v>0</v>
      </c>
      <c r="D198" s="15">
        <f>Deployments!AJ199</f>
        <v>0</v>
      </c>
      <c r="E198" s="15">
        <f>Deployments!N199</f>
        <v>0</v>
      </c>
      <c r="F198" s="23">
        <f>Deployments!O199</f>
        <v>0</v>
      </c>
      <c r="G198" s="15">
        <f>Deployments!P199</f>
        <v>0</v>
      </c>
      <c r="H198" s="15">
        <f>'13 - Config_Intake_View'!M198</f>
        <v>0</v>
      </c>
      <c r="I198" s="23">
        <f>IF('13 - Config_Intake_View'!Q198&lt;&gt;"",'13 - Config_Intake_View'!Q198,Deployments!BH199)</f>
        <v>0</v>
      </c>
      <c r="J198" s="15" t="str">
        <f>IF('13 - Config_Intake_View'!Q198&lt;&gt;"","PM Approved",IF(Deployments!BH199&lt;&gt;"","Assumed",""))</f>
        <v/>
      </c>
      <c r="K198" s="23">
        <f>Deployments!BG199</f>
        <v>0</v>
      </c>
      <c r="L198" s="15">
        <f>Deployments!T199</f>
        <v>0</v>
      </c>
      <c r="M198" s="15">
        <f>Deployments!L199</f>
        <v>0</v>
      </c>
      <c r="N198" s="15" t="str">
        <f>Deployments!BK199</f>
        <v/>
      </c>
      <c r="O198" s="23" t="str">
        <f>Deployments!BL199</f>
        <v/>
      </c>
      <c r="P198" s="2">
        <f>Deployments!BA199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Deployments!H200</f>
        <v>0</v>
      </c>
      <c r="B199" s="23">
        <f>Deployments!V200</f>
        <v>0</v>
      </c>
      <c r="C199" s="23">
        <f>Deployments!W200</f>
        <v>0</v>
      </c>
      <c r="D199" s="15">
        <f>Deployments!AJ200</f>
        <v>0</v>
      </c>
      <c r="E199" s="15">
        <f>Deployments!N200</f>
        <v>0</v>
      </c>
      <c r="F199" s="23">
        <f>Deployments!O200</f>
        <v>0</v>
      </c>
      <c r="G199" s="15">
        <f>Deployments!P200</f>
        <v>0</v>
      </c>
      <c r="H199" s="15">
        <f>'13 - Config_Intake_View'!M199</f>
        <v>0</v>
      </c>
      <c r="I199" s="23">
        <f>IF('13 - Config_Intake_View'!Q199&lt;&gt;"",'13 - Config_Intake_View'!Q199,Deployments!BH200)</f>
        <v>0</v>
      </c>
      <c r="J199" s="15" t="str">
        <f>IF('13 - Config_Intake_View'!Q199&lt;&gt;"","PM Approved",IF(Deployments!BH200&lt;&gt;"","Assumed",""))</f>
        <v/>
      </c>
      <c r="K199" s="23">
        <f>Deployments!BG200</f>
        <v>0</v>
      </c>
      <c r="L199" s="15">
        <f>Deployments!T200</f>
        <v>0</v>
      </c>
      <c r="M199" s="15">
        <f>Deployments!L200</f>
        <v>0</v>
      </c>
      <c r="N199" s="15" t="str">
        <f>Deployments!BK200</f>
        <v/>
      </c>
      <c r="O199" s="23" t="str">
        <f>Deployments!BL200</f>
        <v/>
      </c>
      <c r="P199" s="2">
        <f>Deployments!BA200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Deployments!H201</f>
        <v>0</v>
      </c>
      <c r="B200" s="23">
        <f>Deployments!V201</f>
        <v>0</v>
      </c>
      <c r="C200" s="23">
        <f>Deployments!W201</f>
        <v>0</v>
      </c>
      <c r="D200" s="15">
        <f>Deployments!AJ201</f>
        <v>0</v>
      </c>
      <c r="E200" s="15">
        <f>Deployments!N201</f>
        <v>0</v>
      </c>
      <c r="F200" s="23">
        <f>Deployments!O201</f>
        <v>0</v>
      </c>
      <c r="G200" s="15">
        <f>Deployments!P201</f>
        <v>0</v>
      </c>
      <c r="H200" s="15">
        <f>'13 - Config_Intake_View'!M200</f>
        <v>0</v>
      </c>
      <c r="I200" s="23">
        <f>IF('13 - Config_Intake_View'!Q200&lt;&gt;"",'13 - Config_Intake_View'!Q200,Deployments!BH201)</f>
        <v>0</v>
      </c>
      <c r="J200" s="15" t="str">
        <f>IF('13 - Config_Intake_View'!Q200&lt;&gt;"","PM Approved",IF(Deployments!BH201&lt;&gt;"","Assumed",""))</f>
        <v/>
      </c>
      <c r="K200" s="23">
        <f>Deployments!BG201</f>
        <v>0</v>
      </c>
      <c r="L200" s="15">
        <f>Deployments!T201</f>
        <v>0</v>
      </c>
      <c r="M200" s="15">
        <f>Deployments!L201</f>
        <v>0</v>
      </c>
      <c r="N200" s="15" t="str">
        <f>Deployments!BK201</f>
        <v/>
      </c>
      <c r="O200" s="23" t="str">
        <f>Deployments!BL201</f>
        <v/>
      </c>
      <c r="P200" s="2">
        <f>Deployments!BA201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Deployments!H202</f>
        <v>0</v>
      </c>
      <c r="B201" s="23">
        <f>Deployments!V202</f>
        <v>0</v>
      </c>
      <c r="C201" s="23">
        <f>Deployments!W202</f>
        <v>0</v>
      </c>
      <c r="D201" s="15">
        <f>Deployments!AJ202</f>
        <v>0</v>
      </c>
      <c r="E201" s="15">
        <f>Deployments!N202</f>
        <v>0</v>
      </c>
      <c r="F201" s="23">
        <f>Deployments!O202</f>
        <v>0</v>
      </c>
      <c r="G201" s="15">
        <f>Deployments!P202</f>
        <v>0</v>
      </c>
      <c r="H201" s="15">
        <f>'13 - Config_Intake_View'!M201</f>
        <v>0</v>
      </c>
      <c r="I201" s="23">
        <f>IF('13 - Config_Intake_View'!Q201&lt;&gt;"",'13 - Config_Intake_View'!Q201,Deployments!BH202)</f>
        <v>0</v>
      </c>
      <c r="J201" s="15" t="str">
        <f>IF('13 - Config_Intake_View'!Q201&lt;&gt;"","PM Approved",IF(Deployments!BH202&lt;&gt;"","Assumed",""))</f>
        <v/>
      </c>
      <c r="K201" s="23">
        <f>Deployments!BG202</f>
        <v>0</v>
      </c>
      <c r="L201" s="15">
        <f>Deployments!T202</f>
        <v>0</v>
      </c>
      <c r="M201" s="15">
        <f>Deployments!L202</f>
        <v>0</v>
      </c>
      <c r="N201" s="15" t="str">
        <f>Deployments!BK202</f>
        <v/>
      </c>
      <c r="O201" s="23" t="str">
        <f>Deployments!BL202</f>
        <v/>
      </c>
      <c r="P201" s="2">
        <f>Deployments!BA202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Deployments!H203</f>
        <v>0</v>
      </c>
      <c r="B202" s="23">
        <f>Deployments!V203</f>
        <v>0</v>
      </c>
      <c r="C202" s="23">
        <f>Deployments!W203</f>
        <v>0</v>
      </c>
      <c r="D202" s="15">
        <f>Deployments!AJ203</f>
        <v>0</v>
      </c>
      <c r="E202" s="15">
        <f>Deployments!N203</f>
        <v>0</v>
      </c>
      <c r="F202" s="23">
        <f>Deployments!O203</f>
        <v>0</v>
      </c>
      <c r="G202" s="15">
        <f>Deployments!P203</f>
        <v>0</v>
      </c>
      <c r="H202" s="15">
        <f>'13 - Config_Intake_View'!M202</f>
        <v>0</v>
      </c>
      <c r="I202" s="23">
        <f>IF('13 - Config_Intake_View'!Q202&lt;&gt;"",'13 - Config_Intake_View'!Q202,Deployments!BH203)</f>
        <v>0</v>
      </c>
      <c r="J202" s="15" t="str">
        <f>IF('13 - Config_Intake_View'!Q202&lt;&gt;"","PM Approved",IF(Deployments!BH203&lt;&gt;"","Assumed",""))</f>
        <v/>
      </c>
      <c r="K202" s="23">
        <f>Deployments!BG203</f>
        <v>0</v>
      </c>
      <c r="L202" s="15">
        <f>Deployments!T203</f>
        <v>0</v>
      </c>
      <c r="M202" s="15">
        <f>Deployments!L203</f>
        <v>0</v>
      </c>
      <c r="N202" s="15" t="str">
        <f>Deployments!BK203</f>
        <v/>
      </c>
      <c r="O202" s="23" t="str">
        <f>Deployments!BL203</f>
        <v/>
      </c>
      <c r="P202" s="2">
        <f>Deployments!BA203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Deployments!H204</f>
        <v>0</v>
      </c>
      <c r="B203" s="23">
        <f>Deployments!V204</f>
        <v>0</v>
      </c>
      <c r="C203" s="23">
        <f>Deployments!W204</f>
        <v>0</v>
      </c>
      <c r="D203" s="15">
        <f>Deployments!AJ204</f>
        <v>0</v>
      </c>
      <c r="E203" s="15">
        <f>Deployments!N204</f>
        <v>0</v>
      </c>
      <c r="F203" s="23">
        <f>Deployments!O204</f>
        <v>0</v>
      </c>
      <c r="G203" s="15">
        <f>Deployments!P204</f>
        <v>0</v>
      </c>
      <c r="H203" s="15">
        <f>'13 - Config_Intake_View'!M203</f>
        <v>0</v>
      </c>
      <c r="I203" s="23">
        <f>IF('13 - Config_Intake_View'!Q203&lt;&gt;"",'13 - Config_Intake_View'!Q203,Deployments!BH204)</f>
        <v>0</v>
      </c>
      <c r="J203" s="15" t="str">
        <f>IF('13 - Config_Intake_View'!Q203&lt;&gt;"","PM Approved",IF(Deployments!BH204&lt;&gt;"","Assumed",""))</f>
        <v/>
      </c>
      <c r="K203" s="23">
        <f>Deployments!BG204</f>
        <v>0</v>
      </c>
      <c r="L203" s="15">
        <f>Deployments!T204</f>
        <v>0</v>
      </c>
      <c r="M203" s="15">
        <f>Deployments!L204</f>
        <v>0</v>
      </c>
      <c r="N203" s="15" t="str">
        <f>Deployments!BK204</f>
        <v/>
      </c>
      <c r="O203" s="23" t="str">
        <f>Deployments!BL204</f>
        <v/>
      </c>
      <c r="P203" s="2">
        <f>Deployments!BA204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Deployments!H205</f>
        <v>0</v>
      </c>
      <c r="B204" s="23">
        <f>Deployments!V205</f>
        <v>0</v>
      </c>
      <c r="C204" s="23">
        <f>Deployments!W205</f>
        <v>0</v>
      </c>
      <c r="D204" s="15">
        <f>Deployments!AJ205</f>
        <v>0</v>
      </c>
      <c r="E204" s="15">
        <f>Deployments!N205</f>
        <v>0</v>
      </c>
      <c r="F204" s="23">
        <f>Deployments!O205</f>
        <v>0</v>
      </c>
      <c r="G204" s="15">
        <f>Deployments!P205</f>
        <v>0</v>
      </c>
      <c r="H204" s="15">
        <f>'13 - Config_Intake_View'!M204</f>
        <v>0</v>
      </c>
      <c r="I204" s="23">
        <f>IF('13 - Config_Intake_View'!Q204&lt;&gt;"",'13 - Config_Intake_View'!Q204,Deployments!BH205)</f>
        <v>0</v>
      </c>
      <c r="J204" s="15" t="str">
        <f>IF('13 - Config_Intake_View'!Q204&lt;&gt;"","PM Approved",IF(Deployments!BH205&lt;&gt;"","Assumed",""))</f>
        <v/>
      </c>
      <c r="K204" s="23">
        <f>Deployments!BG205</f>
        <v>0</v>
      </c>
      <c r="L204" s="15">
        <f>Deployments!T205</f>
        <v>0</v>
      </c>
      <c r="M204" s="15">
        <f>Deployments!L205</f>
        <v>0</v>
      </c>
      <c r="N204" s="15" t="str">
        <f>Deployments!BK205</f>
        <v/>
      </c>
      <c r="O204" s="23" t="str">
        <f>Deployments!BL205</f>
        <v/>
      </c>
      <c r="P204" s="2">
        <f>Deployments!BA205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Deployments!H206</f>
        <v>0</v>
      </c>
      <c r="B205" s="23">
        <f>Deployments!V206</f>
        <v>0</v>
      </c>
      <c r="C205" s="23">
        <f>Deployments!W206</f>
        <v>0</v>
      </c>
      <c r="D205" s="15">
        <f>Deployments!AJ206</f>
        <v>0</v>
      </c>
      <c r="E205" s="15">
        <f>Deployments!N206</f>
        <v>0</v>
      </c>
      <c r="F205" s="23">
        <f>Deployments!O206</f>
        <v>0</v>
      </c>
      <c r="G205" s="15">
        <f>Deployments!P206</f>
        <v>0</v>
      </c>
      <c r="H205" s="15">
        <f>'13 - Config_Intake_View'!M205</f>
        <v>0</v>
      </c>
      <c r="I205" s="23">
        <f>IF('13 - Config_Intake_View'!Q205&lt;&gt;"",'13 - Config_Intake_View'!Q205,Deployments!BH206)</f>
        <v>0</v>
      </c>
      <c r="J205" s="15" t="str">
        <f>IF('13 - Config_Intake_View'!Q205&lt;&gt;"","PM Approved",IF(Deployments!BH206&lt;&gt;"","Assumed",""))</f>
        <v/>
      </c>
      <c r="K205" s="23">
        <f>Deployments!BG206</f>
        <v>0</v>
      </c>
      <c r="L205" s="15">
        <f>Deployments!T206</f>
        <v>0</v>
      </c>
      <c r="M205" s="15">
        <f>Deployments!L206</f>
        <v>0</v>
      </c>
      <c r="N205" s="15" t="str">
        <f>Deployments!BK206</f>
        <v/>
      </c>
      <c r="O205" s="23" t="str">
        <f>Deployments!BL206</f>
        <v/>
      </c>
      <c r="P205" s="2">
        <f>Deployments!BA206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Deployments!H207</f>
        <v>0</v>
      </c>
      <c r="B206" s="23">
        <f>Deployments!V207</f>
        <v>0</v>
      </c>
      <c r="C206" s="23">
        <f>Deployments!W207</f>
        <v>0</v>
      </c>
      <c r="D206" s="15">
        <f>Deployments!AJ207</f>
        <v>0</v>
      </c>
      <c r="E206" s="15">
        <f>Deployments!N207</f>
        <v>0</v>
      </c>
      <c r="F206" s="23">
        <f>Deployments!O207</f>
        <v>0</v>
      </c>
      <c r="G206" s="15">
        <f>Deployments!P207</f>
        <v>0</v>
      </c>
      <c r="H206" s="15">
        <f>'13 - Config_Intake_View'!M206</f>
        <v>0</v>
      </c>
      <c r="I206" s="23">
        <f>IF('13 - Config_Intake_View'!Q206&lt;&gt;"",'13 - Config_Intake_View'!Q206,Deployments!BH207)</f>
        <v>0</v>
      </c>
      <c r="J206" s="15" t="str">
        <f>IF('13 - Config_Intake_View'!Q206&lt;&gt;"","PM Approved",IF(Deployments!BH207&lt;&gt;"","Assumed",""))</f>
        <v/>
      </c>
      <c r="K206" s="23">
        <f>Deployments!BG207</f>
        <v>0</v>
      </c>
      <c r="L206" s="15">
        <f>Deployments!T207</f>
        <v>0</v>
      </c>
      <c r="M206" s="15">
        <f>Deployments!L207</f>
        <v>0</v>
      </c>
      <c r="N206" s="15" t="str">
        <f>Deployments!BK207</f>
        <v/>
      </c>
      <c r="O206" s="23" t="str">
        <f>Deployments!BL207</f>
        <v/>
      </c>
      <c r="P206" s="2">
        <f>Deployments!BA207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Deployments!H208</f>
        <v>0</v>
      </c>
      <c r="B207" s="23">
        <f>Deployments!V208</f>
        <v>0</v>
      </c>
      <c r="C207" s="23">
        <f>Deployments!W208</f>
        <v>0</v>
      </c>
      <c r="D207" s="15">
        <f>Deployments!AJ208</f>
        <v>0</v>
      </c>
      <c r="E207" s="15">
        <f>Deployments!N208</f>
        <v>0</v>
      </c>
      <c r="F207" s="23">
        <f>Deployments!O208</f>
        <v>0</v>
      </c>
      <c r="G207" s="15">
        <f>Deployments!P208</f>
        <v>0</v>
      </c>
      <c r="H207" s="15">
        <f>'13 - Config_Intake_View'!M207</f>
        <v>0</v>
      </c>
      <c r="I207" s="23">
        <f>IF('13 - Config_Intake_View'!Q207&lt;&gt;"",'13 - Config_Intake_View'!Q207,Deployments!BH208)</f>
        <v>0</v>
      </c>
      <c r="J207" s="15" t="str">
        <f>IF('13 - Config_Intake_View'!Q207&lt;&gt;"","PM Approved",IF(Deployments!BH208&lt;&gt;"","Assumed",""))</f>
        <v/>
      </c>
      <c r="K207" s="23">
        <f>Deployments!BG208</f>
        <v>0</v>
      </c>
      <c r="L207" s="15">
        <f>Deployments!T208</f>
        <v>0</v>
      </c>
      <c r="M207" s="15">
        <f>Deployments!L208</f>
        <v>0</v>
      </c>
      <c r="N207" s="15" t="str">
        <f>Deployments!BK208</f>
        <v/>
      </c>
      <c r="O207" s="23" t="str">
        <f>Deployments!BL208</f>
        <v/>
      </c>
      <c r="P207" s="2">
        <f>Deployments!BA208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Deployments!H209</f>
        <v>0</v>
      </c>
      <c r="B208" s="23">
        <f>Deployments!V209</f>
        <v>0</v>
      </c>
      <c r="C208" s="23">
        <f>Deployments!W209</f>
        <v>0</v>
      </c>
      <c r="D208" s="15">
        <f>Deployments!AJ209</f>
        <v>0</v>
      </c>
      <c r="E208" s="15">
        <f>Deployments!N209</f>
        <v>0</v>
      </c>
      <c r="F208" s="23">
        <f>Deployments!O209</f>
        <v>0</v>
      </c>
      <c r="G208" s="15">
        <f>Deployments!P209</f>
        <v>0</v>
      </c>
      <c r="H208" s="15">
        <f>'13 - Config_Intake_View'!M208</f>
        <v>0</v>
      </c>
      <c r="I208" s="23">
        <f>IF('13 - Config_Intake_View'!Q208&lt;&gt;"",'13 - Config_Intake_View'!Q208,Deployments!BH209)</f>
        <v>0</v>
      </c>
      <c r="J208" s="15" t="str">
        <f>IF('13 - Config_Intake_View'!Q208&lt;&gt;"","PM Approved",IF(Deployments!BH209&lt;&gt;"","Assumed",""))</f>
        <v/>
      </c>
      <c r="K208" s="23">
        <f>Deployments!BG209</f>
        <v>0</v>
      </c>
      <c r="L208" s="15">
        <f>Deployments!T209</f>
        <v>0</v>
      </c>
      <c r="M208" s="15">
        <f>Deployments!L209</f>
        <v>0</v>
      </c>
      <c r="N208" s="15" t="str">
        <f>Deployments!BK209</f>
        <v/>
      </c>
      <c r="O208" s="23" t="str">
        <f>Deployments!BL209</f>
        <v/>
      </c>
      <c r="P208" s="2">
        <f>Deployments!BA209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Deployments!H210</f>
        <v>0</v>
      </c>
      <c r="B209" s="23">
        <f>Deployments!V210</f>
        <v>0</v>
      </c>
      <c r="C209" s="23">
        <f>Deployments!W210</f>
        <v>0</v>
      </c>
      <c r="D209" s="15">
        <f>Deployments!AJ210</f>
        <v>0</v>
      </c>
      <c r="E209" s="15">
        <f>Deployments!N210</f>
        <v>0</v>
      </c>
      <c r="F209" s="23">
        <f>Deployments!O210</f>
        <v>0</v>
      </c>
      <c r="G209" s="15">
        <f>Deployments!P210</f>
        <v>0</v>
      </c>
      <c r="H209" s="15">
        <f>'13 - Config_Intake_View'!M209</f>
        <v>0</v>
      </c>
      <c r="I209" s="23">
        <f>IF('13 - Config_Intake_View'!Q209&lt;&gt;"",'13 - Config_Intake_View'!Q209,Deployments!BH210)</f>
        <v>0</v>
      </c>
      <c r="J209" s="15" t="str">
        <f>IF('13 - Config_Intake_View'!Q209&lt;&gt;"","PM Approved",IF(Deployments!BH210&lt;&gt;"","Assumed",""))</f>
        <v/>
      </c>
      <c r="K209" s="23">
        <f>Deployments!BG210</f>
        <v>0</v>
      </c>
      <c r="L209" s="15">
        <f>Deployments!T210</f>
        <v>0</v>
      </c>
      <c r="M209" s="15">
        <f>Deployments!L210</f>
        <v>0</v>
      </c>
      <c r="N209" s="15" t="str">
        <f>Deployments!BK210</f>
        <v/>
      </c>
      <c r="O209" s="23" t="str">
        <f>Deployments!BL210</f>
        <v/>
      </c>
      <c r="P209" s="2">
        <f>Deployments!BA210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Deployments!H211</f>
        <v>0</v>
      </c>
      <c r="B210" s="23">
        <f>Deployments!V211</f>
        <v>0</v>
      </c>
      <c r="C210" s="23">
        <f>Deployments!W211</f>
        <v>0</v>
      </c>
      <c r="D210" s="15">
        <f>Deployments!AJ211</f>
        <v>0</v>
      </c>
      <c r="E210" s="15">
        <f>Deployments!N211</f>
        <v>0</v>
      </c>
      <c r="F210" s="23">
        <f>Deployments!O211</f>
        <v>0</v>
      </c>
      <c r="G210" s="15">
        <f>Deployments!P211</f>
        <v>0</v>
      </c>
      <c r="H210" s="15">
        <f>'13 - Config_Intake_View'!M210</f>
        <v>0</v>
      </c>
      <c r="I210" s="23">
        <f>IF('13 - Config_Intake_View'!Q210&lt;&gt;"",'13 - Config_Intake_View'!Q210,Deployments!BH211)</f>
        <v>0</v>
      </c>
      <c r="J210" s="15" t="str">
        <f>IF('13 - Config_Intake_View'!Q210&lt;&gt;"","PM Approved",IF(Deployments!BH211&lt;&gt;"","Assumed",""))</f>
        <v/>
      </c>
      <c r="K210" s="23">
        <f>Deployments!BG211</f>
        <v>0</v>
      </c>
      <c r="L210" s="15">
        <f>Deployments!T211</f>
        <v>0</v>
      </c>
      <c r="M210" s="15">
        <f>Deployments!L211</f>
        <v>0</v>
      </c>
      <c r="N210" s="15" t="str">
        <f>Deployments!BK211</f>
        <v/>
      </c>
      <c r="O210" s="23" t="str">
        <f>Deployments!BL211</f>
        <v/>
      </c>
      <c r="P210" s="2">
        <f>Deployments!BA211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Deployments!H212</f>
        <v>0</v>
      </c>
      <c r="B211" s="23">
        <f>Deployments!V212</f>
        <v>0</v>
      </c>
      <c r="C211" s="23">
        <f>Deployments!W212</f>
        <v>0</v>
      </c>
      <c r="D211" s="15">
        <f>Deployments!AJ212</f>
        <v>0</v>
      </c>
      <c r="E211" s="15">
        <f>Deployments!N212</f>
        <v>0</v>
      </c>
      <c r="F211" s="23">
        <f>Deployments!O212</f>
        <v>0</v>
      </c>
      <c r="G211" s="15">
        <f>Deployments!P212</f>
        <v>0</v>
      </c>
      <c r="H211" s="15">
        <f>'13 - Config_Intake_View'!M211</f>
        <v>0</v>
      </c>
      <c r="I211" s="23">
        <f>IF('13 - Config_Intake_View'!Q211&lt;&gt;"",'13 - Config_Intake_View'!Q211,Deployments!BH212)</f>
        <v>0</v>
      </c>
      <c r="J211" s="15" t="str">
        <f>IF('13 - Config_Intake_View'!Q211&lt;&gt;"","PM Approved",IF(Deployments!BH212&lt;&gt;"","Assumed",""))</f>
        <v/>
      </c>
      <c r="K211" s="23">
        <f>Deployments!BG212</f>
        <v>0</v>
      </c>
      <c r="L211" s="15">
        <f>Deployments!T212</f>
        <v>0</v>
      </c>
      <c r="M211" s="15">
        <f>Deployments!L212</f>
        <v>0</v>
      </c>
      <c r="N211" s="15" t="str">
        <f>Deployments!BK212</f>
        <v/>
      </c>
      <c r="O211" s="23" t="str">
        <f>Deployments!BL212</f>
        <v/>
      </c>
      <c r="P211" s="2">
        <f>Deployments!BA212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Deployments!H213</f>
        <v>0</v>
      </c>
      <c r="B212" s="23">
        <f>Deployments!V213</f>
        <v>0</v>
      </c>
      <c r="C212" s="23">
        <f>Deployments!W213</f>
        <v>0</v>
      </c>
      <c r="D212" s="15">
        <f>Deployments!AJ213</f>
        <v>0</v>
      </c>
      <c r="E212" s="15">
        <f>Deployments!N213</f>
        <v>0</v>
      </c>
      <c r="F212" s="23">
        <f>Deployments!O213</f>
        <v>0</v>
      </c>
      <c r="G212" s="15">
        <f>Deployments!P213</f>
        <v>0</v>
      </c>
      <c r="H212" s="15">
        <f>'13 - Config_Intake_View'!M212</f>
        <v>0</v>
      </c>
      <c r="I212" s="23">
        <f>IF('13 - Config_Intake_View'!Q212&lt;&gt;"",'13 - Config_Intake_View'!Q212,Deployments!BH213)</f>
        <v>0</v>
      </c>
      <c r="J212" s="15" t="str">
        <f>IF('13 - Config_Intake_View'!Q212&lt;&gt;"","PM Approved",IF(Deployments!BH213&lt;&gt;"","Assumed",""))</f>
        <v/>
      </c>
      <c r="K212" s="23">
        <f>Deployments!BG213</f>
        <v>0</v>
      </c>
      <c r="L212" s="15">
        <f>Deployments!T213</f>
        <v>0</v>
      </c>
      <c r="M212" s="15">
        <f>Deployments!L213</f>
        <v>0</v>
      </c>
      <c r="N212" s="15" t="str">
        <f>Deployments!BK213</f>
        <v/>
      </c>
      <c r="O212" s="23" t="str">
        <f>Deployments!BL213</f>
        <v/>
      </c>
      <c r="P212" s="2">
        <f>Deployments!BA213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Deployments!H214</f>
        <v>0</v>
      </c>
      <c r="B213" s="23">
        <f>Deployments!V214</f>
        <v>0</v>
      </c>
      <c r="C213" s="23">
        <f>Deployments!W214</f>
        <v>0</v>
      </c>
      <c r="D213" s="15">
        <f>Deployments!AJ214</f>
        <v>0</v>
      </c>
      <c r="E213" s="15">
        <f>Deployments!N214</f>
        <v>0</v>
      </c>
      <c r="F213" s="23">
        <f>Deployments!O214</f>
        <v>0</v>
      </c>
      <c r="G213" s="15">
        <f>Deployments!P214</f>
        <v>0</v>
      </c>
      <c r="H213" s="15">
        <f>'13 - Config_Intake_View'!M213</f>
        <v>0</v>
      </c>
      <c r="I213" s="23">
        <f>IF('13 - Config_Intake_View'!Q213&lt;&gt;"",'13 - Config_Intake_View'!Q213,Deployments!BH214)</f>
        <v>0</v>
      </c>
      <c r="J213" s="15" t="str">
        <f>IF('13 - Config_Intake_View'!Q213&lt;&gt;"","PM Approved",IF(Deployments!BH214&lt;&gt;"","Assumed",""))</f>
        <v/>
      </c>
      <c r="K213" s="23">
        <f>Deployments!BG214</f>
        <v>0</v>
      </c>
      <c r="L213" s="15">
        <f>Deployments!T214</f>
        <v>0</v>
      </c>
      <c r="M213" s="15">
        <f>Deployments!L214</f>
        <v>0</v>
      </c>
      <c r="N213" s="15" t="str">
        <f>Deployments!BK214</f>
        <v/>
      </c>
      <c r="O213" s="23" t="str">
        <f>Deployments!BL214</f>
        <v/>
      </c>
      <c r="P213" s="2">
        <f>Deployments!BA214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Deployments!H215</f>
        <v>0</v>
      </c>
      <c r="B214" s="23">
        <f>Deployments!V215</f>
        <v>0</v>
      </c>
      <c r="C214" s="23">
        <f>Deployments!W215</f>
        <v>0</v>
      </c>
      <c r="D214" s="15">
        <f>Deployments!AJ215</f>
        <v>0</v>
      </c>
      <c r="E214" s="15">
        <f>Deployments!N215</f>
        <v>0</v>
      </c>
      <c r="F214" s="23">
        <f>Deployments!O215</f>
        <v>0</v>
      </c>
      <c r="G214" s="15">
        <f>Deployments!P215</f>
        <v>0</v>
      </c>
      <c r="H214" s="15">
        <f>'13 - Config_Intake_View'!M214</f>
        <v>0</v>
      </c>
      <c r="I214" s="23">
        <f>IF('13 - Config_Intake_View'!Q214&lt;&gt;"",'13 - Config_Intake_View'!Q214,Deployments!BH215)</f>
        <v>0</v>
      </c>
      <c r="J214" s="15" t="str">
        <f>IF('13 - Config_Intake_View'!Q214&lt;&gt;"","PM Approved",IF(Deployments!BH215&lt;&gt;"","Assumed",""))</f>
        <v/>
      </c>
      <c r="K214" s="23">
        <f>Deployments!BG215</f>
        <v>0</v>
      </c>
      <c r="L214" s="15">
        <f>Deployments!T215</f>
        <v>0</v>
      </c>
      <c r="M214" s="15">
        <f>Deployments!L215</f>
        <v>0</v>
      </c>
      <c r="N214" s="15" t="str">
        <f>Deployments!BK215</f>
        <v/>
      </c>
      <c r="O214" s="23" t="str">
        <f>Deployments!BL215</f>
        <v/>
      </c>
      <c r="P214" s="2">
        <f>Deployments!BA215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Deployments!H216</f>
        <v>0</v>
      </c>
      <c r="B215" s="23">
        <f>Deployments!V216</f>
        <v>0</v>
      </c>
      <c r="C215" s="23">
        <f>Deployments!W216</f>
        <v>0</v>
      </c>
      <c r="D215" s="15">
        <f>Deployments!AJ216</f>
        <v>0</v>
      </c>
      <c r="E215" s="15">
        <f>Deployments!N216</f>
        <v>0</v>
      </c>
      <c r="F215" s="23">
        <f>Deployments!O216</f>
        <v>0</v>
      </c>
      <c r="G215" s="15">
        <f>Deployments!P216</f>
        <v>0</v>
      </c>
      <c r="H215" s="15">
        <f>'13 - Config_Intake_View'!M215</f>
        <v>0</v>
      </c>
      <c r="I215" s="23">
        <f>IF('13 - Config_Intake_View'!Q215&lt;&gt;"",'13 - Config_Intake_View'!Q215,Deployments!BH216)</f>
        <v>0</v>
      </c>
      <c r="J215" s="15" t="str">
        <f>IF('13 - Config_Intake_View'!Q215&lt;&gt;"","PM Approved",IF(Deployments!BH216&lt;&gt;"","Assumed",""))</f>
        <v/>
      </c>
      <c r="K215" s="23">
        <f>Deployments!BG216</f>
        <v>0</v>
      </c>
      <c r="L215" s="15">
        <f>Deployments!T216</f>
        <v>0</v>
      </c>
      <c r="M215" s="15">
        <f>Deployments!L216</f>
        <v>0</v>
      </c>
      <c r="N215" s="15" t="str">
        <f>Deployments!BK216</f>
        <v/>
      </c>
      <c r="O215" s="23" t="str">
        <f>Deployments!BL216</f>
        <v/>
      </c>
      <c r="P215" s="2">
        <f>Deployments!BA216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Deployments!H217</f>
        <v>0</v>
      </c>
      <c r="B216" s="23">
        <f>Deployments!V217</f>
        <v>0</v>
      </c>
      <c r="C216" s="23">
        <f>Deployments!W217</f>
        <v>0</v>
      </c>
      <c r="D216" s="15">
        <f>Deployments!AJ217</f>
        <v>0</v>
      </c>
      <c r="E216" s="15">
        <f>Deployments!N217</f>
        <v>0</v>
      </c>
      <c r="F216" s="23">
        <f>Deployments!O217</f>
        <v>0</v>
      </c>
      <c r="G216" s="15">
        <f>Deployments!P217</f>
        <v>0</v>
      </c>
      <c r="H216" s="15">
        <f>'13 - Config_Intake_View'!M216</f>
        <v>0</v>
      </c>
      <c r="I216" s="23">
        <f>IF('13 - Config_Intake_View'!Q216&lt;&gt;"",'13 - Config_Intake_View'!Q216,Deployments!BH217)</f>
        <v>0</v>
      </c>
      <c r="J216" s="15" t="str">
        <f>IF('13 - Config_Intake_View'!Q216&lt;&gt;"","PM Approved",IF(Deployments!BH217&lt;&gt;"","Assumed",""))</f>
        <v/>
      </c>
      <c r="K216" s="23">
        <f>Deployments!BG217</f>
        <v>0</v>
      </c>
      <c r="L216" s="15">
        <f>Deployments!T217</f>
        <v>0</v>
      </c>
      <c r="M216" s="15">
        <f>Deployments!L217</f>
        <v>0</v>
      </c>
      <c r="N216" s="15" t="str">
        <f>Deployments!BK217</f>
        <v/>
      </c>
      <c r="O216" s="23" t="str">
        <f>Deployments!BL217</f>
        <v/>
      </c>
      <c r="P216" s="2">
        <f>Deployments!BA217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Deployments!H218</f>
        <v>0</v>
      </c>
      <c r="B217" s="23">
        <f>Deployments!V218</f>
        <v>0</v>
      </c>
      <c r="C217" s="23">
        <f>Deployments!W218</f>
        <v>0</v>
      </c>
      <c r="D217" s="15">
        <f>Deployments!AJ218</f>
        <v>0</v>
      </c>
      <c r="E217" s="15">
        <f>Deployments!N218</f>
        <v>0</v>
      </c>
      <c r="F217" s="23">
        <f>Deployments!O218</f>
        <v>0</v>
      </c>
      <c r="G217" s="15">
        <f>Deployments!P218</f>
        <v>0</v>
      </c>
      <c r="H217" s="15">
        <f>'13 - Config_Intake_View'!M217</f>
        <v>0</v>
      </c>
      <c r="I217" s="23">
        <f>IF('13 - Config_Intake_View'!Q217&lt;&gt;"",'13 - Config_Intake_View'!Q217,Deployments!BH218)</f>
        <v>0</v>
      </c>
      <c r="J217" s="15" t="str">
        <f>IF('13 - Config_Intake_View'!Q217&lt;&gt;"","PM Approved",IF(Deployments!BH218&lt;&gt;"","Assumed",""))</f>
        <v/>
      </c>
      <c r="K217" s="23">
        <f>Deployments!BG218</f>
        <v>0</v>
      </c>
      <c r="L217" s="15">
        <f>Deployments!T218</f>
        <v>0</v>
      </c>
      <c r="M217" s="15">
        <f>Deployments!L218</f>
        <v>0</v>
      </c>
      <c r="N217" s="15" t="str">
        <f>Deployments!BK218</f>
        <v/>
      </c>
      <c r="O217" s="23" t="str">
        <f>Deployments!BL218</f>
        <v/>
      </c>
      <c r="P217" s="2">
        <f>Deployments!BA218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Deployments!H219</f>
        <v>0</v>
      </c>
      <c r="B218" s="23">
        <f>Deployments!V219</f>
        <v>0</v>
      </c>
      <c r="C218" s="23">
        <f>Deployments!W219</f>
        <v>0</v>
      </c>
      <c r="D218" s="15">
        <f>Deployments!AJ219</f>
        <v>0</v>
      </c>
      <c r="E218" s="15">
        <f>Deployments!N219</f>
        <v>0</v>
      </c>
      <c r="F218" s="23">
        <f>Deployments!O219</f>
        <v>0</v>
      </c>
      <c r="G218" s="15">
        <f>Deployments!P219</f>
        <v>0</v>
      </c>
      <c r="H218" s="15">
        <f>'13 - Config_Intake_View'!M218</f>
        <v>0</v>
      </c>
      <c r="I218" s="23">
        <f>IF('13 - Config_Intake_View'!Q218&lt;&gt;"",'13 - Config_Intake_View'!Q218,Deployments!BH219)</f>
        <v>0</v>
      </c>
      <c r="J218" s="15" t="str">
        <f>IF('13 - Config_Intake_View'!Q218&lt;&gt;"","PM Approved",IF(Deployments!BH219&lt;&gt;"","Assumed",""))</f>
        <v/>
      </c>
      <c r="K218" s="23">
        <f>Deployments!BG219</f>
        <v>0</v>
      </c>
      <c r="L218" s="15">
        <f>Deployments!T219</f>
        <v>0</v>
      </c>
      <c r="M218" s="15">
        <f>Deployments!L219</f>
        <v>0</v>
      </c>
      <c r="N218" s="15" t="str">
        <f>Deployments!BK219</f>
        <v/>
      </c>
      <c r="O218" s="23" t="str">
        <f>Deployments!BL219</f>
        <v/>
      </c>
      <c r="P218" s="2">
        <f>Deployments!BA219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Deployments!H220</f>
        <v>0</v>
      </c>
      <c r="B219" s="23">
        <f>Deployments!V220</f>
        <v>0</v>
      </c>
      <c r="C219" s="23">
        <f>Deployments!W220</f>
        <v>0</v>
      </c>
      <c r="D219" s="15">
        <f>Deployments!AJ220</f>
        <v>0</v>
      </c>
      <c r="E219" s="15">
        <f>Deployments!N220</f>
        <v>0</v>
      </c>
      <c r="F219" s="23">
        <f>Deployments!O220</f>
        <v>0</v>
      </c>
      <c r="G219" s="15">
        <f>Deployments!P220</f>
        <v>0</v>
      </c>
      <c r="H219" s="15">
        <f>'13 - Config_Intake_View'!M219</f>
        <v>0</v>
      </c>
      <c r="I219" s="23">
        <f>IF('13 - Config_Intake_View'!Q219&lt;&gt;"",'13 - Config_Intake_View'!Q219,Deployments!BH220)</f>
        <v>0</v>
      </c>
      <c r="J219" s="15" t="str">
        <f>IF('13 - Config_Intake_View'!Q219&lt;&gt;"","PM Approved",IF(Deployments!BH220&lt;&gt;"","Assumed",""))</f>
        <v/>
      </c>
      <c r="K219" s="23">
        <f>Deployments!BG220</f>
        <v>0</v>
      </c>
      <c r="L219" s="15">
        <f>Deployments!T220</f>
        <v>0</v>
      </c>
      <c r="M219" s="15">
        <f>Deployments!L220</f>
        <v>0</v>
      </c>
      <c r="N219" s="15" t="str">
        <f>Deployments!BK220</f>
        <v/>
      </c>
      <c r="O219" s="23" t="str">
        <f>Deployments!BL220</f>
        <v/>
      </c>
      <c r="P219" s="2">
        <f>Deployments!BA220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Deployments!H221</f>
        <v>0</v>
      </c>
      <c r="B220" s="23">
        <f>Deployments!V221</f>
        <v>0</v>
      </c>
      <c r="C220" s="23">
        <f>Deployments!W221</f>
        <v>0</v>
      </c>
      <c r="D220" s="15">
        <f>Deployments!AJ221</f>
        <v>0</v>
      </c>
      <c r="E220" s="15">
        <f>Deployments!N221</f>
        <v>0</v>
      </c>
      <c r="F220" s="23">
        <f>Deployments!O221</f>
        <v>0</v>
      </c>
      <c r="G220" s="15">
        <f>Deployments!P221</f>
        <v>0</v>
      </c>
      <c r="H220" s="15">
        <f>'13 - Config_Intake_View'!M220</f>
        <v>0</v>
      </c>
      <c r="I220" s="23">
        <f>IF('13 - Config_Intake_View'!Q220&lt;&gt;"",'13 - Config_Intake_View'!Q220,Deployments!BH221)</f>
        <v>0</v>
      </c>
      <c r="J220" s="15" t="str">
        <f>IF('13 - Config_Intake_View'!Q220&lt;&gt;"","PM Approved",IF(Deployments!BH221&lt;&gt;"","Assumed",""))</f>
        <v/>
      </c>
      <c r="K220" s="23">
        <f>Deployments!BG221</f>
        <v>0</v>
      </c>
      <c r="L220" s="15">
        <f>Deployments!T221</f>
        <v>0</v>
      </c>
      <c r="M220" s="15">
        <f>Deployments!L221</f>
        <v>0</v>
      </c>
      <c r="N220" s="15" t="str">
        <f>Deployments!BK221</f>
        <v/>
      </c>
      <c r="O220" s="23" t="str">
        <f>Deployments!BL221</f>
        <v/>
      </c>
      <c r="P220" s="2">
        <f>Deployments!BA221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Deployments!H222</f>
        <v>0</v>
      </c>
      <c r="B221" s="23">
        <f>Deployments!V222</f>
        <v>0</v>
      </c>
      <c r="C221" s="23">
        <f>Deployments!W222</f>
        <v>0</v>
      </c>
      <c r="D221" s="15">
        <f>Deployments!AJ222</f>
        <v>0</v>
      </c>
      <c r="E221" s="15">
        <f>Deployments!N222</f>
        <v>0</v>
      </c>
      <c r="F221" s="23">
        <f>Deployments!O222</f>
        <v>0</v>
      </c>
      <c r="G221" s="15">
        <f>Deployments!P222</f>
        <v>0</v>
      </c>
      <c r="H221" s="15">
        <f>'13 - Config_Intake_View'!M221</f>
        <v>0</v>
      </c>
      <c r="I221" s="23">
        <f>IF('13 - Config_Intake_View'!Q221&lt;&gt;"",'13 - Config_Intake_View'!Q221,Deployments!BH222)</f>
        <v>0</v>
      </c>
      <c r="J221" s="15" t="str">
        <f>IF('13 - Config_Intake_View'!Q221&lt;&gt;"","PM Approved",IF(Deployments!BH222&lt;&gt;"","Assumed",""))</f>
        <v/>
      </c>
      <c r="K221" s="23">
        <f>Deployments!BG222</f>
        <v>0</v>
      </c>
      <c r="L221" s="15">
        <f>Deployments!T222</f>
        <v>0</v>
      </c>
      <c r="M221" s="15">
        <f>Deployments!L222</f>
        <v>0</v>
      </c>
      <c r="N221" s="15" t="str">
        <f>Deployments!BK222</f>
        <v/>
      </c>
      <c r="O221" s="23" t="str">
        <f>Deployments!BL222</f>
        <v/>
      </c>
      <c r="P221" s="2">
        <f>Deployments!BA222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Deployments!H223</f>
        <v>0</v>
      </c>
      <c r="B222" s="23">
        <f>Deployments!V223</f>
        <v>0</v>
      </c>
      <c r="C222" s="23">
        <f>Deployments!W223</f>
        <v>0</v>
      </c>
      <c r="D222" s="15">
        <f>Deployments!AJ223</f>
        <v>0</v>
      </c>
      <c r="E222" s="15">
        <f>Deployments!N223</f>
        <v>0</v>
      </c>
      <c r="F222" s="23">
        <f>Deployments!O223</f>
        <v>0</v>
      </c>
      <c r="G222" s="15">
        <f>Deployments!P223</f>
        <v>0</v>
      </c>
      <c r="H222" s="15">
        <f>'13 - Config_Intake_View'!M222</f>
        <v>0</v>
      </c>
      <c r="I222" s="23">
        <f>IF('13 - Config_Intake_View'!Q222&lt;&gt;"",'13 - Config_Intake_View'!Q222,Deployments!BH223)</f>
        <v>0</v>
      </c>
      <c r="J222" s="15" t="str">
        <f>IF('13 - Config_Intake_View'!Q222&lt;&gt;"","PM Approved",IF(Deployments!BH223&lt;&gt;"","Assumed",""))</f>
        <v/>
      </c>
      <c r="K222" s="23">
        <f>Deployments!BG223</f>
        <v>0</v>
      </c>
      <c r="L222" s="15">
        <f>Deployments!T223</f>
        <v>0</v>
      </c>
      <c r="M222" s="15">
        <f>Deployments!L223</f>
        <v>0</v>
      </c>
      <c r="N222" s="15" t="str">
        <f>Deployments!BK223</f>
        <v/>
      </c>
      <c r="O222" s="23" t="str">
        <f>Deployments!BL223</f>
        <v/>
      </c>
      <c r="P222" s="2">
        <f>Deployments!BA223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Deployments!H224</f>
        <v>0</v>
      </c>
      <c r="B223" s="23">
        <f>Deployments!V224</f>
        <v>0</v>
      </c>
      <c r="C223" s="23">
        <f>Deployments!W224</f>
        <v>0</v>
      </c>
      <c r="D223" s="15">
        <f>Deployments!AJ224</f>
        <v>0</v>
      </c>
      <c r="E223" s="15">
        <f>Deployments!N224</f>
        <v>0</v>
      </c>
      <c r="F223" s="23">
        <f>Deployments!O224</f>
        <v>0</v>
      </c>
      <c r="G223" s="15">
        <f>Deployments!P224</f>
        <v>0</v>
      </c>
      <c r="H223" s="15">
        <f>'13 - Config_Intake_View'!M223</f>
        <v>0</v>
      </c>
      <c r="I223" s="23">
        <f>IF('13 - Config_Intake_View'!Q223&lt;&gt;"",'13 - Config_Intake_View'!Q223,Deployments!BH224)</f>
        <v>0</v>
      </c>
      <c r="J223" s="15" t="str">
        <f>IF('13 - Config_Intake_View'!Q223&lt;&gt;"","PM Approved",IF(Deployments!BH224&lt;&gt;"","Assumed",""))</f>
        <v/>
      </c>
      <c r="K223" s="23">
        <f>Deployments!BG224</f>
        <v>0</v>
      </c>
      <c r="L223" s="15">
        <f>Deployments!T224</f>
        <v>0</v>
      </c>
      <c r="M223" s="15">
        <f>Deployments!L224</f>
        <v>0</v>
      </c>
      <c r="N223" s="15" t="str">
        <f>Deployments!BK224</f>
        <v/>
      </c>
      <c r="O223" s="23" t="str">
        <f>Deployments!BL224</f>
        <v/>
      </c>
      <c r="P223" s="2">
        <f>Deployments!BA224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Deployments!H225</f>
        <v>0</v>
      </c>
      <c r="B224" s="23">
        <f>Deployments!V225</f>
        <v>0</v>
      </c>
      <c r="C224" s="23">
        <f>Deployments!W225</f>
        <v>0</v>
      </c>
      <c r="D224" s="15">
        <f>Deployments!AJ225</f>
        <v>0</v>
      </c>
      <c r="E224" s="15">
        <f>Deployments!N225</f>
        <v>0</v>
      </c>
      <c r="F224" s="23">
        <f>Deployments!O225</f>
        <v>0</v>
      </c>
      <c r="G224" s="15">
        <f>Deployments!P225</f>
        <v>0</v>
      </c>
      <c r="H224" s="15">
        <f>'13 - Config_Intake_View'!M224</f>
        <v>0</v>
      </c>
      <c r="I224" s="23">
        <f>IF('13 - Config_Intake_View'!Q224&lt;&gt;"",'13 - Config_Intake_View'!Q224,Deployments!BH225)</f>
        <v>0</v>
      </c>
      <c r="J224" s="15" t="str">
        <f>IF('13 - Config_Intake_View'!Q224&lt;&gt;"","PM Approved",IF(Deployments!BH225&lt;&gt;"","Assumed",""))</f>
        <v/>
      </c>
      <c r="K224" s="23">
        <f>Deployments!BG225</f>
        <v>0</v>
      </c>
      <c r="L224" s="15">
        <f>Deployments!T225</f>
        <v>0</v>
      </c>
      <c r="M224" s="15">
        <f>Deployments!L225</f>
        <v>0</v>
      </c>
      <c r="N224" s="15" t="str">
        <f>Deployments!BK225</f>
        <v/>
      </c>
      <c r="O224" s="23" t="str">
        <f>Deployments!BL225</f>
        <v/>
      </c>
      <c r="P224" s="2">
        <f>Deployments!BA225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Deployments!H226</f>
        <v>0</v>
      </c>
      <c r="B225" s="23">
        <f>Deployments!V226</f>
        <v>0</v>
      </c>
      <c r="C225" s="23">
        <f>Deployments!W226</f>
        <v>0</v>
      </c>
      <c r="D225" s="15">
        <f>Deployments!AJ226</f>
        <v>0</v>
      </c>
      <c r="E225" s="15">
        <f>Deployments!N226</f>
        <v>0</v>
      </c>
      <c r="F225" s="23">
        <f>Deployments!O226</f>
        <v>0</v>
      </c>
      <c r="G225" s="15">
        <f>Deployments!P226</f>
        <v>0</v>
      </c>
      <c r="H225" s="15">
        <f>'13 - Config_Intake_View'!M225</f>
        <v>0</v>
      </c>
      <c r="I225" s="23">
        <f>IF('13 - Config_Intake_View'!Q225&lt;&gt;"",'13 - Config_Intake_View'!Q225,Deployments!BH226)</f>
        <v>0</v>
      </c>
      <c r="J225" s="15" t="str">
        <f>IF('13 - Config_Intake_View'!Q225&lt;&gt;"","PM Approved",IF(Deployments!BH226&lt;&gt;"","Assumed",""))</f>
        <v/>
      </c>
      <c r="K225" s="23">
        <f>Deployments!BG226</f>
        <v>0</v>
      </c>
      <c r="L225" s="15">
        <f>Deployments!T226</f>
        <v>0</v>
      </c>
      <c r="M225" s="15">
        <f>Deployments!L226</f>
        <v>0</v>
      </c>
      <c r="N225" s="15" t="str">
        <f>Deployments!BK226</f>
        <v/>
      </c>
      <c r="O225" s="23" t="str">
        <f>Deployments!BL226</f>
        <v/>
      </c>
      <c r="P225" s="2">
        <f>Deployments!BA226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Deployments!H227</f>
        <v>0</v>
      </c>
      <c r="B226" s="23">
        <f>Deployments!V227</f>
        <v>0</v>
      </c>
      <c r="C226" s="23">
        <f>Deployments!W227</f>
        <v>0</v>
      </c>
      <c r="D226" s="15">
        <f>Deployments!AJ227</f>
        <v>0</v>
      </c>
      <c r="E226" s="15">
        <f>Deployments!N227</f>
        <v>0</v>
      </c>
      <c r="F226" s="23">
        <f>Deployments!O227</f>
        <v>0</v>
      </c>
      <c r="G226" s="15">
        <f>Deployments!P227</f>
        <v>0</v>
      </c>
      <c r="H226" s="15">
        <f>'13 - Config_Intake_View'!M226</f>
        <v>0</v>
      </c>
      <c r="I226" s="23">
        <f>IF('13 - Config_Intake_View'!Q226&lt;&gt;"",'13 - Config_Intake_View'!Q226,Deployments!BH227)</f>
        <v>0</v>
      </c>
      <c r="J226" s="15" t="str">
        <f>IF('13 - Config_Intake_View'!Q226&lt;&gt;"","PM Approved",IF(Deployments!BH227&lt;&gt;"","Assumed",""))</f>
        <v/>
      </c>
      <c r="K226" s="23">
        <f>Deployments!BG227</f>
        <v>0</v>
      </c>
      <c r="L226" s="15">
        <f>Deployments!T227</f>
        <v>0</v>
      </c>
      <c r="M226" s="15">
        <f>Deployments!L227</f>
        <v>0</v>
      </c>
      <c r="N226" s="15" t="str">
        <f>Deployments!BK227</f>
        <v/>
      </c>
      <c r="O226" s="23" t="str">
        <f>Deployments!BL227</f>
        <v/>
      </c>
      <c r="P226" s="2">
        <f>Deployments!BA227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Deployments!H228</f>
        <v>0</v>
      </c>
      <c r="B227" s="23">
        <f>Deployments!V228</f>
        <v>0</v>
      </c>
      <c r="C227" s="23">
        <f>Deployments!W228</f>
        <v>0</v>
      </c>
      <c r="D227" s="15">
        <f>Deployments!AJ228</f>
        <v>0</v>
      </c>
      <c r="E227" s="15">
        <f>Deployments!N228</f>
        <v>0</v>
      </c>
      <c r="F227" s="23">
        <f>Deployments!O228</f>
        <v>0</v>
      </c>
      <c r="G227" s="15">
        <f>Deployments!P228</f>
        <v>0</v>
      </c>
      <c r="H227" s="15">
        <f>'13 - Config_Intake_View'!M227</f>
        <v>0</v>
      </c>
      <c r="I227" s="23">
        <f>IF('13 - Config_Intake_View'!Q227&lt;&gt;"",'13 - Config_Intake_View'!Q227,Deployments!BH228)</f>
        <v>0</v>
      </c>
      <c r="J227" s="15" t="str">
        <f>IF('13 - Config_Intake_View'!Q227&lt;&gt;"","PM Approved",IF(Deployments!BH228&lt;&gt;"","Assumed",""))</f>
        <v/>
      </c>
      <c r="K227" s="23">
        <f>Deployments!BG228</f>
        <v>0</v>
      </c>
      <c r="L227" s="15">
        <f>Deployments!T228</f>
        <v>0</v>
      </c>
      <c r="M227" s="15">
        <f>Deployments!L228</f>
        <v>0</v>
      </c>
      <c r="N227" s="15" t="str">
        <f>Deployments!BK228</f>
        <v/>
      </c>
      <c r="O227" s="23" t="str">
        <f>Deployments!BL228</f>
        <v/>
      </c>
      <c r="P227" s="2">
        <f>Deployments!BA228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Deployments!H229</f>
        <v>0</v>
      </c>
      <c r="B228" s="23">
        <f>Deployments!V229</f>
        <v>0</v>
      </c>
      <c r="C228" s="23">
        <f>Deployments!W229</f>
        <v>0</v>
      </c>
      <c r="D228" s="15">
        <f>Deployments!AJ229</f>
        <v>0</v>
      </c>
      <c r="E228" s="15">
        <f>Deployments!N229</f>
        <v>0</v>
      </c>
      <c r="F228" s="23">
        <f>Deployments!O229</f>
        <v>0</v>
      </c>
      <c r="G228" s="15">
        <f>Deployments!P229</f>
        <v>0</v>
      </c>
      <c r="H228" s="15">
        <f>'13 - Config_Intake_View'!M228</f>
        <v>0</v>
      </c>
      <c r="I228" s="23">
        <f>IF('13 - Config_Intake_View'!Q228&lt;&gt;"",'13 - Config_Intake_View'!Q228,Deployments!BH229)</f>
        <v>0</v>
      </c>
      <c r="J228" s="15" t="str">
        <f>IF('13 - Config_Intake_View'!Q228&lt;&gt;"","PM Approved",IF(Deployments!BH229&lt;&gt;"","Assumed",""))</f>
        <v/>
      </c>
      <c r="K228" s="23">
        <f>Deployments!BG229</f>
        <v>0</v>
      </c>
      <c r="L228" s="15">
        <f>Deployments!T229</f>
        <v>0</v>
      </c>
      <c r="M228" s="15">
        <f>Deployments!L229</f>
        <v>0</v>
      </c>
      <c r="N228" s="15" t="str">
        <f>Deployments!BK229</f>
        <v/>
      </c>
      <c r="O228" s="23" t="str">
        <f>Deployments!BL229</f>
        <v/>
      </c>
      <c r="P228" s="2">
        <f>Deployments!BA229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Deployments!H230</f>
        <v>0</v>
      </c>
      <c r="B229" s="23">
        <f>Deployments!V230</f>
        <v>0</v>
      </c>
      <c r="C229" s="23">
        <f>Deployments!W230</f>
        <v>0</v>
      </c>
      <c r="D229" s="15">
        <f>Deployments!AJ230</f>
        <v>0</v>
      </c>
      <c r="E229" s="15">
        <f>Deployments!N230</f>
        <v>0</v>
      </c>
      <c r="F229" s="23">
        <f>Deployments!O230</f>
        <v>0</v>
      </c>
      <c r="G229" s="15">
        <f>Deployments!P230</f>
        <v>0</v>
      </c>
      <c r="H229" s="15">
        <f>'13 - Config_Intake_View'!M229</f>
        <v>0</v>
      </c>
      <c r="I229" s="23">
        <f>IF('13 - Config_Intake_View'!Q229&lt;&gt;"",'13 - Config_Intake_View'!Q229,Deployments!BH230)</f>
        <v>0</v>
      </c>
      <c r="J229" s="15" t="str">
        <f>IF('13 - Config_Intake_View'!Q229&lt;&gt;"","PM Approved",IF(Deployments!BH230&lt;&gt;"","Assumed",""))</f>
        <v/>
      </c>
      <c r="K229" s="23">
        <f>Deployments!BG230</f>
        <v>0</v>
      </c>
      <c r="L229" s="15">
        <f>Deployments!T230</f>
        <v>0</v>
      </c>
      <c r="M229" s="15">
        <f>Deployments!L230</f>
        <v>0</v>
      </c>
      <c r="N229" s="15" t="str">
        <f>Deployments!BK230</f>
        <v/>
      </c>
      <c r="O229" s="23" t="str">
        <f>Deployments!BL230</f>
        <v/>
      </c>
      <c r="P229" s="2">
        <f>Deployments!BA230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Deployments!H231</f>
        <v>0</v>
      </c>
      <c r="B230" s="23">
        <f>Deployments!V231</f>
        <v>0</v>
      </c>
      <c r="C230" s="23">
        <f>Deployments!W231</f>
        <v>0</v>
      </c>
      <c r="D230" s="15">
        <f>Deployments!AJ231</f>
        <v>0</v>
      </c>
      <c r="E230" s="15">
        <f>Deployments!N231</f>
        <v>0</v>
      </c>
      <c r="F230" s="23">
        <f>Deployments!O231</f>
        <v>0</v>
      </c>
      <c r="G230" s="15">
        <f>Deployments!P231</f>
        <v>0</v>
      </c>
      <c r="H230" s="15">
        <f>'13 - Config_Intake_View'!M230</f>
        <v>0</v>
      </c>
      <c r="I230" s="23">
        <f>IF('13 - Config_Intake_View'!Q230&lt;&gt;"",'13 - Config_Intake_View'!Q230,Deployments!BH231)</f>
        <v>0</v>
      </c>
      <c r="J230" s="15" t="str">
        <f>IF('13 - Config_Intake_View'!Q230&lt;&gt;"","PM Approved",IF(Deployments!BH231&lt;&gt;"","Assumed",""))</f>
        <v/>
      </c>
      <c r="K230" s="23">
        <f>Deployments!BG231</f>
        <v>0</v>
      </c>
      <c r="L230" s="15">
        <f>Deployments!T231</f>
        <v>0</v>
      </c>
      <c r="M230" s="15">
        <f>Deployments!L231</f>
        <v>0</v>
      </c>
      <c r="N230" s="15" t="str">
        <f>Deployments!BK231</f>
        <v/>
      </c>
      <c r="O230" s="23" t="str">
        <f>Deployments!BL231</f>
        <v/>
      </c>
      <c r="P230" s="2">
        <f>Deployments!BA231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Deployments!H232</f>
        <v>0</v>
      </c>
      <c r="B231" s="23">
        <f>Deployments!V232</f>
        <v>0</v>
      </c>
      <c r="C231" s="23">
        <f>Deployments!W232</f>
        <v>0</v>
      </c>
      <c r="D231" s="15">
        <f>Deployments!AJ232</f>
        <v>0</v>
      </c>
      <c r="E231" s="15">
        <f>Deployments!N232</f>
        <v>0</v>
      </c>
      <c r="F231" s="23">
        <f>Deployments!O232</f>
        <v>0</v>
      </c>
      <c r="G231" s="15">
        <f>Deployments!P232</f>
        <v>0</v>
      </c>
      <c r="H231" s="15">
        <f>'13 - Config_Intake_View'!M231</f>
        <v>0</v>
      </c>
      <c r="I231" s="23">
        <f>IF('13 - Config_Intake_View'!Q231&lt;&gt;"",'13 - Config_Intake_View'!Q231,Deployments!BH232)</f>
        <v>0</v>
      </c>
      <c r="J231" s="15" t="str">
        <f>IF('13 - Config_Intake_View'!Q231&lt;&gt;"","PM Approved",IF(Deployments!BH232&lt;&gt;"","Assumed",""))</f>
        <v/>
      </c>
      <c r="K231" s="23">
        <f>Deployments!BG232</f>
        <v>0</v>
      </c>
      <c r="L231" s="15">
        <f>Deployments!T232</f>
        <v>0</v>
      </c>
      <c r="M231" s="15">
        <f>Deployments!L232</f>
        <v>0</v>
      </c>
      <c r="N231" s="15" t="str">
        <f>Deployments!BK232</f>
        <v/>
      </c>
      <c r="O231" s="23" t="str">
        <f>Deployments!BL232</f>
        <v/>
      </c>
      <c r="P231" s="2">
        <f>Deployments!BA232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Deployments!H233</f>
        <v>0</v>
      </c>
      <c r="B232" s="23">
        <f>Deployments!V233</f>
        <v>0</v>
      </c>
      <c r="C232" s="23">
        <f>Deployments!W233</f>
        <v>0</v>
      </c>
      <c r="D232" s="15">
        <f>Deployments!AJ233</f>
        <v>0</v>
      </c>
      <c r="E232" s="15">
        <f>Deployments!N233</f>
        <v>0</v>
      </c>
      <c r="F232" s="23">
        <f>Deployments!O233</f>
        <v>0</v>
      </c>
      <c r="G232" s="15">
        <f>Deployments!P233</f>
        <v>0</v>
      </c>
      <c r="H232" s="15">
        <f>'13 - Config_Intake_View'!M232</f>
        <v>0</v>
      </c>
      <c r="I232" s="23">
        <f>IF('13 - Config_Intake_View'!Q232&lt;&gt;"",'13 - Config_Intake_View'!Q232,Deployments!BH233)</f>
        <v>0</v>
      </c>
      <c r="J232" s="15" t="str">
        <f>IF('13 - Config_Intake_View'!Q232&lt;&gt;"","PM Approved",IF(Deployments!BH233&lt;&gt;"","Assumed",""))</f>
        <v/>
      </c>
      <c r="K232" s="23">
        <f>Deployments!BG233</f>
        <v>0</v>
      </c>
      <c r="L232" s="15">
        <f>Deployments!T233</f>
        <v>0</v>
      </c>
      <c r="M232" s="15">
        <f>Deployments!L233</f>
        <v>0</v>
      </c>
      <c r="N232" s="15" t="str">
        <f>Deployments!BK233</f>
        <v/>
      </c>
      <c r="O232" s="23" t="str">
        <f>Deployments!BL233</f>
        <v/>
      </c>
      <c r="P232" s="2">
        <f>Deployments!BA233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Deployments!H234</f>
        <v>0</v>
      </c>
      <c r="B233" s="23">
        <f>Deployments!V234</f>
        <v>0</v>
      </c>
      <c r="C233" s="23">
        <f>Deployments!W234</f>
        <v>0</v>
      </c>
      <c r="D233" s="15">
        <f>Deployments!AJ234</f>
        <v>0</v>
      </c>
      <c r="E233" s="15">
        <f>Deployments!N234</f>
        <v>0</v>
      </c>
      <c r="F233" s="23">
        <f>Deployments!O234</f>
        <v>0</v>
      </c>
      <c r="G233" s="15">
        <f>Deployments!P234</f>
        <v>0</v>
      </c>
      <c r="H233" s="15">
        <f>'13 - Config_Intake_View'!M233</f>
        <v>0</v>
      </c>
      <c r="I233" s="23">
        <f>IF('13 - Config_Intake_View'!Q233&lt;&gt;"",'13 - Config_Intake_View'!Q233,Deployments!BH234)</f>
        <v>0</v>
      </c>
      <c r="J233" s="15" t="str">
        <f>IF('13 - Config_Intake_View'!Q233&lt;&gt;"","PM Approved",IF(Deployments!BH234&lt;&gt;"","Assumed",""))</f>
        <v/>
      </c>
      <c r="K233" s="23">
        <f>Deployments!BG234</f>
        <v>0</v>
      </c>
      <c r="L233" s="15">
        <f>Deployments!T234</f>
        <v>0</v>
      </c>
      <c r="M233" s="15">
        <f>Deployments!L234</f>
        <v>0</v>
      </c>
      <c r="N233" s="15" t="str">
        <f>Deployments!BK234</f>
        <v/>
      </c>
      <c r="O233" s="23" t="str">
        <f>Deployments!BL234</f>
        <v/>
      </c>
      <c r="P233" s="2">
        <f>Deployments!BA234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Deployments!H235</f>
        <v>0</v>
      </c>
      <c r="B234" s="23">
        <f>Deployments!V235</f>
        <v>0</v>
      </c>
      <c r="C234" s="23">
        <f>Deployments!W235</f>
        <v>0</v>
      </c>
      <c r="D234" s="15">
        <f>Deployments!AJ235</f>
        <v>0</v>
      </c>
      <c r="E234" s="15">
        <f>Deployments!N235</f>
        <v>0</v>
      </c>
      <c r="F234" s="23">
        <f>Deployments!O235</f>
        <v>0</v>
      </c>
      <c r="G234" s="15">
        <f>Deployments!P235</f>
        <v>0</v>
      </c>
      <c r="H234" s="15">
        <f>'13 - Config_Intake_View'!M234</f>
        <v>0</v>
      </c>
      <c r="I234" s="23">
        <f>IF('13 - Config_Intake_View'!Q234&lt;&gt;"",'13 - Config_Intake_View'!Q234,Deployments!BH235)</f>
        <v>0</v>
      </c>
      <c r="J234" s="15" t="str">
        <f>IF('13 - Config_Intake_View'!Q234&lt;&gt;"","PM Approved",IF(Deployments!BH235&lt;&gt;"","Assumed",""))</f>
        <v/>
      </c>
      <c r="K234" s="23">
        <f>Deployments!BG235</f>
        <v>0</v>
      </c>
      <c r="L234" s="15">
        <f>Deployments!T235</f>
        <v>0</v>
      </c>
      <c r="M234" s="15">
        <f>Deployments!L235</f>
        <v>0</v>
      </c>
      <c r="N234" s="15" t="str">
        <f>Deployments!BK235</f>
        <v/>
      </c>
      <c r="O234" s="23" t="str">
        <f>Deployments!BL235</f>
        <v/>
      </c>
      <c r="P234" s="2">
        <f>Deployments!BA235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Deployments!H236</f>
        <v>0</v>
      </c>
      <c r="B235" s="23">
        <f>Deployments!V236</f>
        <v>0</v>
      </c>
      <c r="C235" s="23">
        <f>Deployments!W236</f>
        <v>0</v>
      </c>
      <c r="D235" s="15">
        <f>Deployments!AJ236</f>
        <v>0</v>
      </c>
      <c r="E235" s="15">
        <f>Deployments!N236</f>
        <v>0</v>
      </c>
      <c r="F235" s="23">
        <f>Deployments!O236</f>
        <v>0</v>
      </c>
      <c r="G235" s="15">
        <f>Deployments!P236</f>
        <v>0</v>
      </c>
      <c r="H235" s="15">
        <f>'13 - Config_Intake_View'!M235</f>
        <v>0</v>
      </c>
      <c r="I235" s="23">
        <f>IF('13 - Config_Intake_View'!Q235&lt;&gt;"",'13 - Config_Intake_View'!Q235,Deployments!BH236)</f>
        <v>0</v>
      </c>
      <c r="J235" s="15" t="str">
        <f>IF('13 - Config_Intake_View'!Q235&lt;&gt;"","PM Approved",IF(Deployments!BH236&lt;&gt;"","Assumed",""))</f>
        <v/>
      </c>
      <c r="K235" s="23">
        <f>Deployments!BG236</f>
        <v>0</v>
      </c>
      <c r="L235" s="15">
        <f>Deployments!T236</f>
        <v>0</v>
      </c>
      <c r="M235" s="15">
        <f>Deployments!L236</f>
        <v>0</v>
      </c>
      <c r="N235" s="15" t="str">
        <f>Deployments!BK236</f>
        <v/>
      </c>
      <c r="O235" s="23" t="str">
        <f>Deployments!BL236</f>
        <v/>
      </c>
      <c r="P235" s="2">
        <f>Deployments!BA236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Deployments!H237</f>
        <v>0</v>
      </c>
      <c r="B236" s="23">
        <f>Deployments!V237</f>
        <v>0</v>
      </c>
      <c r="C236" s="23">
        <f>Deployments!W237</f>
        <v>0</v>
      </c>
      <c r="D236" s="15">
        <f>Deployments!AJ237</f>
        <v>0</v>
      </c>
      <c r="E236" s="15">
        <f>Deployments!N237</f>
        <v>0</v>
      </c>
      <c r="F236" s="23">
        <f>Deployments!O237</f>
        <v>0</v>
      </c>
      <c r="G236" s="15">
        <f>Deployments!P237</f>
        <v>0</v>
      </c>
      <c r="H236" s="15">
        <f>'13 - Config_Intake_View'!M236</f>
        <v>0</v>
      </c>
      <c r="I236" s="23">
        <f>IF('13 - Config_Intake_View'!Q236&lt;&gt;"",'13 - Config_Intake_View'!Q236,Deployments!BH237)</f>
        <v>0</v>
      </c>
      <c r="J236" s="15" t="str">
        <f>IF('13 - Config_Intake_View'!Q236&lt;&gt;"","PM Approved",IF(Deployments!BH237&lt;&gt;"","Assumed",""))</f>
        <v/>
      </c>
      <c r="K236" s="23">
        <f>Deployments!BG237</f>
        <v>0</v>
      </c>
      <c r="L236" s="15">
        <f>Deployments!T237</f>
        <v>0</v>
      </c>
      <c r="M236" s="15">
        <f>Deployments!L237</f>
        <v>0</v>
      </c>
      <c r="N236" s="15" t="str">
        <f>Deployments!BK237</f>
        <v/>
      </c>
      <c r="O236" s="23" t="str">
        <f>Deployments!BL237</f>
        <v/>
      </c>
      <c r="P236" s="2">
        <f>Deployments!BA237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Deployments!H238</f>
        <v>0</v>
      </c>
      <c r="B237" s="23">
        <f>Deployments!V238</f>
        <v>0</v>
      </c>
      <c r="C237" s="23">
        <f>Deployments!W238</f>
        <v>0</v>
      </c>
      <c r="D237" s="15">
        <f>Deployments!AJ238</f>
        <v>0</v>
      </c>
      <c r="E237" s="15">
        <f>Deployments!N238</f>
        <v>0</v>
      </c>
      <c r="F237" s="23">
        <f>Deployments!O238</f>
        <v>0</v>
      </c>
      <c r="G237" s="15">
        <f>Deployments!P238</f>
        <v>0</v>
      </c>
      <c r="H237" s="15">
        <f>'13 - Config_Intake_View'!M237</f>
        <v>0</v>
      </c>
      <c r="I237" s="23">
        <f>IF('13 - Config_Intake_View'!Q237&lt;&gt;"",'13 - Config_Intake_View'!Q237,Deployments!BH238)</f>
        <v>0</v>
      </c>
      <c r="J237" s="15" t="str">
        <f>IF('13 - Config_Intake_View'!Q237&lt;&gt;"","PM Approved",IF(Deployments!BH238&lt;&gt;"","Assumed",""))</f>
        <v/>
      </c>
      <c r="K237" s="23">
        <f>Deployments!BG238</f>
        <v>0</v>
      </c>
      <c r="L237" s="15">
        <f>Deployments!T238</f>
        <v>0</v>
      </c>
      <c r="M237" s="15">
        <f>Deployments!L238</f>
        <v>0</v>
      </c>
      <c r="N237" s="15" t="str">
        <f>Deployments!BK238</f>
        <v/>
      </c>
      <c r="O237" s="23" t="str">
        <f>Deployments!BL238</f>
        <v/>
      </c>
      <c r="P237" s="2">
        <f>Deployments!BA238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Deployments!H239</f>
        <v>0</v>
      </c>
      <c r="B238" s="23">
        <f>Deployments!V239</f>
        <v>0</v>
      </c>
      <c r="C238" s="23">
        <f>Deployments!W239</f>
        <v>0</v>
      </c>
      <c r="D238" s="15">
        <f>Deployments!AJ239</f>
        <v>0</v>
      </c>
      <c r="E238" s="15">
        <f>Deployments!N239</f>
        <v>0</v>
      </c>
      <c r="F238" s="23">
        <f>Deployments!O239</f>
        <v>0</v>
      </c>
      <c r="G238" s="15">
        <f>Deployments!P239</f>
        <v>0</v>
      </c>
      <c r="H238" s="15">
        <f>'13 - Config_Intake_View'!M238</f>
        <v>0</v>
      </c>
      <c r="I238" s="23">
        <f>IF('13 - Config_Intake_View'!Q238&lt;&gt;"",'13 - Config_Intake_View'!Q238,Deployments!BH239)</f>
        <v>0</v>
      </c>
      <c r="J238" s="15" t="str">
        <f>IF('13 - Config_Intake_View'!Q238&lt;&gt;"","PM Approved",IF(Deployments!BH239&lt;&gt;"","Assumed",""))</f>
        <v/>
      </c>
      <c r="K238" s="23">
        <f>Deployments!BG239</f>
        <v>0</v>
      </c>
      <c r="L238" s="15">
        <f>Deployments!T239</f>
        <v>0</v>
      </c>
      <c r="M238" s="15">
        <f>Deployments!L239</f>
        <v>0</v>
      </c>
      <c r="N238" s="15" t="str">
        <f>Deployments!BK239</f>
        <v/>
      </c>
      <c r="O238" s="23" t="str">
        <f>Deployments!BL239</f>
        <v/>
      </c>
      <c r="P238" s="2">
        <f>Deployments!BA239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Deployments!H240</f>
        <v>0</v>
      </c>
      <c r="B239" s="23">
        <f>Deployments!V240</f>
        <v>0</v>
      </c>
      <c r="C239" s="23">
        <f>Deployments!W240</f>
        <v>0</v>
      </c>
      <c r="D239" s="15">
        <f>Deployments!AJ240</f>
        <v>0</v>
      </c>
      <c r="E239" s="15">
        <f>Deployments!N240</f>
        <v>0</v>
      </c>
      <c r="F239" s="23">
        <f>Deployments!O240</f>
        <v>0</v>
      </c>
      <c r="G239" s="15">
        <f>Deployments!P240</f>
        <v>0</v>
      </c>
      <c r="H239" s="15">
        <f>'13 - Config_Intake_View'!M239</f>
        <v>0</v>
      </c>
      <c r="I239" s="23">
        <f>IF('13 - Config_Intake_View'!Q239&lt;&gt;"",'13 - Config_Intake_View'!Q239,Deployments!BH240)</f>
        <v>0</v>
      </c>
      <c r="J239" s="15" t="str">
        <f>IF('13 - Config_Intake_View'!Q239&lt;&gt;"","PM Approved",IF(Deployments!BH240&lt;&gt;"","Assumed",""))</f>
        <v/>
      </c>
      <c r="K239" s="23">
        <f>Deployments!BG240</f>
        <v>0</v>
      </c>
      <c r="L239" s="15">
        <f>Deployments!T240</f>
        <v>0</v>
      </c>
      <c r="M239" s="15">
        <f>Deployments!L240</f>
        <v>0</v>
      </c>
      <c r="N239" s="15" t="str">
        <f>Deployments!BK240</f>
        <v/>
      </c>
      <c r="O239" s="23" t="str">
        <f>Deployments!BL240</f>
        <v/>
      </c>
      <c r="P239" s="2">
        <f>Deployments!BA240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Deployments!H241</f>
        <v>0</v>
      </c>
      <c r="B240" s="23">
        <f>Deployments!V241</f>
        <v>0</v>
      </c>
      <c r="C240" s="23">
        <f>Deployments!W241</f>
        <v>0</v>
      </c>
      <c r="D240" s="15">
        <f>Deployments!AJ241</f>
        <v>0</v>
      </c>
      <c r="E240" s="15">
        <f>Deployments!N241</f>
        <v>0</v>
      </c>
      <c r="F240" s="23">
        <f>Deployments!O241</f>
        <v>0</v>
      </c>
      <c r="G240" s="15">
        <f>Deployments!P241</f>
        <v>0</v>
      </c>
      <c r="H240" s="15">
        <f>'13 - Config_Intake_View'!M240</f>
        <v>0</v>
      </c>
      <c r="I240" s="23">
        <f>IF('13 - Config_Intake_View'!Q240&lt;&gt;"",'13 - Config_Intake_View'!Q240,Deployments!BH241)</f>
        <v>0</v>
      </c>
      <c r="J240" s="15" t="str">
        <f>IF('13 - Config_Intake_View'!Q240&lt;&gt;"","PM Approved",IF(Deployments!BH241&lt;&gt;"","Assumed",""))</f>
        <v/>
      </c>
      <c r="K240" s="23">
        <f>Deployments!BG241</f>
        <v>0</v>
      </c>
      <c r="L240" s="15">
        <f>Deployments!T241</f>
        <v>0</v>
      </c>
      <c r="M240" s="15">
        <f>Deployments!L241</f>
        <v>0</v>
      </c>
      <c r="N240" s="15" t="str">
        <f>Deployments!BK241</f>
        <v/>
      </c>
      <c r="O240" s="23" t="str">
        <f>Deployments!BL241</f>
        <v/>
      </c>
      <c r="P240" s="2">
        <f>Deployments!BA241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Deployments!H242</f>
        <v>0</v>
      </c>
      <c r="B241" s="23">
        <f>Deployments!V242</f>
        <v>0</v>
      </c>
      <c r="C241" s="23">
        <f>Deployments!W242</f>
        <v>0</v>
      </c>
      <c r="D241" s="15">
        <f>Deployments!AJ242</f>
        <v>0</v>
      </c>
      <c r="E241" s="15">
        <f>Deployments!N242</f>
        <v>0</v>
      </c>
      <c r="F241" s="23">
        <f>Deployments!O242</f>
        <v>0</v>
      </c>
      <c r="G241" s="15">
        <f>Deployments!P242</f>
        <v>0</v>
      </c>
      <c r="H241" s="15">
        <f>'13 - Config_Intake_View'!M241</f>
        <v>0</v>
      </c>
      <c r="I241" s="23">
        <f>IF('13 - Config_Intake_View'!Q241&lt;&gt;"",'13 - Config_Intake_View'!Q241,Deployments!BH242)</f>
        <v>0</v>
      </c>
      <c r="J241" s="15" t="str">
        <f>IF('13 - Config_Intake_View'!Q241&lt;&gt;"","PM Approved",IF(Deployments!BH242&lt;&gt;"","Assumed",""))</f>
        <v/>
      </c>
      <c r="K241" s="23">
        <f>Deployments!BG242</f>
        <v>0</v>
      </c>
      <c r="L241" s="15">
        <f>Deployments!T242</f>
        <v>0</v>
      </c>
      <c r="M241" s="15">
        <f>Deployments!L242</f>
        <v>0</v>
      </c>
      <c r="N241" s="15" t="str">
        <f>Deployments!BK242</f>
        <v/>
      </c>
      <c r="O241" s="23" t="str">
        <f>Deployments!BL242</f>
        <v/>
      </c>
      <c r="P241" s="2">
        <f>Deployments!BA242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Deployments!H243</f>
        <v>0</v>
      </c>
      <c r="B242" s="23">
        <f>Deployments!V243</f>
        <v>0</v>
      </c>
      <c r="C242" s="23">
        <f>Deployments!W243</f>
        <v>0</v>
      </c>
      <c r="D242" s="15">
        <f>Deployments!AJ243</f>
        <v>0</v>
      </c>
      <c r="E242" s="15">
        <f>Deployments!N243</f>
        <v>0</v>
      </c>
      <c r="F242" s="23">
        <f>Deployments!O243</f>
        <v>0</v>
      </c>
      <c r="G242" s="15">
        <f>Deployments!P243</f>
        <v>0</v>
      </c>
      <c r="H242" s="15">
        <f>'13 - Config_Intake_View'!M242</f>
        <v>0</v>
      </c>
      <c r="I242" s="23">
        <f>IF('13 - Config_Intake_View'!Q242&lt;&gt;"",'13 - Config_Intake_View'!Q242,Deployments!BH243)</f>
        <v>0</v>
      </c>
      <c r="J242" s="15" t="str">
        <f>IF('13 - Config_Intake_View'!Q242&lt;&gt;"","PM Approved",IF(Deployments!BH243&lt;&gt;"","Assumed",""))</f>
        <v/>
      </c>
      <c r="K242" s="23">
        <f>Deployments!BG243</f>
        <v>0</v>
      </c>
      <c r="L242" s="15">
        <f>Deployments!T243</f>
        <v>0</v>
      </c>
      <c r="M242" s="15">
        <f>Deployments!L243</f>
        <v>0</v>
      </c>
      <c r="N242" s="15" t="str">
        <f>Deployments!BK243</f>
        <v/>
      </c>
      <c r="O242" s="23" t="str">
        <f>Deployments!BL243</f>
        <v/>
      </c>
      <c r="P242" s="2">
        <f>Deployments!BA243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Deployments!H244</f>
        <v>0</v>
      </c>
      <c r="B243" s="23">
        <f>Deployments!V244</f>
        <v>0</v>
      </c>
      <c r="C243" s="23">
        <f>Deployments!W244</f>
        <v>0</v>
      </c>
      <c r="D243" s="15">
        <f>Deployments!AJ244</f>
        <v>0</v>
      </c>
      <c r="E243" s="15">
        <f>Deployments!N244</f>
        <v>0</v>
      </c>
      <c r="F243" s="23">
        <f>Deployments!O244</f>
        <v>0</v>
      </c>
      <c r="G243" s="15">
        <f>Deployments!P244</f>
        <v>0</v>
      </c>
      <c r="H243" s="15">
        <f>'13 - Config_Intake_View'!M243</f>
        <v>0</v>
      </c>
      <c r="I243" s="23">
        <f>IF('13 - Config_Intake_View'!Q243&lt;&gt;"",'13 - Config_Intake_View'!Q243,Deployments!BH244)</f>
        <v>0</v>
      </c>
      <c r="J243" s="15" t="str">
        <f>IF('13 - Config_Intake_View'!Q243&lt;&gt;"","PM Approved",IF(Deployments!BH244&lt;&gt;"","Assumed",""))</f>
        <v/>
      </c>
      <c r="K243" s="23">
        <f>Deployments!BG244</f>
        <v>0</v>
      </c>
      <c r="L243" s="15">
        <f>Deployments!T244</f>
        <v>0</v>
      </c>
      <c r="M243" s="15">
        <f>Deployments!L244</f>
        <v>0</v>
      </c>
      <c r="N243" s="15" t="str">
        <f>Deployments!BK244</f>
        <v/>
      </c>
      <c r="O243" s="23" t="str">
        <f>Deployments!BL244</f>
        <v/>
      </c>
      <c r="P243" s="2">
        <f>Deployments!BA244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Deployments!H245</f>
        <v>0</v>
      </c>
      <c r="B244" s="23">
        <f>Deployments!V245</f>
        <v>0</v>
      </c>
      <c r="C244" s="23">
        <f>Deployments!W245</f>
        <v>0</v>
      </c>
      <c r="D244" s="15">
        <f>Deployments!AJ245</f>
        <v>0</v>
      </c>
      <c r="E244" s="15">
        <f>Deployments!N245</f>
        <v>0</v>
      </c>
      <c r="F244" s="23">
        <f>Deployments!O245</f>
        <v>0</v>
      </c>
      <c r="G244" s="15">
        <f>Deployments!P245</f>
        <v>0</v>
      </c>
      <c r="H244" s="15">
        <f>'13 - Config_Intake_View'!M244</f>
        <v>0</v>
      </c>
      <c r="I244" s="23">
        <f>IF('13 - Config_Intake_View'!Q244&lt;&gt;"",'13 - Config_Intake_View'!Q244,Deployments!BH245)</f>
        <v>0</v>
      </c>
      <c r="J244" s="15" t="str">
        <f>IF('13 - Config_Intake_View'!Q244&lt;&gt;"","PM Approved",IF(Deployments!BH245&lt;&gt;"","Assumed",""))</f>
        <v/>
      </c>
      <c r="K244" s="23">
        <f>Deployments!BG245</f>
        <v>0</v>
      </c>
      <c r="L244" s="15">
        <f>Deployments!T245</f>
        <v>0</v>
      </c>
      <c r="M244" s="15">
        <f>Deployments!L245</f>
        <v>0</v>
      </c>
      <c r="N244" s="15" t="str">
        <f>Deployments!BK245</f>
        <v/>
      </c>
      <c r="O244" s="23" t="str">
        <f>Deployments!BL245</f>
        <v/>
      </c>
      <c r="P244" s="2">
        <f>Deployments!BA245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Deployments!H246</f>
        <v>0</v>
      </c>
      <c r="B245" s="23">
        <f>Deployments!V246</f>
        <v>0</v>
      </c>
      <c r="C245" s="23">
        <f>Deployments!W246</f>
        <v>0</v>
      </c>
      <c r="D245" s="15">
        <f>Deployments!AJ246</f>
        <v>0</v>
      </c>
      <c r="E245" s="15">
        <f>Deployments!N246</f>
        <v>0</v>
      </c>
      <c r="F245" s="23">
        <f>Deployments!O246</f>
        <v>0</v>
      </c>
      <c r="G245" s="15">
        <f>Deployments!P246</f>
        <v>0</v>
      </c>
      <c r="H245" s="15">
        <f>'13 - Config_Intake_View'!M245</f>
        <v>0</v>
      </c>
      <c r="I245" s="23">
        <f>IF('13 - Config_Intake_View'!Q245&lt;&gt;"",'13 - Config_Intake_View'!Q245,Deployments!BH246)</f>
        <v>0</v>
      </c>
      <c r="J245" s="15" t="str">
        <f>IF('13 - Config_Intake_View'!Q245&lt;&gt;"","PM Approved",IF(Deployments!BH246&lt;&gt;"","Assumed",""))</f>
        <v/>
      </c>
      <c r="K245" s="23">
        <f>Deployments!BG246</f>
        <v>0</v>
      </c>
      <c r="L245" s="15">
        <f>Deployments!T246</f>
        <v>0</v>
      </c>
      <c r="M245" s="15">
        <f>Deployments!L246</f>
        <v>0</v>
      </c>
      <c r="N245" s="15" t="str">
        <f>Deployments!BK246</f>
        <v/>
      </c>
      <c r="O245" s="23" t="str">
        <f>Deployments!BL246</f>
        <v/>
      </c>
      <c r="P245" s="2">
        <f>Deployments!BA246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Deployments!H247</f>
        <v>0</v>
      </c>
      <c r="B246" s="23">
        <f>Deployments!V247</f>
        <v>0</v>
      </c>
      <c r="C246" s="23">
        <f>Deployments!W247</f>
        <v>0</v>
      </c>
      <c r="D246" s="15">
        <f>Deployments!AJ247</f>
        <v>0</v>
      </c>
      <c r="E246" s="15">
        <f>Deployments!N247</f>
        <v>0</v>
      </c>
      <c r="F246" s="23">
        <f>Deployments!O247</f>
        <v>0</v>
      </c>
      <c r="G246" s="15">
        <f>Deployments!P247</f>
        <v>0</v>
      </c>
      <c r="H246" s="15">
        <f>'13 - Config_Intake_View'!M246</f>
        <v>0</v>
      </c>
      <c r="I246" s="23">
        <f>IF('13 - Config_Intake_View'!Q246&lt;&gt;"",'13 - Config_Intake_View'!Q246,Deployments!BH247)</f>
        <v>0</v>
      </c>
      <c r="J246" s="15" t="str">
        <f>IF('13 - Config_Intake_View'!Q246&lt;&gt;"","PM Approved",IF(Deployments!BH247&lt;&gt;"","Assumed",""))</f>
        <v/>
      </c>
      <c r="K246" s="23">
        <f>Deployments!BG247</f>
        <v>0</v>
      </c>
      <c r="L246" s="15">
        <f>Deployments!T247</f>
        <v>0</v>
      </c>
      <c r="M246" s="15">
        <f>Deployments!L247</f>
        <v>0</v>
      </c>
      <c r="N246" s="15" t="str">
        <f>Deployments!BK247</f>
        <v/>
      </c>
      <c r="O246" s="23" t="str">
        <f>Deployments!BL247</f>
        <v/>
      </c>
      <c r="P246" s="2">
        <f>Deployments!BA247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Deployments!H248</f>
        <v>0</v>
      </c>
      <c r="B247" s="23">
        <f>Deployments!V248</f>
        <v>0</v>
      </c>
      <c r="C247" s="23">
        <f>Deployments!W248</f>
        <v>0</v>
      </c>
      <c r="D247" s="15">
        <f>Deployments!AJ248</f>
        <v>0</v>
      </c>
      <c r="E247" s="15">
        <f>Deployments!N248</f>
        <v>0</v>
      </c>
      <c r="F247" s="23">
        <f>Deployments!O248</f>
        <v>0</v>
      </c>
      <c r="G247" s="15">
        <f>Deployments!P248</f>
        <v>0</v>
      </c>
      <c r="H247" s="15">
        <f>'13 - Config_Intake_View'!M247</f>
        <v>0</v>
      </c>
      <c r="I247" s="23">
        <f>IF('13 - Config_Intake_View'!Q247&lt;&gt;"",'13 - Config_Intake_View'!Q247,Deployments!BH248)</f>
        <v>0</v>
      </c>
      <c r="J247" s="15" t="str">
        <f>IF('13 - Config_Intake_View'!Q247&lt;&gt;"","PM Approved",IF(Deployments!BH248&lt;&gt;"","Assumed",""))</f>
        <v/>
      </c>
      <c r="K247" s="23">
        <f>Deployments!BG248</f>
        <v>0</v>
      </c>
      <c r="L247" s="15">
        <f>Deployments!T248</f>
        <v>0</v>
      </c>
      <c r="M247" s="15">
        <f>Deployments!L248</f>
        <v>0</v>
      </c>
      <c r="N247" s="15" t="str">
        <f>Deployments!BK248</f>
        <v/>
      </c>
      <c r="O247" s="23" t="str">
        <f>Deployments!BL248</f>
        <v/>
      </c>
      <c r="P247" s="2">
        <f>Deployments!BA248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Deployments!H249</f>
        <v>0</v>
      </c>
      <c r="B248" s="23">
        <f>Deployments!V249</f>
        <v>0</v>
      </c>
      <c r="C248" s="23">
        <f>Deployments!W249</f>
        <v>0</v>
      </c>
      <c r="D248" s="15">
        <f>Deployments!AJ249</f>
        <v>0</v>
      </c>
      <c r="E248" s="15">
        <f>Deployments!N249</f>
        <v>0</v>
      </c>
      <c r="F248" s="23">
        <f>Deployments!O249</f>
        <v>0</v>
      </c>
      <c r="G248" s="15">
        <f>Deployments!P249</f>
        <v>0</v>
      </c>
      <c r="H248" s="15">
        <f>'13 - Config_Intake_View'!M248</f>
        <v>0</v>
      </c>
      <c r="I248" s="23">
        <f>IF('13 - Config_Intake_View'!Q248&lt;&gt;"",'13 - Config_Intake_View'!Q248,Deployments!BH249)</f>
        <v>0</v>
      </c>
      <c r="J248" s="15" t="str">
        <f>IF('13 - Config_Intake_View'!Q248&lt;&gt;"","PM Approved",IF(Deployments!BH249&lt;&gt;"","Assumed",""))</f>
        <v/>
      </c>
      <c r="K248" s="23">
        <f>Deployments!BG249</f>
        <v>0</v>
      </c>
      <c r="L248" s="15">
        <f>Deployments!T249</f>
        <v>0</v>
      </c>
      <c r="M248" s="15">
        <f>Deployments!L249</f>
        <v>0</v>
      </c>
      <c r="N248" s="15" t="str">
        <f>Deployments!BK249</f>
        <v/>
      </c>
      <c r="O248" s="23" t="str">
        <f>Deployments!BL249</f>
        <v/>
      </c>
      <c r="P248" s="2">
        <f>Deployments!BA249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Deployments!H250</f>
        <v>0</v>
      </c>
      <c r="B249" s="23">
        <f>Deployments!V250</f>
        <v>0</v>
      </c>
      <c r="C249" s="23">
        <f>Deployments!W250</f>
        <v>0</v>
      </c>
      <c r="D249" s="15">
        <f>Deployments!AJ250</f>
        <v>0</v>
      </c>
      <c r="E249" s="15">
        <f>Deployments!N250</f>
        <v>0</v>
      </c>
      <c r="F249" s="23">
        <f>Deployments!O250</f>
        <v>0</v>
      </c>
      <c r="G249" s="15">
        <f>Deployments!P250</f>
        <v>0</v>
      </c>
      <c r="H249" s="15">
        <f>'13 - Config_Intake_View'!M249</f>
        <v>0</v>
      </c>
      <c r="I249" s="23">
        <f>IF('13 - Config_Intake_View'!Q249&lt;&gt;"",'13 - Config_Intake_View'!Q249,Deployments!BH250)</f>
        <v>0</v>
      </c>
      <c r="J249" s="15" t="str">
        <f>IF('13 - Config_Intake_View'!Q249&lt;&gt;"","PM Approved",IF(Deployments!BH250&lt;&gt;"","Assumed",""))</f>
        <v/>
      </c>
      <c r="K249" s="23">
        <f>Deployments!BG250</f>
        <v>0</v>
      </c>
      <c r="L249" s="15">
        <f>Deployments!T250</f>
        <v>0</v>
      </c>
      <c r="M249" s="15">
        <f>Deployments!L250</f>
        <v>0</v>
      </c>
      <c r="N249" s="15" t="str">
        <f>Deployments!BK250</f>
        <v/>
      </c>
      <c r="O249" s="23" t="str">
        <f>Deployments!BL250</f>
        <v/>
      </c>
      <c r="P249" s="2">
        <f>Deployments!BA250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Deployments!H251</f>
        <v>0</v>
      </c>
      <c r="B250" s="23">
        <f>Deployments!V251</f>
        <v>0</v>
      </c>
      <c r="C250" s="23">
        <f>Deployments!W251</f>
        <v>0</v>
      </c>
      <c r="D250" s="15">
        <f>Deployments!AJ251</f>
        <v>0</v>
      </c>
      <c r="E250" s="15">
        <f>Deployments!N251</f>
        <v>0</v>
      </c>
      <c r="F250" s="23">
        <f>Deployments!O251</f>
        <v>0</v>
      </c>
      <c r="G250" s="15">
        <f>Deployments!P251</f>
        <v>0</v>
      </c>
      <c r="H250" s="15">
        <f>'13 - Config_Intake_View'!M250</f>
        <v>0</v>
      </c>
      <c r="I250" s="23">
        <f>IF('13 - Config_Intake_View'!Q250&lt;&gt;"",'13 - Config_Intake_View'!Q250,Deployments!BH251)</f>
        <v>0</v>
      </c>
      <c r="J250" s="15" t="str">
        <f>IF('13 - Config_Intake_View'!Q250&lt;&gt;"","PM Approved",IF(Deployments!BH251&lt;&gt;"","Assumed",""))</f>
        <v/>
      </c>
      <c r="K250" s="23">
        <f>Deployments!BG251</f>
        <v>0</v>
      </c>
      <c r="L250" s="15">
        <f>Deployments!T251</f>
        <v>0</v>
      </c>
      <c r="M250" s="15">
        <f>Deployments!L251</f>
        <v>0</v>
      </c>
      <c r="N250" s="15" t="str">
        <f>Deployments!BK251</f>
        <v/>
      </c>
      <c r="O250" s="23" t="str">
        <f>Deployments!BL251</f>
        <v/>
      </c>
      <c r="P250" s="2">
        <f>Deployments!BA251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Deployments!H252</f>
        <v>0</v>
      </c>
      <c r="B251" s="23">
        <f>Deployments!V252</f>
        <v>0</v>
      </c>
      <c r="C251" s="23">
        <f>Deployments!W252</f>
        <v>0</v>
      </c>
      <c r="D251" s="15">
        <f>Deployments!AJ252</f>
        <v>0</v>
      </c>
      <c r="E251" s="15">
        <f>Deployments!N252</f>
        <v>0</v>
      </c>
      <c r="F251" s="23">
        <f>Deployments!O252</f>
        <v>0</v>
      </c>
      <c r="G251" s="15">
        <f>Deployments!P252</f>
        <v>0</v>
      </c>
      <c r="H251" s="15">
        <f>'13 - Config_Intake_View'!M251</f>
        <v>0</v>
      </c>
      <c r="I251" s="23">
        <f>IF('13 - Config_Intake_View'!Q251&lt;&gt;"",'13 - Config_Intake_View'!Q251,Deployments!BH252)</f>
        <v>0</v>
      </c>
      <c r="J251" s="15" t="str">
        <f>IF('13 - Config_Intake_View'!Q251&lt;&gt;"","PM Approved",IF(Deployments!BH252&lt;&gt;"","Assumed",""))</f>
        <v/>
      </c>
      <c r="K251" s="23">
        <f>Deployments!BG252</f>
        <v>0</v>
      </c>
      <c r="L251" s="15">
        <f>Deployments!T252</f>
        <v>0</v>
      </c>
      <c r="M251" s="15">
        <f>Deployments!L252</f>
        <v>0</v>
      </c>
      <c r="N251" s="15" t="str">
        <f>Deployments!BK252</f>
        <v/>
      </c>
      <c r="O251" s="23" t="str">
        <f>Deployments!BL252</f>
        <v/>
      </c>
      <c r="P251" s="2">
        <f>Deployments!BA252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Deployments!H253</f>
        <v>0</v>
      </c>
      <c r="B252" s="23">
        <f>Deployments!V253</f>
        <v>0</v>
      </c>
      <c r="C252" s="23">
        <f>Deployments!W253</f>
        <v>0</v>
      </c>
      <c r="D252" s="15">
        <f>Deployments!AJ253</f>
        <v>0</v>
      </c>
      <c r="E252" s="15">
        <f>Deployments!N253</f>
        <v>0</v>
      </c>
      <c r="F252" s="23">
        <f>Deployments!O253</f>
        <v>0</v>
      </c>
      <c r="G252" s="15">
        <f>Deployments!P253</f>
        <v>0</v>
      </c>
      <c r="H252" s="15">
        <f>'13 - Config_Intake_View'!M252</f>
        <v>0</v>
      </c>
      <c r="I252" s="23">
        <f>IF('13 - Config_Intake_View'!Q252&lt;&gt;"",'13 - Config_Intake_View'!Q252,Deployments!BH253)</f>
        <v>0</v>
      </c>
      <c r="J252" s="15" t="str">
        <f>IF('13 - Config_Intake_View'!Q252&lt;&gt;"","PM Approved",IF(Deployments!BH253&lt;&gt;"","Assumed",""))</f>
        <v/>
      </c>
      <c r="K252" s="23">
        <f>Deployments!BG253</f>
        <v>0</v>
      </c>
      <c r="L252" s="15">
        <f>Deployments!T253</f>
        <v>0</v>
      </c>
      <c r="M252" s="15">
        <f>Deployments!L253</f>
        <v>0</v>
      </c>
      <c r="N252" s="15" t="str">
        <f>Deployments!BK253</f>
        <v/>
      </c>
      <c r="O252" s="23" t="str">
        <f>Deployments!BL253</f>
        <v/>
      </c>
      <c r="P252" s="2">
        <f>Deployments!BA253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Deployments!H254</f>
        <v>0</v>
      </c>
      <c r="B253" s="23">
        <f>Deployments!V254</f>
        <v>0</v>
      </c>
      <c r="C253" s="23">
        <f>Deployments!W254</f>
        <v>0</v>
      </c>
      <c r="D253" s="15">
        <f>Deployments!AJ254</f>
        <v>0</v>
      </c>
      <c r="E253" s="15">
        <f>Deployments!N254</f>
        <v>0</v>
      </c>
      <c r="F253" s="23">
        <f>Deployments!O254</f>
        <v>0</v>
      </c>
      <c r="G253" s="15">
        <f>Deployments!P254</f>
        <v>0</v>
      </c>
      <c r="H253" s="15">
        <f>'13 - Config_Intake_View'!M253</f>
        <v>0</v>
      </c>
      <c r="I253" s="23">
        <f>IF('13 - Config_Intake_View'!Q253&lt;&gt;"",'13 - Config_Intake_View'!Q253,Deployments!BH254)</f>
        <v>0</v>
      </c>
      <c r="J253" s="15" t="str">
        <f>IF('13 - Config_Intake_View'!Q253&lt;&gt;"","PM Approved",IF(Deployments!BH254&lt;&gt;"","Assumed",""))</f>
        <v/>
      </c>
      <c r="K253" s="23">
        <f>Deployments!BG254</f>
        <v>0</v>
      </c>
      <c r="L253" s="15">
        <f>Deployments!T254</f>
        <v>0</v>
      </c>
      <c r="M253" s="15">
        <f>Deployments!L254</f>
        <v>0</v>
      </c>
      <c r="N253" s="15" t="str">
        <f>Deployments!BK254</f>
        <v/>
      </c>
      <c r="O253" s="23" t="str">
        <f>Deployments!BL254</f>
        <v/>
      </c>
      <c r="P253" s="2">
        <f>Deployments!BA254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Deployments!H255</f>
        <v>0</v>
      </c>
      <c r="B254" s="23">
        <f>Deployments!V255</f>
        <v>0</v>
      </c>
      <c r="C254" s="23">
        <f>Deployments!W255</f>
        <v>0</v>
      </c>
      <c r="D254" s="15">
        <f>Deployments!AJ255</f>
        <v>0</v>
      </c>
      <c r="E254" s="15">
        <f>Deployments!N255</f>
        <v>0</v>
      </c>
      <c r="F254" s="23">
        <f>Deployments!O255</f>
        <v>0</v>
      </c>
      <c r="G254" s="15">
        <f>Deployments!P255</f>
        <v>0</v>
      </c>
      <c r="H254" s="15">
        <f>'13 - Config_Intake_View'!M254</f>
        <v>0</v>
      </c>
      <c r="I254" s="23">
        <f>IF('13 - Config_Intake_View'!Q254&lt;&gt;"",'13 - Config_Intake_View'!Q254,Deployments!BH255)</f>
        <v>0</v>
      </c>
      <c r="J254" s="15" t="str">
        <f>IF('13 - Config_Intake_View'!Q254&lt;&gt;"","PM Approved",IF(Deployments!BH255&lt;&gt;"","Assumed",""))</f>
        <v/>
      </c>
      <c r="K254" s="23">
        <f>Deployments!BG255</f>
        <v>0</v>
      </c>
      <c r="L254" s="15">
        <f>Deployments!T255</f>
        <v>0</v>
      </c>
      <c r="M254" s="15">
        <f>Deployments!L255</f>
        <v>0</v>
      </c>
      <c r="N254" s="15" t="str">
        <f>Deployments!BK255</f>
        <v/>
      </c>
      <c r="O254" s="23" t="str">
        <f>Deployments!BL255</f>
        <v/>
      </c>
      <c r="P254" s="2">
        <f>Deployments!BA255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Deployments!H256</f>
        <v>0</v>
      </c>
      <c r="B255" s="23">
        <f>Deployments!V256</f>
        <v>0</v>
      </c>
      <c r="C255" s="23">
        <f>Deployments!W256</f>
        <v>0</v>
      </c>
      <c r="D255" s="15">
        <f>Deployments!AJ256</f>
        <v>0</v>
      </c>
      <c r="E255" s="15">
        <f>Deployments!N256</f>
        <v>0</v>
      </c>
      <c r="F255" s="23">
        <f>Deployments!O256</f>
        <v>0</v>
      </c>
      <c r="G255" s="15">
        <f>Deployments!P256</f>
        <v>0</v>
      </c>
      <c r="H255" s="15">
        <f>'13 - Config_Intake_View'!M255</f>
        <v>0</v>
      </c>
      <c r="I255" s="23">
        <f>IF('13 - Config_Intake_View'!Q255&lt;&gt;"",'13 - Config_Intake_View'!Q255,Deployments!BH256)</f>
        <v>0</v>
      </c>
      <c r="J255" s="15" t="str">
        <f>IF('13 - Config_Intake_View'!Q255&lt;&gt;"","PM Approved",IF(Deployments!BH256&lt;&gt;"","Assumed",""))</f>
        <v/>
      </c>
      <c r="K255" s="23">
        <f>Deployments!BG256</f>
        <v>0</v>
      </c>
      <c r="L255" s="15">
        <f>Deployments!T256</f>
        <v>0</v>
      </c>
      <c r="M255" s="15">
        <f>Deployments!L256</f>
        <v>0</v>
      </c>
      <c r="N255" s="15" t="str">
        <f>Deployments!BK256</f>
        <v/>
      </c>
      <c r="O255" s="23" t="str">
        <f>Deployments!BL256</f>
        <v/>
      </c>
      <c r="P255" s="2">
        <f>Deployments!BA256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Deployments!H257</f>
        <v>0</v>
      </c>
      <c r="B256" s="23">
        <f>Deployments!V257</f>
        <v>0</v>
      </c>
      <c r="C256" s="23">
        <f>Deployments!W257</f>
        <v>0</v>
      </c>
      <c r="D256" s="15">
        <f>Deployments!AJ257</f>
        <v>0</v>
      </c>
      <c r="E256" s="15">
        <f>Deployments!N257</f>
        <v>0</v>
      </c>
      <c r="F256" s="23">
        <f>Deployments!O257</f>
        <v>0</v>
      </c>
      <c r="G256" s="15">
        <f>Deployments!P257</f>
        <v>0</v>
      </c>
      <c r="H256" s="15">
        <f>'13 - Config_Intake_View'!M256</f>
        <v>0</v>
      </c>
      <c r="I256" s="23">
        <f>IF('13 - Config_Intake_View'!Q256&lt;&gt;"",'13 - Config_Intake_View'!Q256,Deployments!BH257)</f>
        <v>0</v>
      </c>
      <c r="J256" s="15" t="str">
        <f>IF('13 - Config_Intake_View'!Q256&lt;&gt;"","PM Approved",IF(Deployments!BH257&lt;&gt;"","Assumed",""))</f>
        <v/>
      </c>
      <c r="K256" s="23">
        <f>Deployments!BG257</f>
        <v>0</v>
      </c>
      <c r="L256" s="15">
        <f>Deployments!T257</f>
        <v>0</v>
      </c>
      <c r="M256" s="15">
        <f>Deployments!L257</f>
        <v>0</v>
      </c>
      <c r="N256" s="15" t="str">
        <f>Deployments!BK257</f>
        <v/>
      </c>
      <c r="O256" s="23" t="str">
        <f>Deployments!BL257</f>
        <v/>
      </c>
      <c r="P256" s="2">
        <f>Deployments!BA257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Deployments!H258</f>
        <v>0</v>
      </c>
      <c r="B257" s="23">
        <f>Deployments!V258</f>
        <v>0</v>
      </c>
      <c r="C257" s="23">
        <f>Deployments!W258</f>
        <v>0</v>
      </c>
      <c r="D257" s="15">
        <f>Deployments!AJ258</f>
        <v>0</v>
      </c>
      <c r="E257" s="15">
        <f>Deployments!N258</f>
        <v>0</v>
      </c>
      <c r="F257" s="23">
        <f>Deployments!O258</f>
        <v>0</v>
      </c>
      <c r="G257" s="15">
        <f>Deployments!P258</f>
        <v>0</v>
      </c>
      <c r="H257" s="15">
        <f>'13 - Config_Intake_View'!M257</f>
        <v>0</v>
      </c>
      <c r="I257" s="23">
        <f>IF('13 - Config_Intake_View'!Q257&lt;&gt;"",'13 - Config_Intake_View'!Q257,Deployments!BH258)</f>
        <v>0</v>
      </c>
      <c r="J257" s="15" t="str">
        <f>IF('13 - Config_Intake_View'!Q257&lt;&gt;"","PM Approved",IF(Deployments!BH258&lt;&gt;"","Assumed",""))</f>
        <v/>
      </c>
      <c r="K257" s="23">
        <f>Deployments!BG258</f>
        <v>0</v>
      </c>
      <c r="L257" s="15">
        <f>Deployments!T258</f>
        <v>0</v>
      </c>
      <c r="M257" s="15">
        <f>Deployments!L258</f>
        <v>0</v>
      </c>
      <c r="N257" s="15" t="str">
        <f>Deployments!BK258</f>
        <v/>
      </c>
      <c r="O257" s="23" t="str">
        <f>Deployments!BL258</f>
        <v/>
      </c>
      <c r="P257" s="2">
        <f>Deployments!BA258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Deployments!H259</f>
        <v>0</v>
      </c>
      <c r="B258" s="23">
        <f>Deployments!V259</f>
        <v>0</v>
      </c>
      <c r="C258" s="23">
        <f>Deployments!W259</f>
        <v>0</v>
      </c>
      <c r="D258" s="15">
        <f>Deployments!AJ259</f>
        <v>0</v>
      </c>
      <c r="E258" s="15">
        <f>Deployments!N259</f>
        <v>0</v>
      </c>
      <c r="F258" s="23">
        <f>Deployments!O259</f>
        <v>0</v>
      </c>
      <c r="G258" s="15">
        <f>Deployments!P259</f>
        <v>0</v>
      </c>
      <c r="H258" s="15">
        <f>'13 - Config_Intake_View'!M258</f>
        <v>0</v>
      </c>
      <c r="I258" s="23">
        <f>IF('13 - Config_Intake_View'!Q258&lt;&gt;"",'13 - Config_Intake_View'!Q258,Deployments!BH259)</f>
        <v>0</v>
      </c>
      <c r="J258" s="15" t="str">
        <f>IF('13 - Config_Intake_View'!Q258&lt;&gt;"","PM Approved",IF(Deployments!BH259&lt;&gt;"","Assumed",""))</f>
        <v/>
      </c>
      <c r="K258" s="23">
        <f>Deployments!BG259</f>
        <v>0</v>
      </c>
      <c r="L258" s="15">
        <f>Deployments!T259</f>
        <v>0</v>
      </c>
      <c r="M258" s="15">
        <f>Deployments!L259</f>
        <v>0</v>
      </c>
      <c r="N258" s="15" t="str">
        <f>Deployments!BK259</f>
        <v/>
      </c>
      <c r="O258" s="23" t="str">
        <f>Deployments!BL259</f>
        <v/>
      </c>
      <c r="P258" s="2">
        <f>Deployments!BA259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Deployments!H260</f>
        <v>0</v>
      </c>
      <c r="B259" s="23">
        <f>Deployments!V260</f>
        <v>0</v>
      </c>
      <c r="C259" s="23">
        <f>Deployments!W260</f>
        <v>0</v>
      </c>
      <c r="D259" s="15">
        <f>Deployments!AJ260</f>
        <v>0</v>
      </c>
      <c r="E259" s="15">
        <f>Deployments!N260</f>
        <v>0</v>
      </c>
      <c r="F259" s="23">
        <f>Deployments!O260</f>
        <v>0</v>
      </c>
      <c r="G259" s="15">
        <f>Deployments!P260</f>
        <v>0</v>
      </c>
      <c r="H259" s="15">
        <f>'13 - Config_Intake_View'!M259</f>
        <v>0</v>
      </c>
      <c r="I259" s="23">
        <f>IF('13 - Config_Intake_View'!Q259&lt;&gt;"",'13 - Config_Intake_View'!Q259,Deployments!BH260)</f>
        <v>0</v>
      </c>
      <c r="J259" s="15" t="str">
        <f>IF('13 - Config_Intake_View'!Q259&lt;&gt;"","PM Approved",IF(Deployments!BH260&lt;&gt;"","Assumed",""))</f>
        <v/>
      </c>
      <c r="K259" s="23">
        <f>Deployments!BG260</f>
        <v>0</v>
      </c>
      <c r="L259" s="15">
        <f>Deployments!T260</f>
        <v>0</v>
      </c>
      <c r="M259" s="15">
        <f>Deployments!L260</f>
        <v>0</v>
      </c>
      <c r="N259" s="15" t="str">
        <f>Deployments!BK260</f>
        <v/>
      </c>
      <c r="O259" s="23" t="str">
        <f>Deployments!BL260</f>
        <v/>
      </c>
      <c r="P259" s="2">
        <f>Deployments!BA260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Deployments!H261</f>
        <v>0</v>
      </c>
      <c r="B260" s="23">
        <f>Deployments!V261</f>
        <v>0</v>
      </c>
      <c r="C260" s="23">
        <f>Deployments!W261</f>
        <v>0</v>
      </c>
      <c r="D260" s="15">
        <f>Deployments!AJ261</f>
        <v>0</v>
      </c>
      <c r="E260" s="15">
        <f>Deployments!N261</f>
        <v>0</v>
      </c>
      <c r="F260" s="23">
        <f>Deployments!O261</f>
        <v>0</v>
      </c>
      <c r="G260" s="15">
        <f>Deployments!P261</f>
        <v>0</v>
      </c>
      <c r="H260" s="15">
        <f>'13 - Config_Intake_View'!M260</f>
        <v>0</v>
      </c>
      <c r="I260" s="23">
        <f>IF('13 - Config_Intake_View'!Q260&lt;&gt;"",'13 - Config_Intake_View'!Q260,Deployments!BH261)</f>
        <v>0</v>
      </c>
      <c r="J260" s="15" t="str">
        <f>IF('13 - Config_Intake_View'!Q260&lt;&gt;"","PM Approved",IF(Deployments!BH261&lt;&gt;"","Assumed",""))</f>
        <v/>
      </c>
      <c r="K260" s="23">
        <f>Deployments!BG261</f>
        <v>0</v>
      </c>
      <c r="L260" s="15">
        <f>Deployments!T261</f>
        <v>0</v>
      </c>
      <c r="M260" s="15">
        <f>Deployments!L261</f>
        <v>0</v>
      </c>
      <c r="N260" s="15" t="str">
        <f>Deployments!BK261</f>
        <v/>
      </c>
      <c r="O260" s="23" t="str">
        <f>Deployments!BL261</f>
        <v/>
      </c>
      <c r="P260" s="2">
        <f>Deployments!BA261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Deployments!H262</f>
        <v>0</v>
      </c>
      <c r="B261" s="23">
        <f>Deployments!V262</f>
        <v>0</v>
      </c>
      <c r="C261" s="23">
        <f>Deployments!W262</f>
        <v>0</v>
      </c>
      <c r="D261" s="15">
        <f>Deployments!AJ262</f>
        <v>0</v>
      </c>
      <c r="E261" s="15">
        <f>Deployments!N262</f>
        <v>0</v>
      </c>
      <c r="F261" s="23">
        <f>Deployments!O262</f>
        <v>0</v>
      </c>
      <c r="G261" s="15">
        <f>Deployments!P262</f>
        <v>0</v>
      </c>
      <c r="H261" s="15">
        <f>'13 - Config_Intake_View'!M261</f>
        <v>0</v>
      </c>
      <c r="I261" s="23">
        <f>IF('13 - Config_Intake_View'!Q261&lt;&gt;"",'13 - Config_Intake_View'!Q261,Deployments!BH262)</f>
        <v>0</v>
      </c>
      <c r="J261" s="15" t="str">
        <f>IF('13 - Config_Intake_View'!Q261&lt;&gt;"","PM Approved",IF(Deployments!BH262&lt;&gt;"","Assumed",""))</f>
        <v/>
      </c>
      <c r="K261" s="23">
        <f>Deployments!BG262</f>
        <v>0</v>
      </c>
      <c r="L261" s="15">
        <f>Deployments!T262</f>
        <v>0</v>
      </c>
      <c r="M261" s="15">
        <f>Deployments!L262</f>
        <v>0</v>
      </c>
      <c r="N261" s="15" t="str">
        <f>Deployments!BK262</f>
        <v/>
      </c>
      <c r="O261" s="23" t="str">
        <f>Deployments!BL262</f>
        <v/>
      </c>
      <c r="P261" s="2">
        <f>Deployments!BA262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Deployments!H263</f>
        <v>0</v>
      </c>
      <c r="B262" s="23">
        <f>Deployments!V263</f>
        <v>0</v>
      </c>
      <c r="C262" s="23">
        <f>Deployments!W263</f>
        <v>0</v>
      </c>
      <c r="D262" s="15">
        <f>Deployments!AJ263</f>
        <v>0</v>
      </c>
      <c r="E262" s="15">
        <f>Deployments!N263</f>
        <v>0</v>
      </c>
      <c r="F262" s="23">
        <f>Deployments!O263</f>
        <v>0</v>
      </c>
      <c r="G262" s="15">
        <f>Deployments!P263</f>
        <v>0</v>
      </c>
      <c r="H262" s="15">
        <f>'13 - Config_Intake_View'!M262</f>
        <v>0</v>
      </c>
      <c r="I262" s="23">
        <f>IF('13 - Config_Intake_View'!Q262&lt;&gt;"",'13 - Config_Intake_View'!Q262,Deployments!BH263)</f>
        <v>0</v>
      </c>
      <c r="J262" s="15" t="str">
        <f>IF('13 - Config_Intake_View'!Q262&lt;&gt;"","PM Approved",IF(Deployments!BH263&lt;&gt;"","Assumed",""))</f>
        <v/>
      </c>
      <c r="K262" s="23">
        <f>Deployments!BG263</f>
        <v>0</v>
      </c>
      <c r="L262" s="15">
        <f>Deployments!T263</f>
        <v>0</v>
      </c>
      <c r="M262" s="15">
        <f>Deployments!L263</f>
        <v>0</v>
      </c>
      <c r="N262" s="15" t="str">
        <f>Deployments!BK263</f>
        <v/>
      </c>
      <c r="O262" s="23" t="str">
        <f>Deployments!BL263</f>
        <v/>
      </c>
      <c r="P262" s="2">
        <f>Deployments!BA263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Deployments!H264</f>
        <v>0</v>
      </c>
      <c r="B263" s="23">
        <f>Deployments!V264</f>
        <v>0</v>
      </c>
      <c r="C263" s="23">
        <f>Deployments!W264</f>
        <v>0</v>
      </c>
      <c r="D263" s="15">
        <f>Deployments!AJ264</f>
        <v>0</v>
      </c>
      <c r="E263" s="15">
        <f>Deployments!N264</f>
        <v>0</v>
      </c>
      <c r="F263" s="23">
        <f>Deployments!O264</f>
        <v>0</v>
      </c>
      <c r="G263" s="15">
        <f>Deployments!P264</f>
        <v>0</v>
      </c>
      <c r="H263" s="15">
        <f>'13 - Config_Intake_View'!M263</f>
        <v>0</v>
      </c>
      <c r="I263" s="23">
        <f>IF('13 - Config_Intake_View'!Q263&lt;&gt;"",'13 - Config_Intake_View'!Q263,Deployments!BH264)</f>
        <v>0</v>
      </c>
      <c r="J263" s="15" t="str">
        <f>IF('13 - Config_Intake_View'!Q263&lt;&gt;"","PM Approved",IF(Deployments!BH264&lt;&gt;"","Assumed",""))</f>
        <v/>
      </c>
      <c r="K263" s="23">
        <f>Deployments!BG264</f>
        <v>0</v>
      </c>
      <c r="L263" s="15">
        <f>Deployments!T264</f>
        <v>0</v>
      </c>
      <c r="M263" s="15">
        <f>Deployments!L264</f>
        <v>0</v>
      </c>
      <c r="N263" s="15" t="str">
        <f>Deployments!BK264</f>
        <v/>
      </c>
      <c r="O263" s="23" t="str">
        <f>Deployments!BL264</f>
        <v/>
      </c>
      <c r="P263" s="2">
        <f>Deployments!BA264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Deployments!H265</f>
        <v>0</v>
      </c>
      <c r="B264" s="23">
        <f>Deployments!V265</f>
        <v>0</v>
      </c>
      <c r="C264" s="23">
        <f>Deployments!W265</f>
        <v>0</v>
      </c>
      <c r="D264" s="15">
        <f>Deployments!AJ265</f>
        <v>0</v>
      </c>
      <c r="E264" s="15">
        <f>Deployments!N265</f>
        <v>0</v>
      </c>
      <c r="F264" s="23">
        <f>Deployments!O265</f>
        <v>0</v>
      </c>
      <c r="G264" s="15">
        <f>Deployments!P265</f>
        <v>0</v>
      </c>
      <c r="H264" s="15">
        <f>'13 - Config_Intake_View'!M264</f>
        <v>0</v>
      </c>
      <c r="I264" s="23">
        <f>IF('13 - Config_Intake_View'!Q264&lt;&gt;"",'13 - Config_Intake_View'!Q264,Deployments!BH265)</f>
        <v>0</v>
      </c>
      <c r="J264" s="15" t="str">
        <f>IF('13 - Config_Intake_View'!Q264&lt;&gt;"","PM Approved",IF(Deployments!BH265&lt;&gt;"","Assumed",""))</f>
        <v/>
      </c>
      <c r="K264" s="23">
        <f>Deployments!BG265</f>
        <v>0</v>
      </c>
      <c r="L264" s="15">
        <f>Deployments!T265</f>
        <v>0</v>
      </c>
      <c r="M264" s="15">
        <f>Deployments!L265</f>
        <v>0</v>
      </c>
      <c r="N264" s="15" t="str">
        <f>Deployments!BK265</f>
        <v/>
      </c>
      <c r="O264" s="23" t="str">
        <f>Deployments!BL265</f>
        <v/>
      </c>
      <c r="P264" s="2">
        <f>Deployments!BA265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Deployments!H266</f>
        <v>0</v>
      </c>
      <c r="B265" s="23">
        <f>Deployments!V266</f>
        <v>0</v>
      </c>
      <c r="C265" s="23">
        <f>Deployments!W266</f>
        <v>0</v>
      </c>
      <c r="D265" s="15">
        <f>Deployments!AJ266</f>
        <v>0</v>
      </c>
      <c r="E265" s="15">
        <f>Deployments!N266</f>
        <v>0</v>
      </c>
      <c r="F265" s="23">
        <f>Deployments!O266</f>
        <v>0</v>
      </c>
      <c r="G265" s="15">
        <f>Deployments!P266</f>
        <v>0</v>
      </c>
      <c r="H265" s="15">
        <f>'13 - Config_Intake_View'!M265</f>
        <v>0</v>
      </c>
      <c r="I265" s="23">
        <f>IF('13 - Config_Intake_View'!Q265&lt;&gt;"",'13 - Config_Intake_View'!Q265,Deployments!BH266)</f>
        <v>0</v>
      </c>
      <c r="J265" s="15" t="str">
        <f>IF('13 - Config_Intake_View'!Q265&lt;&gt;"","PM Approved",IF(Deployments!BH266&lt;&gt;"","Assumed",""))</f>
        <v/>
      </c>
      <c r="K265" s="23">
        <f>Deployments!BG266</f>
        <v>0</v>
      </c>
      <c r="L265" s="15">
        <f>Deployments!T266</f>
        <v>0</v>
      </c>
      <c r="M265" s="15">
        <f>Deployments!L266</f>
        <v>0</v>
      </c>
      <c r="N265" s="15" t="str">
        <f>Deployments!BK266</f>
        <v/>
      </c>
      <c r="O265" s="23" t="str">
        <f>Deployments!BL266</f>
        <v/>
      </c>
      <c r="P265" s="2">
        <f>Deployments!BA266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Deployments!H267</f>
        <v>0</v>
      </c>
      <c r="B266" s="23">
        <f>Deployments!V267</f>
        <v>0</v>
      </c>
      <c r="C266" s="23">
        <f>Deployments!W267</f>
        <v>0</v>
      </c>
      <c r="D266" s="15">
        <f>Deployments!AJ267</f>
        <v>0</v>
      </c>
      <c r="E266" s="15">
        <f>Deployments!N267</f>
        <v>0</v>
      </c>
      <c r="F266" s="23">
        <f>Deployments!O267</f>
        <v>0</v>
      </c>
      <c r="G266" s="15">
        <f>Deployments!P267</f>
        <v>0</v>
      </c>
      <c r="H266" s="15">
        <f>'13 - Config_Intake_View'!M266</f>
        <v>0</v>
      </c>
      <c r="I266" s="23">
        <f>IF('13 - Config_Intake_View'!Q266&lt;&gt;"",'13 - Config_Intake_View'!Q266,Deployments!BH267)</f>
        <v>0</v>
      </c>
      <c r="J266" s="15" t="str">
        <f>IF('13 - Config_Intake_View'!Q266&lt;&gt;"","PM Approved",IF(Deployments!BH267&lt;&gt;"","Assumed",""))</f>
        <v/>
      </c>
      <c r="K266" s="23">
        <f>Deployments!BG267</f>
        <v>0</v>
      </c>
      <c r="L266" s="15">
        <f>Deployments!T267</f>
        <v>0</v>
      </c>
      <c r="M266" s="15">
        <f>Deployments!L267</f>
        <v>0</v>
      </c>
      <c r="N266" s="15" t="str">
        <f>Deployments!BK267</f>
        <v/>
      </c>
      <c r="O266" s="23" t="str">
        <f>Deployments!BL267</f>
        <v/>
      </c>
      <c r="P266" s="2">
        <f>Deployments!BA267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Deployments!H268</f>
        <v>0</v>
      </c>
      <c r="B267" s="23">
        <f>Deployments!V268</f>
        <v>0</v>
      </c>
      <c r="C267" s="23">
        <f>Deployments!W268</f>
        <v>0</v>
      </c>
      <c r="D267" s="15">
        <f>Deployments!AJ268</f>
        <v>0</v>
      </c>
      <c r="E267" s="15">
        <f>Deployments!N268</f>
        <v>0</v>
      </c>
      <c r="F267" s="23">
        <f>Deployments!O268</f>
        <v>0</v>
      </c>
      <c r="G267" s="15">
        <f>Deployments!P268</f>
        <v>0</v>
      </c>
      <c r="H267" s="15">
        <f>'13 - Config_Intake_View'!M267</f>
        <v>0</v>
      </c>
      <c r="I267" s="23">
        <f>IF('13 - Config_Intake_View'!Q267&lt;&gt;"",'13 - Config_Intake_View'!Q267,Deployments!BH268)</f>
        <v>0</v>
      </c>
      <c r="J267" s="15" t="str">
        <f>IF('13 - Config_Intake_View'!Q267&lt;&gt;"","PM Approved",IF(Deployments!BH268&lt;&gt;"","Assumed",""))</f>
        <v/>
      </c>
      <c r="K267" s="23">
        <f>Deployments!BG268</f>
        <v>0</v>
      </c>
      <c r="L267" s="15">
        <f>Deployments!T268</f>
        <v>0</v>
      </c>
      <c r="M267" s="15">
        <f>Deployments!L268</f>
        <v>0</v>
      </c>
      <c r="N267" s="15" t="str">
        <f>Deployments!BK268</f>
        <v/>
      </c>
      <c r="O267" s="23" t="str">
        <f>Deployments!BL268</f>
        <v/>
      </c>
      <c r="P267" s="2">
        <f>Deployments!BA268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Deployments!H269</f>
        <v>0</v>
      </c>
      <c r="B268" s="23">
        <f>Deployments!V269</f>
        <v>0</v>
      </c>
      <c r="C268" s="23">
        <f>Deployments!W269</f>
        <v>0</v>
      </c>
      <c r="D268" s="15">
        <f>Deployments!AJ269</f>
        <v>0</v>
      </c>
      <c r="E268" s="15">
        <f>Deployments!N269</f>
        <v>0</v>
      </c>
      <c r="F268" s="23">
        <f>Deployments!O269</f>
        <v>0</v>
      </c>
      <c r="G268" s="15">
        <f>Deployments!P269</f>
        <v>0</v>
      </c>
      <c r="H268" s="15">
        <f>'13 - Config_Intake_View'!M268</f>
        <v>0</v>
      </c>
      <c r="I268" s="23">
        <f>IF('13 - Config_Intake_View'!Q268&lt;&gt;"",'13 - Config_Intake_View'!Q268,Deployments!BH269)</f>
        <v>0</v>
      </c>
      <c r="J268" s="15" t="str">
        <f>IF('13 - Config_Intake_View'!Q268&lt;&gt;"","PM Approved",IF(Deployments!BH269&lt;&gt;"","Assumed",""))</f>
        <v/>
      </c>
      <c r="K268" s="23">
        <f>Deployments!BG269</f>
        <v>0</v>
      </c>
      <c r="L268" s="15">
        <f>Deployments!T269</f>
        <v>0</v>
      </c>
      <c r="M268" s="15">
        <f>Deployments!L269</f>
        <v>0</v>
      </c>
      <c r="N268" s="15" t="str">
        <f>Deployments!BK269</f>
        <v/>
      </c>
      <c r="O268" s="23" t="str">
        <f>Deployments!BL269</f>
        <v/>
      </c>
      <c r="P268" s="2">
        <f>Deployments!BA269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Deployments!H270</f>
        <v>0</v>
      </c>
      <c r="B269" s="23">
        <f>Deployments!V270</f>
        <v>0</v>
      </c>
      <c r="C269" s="23">
        <f>Deployments!W270</f>
        <v>0</v>
      </c>
      <c r="D269" s="15">
        <f>Deployments!AJ270</f>
        <v>0</v>
      </c>
      <c r="E269" s="15">
        <f>Deployments!N270</f>
        <v>0</v>
      </c>
      <c r="F269" s="23">
        <f>Deployments!O270</f>
        <v>0</v>
      </c>
      <c r="G269" s="15">
        <f>Deployments!P270</f>
        <v>0</v>
      </c>
      <c r="H269" s="15">
        <f>'13 - Config_Intake_View'!M269</f>
        <v>0</v>
      </c>
      <c r="I269" s="23">
        <f>IF('13 - Config_Intake_View'!Q269&lt;&gt;"",'13 - Config_Intake_View'!Q269,Deployments!BH270)</f>
        <v>0</v>
      </c>
      <c r="J269" s="15" t="str">
        <f>IF('13 - Config_Intake_View'!Q269&lt;&gt;"","PM Approved",IF(Deployments!BH270&lt;&gt;"","Assumed",""))</f>
        <v/>
      </c>
      <c r="K269" s="23">
        <f>Deployments!BG270</f>
        <v>0</v>
      </c>
      <c r="L269" s="15">
        <f>Deployments!T270</f>
        <v>0</v>
      </c>
      <c r="M269" s="15">
        <f>Deployments!L270</f>
        <v>0</v>
      </c>
      <c r="N269" s="15" t="str">
        <f>Deployments!BK270</f>
        <v/>
      </c>
      <c r="O269" s="23" t="str">
        <f>Deployments!BL270</f>
        <v/>
      </c>
      <c r="P269" s="2">
        <f>Deployments!BA270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Deployments!H271</f>
        <v>0</v>
      </c>
      <c r="B270" s="23">
        <f>Deployments!V271</f>
        <v>0</v>
      </c>
      <c r="C270" s="23">
        <f>Deployments!W271</f>
        <v>0</v>
      </c>
      <c r="D270" s="15">
        <f>Deployments!AJ271</f>
        <v>0</v>
      </c>
      <c r="E270" s="15">
        <f>Deployments!N271</f>
        <v>0</v>
      </c>
      <c r="F270" s="23">
        <f>Deployments!O271</f>
        <v>0</v>
      </c>
      <c r="G270" s="15">
        <f>Deployments!P271</f>
        <v>0</v>
      </c>
      <c r="H270" s="15">
        <f>'13 - Config_Intake_View'!M270</f>
        <v>0</v>
      </c>
      <c r="I270" s="23">
        <f>IF('13 - Config_Intake_View'!Q270&lt;&gt;"",'13 - Config_Intake_View'!Q270,Deployments!BH271)</f>
        <v>0</v>
      </c>
      <c r="J270" s="15" t="str">
        <f>IF('13 - Config_Intake_View'!Q270&lt;&gt;"","PM Approved",IF(Deployments!BH271&lt;&gt;"","Assumed",""))</f>
        <v/>
      </c>
      <c r="K270" s="23">
        <f>Deployments!BG271</f>
        <v>0</v>
      </c>
      <c r="L270" s="15">
        <f>Deployments!T271</f>
        <v>0</v>
      </c>
      <c r="M270" s="15">
        <f>Deployments!L271</f>
        <v>0</v>
      </c>
      <c r="N270" s="15" t="str">
        <f>Deployments!BK271</f>
        <v/>
      </c>
      <c r="O270" s="23" t="str">
        <f>Deployments!BL271</f>
        <v/>
      </c>
      <c r="P270" s="2">
        <f>Deployments!BA271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Deployments!H272</f>
        <v>0</v>
      </c>
      <c r="B271" s="23">
        <f>Deployments!V272</f>
        <v>0</v>
      </c>
      <c r="C271" s="23">
        <f>Deployments!W272</f>
        <v>0</v>
      </c>
      <c r="D271" s="15">
        <f>Deployments!AJ272</f>
        <v>0</v>
      </c>
      <c r="E271" s="15">
        <f>Deployments!N272</f>
        <v>0</v>
      </c>
      <c r="F271" s="23">
        <f>Deployments!O272</f>
        <v>0</v>
      </c>
      <c r="G271" s="15">
        <f>Deployments!P272</f>
        <v>0</v>
      </c>
      <c r="H271" s="15">
        <f>'13 - Config_Intake_View'!M271</f>
        <v>0</v>
      </c>
      <c r="I271" s="23">
        <f>IF('13 - Config_Intake_View'!Q271&lt;&gt;"",'13 - Config_Intake_View'!Q271,Deployments!BH272)</f>
        <v>0</v>
      </c>
      <c r="J271" s="15" t="str">
        <f>IF('13 - Config_Intake_View'!Q271&lt;&gt;"","PM Approved",IF(Deployments!BH272&lt;&gt;"","Assumed",""))</f>
        <v/>
      </c>
      <c r="K271" s="23">
        <f>Deployments!BG272</f>
        <v>0</v>
      </c>
      <c r="L271" s="15">
        <f>Deployments!T272</f>
        <v>0</v>
      </c>
      <c r="M271" s="15">
        <f>Deployments!L272</f>
        <v>0</v>
      </c>
      <c r="N271" s="15" t="str">
        <f>Deployments!BK272</f>
        <v/>
      </c>
      <c r="O271" s="23" t="str">
        <f>Deployments!BL272</f>
        <v/>
      </c>
      <c r="P271" s="2">
        <f>Deployments!BA272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Deployments!H273</f>
        <v>0</v>
      </c>
      <c r="B272" s="23">
        <f>Deployments!V273</f>
        <v>0</v>
      </c>
      <c r="C272" s="23">
        <f>Deployments!W273</f>
        <v>0</v>
      </c>
      <c r="D272" s="15">
        <f>Deployments!AJ273</f>
        <v>0</v>
      </c>
      <c r="E272" s="15">
        <f>Deployments!N273</f>
        <v>0</v>
      </c>
      <c r="F272" s="23">
        <f>Deployments!O273</f>
        <v>0</v>
      </c>
      <c r="G272" s="15">
        <f>Deployments!P273</f>
        <v>0</v>
      </c>
      <c r="H272" s="15">
        <f>'13 - Config_Intake_View'!M272</f>
        <v>0</v>
      </c>
      <c r="I272" s="23">
        <f>IF('13 - Config_Intake_View'!Q272&lt;&gt;"",'13 - Config_Intake_View'!Q272,Deployments!BH273)</f>
        <v>0</v>
      </c>
      <c r="J272" s="15" t="str">
        <f>IF('13 - Config_Intake_View'!Q272&lt;&gt;"","PM Approved",IF(Deployments!BH273&lt;&gt;"","Assumed",""))</f>
        <v/>
      </c>
      <c r="K272" s="23">
        <f>Deployments!BG273</f>
        <v>0</v>
      </c>
      <c r="L272" s="15">
        <f>Deployments!T273</f>
        <v>0</v>
      </c>
      <c r="M272" s="15">
        <f>Deployments!L273</f>
        <v>0</v>
      </c>
      <c r="N272" s="15" t="str">
        <f>Deployments!BK273</f>
        <v/>
      </c>
      <c r="O272" s="23" t="str">
        <f>Deployments!BL273</f>
        <v/>
      </c>
      <c r="P272" s="2">
        <f>Deployments!BA273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Deployments!H274</f>
        <v>0</v>
      </c>
      <c r="B273" s="23">
        <f>Deployments!V274</f>
        <v>0</v>
      </c>
      <c r="C273" s="23">
        <f>Deployments!W274</f>
        <v>0</v>
      </c>
      <c r="D273" s="15">
        <f>Deployments!AJ274</f>
        <v>0</v>
      </c>
      <c r="E273" s="15">
        <f>Deployments!N274</f>
        <v>0</v>
      </c>
      <c r="F273" s="23">
        <f>Deployments!O274</f>
        <v>0</v>
      </c>
      <c r="G273" s="15">
        <f>Deployments!P274</f>
        <v>0</v>
      </c>
      <c r="H273" s="15">
        <f>'13 - Config_Intake_View'!M273</f>
        <v>0</v>
      </c>
      <c r="I273" s="23">
        <f>IF('13 - Config_Intake_View'!Q273&lt;&gt;"",'13 - Config_Intake_View'!Q273,Deployments!BH274)</f>
        <v>0</v>
      </c>
      <c r="J273" s="15" t="str">
        <f>IF('13 - Config_Intake_View'!Q273&lt;&gt;"","PM Approved",IF(Deployments!BH274&lt;&gt;"","Assumed",""))</f>
        <v/>
      </c>
      <c r="K273" s="23">
        <f>Deployments!BG274</f>
        <v>0</v>
      </c>
      <c r="L273" s="15">
        <f>Deployments!T274</f>
        <v>0</v>
      </c>
      <c r="M273" s="15">
        <f>Deployments!L274</f>
        <v>0</v>
      </c>
      <c r="N273" s="15" t="str">
        <f>Deployments!BK274</f>
        <v/>
      </c>
      <c r="O273" s="23" t="str">
        <f>Deployments!BL274</f>
        <v/>
      </c>
      <c r="P273" s="2">
        <f>Deployments!BA274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Deployments!H275</f>
        <v>0</v>
      </c>
      <c r="B274" s="23">
        <f>Deployments!V275</f>
        <v>0</v>
      </c>
      <c r="C274" s="23">
        <f>Deployments!W275</f>
        <v>0</v>
      </c>
      <c r="D274" s="15">
        <f>Deployments!AJ275</f>
        <v>0</v>
      </c>
      <c r="E274" s="15">
        <f>Deployments!N275</f>
        <v>0</v>
      </c>
      <c r="F274" s="23">
        <f>Deployments!O275</f>
        <v>0</v>
      </c>
      <c r="G274" s="15">
        <f>Deployments!P275</f>
        <v>0</v>
      </c>
      <c r="H274" s="15">
        <f>'13 - Config_Intake_View'!M274</f>
        <v>0</v>
      </c>
      <c r="I274" s="23">
        <f>IF('13 - Config_Intake_View'!Q274&lt;&gt;"",'13 - Config_Intake_View'!Q274,Deployments!BH275)</f>
        <v>0</v>
      </c>
      <c r="J274" s="15" t="str">
        <f>IF('13 - Config_Intake_View'!Q274&lt;&gt;"","PM Approved",IF(Deployments!BH275&lt;&gt;"","Assumed",""))</f>
        <v/>
      </c>
      <c r="K274" s="23">
        <f>Deployments!BG275</f>
        <v>0</v>
      </c>
      <c r="L274" s="15">
        <f>Deployments!T275</f>
        <v>0</v>
      </c>
      <c r="M274" s="15">
        <f>Deployments!L275</f>
        <v>0</v>
      </c>
      <c r="N274" s="15" t="str">
        <f>Deployments!BK275</f>
        <v/>
      </c>
      <c r="O274" s="23" t="str">
        <f>Deployments!BL275</f>
        <v/>
      </c>
      <c r="P274" s="2">
        <f>Deployments!BA275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Deployments!H276</f>
        <v>0</v>
      </c>
      <c r="B275" s="23">
        <f>Deployments!V276</f>
        <v>0</v>
      </c>
      <c r="C275" s="23">
        <f>Deployments!W276</f>
        <v>0</v>
      </c>
      <c r="D275" s="15">
        <f>Deployments!AJ276</f>
        <v>0</v>
      </c>
      <c r="E275" s="15">
        <f>Deployments!N276</f>
        <v>0</v>
      </c>
      <c r="F275" s="23">
        <f>Deployments!O276</f>
        <v>0</v>
      </c>
      <c r="G275" s="15">
        <f>Deployments!P276</f>
        <v>0</v>
      </c>
      <c r="H275" s="15">
        <f>'13 - Config_Intake_View'!M275</f>
        <v>0</v>
      </c>
      <c r="I275" s="23">
        <f>IF('13 - Config_Intake_View'!Q275&lt;&gt;"",'13 - Config_Intake_View'!Q275,Deployments!BH276)</f>
        <v>0</v>
      </c>
      <c r="J275" s="15" t="str">
        <f>IF('13 - Config_Intake_View'!Q275&lt;&gt;"","PM Approved",IF(Deployments!BH276&lt;&gt;"","Assumed",""))</f>
        <v/>
      </c>
      <c r="K275" s="23">
        <f>Deployments!BG276</f>
        <v>0</v>
      </c>
      <c r="L275" s="15">
        <f>Deployments!T276</f>
        <v>0</v>
      </c>
      <c r="M275" s="15">
        <f>Deployments!L276</f>
        <v>0</v>
      </c>
      <c r="N275" s="15" t="str">
        <f>Deployments!BK276</f>
        <v/>
      </c>
      <c r="O275" s="23" t="str">
        <f>Deployments!BL276</f>
        <v/>
      </c>
      <c r="P275" s="2">
        <f>Deployments!BA276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Deployments!H277</f>
        <v>0</v>
      </c>
      <c r="B276" s="23">
        <f>Deployments!V277</f>
        <v>0</v>
      </c>
      <c r="C276" s="23">
        <f>Deployments!W277</f>
        <v>0</v>
      </c>
      <c r="D276" s="15">
        <f>Deployments!AJ277</f>
        <v>0</v>
      </c>
      <c r="E276" s="15">
        <f>Deployments!N277</f>
        <v>0</v>
      </c>
      <c r="F276" s="23">
        <f>Deployments!O277</f>
        <v>0</v>
      </c>
      <c r="G276" s="15">
        <f>Deployments!P277</f>
        <v>0</v>
      </c>
      <c r="H276" s="15">
        <f>'13 - Config_Intake_View'!M276</f>
        <v>0</v>
      </c>
      <c r="I276" s="23">
        <f>IF('13 - Config_Intake_View'!Q276&lt;&gt;"",'13 - Config_Intake_View'!Q276,Deployments!BH277)</f>
        <v>0</v>
      </c>
      <c r="J276" s="15" t="str">
        <f>IF('13 - Config_Intake_View'!Q276&lt;&gt;"","PM Approved",IF(Deployments!BH277&lt;&gt;"","Assumed",""))</f>
        <v/>
      </c>
      <c r="K276" s="23">
        <f>Deployments!BG277</f>
        <v>0</v>
      </c>
      <c r="L276" s="15">
        <f>Deployments!T277</f>
        <v>0</v>
      </c>
      <c r="M276" s="15">
        <f>Deployments!L277</f>
        <v>0</v>
      </c>
      <c r="N276" s="15" t="str">
        <f>Deployments!BK277</f>
        <v/>
      </c>
      <c r="O276" s="23" t="str">
        <f>Deployments!BL277</f>
        <v/>
      </c>
      <c r="P276" s="2">
        <f>Deployments!BA277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Deployments!H278</f>
        <v>0</v>
      </c>
      <c r="B277" s="23">
        <f>Deployments!V278</f>
        <v>0</v>
      </c>
      <c r="C277" s="23">
        <f>Deployments!W278</f>
        <v>0</v>
      </c>
      <c r="D277" s="15">
        <f>Deployments!AJ278</f>
        <v>0</v>
      </c>
      <c r="E277" s="15">
        <f>Deployments!N278</f>
        <v>0</v>
      </c>
      <c r="F277" s="23">
        <f>Deployments!O278</f>
        <v>0</v>
      </c>
      <c r="G277" s="15">
        <f>Deployments!P278</f>
        <v>0</v>
      </c>
      <c r="H277" s="15">
        <f>'13 - Config_Intake_View'!M277</f>
        <v>0</v>
      </c>
      <c r="I277" s="23">
        <f>IF('13 - Config_Intake_View'!Q277&lt;&gt;"",'13 - Config_Intake_View'!Q277,Deployments!BH278)</f>
        <v>0</v>
      </c>
      <c r="J277" s="15" t="str">
        <f>IF('13 - Config_Intake_View'!Q277&lt;&gt;"","PM Approved",IF(Deployments!BH278&lt;&gt;"","Assumed",""))</f>
        <v/>
      </c>
      <c r="K277" s="23">
        <f>Deployments!BG278</f>
        <v>0</v>
      </c>
      <c r="L277" s="15">
        <f>Deployments!T278</f>
        <v>0</v>
      </c>
      <c r="M277" s="15">
        <f>Deployments!L278</f>
        <v>0</v>
      </c>
      <c r="N277" s="15" t="str">
        <f>Deployments!BK278</f>
        <v/>
      </c>
      <c r="O277" s="23" t="str">
        <f>Deployments!BL278</f>
        <v/>
      </c>
      <c r="P277" s="2">
        <f>Deployments!BA278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Deployments!H279</f>
        <v>0</v>
      </c>
      <c r="B278" s="23">
        <f>Deployments!V279</f>
        <v>0</v>
      </c>
      <c r="C278" s="23">
        <f>Deployments!W279</f>
        <v>0</v>
      </c>
      <c r="D278" s="15">
        <f>Deployments!AJ279</f>
        <v>0</v>
      </c>
      <c r="E278" s="15">
        <f>Deployments!N279</f>
        <v>0</v>
      </c>
      <c r="F278" s="23">
        <f>Deployments!O279</f>
        <v>0</v>
      </c>
      <c r="G278" s="15">
        <f>Deployments!P279</f>
        <v>0</v>
      </c>
      <c r="H278" s="15">
        <f>'13 - Config_Intake_View'!M278</f>
        <v>0</v>
      </c>
      <c r="I278" s="23">
        <f>IF('13 - Config_Intake_View'!Q278&lt;&gt;"",'13 - Config_Intake_View'!Q278,Deployments!BH279)</f>
        <v>0</v>
      </c>
      <c r="J278" s="15" t="str">
        <f>IF('13 - Config_Intake_View'!Q278&lt;&gt;"","PM Approved",IF(Deployments!BH279&lt;&gt;"","Assumed",""))</f>
        <v/>
      </c>
      <c r="K278" s="23">
        <f>Deployments!BG279</f>
        <v>0</v>
      </c>
      <c r="L278" s="15">
        <f>Deployments!T279</f>
        <v>0</v>
      </c>
      <c r="M278" s="15">
        <f>Deployments!L279</f>
        <v>0</v>
      </c>
      <c r="N278" s="15" t="str">
        <f>Deployments!BK279</f>
        <v/>
      </c>
      <c r="O278" s="23" t="str">
        <f>Deployments!BL279</f>
        <v/>
      </c>
      <c r="P278" s="2">
        <f>Deployments!BA279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Deployments!H280</f>
        <v>0</v>
      </c>
      <c r="B279" s="23">
        <f>Deployments!V280</f>
        <v>0</v>
      </c>
      <c r="C279" s="23">
        <f>Deployments!W280</f>
        <v>0</v>
      </c>
      <c r="D279" s="15">
        <f>Deployments!AJ280</f>
        <v>0</v>
      </c>
      <c r="E279" s="15">
        <f>Deployments!N280</f>
        <v>0</v>
      </c>
      <c r="F279" s="23">
        <f>Deployments!O280</f>
        <v>0</v>
      </c>
      <c r="G279" s="15">
        <f>Deployments!P280</f>
        <v>0</v>
      </c>
      <c r="H279" s="15">
        <f>'13 - Config_Intake_View'!M279</f>
        <v>0</v>
      </c>
      <c r="I279" s="23">
        <f>IF('13 - Config_Intake_View'!Q279&lt;&gt;"",'13 - Config_Intake_View'!Q279,Deployments!BH280)</f>
        <v>0</v>
      </c>
      <c r="J279" s="15" t="str">
        <f>IF('13 - Config_Intake_View'!Q279&lt;&gt;"","PM Approved",IF(Deployments!BH280&lt;&gt;"","Assumed",""))</f>
        <v/>
      </c>
      <c r="K279" s="23">
        <f>Deployments!BG280</f>
        <v>0</v>
      </c>
      <c r="L279" s="15">
        <f>Deployments!T280</f>
        <v>0</v>
      </c>
      <c r="M279" s="15">
        <f>Deployments!L280</f>
        <v>0</v>
      </c>
      <c r="N279" s="15" t="str">
        <f>Deployments!BK280</f>
        <v/>
      </c>
      <c r="O279" s="23" t="str">
        <f>Deployments!BL280</f>
        <v/>
      </c>
      <c r="P279" s="2">
        <f>Deployments!BA280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Deployments!H281</f>
        <v>0</v>
      </c>
      <c r="B280" s="23">
        <f>Deployments!V281</f>
        <v>0</v>
      </c>
      <c r="C280" s="23">
        <f>Deployments!W281</f>
        <v>0</v>
      </c>
      <c r="D280" s="15">
        <f>Deployments!AJ281</f>
        <v>0</v>
      </c>
      <c r="E280" s="15">
        <f>Deployments!N281</f>
        <v>0</v>
      </c>
      <c r="F280" s="23">
        <f>Deployments!O281</f>
        <v>0</v>
      </c>
      <c r="G280" s="15">
        <f>Deployments!P281</f>
        <v>0</v>
      </c>
      <c r="H280" s="15">
        <f>'13 - Config_Intake_View'!M280</f>
        <v>0</v>
      </c>
      <c r="I280" s="23">
        <f>IF('13 - Config_Intake_View'!Q280&lt;&gt;"",'13 - Config_Intake_View'!Q280,Deployments!BH281)</f>
        <v>0</v>
      </c>
      <c r="J280" s="15" t="str">
        <f>IF('13 - Config_Intake_View'!Q280&lt;&gt;"","PM Approved",IF(Deployments!BH281&lt;&gt;"","Assumed",""))</f>
        <v/>
      </c>
      <c r="K280" s="23">
        <f>Deployments!BG281</f>
        <v>0</v>
      </c>
      <c r="L280" s="15">
        <f>Deployments!T281</f>
        <v>0</v>
      </c>
      <c r="M280" s="15">
        <f>Deployments!L281</f>
        <v>0</v>
      </c>
      <c r="N280" s="15" t="str">
        <f>Deployments!BK281</f>
        <v/>
      </c>
      <c r="O280" s="23" t="str">
        <f>Deployments!BL281</f>
        <v/>
      </c>
      <c r="P280" s="2">
        <f>Deployments!BA281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Deployments!H282</f>
        <v>0</v>
      </c>
      <c r="B281" s="23">
        <f>Deployments!V282</f>
        <v>0</v>
      </c>
      <c r="C281" s="23">
        <f>Deployments!W282</f>
        <v>0</v>
      </c>
      <c r="D281" s="15">
        <f>Deployments!AJ282</f>
        <v>0</v>
      </c>
      <c r="E281" s="15">
        <f>Deployments!N282</f>
        <v>0</v>
      </c>
      <c r="F281" s="23">
        <f>Deployments!O282</f>
        <v>0</v>
      </c>
      <c r="G281" s="15">
        <f>Deployments!P282</f>
        <v>0</v>
      </c>
      <c r="H281" s="15">
        <f>'13 - Config_Intake_View'!M281</f>
        <v>0</v>
      </c>
      <c r="I281" s="23">
        <f>IF('13 - Config_Intake_View'!Q281&lt;&gt;"",'13 - Config_Intake_View'!Q281,Deployments!BH282)</f>
        <v>0</v>
      </c>
      <c r="J281" s="15" t="str">
        <f>IF('13 - Config_Intake_View'!Q281&lt;&gt;"","PM Approved",IF(Deployments!BH282&lt;&gt;"","Assumed",""))</f>
        <v/>
      </c>
      <c r="K281" s="23">
        <f>Deployments!BG282</f>
        <v>0</v>
      </c>
      <c r="L281" s="15">
        <f>Deployments!T282</f>
        <v>0</v>
      </c>
      <c r="M281" s="15">
        <f>Deployments!L282</f>
        <v>0</v>
      </c>
      <c r="N281" s="15" t="str">
        <f>Deployments!BK282</f>
        <v/>
      </c>
      <c r="O281" s="23" t="str">
        <f>Deployments!BL282</f>
        <v/>
      </c>
      <c r="P281" s="2">
        <f>Deployments!BA282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Deployments!H283</f>
        <v>0</v>
      </c>
      <c r="B282" s="23">
        <f>Deployments!V283</f>
        <v>0</v>
      </c>
      <c r="C282" s="23">
        <f>Deployments!W283</f>
        <v>0</v>
      </c>
      <c r="D282" s="15">
        <f>Deployments!AJ283</f>
        <v>0</v>
      </c>
      <c r="E282" s="15">
        <f>Deployments!N283</f>
        <v>0</v>
      </c>
      <c r="F282" s="23">
        <f>Deployments!O283</f>
        <v>0</v>
      </c>
      <c r="G282" s="15">
        <f>Deployments!P283</f>
        <v>0</v>
      </c>
      <c r="H282" s="15">
        <f>'13 - Config_Intake_View'!M282</f>
        <v>0</v>
      </c>
      <c r="I282" s="23">
        <f>IF('13 - Config_Intake_View'!Q282&lt;&gt;"",'13 - Config_Intake_View'!Q282,Deployments!BH283)</f>
        <v>0</v>
      </c>
      <c r="J282" s="15" t="str">
        <f>IF('13 - Config_Intake_View'!Q282&lt;&gt;"","PM Approved",IF(Deployments!BH283&lt;&gt;"","Assumed",""))</f>
        <v/>
      </c>
      <c r="K282" s="23">
        <f>Deployments!BG283</f>
        <v>0</v>
      </c>
      <c r="L282" s="15">
        <f>Deployments!T283</f>
        <v>0</v>
      </c>
      <c r="M282" s="15">
        <f>Deployments!L283</f>
        <v>0</v>
      </c>
      <c r="N282" s="15" t="str">
        <f>Deployments!BK283</f>
        <v/>
      </c>
      <c r="O282" s="23" t="str">
        <f>Deployments!BL283</f>
        <v/>
      </c>
      <c r="P282" s="2">
        <f>Deployments!BA283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Deployments!H284</f>
        <v>0</v>
      </c>
      <c r="B283" s="23">
        <f>Deployments!V284</f>
        <v>0</v>
      </c>
      <c r="C283" s="23">
        <f>Deployments!W284</f>
        <v>0</v>
      </c>
      <c r="D283" s="15">
        <f>Deployments!AJ284</f>
        <v>0</v>
      </c>
      <c r="E283" s="15">
        <f>Deployments!N284</f>
        <v>0</v>
      </c>
      <c r="F283" s="23">
        <f>Deployments!O284</f>
        <v>0</v>
      </c>
      <c r="G283" s="15">
        <f>Deployments!P284</f>
        <v>0</v>
      </c>
      <c r="H283" s="15">
        <f>'13 - Config_Intake_View'!M283</f>
        <v>0</v>
      </c>
      <c r="I283" s="23">
        <f>IF('13 - Config_Intake_View'!Q283&lt;&gt;"",'13 - Config_Intake_View'!Q283,Deployments!BH284)</f>
        <v>0</v>
      </c>
      <c r="J283" s="15" t="str">
        <f>IF('13 - Config_Intake_View'!Q283&lt;&gt;"","PM Approved",IF(Deployments!BH284&lt;&gt;"","Assumed",""))</f>
        <v/>
      </c>
      <c r="K283" s="23">
        <f>Deployments!BG284</f>
        <v>0</v>
      </c>
      <c r="L283" s="15">
        <f>Deployments!T284</f>
        <v>0</v>
      </c>
      <c r="M283" s="15">
        <f>Deployments!L284</f>
        <v>0</v>
      </c>
      <c r="N283" s="15" t="str">
        <f>Deployments!BK284</f>
        <v/>
      </c>
      <c r="O283" s="23" t="str">
        <f>Deployments!BL284</f>
        <v/>
      </c>
      <c r="P283" s="2">
        <f>Deployments!BA284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Deployments!H285</f>
        <v>0</v>
      </c>
      <c r="B284" s="23">
        <f>Deployments!V285</f>
        <v>0</v>
      </c>
      <c r="C284" s="23">
        <f>Deployments!W285</f>
        <v>0</v>
      </c>
      <c r="D284" s="15">
        <f>Deployments!AJ285</f>
        <v>0</v>
      </c>
      <c r="E284" s="15">
        <f>Deployments!N285</f>
        <v>0</v>
      </c>
      <c r="F284" s="23">
        <f>Deployments!O285</f>
        <v>0</v>
      </c>
      <c r="G284" s="15">
        <f>Deployments!P285</f>
        <v>0</v>
      </c>
      <c r="H284" s="15">
        <f>'13 - Config_Intake_View'!M284</f>
        <v>0</v>
      </c>
      <c r="I284" s="23">
        <f>IF('13 - Config_Intake_View'!Q284&lt;&gt;"",'13 - Config_Intake_View'!Q284,Deployments!BH285)</f>
        <v>0</v>
      </c>
      <c r="J284" s="15" t="str">
        <f>IF('13 - Config_Intake_View'!Q284&lt;&gt;"","PM Approved",IF(Deployments!BH285&lt;&gt;"","Assumed",""))</f>
        <v/>
      </c>
      <c r="K284" s="23">
        <f>Deployments!BG285</f>
        <v>0</v>
      </c>
      <c r="L284" s="15">
        <f>Deployments!T285</f>
        <v>0</v>
      </c>
      <c r="M284" s="15">
        <f>Deployments!L285</f>
        <v>0</v>
      </c>
      <c r="N284" s="15" t="str">
        <f>Deployments!BK285</f>
        <v/>
      </c>
      <c r="O284" s="23" t="str">
        <f>Deployments!BL285</f>
        <v/>
      </c>
      <c r="P284" s="2">
        <f>Deployments!BA285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Deployments!H286</f>
        <v>0</v>
      </c>
      <c r="B285" s="23">
        <f>Deployments!V286</f>
        <v>0</v>
      </c>
      <c r="C285" s="23">
        <f>Deployments!W286</f>
        <v>0</v>
      </c>
      <c r="D285" s="15">
        <f>Deployments!AJ286</f>
        <v>0</v>
      </c>
      <c r="E285" s="15">
        <f>Deployments!N286</f>
        <v>0</v>
      </c>
      <c r="F285" s="23">
        <f>Deployments!O286</f>
        <v>0</v>
      </c>
      <c r="G285" s="15">
        <f>Deployments!P286</f>
        <v>0</v>
      </c>
      <c r="H285" s="15">
        <f>'13 - Config_Intake_View'!M285</f>
        <v>0</v>
      </c>
      <c r="I285" s="23">
        <f>IF('13 - Config_Intake_View'!Q285&lt;&gt;"",'13 - Config_Intake_View'!Q285,Deployments!BH286)</f>
        <v>0</v>
      </c>
      <c r="J285" s="15" t="str">
        <f>IF('13 - Config_Intake_View'!Q285&lt;&gt;"","PM Approved",IF(Deployments!BH286&lt;&gt;"","Assumed",""))</f>
        <v/>
      </c>
      <c r="K285" s="23">
        <f>Deployments!BG286</f>
        <v>0</v>
      </c>
      <c r="L285" s="15">
        <f>Deployments!T286</f>
        <v>0</v>
      </c>
      <c r="M285" s="15">
        <f>Deployments!L286</f>
        <v>0</v>
      </c>
      <c r="N285" s="15" t="str">
        <f>Deployments!BK286</f>
        <v/>
      </c>
      <c r="O285" s="23" t="str">
        <f>Deployments!BL286</f>
        <v/>
      </c>
      <c r="P285" s="2">
        <f>Deployments!BA286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Deployments!H287</f>
        <v>0</v>
      </c>
      <c r="B286" s="23">
        <f>Deployments!V287</f>
        <v>0</v>
      </c>
      <c r="C286" s="23">
        <f>Deployments!W287</f>
        <v>0</v>
      </c>
      <c r="D286" s="15">
        <f>Deployments!AJ287</f>
        <v>0</v>
      </c>
      <c r="E286" s="15">
        <f>Deployments!N287</f>
        <v>0</v>
      </c>
      <c r="F286" s="23">
        <f>Deployments!O287</f>
        <v>0</v>
      </c>
      <c r="G286" s="15">
        <f>Deployments!P287</f>
        <v>0</v>
      </c>
      <c r="H286" s="15">
        <f>'13 - Config_Intake_View'!M286</f>
        <v>0</v>
      </c>
      <c r="I286" s="23">
        <f>IF('13 - Config_Intake_View'!Q286&lt;&gt;"",'13 - Config_Intake_View'!Q286,Deployments!BH287)</f>
        <v>0</v>
      </c>
      <c r="J286" s="15" t="str">
        <f>IF('13 - Config_Intake_View'!Q286&lt;&gt;"","PM Approved",IF(Deployments!BH287&lt;&gt;"","Assumed",""))</f>
        <v/>
      </c>
      <c r="K286" s="23">
        <f>Deployments!BG287</f>
        <v>0</v>
      </c>
      <c r="L286" s="15">
        <f>Deployments!T287</f>
        <v>0</v>
      </c>
      <c r="M286" s="15">
        <f>Deployments!L287</f>
        <v>0</v>
      </c>
      <c r="N286" s="15" t="str">
        <f>Deployments!BK287</f>
        <v/>
      </c>
      <c r="O286" s="23" t="str">
        <f>Deployments!BL287</f>
        <v/>
      </c>
      <c r="P286" s="2">
        <f>Deployments!BA287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Deployments!H288</f>
        <v>0</v>
      </c>
      <c r="B287" s="23">
        <f>Deployments!V288</f>
        <v>0</v>
      </c>
      <c r="C287" s="23">
        <f>Deployments!W288</f>
        <v>0</v>
      </c>
      <c r="D287" s="15">
        <f>Deployments!AJ288</f>
        <v>0</v>
      </c>
      <c r="E287" s="15">
        <f>Deployments!N288</f>
        <v>0</v>
      </c>
      <c r="F287" s="23">
        <f>Deployments!O288</f>
        <v>0</v>
      </c>
      <c r="G287" s="15">
        <f>Deployments!P288</f>
        <v>0</v>
      </c>
      <c r="H287" s="15">
        <f>'13 - Config_Intake_View'!M287</f>
        <v>0</v>
      </c>
      <c r="I287" s="23">
        <f>IF('13 - Config_Intake_View'!Q287&lt;&gt;"",'13 - Config_Intake_View'!Q287,Deployments!BH288)</f>
        <v>0</v>
      </c>
      <c r="J287" s="15" t="str">
        <f>IF('13 - Config_Intake_View'!Q287&lt;&gt;"","PM Approved",IF(Deployments!BH288&lt;&gt;"","Assumed",""))</f>
        <v/>
      </c>
      <c r="K287" s="23">
        <f>Deployments!BG288</f>
        <v>0</v>
      </c>
      <c r="L287" s="15">
        <f>Deployments!T288</f>
        <v>0</v>
      </c>
      <c r="M287" s="15">
        <f>Deployments!L288</f>
        <v>0</v>
      </c>
      <c r="N287" s="15" t="str">
        <f>Deployments!BK288</f>
        <v/>
      </c>
      <c r="O287" s="23" t="str">
        <f>Deployments!BL288</f>
        <v/>
      </c>
      <c r="P287" s="2">
        <f>Deployments!BA288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Deployments!H289</f>
        <v>0</v>
      </c>
      <c r="B288" s="23">
        <f>Deployments!V289</f>
        <v>0</v>
      </c>
      <c r="C288" s="23">
        <f>Deployments!W289</f>
        <v>0</v>
      </c>
      <c r="D288" s="15">
        <f>Deployments!AJ289</f>
        <v>0</v>
      </c>
      <c r="E288" s="15">
        <f>Deployments!N289</f>
        <v>0</v>
      </c>
      <c r="F288" s="23">
        <f>Deployments!O289</f>
        <v>0</v>
      </c>
      <c r="G288" s="15">
        <f>Deployments!P289</f>
        <v>0</v>
      </c>
      <c r="H288" s="15">
        <f>'13 - Config_Intake_View'!M288</f>
        <v>0</v>
      </c>
      <c r="I288" s="23">
        <f>IF('13 - Config_Intake_View'!Q288&lt;&gt;"",'13 - Config_Intake_View'!Q288,Deployments!BH289)</f>
        <v>0</v>
      </c>
      <c r="J288" s="15" t="str">
        <f>IF('13 - Config_Intake_View'!Q288&lt;&gt;"","PM Approved",IF(Deployments!BH289&lt;&gt;"","Assumed",""))</f>
        <v/>
      </c>
      <c r="K288" s="23">
        <f>Deployments!BG289</f>
        <v>0</v>
      </c>
      <c r="L288" s="15">
        <f>Deployments!T289</f>
        <v>0</v>
      </c>
      <c r="M288" s="15">
        <f>Deployments!L289</f>
        <v>0</v>
      </c>
      <c r="N288" s="15" t="str">
        <f>Deployments!BK289</f>
        <v/>
      </c>
      <c r="O288" s="23" t="str">
        <f>Deployments!BL289</f>
        <v/>
      </c>
      <c r="P288" s="2">
        <f>Deployments!BA289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Deployments!H290</f>
        <v>0</v>
      </c>
      <c r="B289" s="23">
        <f>Deployments!V290</f>
        <v>0</v>
      </c>
      <c r="C289" s="23">
        <f>Deployments!W290</f>
        <v>0</v>
      </c>
      <c r="D289" s="15">
        <f>Deployments!AJ290</f>
        <v>0</v>
      </c>
      <c r="E289" s="15">
        <f>Deployments!N290</f>
        <v>0</v>
      </c>
      <c r="F289" s="23">
        <f>Deployments!O290</f>
        <v>0</v>
      </c>
      <c r="G289" s="15">
        <f>Deployments!P290</f>
        <v>0</v>
      </c>
      <c r="H289" s="15">
        <f>'13 - Config_Intake_View'!M289</f>
        <v>0</v>
      </c>
      <c r="I289" s="23">
        <f>IF('13 - Config_Intake_View'!Q289&lt;&gt;"",'13 - Config_Intake_View'!Q289,Deployments!BH290)</f>
        <v>0</v>
      </c>
      <c r="J289" s="15" t="str">
        <f>IF('13 - Config_Intake_View'!Q289&lt;&gt;"","PM Approved",IF(Deployments!BH290&lt;&gt;"","Assumed",""))</f>
        <v/>
      </c>
      <c r="K289" s="23">
        <f>Deployments!BG290</f>
        <v>0</v>
      </c>
      <c r="L289" s="15">
        <f>Deployments!T290</f>
        <v>0</v>
      </c>
      <c r="M289" s="15">
        <f>Deployments!L290</f>
        <v>0</v>
      </c>
      <c r="N289" s="15" t="str">
        <f>Deployments!BK290</f>
        <v/>
      </c>
      <c r="O289" s="23" t="str">
        <f>Deployments!BL290</f>
        <v/>
      </c>
      <c r="P289" s="2">
        <f>Deployments!BA290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Deployments!H291</f>
        <v>0</v>
      </c>
      <c r="B290" s="23">
        <f>Deployments!V291</f>
        <v>0</v>
      </c>
      <c r="C290" s="23">
        <f>Deployments!W291</f>
        <v>0</v>
      </c>
      <c r="D290" s="15">
        <f>Deployments!AJ291</f>
        <v>0</v>
      </c>
      <c r="E290" s="15">
        <f>Deployments!N291</f>
        <v>0</v>
      </c>
      <c r="F290" s="23">
        <f>Deployments!O291</f>
        <v>0</v>
      </c>
      <c r="G290" s="15">
        <f>Deployments!P291</f>
        <v>0</v>
      </c>
      <c r="H290" s="15">
        <f>'13 - Config_Intake_View'!M290</f>
        <v>0</v>
      </c>
      <c r="I290" s="23">
        <f>IF('13 - Config_Intake_View'!Q290&lt;&gt;"",'13 - Config_Intake_View'!Q290,Deployments!BH291)</f>
        <v>0</v>
      </c>
      <c r="J290" s="15" t="str">
        <f>IF('13 - Config_Intake_View'!Q290&lt;&gt;"","PM Approved",IF(Deployments!BH291&lt;&gt;"","Assumed",""))</f>
        <v/>
      </c>
      <c r="K290" s="23">
        <f>Deployments!BG291</f>
        <v>0</v>
      </c>
      <c r="L290" s="15">
        <f>Deployments!T291</f>
        <v>0</v>
      </c>
      <c r="M290" s="15">
        <f>Deployments!L291</f>
        <v>0</v>
      </c>
      <c r="N290" s="15" t="str">
        <f>Deployments!BK291</f>
        <v/>
      </c>
      <c r="O290" s="23" t="str">
        <f>Deployments!BL291</f>
        <v/>
      </c>
      <c r="P290" s="2">
        <f>Deployments!BA291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Deployments!H292</f>
        <v>0</v>
      </c>
      <c r="B291" s="23">
        <f>Deployments!V292</f>
        <v>0</v>
      </c>
      <c r="C291" s="23">
        <f>Deployments!W292</f>
        <v>0</v>
      </c>
      <c r="D291" s="15">
        <f>Deployments!AJ292</f>
        <v>0</v>
      </c>
      <c r="E291" s="15">
        <f>Deployments!N292</f>
        <v>0</v>
      </c>
      <c r="F291" s="23">
        <f>Deployments!O292</f>
        <v>0</v>
      </c>
      <c r="G291" s="15">
        <f>Deployments!P292</f>
        <v>0</v>
      </c>
      <c r="H291" s="15">
        <f>'13 - Config_Intake_View'!M291</f>
        <v>0</v>
      </c>
      <c r="I291" s="23">
        <f>IF('13 - Config_Intake_View'!Q291&lt;&gt;"",'13 - Config_Intake_View'!Q291,Deployments!BH292)</f>
        <v>0</v>
      </c>
      <c r="J291" s="15" t="str">
        <f>IF('13 - Config_Intake_View'!Q291&lt;&gt;"","PM Approved",IF(Deployments!BH292&lt;&gt;"","Assumed",""))</f>
        <v/>
      </c>
      <c r="K291" s="23">
        <f>Deployments!BG292</f>
        <v>0</v>
      </c>
      <c r="L291" s="15">
        <f>Deployments!T292</f>
        <v>0</v>
      </c>
      <c r="M291" s="15">
        <f>Deployments!L292</f>
        <v>0</v>
      </c>
      <c r="N291" s="15" t="str">
        <f>Deployments!BK292</f>
        <v/>
      </c>
      <c r="O291" s="23" t="str">
        <f>Deployments!BL292</f>
        <v/>
      </c>
      <c r="P291" s="2">
        <f>Deployments!BA292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Deployments!H293</f>
        <v>0</v>
      </c>
      <c r="B292" s="23">
        <f>Deployments!V293</f>
        <v>0</v>
      </c>
      <c r="C292" s="23">
        <f>Deployments!W293</f>
        <v>0</v>
      </c>
      <c r="D292" s="15">
        <f>Deployments!AJ293</f>
        <v>0</v>
      </c>
      <c r="E292" s="15">
        <f>Deployments!N293</f>
        <v>0</v>
      </c>
      <c r="F292" s="23">
        <f>Deployments!O293</f>
        <v>0</v>
      </c>
      <c r="G292" s="15">
        <f>Deployments!P293</f>
        <v>0</v>
      </c>
      <c r="H292" s="15">
        <f>'13 - Config_Intake_View'!M292</f>
        <v>0</v>
      </c>
      <c r="I292" s="23">
        <f>IF('13 - Config_Intake_View'!Q292&lt;&gt;"",'13 - Config_Intake_View'!Q292,Deployments!BH293)</f>
        <v>0</v>
      </c>
      <c r="J292" s="15" t="str">
        <f>IF('13 - Config_Intake_View'!Q292&lt;&gt;"","PM Approved",IF(Deployments!BH293&lt;&gt;"","Assumed",""))</f>
        <v/>
      </c>
      <c r="K292" s="23">
        <f>Deployments!BG293</f>
        <v>0</v>
      </c>
      <c r="L292" s="15">
        <f>Deployments!T293</f>
        <v>0</v>
      </c>
      <c r="M292" s="15">
        <f>Deployments!L293</f>
        <v>0</v>
      </c>
      <c r="N292" s="15" t="str">
        <f>Deployments!BK293</f>
        <v/>
      </c>
      <c r="O292" s="23" t="str">
        <f>Deployments!BL293</f>
        <v/>
      </c>
      <c r="P292" s="2">
        <f>Deployments!BA293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Deployments!H294</f>
        <v>0</v>
      </c>
      <c r="B293" s="23">
        <f>Deployments!V294</f>
        <v>0</v>
      </c>
      <c r="C293" s="23">
        <f>Deployments!W294</f>
        <v>0</v>
      </c>
      <c r="D293" s="15">
        <f>Deployments!AJ294</f>
        <v>0</v>
      </c>
      <c r="E293" s="15">
        <f>Deployments!N294</f>
        <v>0</v>
      </c>
      <c r="F293" s="23">
        <f>Deployments!O294</f>
        <v>0</v>
      </c>
      <c r="G293" s="15">
        <f>Deployments!P294</f>
        <v>0</v>
      </c>
      <c r="H293" s="15">
        <f>'13 - Config_Intake_View'!M293</f>
        <v>0</v>
      </c>
      <c r="I293" s="23">
        <f>IF('13 - Config_Intake_View'!Q293&lt;&gt;"",'13 - Config_Intake_View'!Q293,Deployments!BH294)</f>
        <v>0</v>
      </c>
      <c r="J293" s="15" t="str">
        <f>IF('13 - Config_Intake_View'!Q293&lt;&gt;"","PM Approved",IF(Deployments!BH294&lt;&gt;"","Assumed",""))</f>
        <v/>
      </c>
      <c r="K293" s="23">
        <f>Deployments!BG294</f>
        <v>0</v>
      </c>
      <c r="L293" s="15">
        <f>Deployments!T294</f>
        <v>0</v>
      </c>
      <c r="M293" s="15">
        <f>Deployments!L294</f>
        <v>0</v>
      </c>
      <c r="N293" s="15" t="str">
        <f>Deployments!BK294</f>
        <v/>
      </c>
      <c r="O293" s="23" t="str">
        <f>Deployments!BL294</f>
        <v/>
      </c>
      <c r="P293" s="2">
        <f>Deployments!BA294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Deployments!H295</f>
        <v>0</v>
      </c>
      <c r="B294" s="23">
        <f>Deployments!V295</f>
        <v>0</v>
      </c>
      <c r="C294" s="23">
        <f>Deployments!W295</f>
        <v>0</v>
      </c>
      <c r="D294" s="15">
        <f>Deployments!AJ295</f>
        <v>0</v>
      </c>
      <c r="E294" s="15">
        <f>Deployments!N295</f>
        <v>0</v>
      </c>
      <c r="F294" s="23">
        <f>Deployments!O295</f>
        <v>0</v>
      </c>
      <c r="G294" s="15">
        <f>Deployments!P295</f>
        <v>0</v>
      </c>
      <c r="H294" s="15">
        <f>'13 - Config_Intake_View'!M294</f>
        <v>0</v>
      </c>
      <c r="I294" s="23">
        <f>IF('13 - Config_Intake_View'!Q294&lt;&gt;"",'13 - Config_Intake_View'!Q294,Deployments!BH295)</f>
        <v>0</v>
      </c>
      <c r="J294" s="15" t="str">
        <f>IF('13 - Config_Intake_View'!Q294&lt;&gt;"","PM Approved",IF(Deployments!BH295&lt;&gt;"","Assumed",""))</f>
        <v/>
      </c>
      <c r="K294" s="23">
        <f>Deployments!BG295</f>
        <v>0</v>
      </c>
      <c r="L294" s="15">
        <f>Deployments!T295</f>
        <v>0</v>
      </c>
      <c r="M294" s="15">
        <f>Deployments!L295</f>
        <v>0</v>
      </c>
      <c r="N294" s="15" t="str">
        <f>Deployments!BK295</f>
        <v/>
      </c>
      <c r="O294" s="23" t="str">
        <f>Deployments!BL295</f>
        <v/>
      </c>
      <c r="P294" s="2">
        <f>Deployments!BA295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Deployments!H296</f>
        <v>0</v>
      </c>
      <c r="B295" s="23">
        <f>Deployments!V296</f>
        <v>0</v>
      </c>
      <c r="C295" s="23">
        <f>Deployments!W296</f>
        <v>0</v>
      </c>
      <c r="D295" s="15">
        <f>Deployments!AJ296</f>
        <v>0</v>
      </c>
      <c r="E295" s="15">
        <f>Deployments!N296</f>
        <v>0</v>
      </c>
      <c r="F295" s="23">
        <f>Deployments!O296</f>
        <v>0</v>
      </c>
      <c r="G295" s="15">
        <f>Deployments!P296</f>
        <v>0</v>
      </c>
      <c r="H295" s="15">
        <f>'13 - Config_Intake_View'!M295</f>
        <v>0</v>
      </c>
      <c r="I295" s="23">
        <f>IF('13 - Config_Intake_View'!Q295&lt;&gt;"",'13 - Config_Intake_View'!Q295,Deployments!BH296)</f>
        <v>0</v>
      </c>
      <c r="J295" s="15" t="str">
        <f>IF('13 - Config_Intake_View'!Q295&lt;&gt;"","PM Approved",IF(Deployments!BH296&lt;&gt;"","Assumed",""))</f>
        <v/>
      </c>
      <c r="K295" s="23">
        <f>Deployments!BG296</f>
        <v>0</v>
      </c>
      <c r="L295" s="15">
        <f>Deployments!T296</f>
        <v>0</v>
      </c>
      <c r="M295" s="15">
        <f>Deployments!L296</f>
        <v>0</v>
      </c>
      <c r="N295" s="15" t="str">
        <f>Deployments!BK296</f>
        <v/>
      </c>
      <c r="O295" s="23" t="str">
        <f>Deployments!BL296</f>
        <v/>
      </c>
      <c r="P295" s="2">
        <f>Deployments!BA296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Deployments!H297</f>
        <v>0</v>
      </c>
      <c r="B296" s="23">
        <f>Deployments!V297</f>
        <v>0</v>
      </c>
      <c r="C296" s="23">
        <f>Deployments!W297</f>
        <v>0</v>
      </c>
      <c r="D296" s="15">
        <f>Deployments!AJ297</f>
        <v>0</v>
      </c>
      <c r="E296" s="15">
        <f>Deployments!N297</f>
        <v>0</v>
      </c>
      <c r="F296" s="23">
        <f>Deployments!O297</f>
        <v>0</v>
      </c>
      <c r="G296" s="15">
        <f>Deployments!P297</f>
        <v>0</v>
      </c>
      <c r="H296" s="15">
        <f>'13 - Config_Intake_View'!M296</f>
        <v>0</v>
      </c>
      <c r="I296" s="23">
        <f>IF('13 - Config_Intake_View'!Q296&lt;&gt;"",'13 - Config_Intake_View'!Q296,Deployments!BH297)</f>
        <v>0</v>
      </c>
      <c r="J296" s="15" t="str">
        <f>IF('13 - Config_Intake_View'!Q296&lt;&gt;"","PM Approved",IF(Deployments!BH297&lt;&gt;"","Assumed",""))</f>
        <v/>
      </c>
      <c r="K296" s="23">
        <f>Deployments!BG297</f>
        <v>0</v>
      </c>
      <c r="L296" s="15">
        <f>Deployments!T297</f>
        <v>0</v>
      </c>
      <c r="M296" s="15">
        <f>Deployments!L297</f>
        <v>0</v>
      </c>
      <c r="N296" s="15" t="str">
        <f>Deployments!BK297</f>
        <v/>
      </c>
      <c r="O296" s="23" t="str">
        <f>Deployments!BL297</f>
        <v/>
      </c>
      <c r="P296" s="2">
        <f>Deployments!BA297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Deployments!H298</f>
        <v>0</v>
      </c>
      <c r="B297" s="23">
        <f>Deployments!V298</f>
        <v>0</v>
      </c>
      <c r="C297" s="23">
        <f>Deployments!W298</f>
        <v>0</v>
      </c>
      <c r="D297" s="15">
        <f>Deployments!AJ298</f>
        <v>0</v>
      </c>
      <c r="E297" s="15">
        <f>Deployments!N298</f>
        <v>0</v>
      </c>
      <c r="F297" s="23">
        <f>Deployments!O298</f>
        <v>0</v>
      </c>
      <c r="G297" s="15">
        <f>Deployments!P298</f>
        <v>0</v>
      </c>
      <c r="H297" s="15">
        <f>'13 - Config_Intake_View'!M297</f>
        <v>0</v>
      </c>
      <c r="I297" s="23">
        <f>IF('13 - Config_Intake_View'!Q297&lt;&gt;"",'13 - Config_Intake_View'!Q297,Deployments!BH298)</f>
        <v>0</v>
      </c>
      <c r="J297" s="15" t="str">
        <f>IF('13 - Config_Intake_View'!Q297&lt;&gt;"","PM Approved",IF(Deployments!BH298&lt;&gt;"","Assumed",""))</f>
        <v/>
      </c>
      <c r="K297" s="23">
        <f>Deployments!BG298</f>
        <v>0</v>
      </c>
      <c r="L297" s="15">
        <f>Deployments!T298</f>
        <v>0</v>
      </c>
      <c r="M297" s="15">
        <f>Deployments!L298</f>
        <v>0</v>
      </c>
      <c r="N297" s="15" t="str">
        <f>Deployments!BK298</f>
        <v/>
      </c>
      <c r="O297" s="23" t="str">
        <f>Deployments!BL298</f>
        <v/>
      </c>
      <c r="P297" s="2">
        <f>Deployments!BA298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Deployments!H299</f>
        <v>0</v>
      </c>
      <c r="B298" s="23">
        <f>Deployments!V299</f>
        <v>0</v>
      </c>
      <c r="C298" s="23">
        <f>Deployments!W299</f>
        <v>0</v>
      </c>
      <c r="D298" s="15">
        <f>Deployments!AJ299</f>
        <v>0</v>
      </c>
      <c r="E298" s="15">
        <f>Deployments!N299</f>
        <v>0</v>
      </c>
      <c r="F298" s="23">
        <f>Deployments!O299</f>
        <v>0</v>
      </c>
      <c r="G298" s="15">
        <f>Deployments!P299</f>
        <v>0</v>
      </c>
      <c r="H298" s="15">
        <f>'13 - Config_Intake_View'!M298</f>
        <v>0</v>
      </c>
      <c r="I298" s="23">
        <f>IF('13 - Config_Intake_View'!Q298&lt;&gt;"",'13 - Config_Intake_View'!Q298,Deployments!BH299)</f>
        <v>0</v>
      </c>
      <c r="J298" s="15" t="str">
        <f>IF('13 - Config_Intake_View'!Q298&lt;&gt;"","PM Approved",IF(Deployments!BH299&lt;&gt;"","Assumed",""))</f>
        <v/>
      </c>
      <c r="K298" s="23">
        <f>Deployments!BG299</f>
        <v>0</v>
      </c>
      <c r="L298" s="15">
        <f>Deployments!T299</f>
        <v>0</v>
      </c>
      <c r="M298" s="15">
        <f>Deployments!L299</f>
        <v>0</v>
      </c>
      <c r="N298" s="15" t="str">
        <f>Deployments!BK299</f>
        <v/>
      </c>
      <c r="O298" s="23" t="str">
        <f>Deployments!BL299</f>
        <v/>
      </c>
      <c r="P298" s="2">
        <f>Deployments!BA299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Deployments!H300</f>
        <v>0</v>
      </c>
      <c r="B299" s="23">
        <f>Deployments!V300</f>
        <v>0</v>
      </c>
      <c r="C299" s="23">
        <f>Deployments!W300</f>
        <v>0</v>
      </c>
      <c r="D299" s="15">
        <f>Deployments!AJ300</f>
        <v>0</v>
      </c>
      <c r="E299" s="15">
        <f>Deployments!N300</f>
        <v>0</v>
      </c>
      <c r="F299" s="23">
        <f>Deployments!O300</f>
        <v>0</v>
      </c>
      <c r="G299" s="15">
        <f>Deployments!P300</f>
        <v>0</v>
      </c>
      <c r="H299" s="15">
        <f>'13 - Config_Intake_View'!M299</f>
        <v>0</v>
      </c>
      <c r="I299" s="23">
        <f>IF('13 - Config_Intake_View'!Q299&lt;&gt;"",'13 - Config_Intake_View'!Q299,Deployments!BH300)</f>
        <v>0</v>
      </c>
      <c r="J299" s="15" t="str">
        <f>IF('13 - Config_Intake_View'!Q299&lt;&gt;"","PM Approved",IF(Deployments!BH300&lt;&gt;"","Assumed",""))</f>
        <v/>
      </c>
      <c r="K299" s="23">
        <f>Deployments!BG300</f>
        <v>0</v>
      </c>
      <c r="L299" s="15">
        <f>Deployments!T300</f>
        <v>0</v>
      </c>
      <c r="M299" s="15">
        <f>Deployments!L300</f>
        <v>0</v>
      </c>
      <c r="N299" s="15" t="str">
        <f>Deployments!BK300</f>
        <v/>
      </c>
      <c r="O299" s="23" t="str">
        <f>Deployments!BL300</f>
        <v/>
      </c>
      <c r="P299" s="2">
        <f>Deployments!BA300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Deployments!H301</f>
        <v>0</v>
      </c>
      <c r="B300" s="23">
        <f>Deployments!V301</f>
        <v>0</v>
      </c>
      <c r="C300" s="23">
        <f>Deployments!W301</f>
        <v>0</v>
      </c>
      <c r="D300" s="15">
        <f>Deployments!AJ301</f>
        <v>0</v>
      </c>
      <c r="E300" s="15">
        <f>Deployments!N301</f>
        <v>0</v>
      </c>
      <c r="F300" s="23">
        <f>Deployments!O301</f>
        <v>0</v>
      </c>
      <c r="G300" s="15">
        <f>Deployments!P301</f>
        <v>0</v>
      </c>
      <c r="H300" s="15">
        <f>'13 - Config_Intake_View'!M300</f>
        <v>0</v>
      </c>
      <c r="I300" s="23">
        <f>IF('13 - Config_Intake_View'!Q300&lt;&gt;"",'13 - Config_Intake_View'!Q300,Deployments!BH301)</f>
        <v>0</v>
      </c>
      <c r="J300" s="15" t="str">
        <f>IF('13 - Config_Intake_View'!Q300&lt;&gt;"","PM Approved",IF(Deployments!BH301&lt;&gt;"","Assumed",""))</f>
        <v/>
      </c>
      <c r="K300" s="23">
        <f>Deployments!BG301</f>
        <v>0</v>
      </c>
      <c r="L300" s="15">
        <f>Deployments!T301</f>
        <v>0</v>
      </c>
      <c r="M300" s="15">
        <f>Deployments!L301</f>
        <v>0</v>
      </c>
      <c r="N300" s="15" t="str">
        <f>Deployments!BK301</f>
        <v/>
      </c>
      <c r="O300" s="23" t="str">
        <f>Deployments!BL301</f>
        <v/>
      </c>
      <c r="P300" s="2">
        <f>Deployments!BA301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Deployments!H302</f>
        <v>0</v>
      </c>
      <c r="B301" s="23">
        <f>Deployments!V302</f>
        <v>0</v>
      </c>
      <c r="C301" s="23">
        <f>Deployments!W302</f>
        <v>0</v>
      </c>
      <c r="D301" s="15">
        <f>Deployments!AJ302</f>
        <v>0</v>
      </c>
      <c r="E301" s="15">
        <f>Deployments!N302</f>
        <v>0</v>
      </c>
      <c r="F301" s="23">
        <f>Deployments!O302</f>
        <v>0</v>
      </c>
      <c r="G301" s="15">
        <f>Deployments!P302</f>
        <v>0</v>
      </c>
      <c r="H301" s="15">
        <f>'13 - Config_Intake_View'!M301</f>
        <v>0</v>
      </c>
      <c r="I301" s="23">
        <f>IF('13 - Config_Intake_View'!Q301&lt;&gt;"",'13 - Config_Intake_View'!Q301,Deployments!BH302)</f>
        <v>0</v>
      </c>
      <c r="J301" s="15" t="str">
        <f>IF('13 - Config_Intake_View'!Q301&lt;&gt;"","PM Approved",IF(Deployments!BH302&lt;&gt;"","Assumed",""))</f>
        <v/>
      </c>
      <c r="K301" s="23">
        <f>Deployments!BG302</f>
        <v>0</v>
      </c>
      <c r="L301" s="15">
        <f>Deployments!T302</f>
        <v>0</v>
      </c>
      <c r="M301" s="15">
        <f>Deployments!L302</f>
        <v>0</v>
      </c>
      <c r="N301" s="15" t="str">
        <f>Deployments!BK302</f>
        <v/>
      </c>
      <c r="O301" s="23" t="str">
        <f>Deployments!BL302</f>
        <v/>
      </c>
      <c r="P301" s="2">
        <f>Deployments!BA302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Deployments!H303</f>
        <v>0</v>
      </c>
      <c r="B302" s="23">
        <f>Deployments!V303</f>
        <v>0</v>
      </c>
      <c r="C302" s="23">
        <f>Deployments!W303</f>
        <v>0</v>
      </c>
      <c r="D302" s="15">
        <f>Deployments!AJ303</f>
        <v>0</v>
      </c>
      <c r="E302" s="15">
        <f>Deployments!N303</f>
        <v>0</v>
      </c>
      <c r="F302" s="23">
        <f>Deployments!O303</f>
        <v>0</v>
      </c>
      <c r="G302" s="15">
        <f>Deployments!P303</f>
        <v>0</v>
      </c>
      <c r="H302" s="15">
        <f>'13 - Config_Intake_View'!M302</f>
        <v>0</v>
      </c>
      <c r="I302" s="23">
        <f>IF('13 - Config_Intake_View'!Q302&lt;&gt;"",'13 - Config_Intake_View'!Q302,Deployments!BH303)</f>
        <v>0</v>
      </c>
      <c r="J302" s="15" t="str">
        <f>IF('13 - Config_Intake_View'!Q302&lt;&gt;"","PM Approved",IF(Deployments!BH303&lt;&gt;"","Assumed",""))</f>
        <v/>
      </c>
      <c r="K302" s="23">
        <f>Deployments!BG303</f>
        <v>0</v>
      </c>
      <c r="L302" s="15">
        <f>Deployments!T303</f>
        <v>0</v>
      </c>
      <c r="M302" s="15">
        <f>Deployments!L303</f>
        <v>0</v>
      </c>
      <c r="N302" s="15" t="str">
        <f>Deployments!BK303</f>
        <v/>
      </c>
      <c r="O302" s="23" t="str">
        <f>Deployments!BL303</f>
        <v/>
      </c>
      <c r="P302" s="2">
        <f>Deployments!BA303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Deployments!H304</f>
        <v>0</v>
      </c>
      <c r="B303" s="23">
        <f>Deployments!V304</f>
        <v>0</v>
      </c>
      <c r="C303" s="23">
        <f>Deployments!W304</f>
        <v>0</v>
      </c>
      <c r="D303" s="15">
        <f>Deployments!AJ304</f>
        <v>0</v>
      </c>
      <c r="E303" s="15">
        <f>Deployments!N304</f>
        <v>0</v>
      </c>
      <c r="F303" s="23">
        <f>Deployments!O304</f>
        <v>0</v>
      </c>
      <c r="G303" s="15">
        <f>Deployments!P304</f>
        <v>0</v>
      </c>
      <c r="H303" s="15">
        <f>'13 - Config_Intake_View'!M303</f>
        <v>0</v>
      </c>
      <c r="I303" s="23">
        <f>IF('13 - Config_Intake_View'!Q303&lt;&gt;"",'13 - Config_Intake_View'!Q303,Deployments!BH304)</f>
        <v>0</v>
      </c>
      <c r="J303" s="15" t="str">
        <f>IF('13 - Config_Intake_View'!Q303&lt;&gt;"","PM Approved",IF(Deployments!BH304&lt;&gt;"","Assumed",""))</f>
        <v/>
      </c>
      <c r="K303" s="23">
        <f>Deployments!BG304</f>
        <v>0</v>
      </c>
      <c r="L303" s="15">
        <f>Deployments!T304</f>
        <v>0</v>
      </c>
      <c r="M303" s="15">
        <f>Deployments!L304</f>
        <v>0</v>
      </c>
      <c r="N303" s="15" t="str">
        <f>Deployments!BK304</f>
        <v/>
      </c>
      <c r="O303" s="23" t="str">
        <f>Deployments!BL304</f>
        <v/>
      </c>
      <c r="P303" s="2">
        <f>Deployments!BA304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Deployments!H305</f>
        <v>0</v>
      </c>
      <c r="B304" s="23">
        <f>Deployments!V305</f>
        <v>0</v>
      </c>
      <c r="C304" s="23">
        <f>Deployments!W305</f>
        <v>0</v>
      </c>
      <c r="D304" s="15">
        <f>Deployments!AJ305</f>
        <v>0</v>
      </c>
      <c r="E304" s="15">
        <f>Deployments!N305</f>
        <v>0</v>
      </c>
      <c r="F304" s="23">
        <f>Deployments!O305</f>
        <v>0</v>
      </c>
      <c r="G304" s="15">
        <f>Deployments!P305</f>
        <v>0</v>
      </c>
      <c r="H304" s="15">
        <f>'13 - Config_Intake_View'!M304</f>
        <v>0</v>
      </c>
      <c r="I304" s="23">
        <f>IF('13 - Config_Intake_View'!Q304&lt;&gt;"",'13 - Config_Intake_View'!Q304,Deployments!BH305)</f>
        <v>0</v>
      </c>
      <c r="J304" s="15" t="str">
        <f>IF('13 - Config_Intake_View'!Q304&lt;&gt;"","PM Approved",IF(Deployments!BH305&lt;&gt;"","Assumed",""))</f>
        <v/>
      </c>
      <c r="K304" s="23">
        <f>Deployments!BG305</f>
        <v>0</v>
      </c>
      <c r="L304" s="15">
        <f>Deployments!T305</f>
        <v>0</v>
      </c>
      <c r="M304" s="15">
        <f>Deployments!L305</f>
        <v>0</v>
      </c>
      <c r="N304" s="15" t="str">
        <f>Deployments!BK305</f>
        <v/>
      </c>
      <c r="O304" s="23" t="str">
        <f>Deployments!BL305</f>
        <v/>
      </c>
      <c r="P304" s="2">
        <f>Deployments!BA305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Deployments!H306</f>
        <v>0</v>
      </c>
      <c r="B305" s="23">
        <f>Deployments!V306</f>
        <v>0</v>
      </c>
      <c r="C305" s="23">
        <f>Deployments!W306</f>
        <v>0</v>
      </c>
      <c r="D305" s="15">
        <f>Deployments!AJ306</f>
        <v>0</v>
      </c>
      <c r="E305" s="15">
        <f>Deployments!N306</f>
        <v>0</v>
      </c>
      <c r="F305" s="23">
        <f>Deployments!O306</f>
        <v>0</v>
      </c>
      <c r="G305" s="15">
        <f>Deployments!P306</f>
        <v>0</v>
      </c>
      <c r="H305" s="15">
        <f>'13 - Config_Intake_View'!M305</f>
        <v>0</v>
      </c>
      <c r="I305" s="23">
        <f>IF('13 - Config_Intake_View'!Q305&lt;&gt;"",'13 - Config_Intake_View'!Q305,Deployments!BH306)</f>
        <v>0</v>
      </c>
      <c r="J305" s="15" t="str">
        <f>IF('13 - Config_Intake_View'!Q305&lt;&gt;"","PM Approved",IF(Deployments!BH306&lt;&gt;"","Assumed",""))</f>
        <v/>
      </c>
      <c r="K305" s="23">
        <f>Deployments!BG306</f>
        <v>0</v>
      </c>
      <c r="L305" s="15">
        <f>Deployments!T306</f>
        <v>0</v>
      </c>
      <c r="M305" s="15">
        <f>Deployments!L306</f>
        <v>0</v>
      </c>
      <c r="N305" s="15" t="str">
        <f>Deployments!BK306</f>
        <v/>
      </c>
      <c r="O305" s="23" t="str">
        <f>Deployments!BL306</f>
        <v/>
      </c>
      <c r="P305" s="2">
        <f>Deployments!BA306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Deployments!H307</f>
        <v>0</v>
      </c>
      <c r="B306" s="23">
        <f>Deployments!V307</f>
        <v>0</v>
      </c>
      <c r="C306" s="23">
        <f>Deployments!W307</f>
        <v>0</v>
      </c>
      <c r="D306" s="15">
        <f>Deployments!AJ307</f>
        <v>0</v>
      </c>
      <c r="E306" s="15">
        <f>Deployments!N307</f>
        <v>0</v>
      </c>
      <c r="F306" s="23">
        <f>Deployments!O307</f>
        <v>0</v>
      </c>
      <c r="G306" s="15">
        <f>Deployments!P307</f>
        <v>0</v>
      </c>
      <c r="H306" s="15">
        <f>'13 - Config_Intake_View'!M306</f>
        <v>0</v>
      </c>
      <c r="I306" s="23">
        <f>IF('13 - Config_Intake_View'!Q306&lt;&gt;"",'13 - Config_Intake_View'!Q306,Deployments!BH307)</f>
        <v>0</v>
      </c>
      <c r="J306" s="15" t="str">
        <f>IF('13 - Config_Intake_View'!Q306&lt;&gt;"","PM Approved",IF(Deployments!BH307&lt;&gt;"","Assumed",""))</f>
        <v/>
      </c>
      <c r="K306" s="23">
        <f>Deployments!BG307</f>
        <v>0</v>
      </c>
      <c r="L306" s="15">
        <f>Deployments!T307</f>
        <v>0</v>
      </c>
      <c r="M306" s="15">
        <f>Deployments!L307</f>
        <v>0</v>
      </c>
      <c r="N306" s="15" t="str">
        <f>Deployments!BK307</f>
        <v/>
      </c>
      <c r="O306" s="23" t="str">
        <f>Deployments!BL307</f>
        <v/>
      </c>
      <c r="P306" s="2">
        <f>Deployments!BA307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Deployments!H308</f>
        <v>0</v>
      </c>
      <c r="B307" s="23">
        <f>Deployments!V308</f>
        <v>0</v>
      </c>
      <c r="C307" s="23">
        <f>Deployments!W308</f>
        <v>0</v>
      </c>
      <c r="D307" s="15">
        <f>Deployments!AJ308</f>
        <v>0</v>
      </c>
      <c r="E307" s="15">
        <f>Deployments!N308</f>
        <v>0</v>
      </c>
      <c r="F307" s="23">
        <f>Deployments!O308</f>
        <v>0</v>
      </c>
      <c r="G307" s="15">
        <f>Deployments!P308</f>
        <v>0</v>
      </c>
      <c r="H307" s="15">
        <f>'13 - Config_Intake_View'!M307</f>
        <v>0</v>
      </c>
      <c r="I307" s="23">
        <f>IF('13 - Config_Intake_View'!Q307&lt;&gt;"",'13 - Config_Intake_View'!Q307,Deployments!BH308)</f>
        <v>0</v>
      </c>
      <c r="J307" s="15" t="str">
        <f>IF('13 - Config_Intake_View'!Q307&lt;&gt;"","PM Approved",IF(Deployments!BH308&lt;&gt;"","Assumed",""))</f>
        <v/>
      </c>
      <c r="K307" s="23">
        <f>Deployments!BG308</f>
        <v>0</v>
      </c>
      <c r="L307" s="15">
        <f>Deployments!T308</f>
        <v>0</v>
      </c>
      <c r="M307" s="15">
        <f>Deployments!L308</f>
        <v>0</v>
      </c>
      <c r="N307" s="15" t="str">
        <f>Deployments!BK308</f>
        <v/>
      </c>
      <c r="O307" s="23" t="str">
        <f>Deployments!BL308</f>
        <v/>
      </c>
      <c r="P307" s="2">
        <f>Deployments!BA308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Deployments!H309</f>
        <v>0</v>
      </c>
      <c r="B308" s="23">
        <f>Deployments!V309</f>
        <v>0</v>
      </c>
      <c r="C308" s="23">
        <f>Deployments!W309</f>
        <v>0</v>
      </c>
      <c r="D308" s="15">
        <f>Deployments!AJ309</f>
        <v>0</v>
      </c>
      <c r="E308" s="15">
        <f>Deployments!N309</f>
        <v>0</v>
      </c>
      <c r="F308" s="23">
        <f>Deployments!O309</f>
        <v>0</v>
      </c>
      <c r="G308" s="15">
        <f>Deployments!P309</f>
        <v>0</v>
      </c>
      <c r="H308" s="15">
        <f>'13 - Config_Intake_View'!M308</f>
        <v>0</v>
      </c>
      <c r="I308" s="23">
        <f>IF('13 - Config_Intake_View'!Q308&lt;&gt;"",'13 - Config_Intake_View'!Q308,Deployments!BH309)</f>
        <v>0</v>
      </c>
      <c r="J308" s="15" t="str">
        <f>IF('13 - Config_Intake_View'!Q308&lt;&gt;"","PM Approved",IF(Deployments!BH309&lt;&gt;"","Assumed",""))</f>
        <v/>
      </c>
      <c r="K308" s="23">
        <f>Deployments!BG309</f>
        <v>0</v>
      </c>
      <c r="L308" s="15">
        <f>Deployments!T309</f>
        <v>0</v>
      </c>
      <c r="M308" s="15">
        <f>Deployments!L309</f>
        <v>0</v>
      </c>
      <c r="N308" s="15" t="str">
        <f>Deployments!BK309</f>
        <v/>
      </c>
      <c r="O308" s="23" t="str">
        <f>Deployments!BL309</f>
        <v/>
      </c>
      <c r="P308" s="2">
        <f>Deployments!BA309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Deployments!H310</f>
        <v>0</v>
      </c>
      <c r="B309" s="23">
        <f>Deployments!V310</f>
        <v>0</v>
      </c>
      <c r="C309" s="23">
        <f>Deployments!W310</f>
        <v>0</v>
      </c>
      <c r="D309" s="15">
        <f>Deployments!AJ310</f>
        <v>0</v>
      </c>
      <c r="E309" s="15">
        <f>Deployments!N310</f>
        <v>0</v>
      </c>
      <c r="F309" s="23">
        <f>Deployments!O310</f>
        <v>0</v>
      </c>
      <c r="G309" s="15">
        <f>Deployments!P310</f>
        <v>0</v>
      </c>
      <c r="H309" s="15">
        <f>'13 - Config_Intake_View'!M309</f>
        <v>0</v>
      </c>
      <c r="I309" s="23">
        <f>IF('13 - Config_Intake_View'!Q309&lt;&gt;"",'13 - Config_Intake_View'!Q309,Deployments!BH310)</f>
        <v>0</v>
      </c>
      <c r="J309" s="15" t="str">
        <f>IF('13 - Config_Intake_View'!Q309&lt;&gt;"","PM Approved",IF(Deployments!BH310&lt;&gt;"","Assumed",""))</f>
        <v/>
      </c>
      <c r="K309" s="23">
        <f>Deployments!BG310</f>
        <v>0</v>
      </c>
      <c r="L309" s="15">
        <f>Deployments!T310</f>
        <v>0</v>
      </c>
      <c r="M309" s="15">
        <f>Deployments!L310</f>
        <v>0</v>
      </c>
      <c r="N309" s="15" t="str">
        <f>Deployments!BK310</f>
        <v/>
      </c>
      <c r="O309" s="23" t="str">
        <f>Deployments!BL310</f>
        <v/>
      </c>
      <c r="P309" s="2">
        <f>Deployments!BA310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Deployments!H311</f>
        <v>0</v>
      </c>
      <c r="B310" s="23">
        <f>Deployments!V311</f>
        <v>0</v>
      </c>
      <c r="C310" s="23">
        <f>Deployments!W311</f>
        <v>0</v>
      </c>
      <c r="D310" s="15">
        <f>Deployments!AJ311</f>
        <v>0</v>
      </c>
      <c r="E310" s="15">
        <f>Deployments!N311</f>
        <v>0</v>
      </c>
      <c r="F310" s="23">
        <f>Deployments!O311</f>
        <v>0</v>
      </c>
      <c r="G310" s="15">
        <f>Deployments!P311</f>
        <v>0</v>
      </c>
      <c r="H310" s="15">
        <f>'13 - Config_Intake_View'!M310</f>
        <v>0</v>
      </c>
      <c r="I310" s="23">
        <f>IF('13 - Config_Intake_View'!Q310&lt;&gt;"",'13 - Config_Intake_View'!Q310,Deployments!BH311)</f>
        <v>0</v>
      </c>
      <c r="J310" s="15" t="str">
        <f>IF('13 - Config_Intake_View'!Q310&lt;&gt;"","PM Approved",IF(Deployments!BH311&lt;&gt;"","Assumed",""))</f>
        <v/>
      </c>
      <c r="K310" s="23">
        <f>Deployments!BG311</f>
        <v>0</v>
      </c>
      <c r="L310" s="15">
        <f>Deployments!T311</f>
        <v>0</v>
      </c>
      <c r="M310" s="15">
        <f>Deployments!L311</f>
        <v>0</v>
      </c>
      <c r="N310" s="15" t="str">
        <f>Deployments!BK311</f>
        <v/>
      </c>
      <c r="O310" s="23" t="str">
        <f>Deployments!BL311</f>
        <v/>
      </c>
      <c r="P310" s="2">
        <f>Deployments!BA311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Deployments!H312</f>
        <v>0</v>
      </c>
      <c r="B311" s="23">
        <f>Deployments!V312</f>
        <v>0</v>
      </c>
      <c r="C311" s="23">
        <f>Deployments!W312</f>
        <v>0</v>
      </c>
      <c r="D311" s="15">
        <f>Deployments!AJ312</f>
        <v>0</v>
      </c>
      <c r="E311" s="15">
        <f>Deployments!N312</f>
        <v>0</v>
      </c>
      <c r="F311" s="23">
        <f>Deployments!O312</f>
        <v>0</v>
      </c>
      <c r="G311" s="15">
        <f>Deployments!P312</f>
        <v>0</v>
      </c>
      <c r="H311" s="15">
        <f>'13 - Config_Intake_View'!M311</f>
        <v>0</v>
      </c>
      <c r="I311" s="23">
        <f>IF('13 - Config_Intake_View'!Q311&lt;&gt;"",'13 - Config_Intake_View'!Q311,Deployments!BH312)</f>
        <v>0</v>
      </c>
      <c r="J311" s="15" t="str">
        <f>IF('13 - Config_Intake_View'!Q311&lt;&gt;"","PM Approved",IF(Deployments!BH312&lt;&gt;"","Assumed",""))</f>
        <v/>
      </c>
      <c r="K311" s="23">
        <f>Deployments!BG312</f>
        <v>0</v>
      </c>
      <c r="L311" s="15">
        <f>Deployments!T312</f>
        <v>0</v>
      </c>
      <c r="M311" s="15">
        <f>Deployments!L312</f>
        <v>0</v>
      </c>
      <c r="N311" s="15" t="str">
        <f>Deployments!BK312</f>
        <v/>
      </c>
      <c r="O311" s="23" t="str">
        <f>Deployments!BL312</f>
        <v/>
      </c>
      <c r="P311" s="2">
        <f>Deployments!BA312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Deployments!H313</f>
        <v>0</v>
      </c>
      <c r="B312" s="23">
        <f>Deployments!V313</f>
        <v>0</v>
      </c>
      <c r="C312" s="23">
        <f>Deployments!W313</f>
        <v>0</v>
      </c>
      <c r="D312" s="15">
        <f>Deployments!AJ313</f>
        <v>0</v>
      </c>
      <c r="E312" s="15">
        <f>Deployments!N313</f>
        <v>0</v>
      </c>
      <c r="F312" s="23">
        <f>Deployments!O313</f>
        <v>0</v>
      </c>
      <c r="G312" s="15">
        <f>Deployments!P313</f>
        <v>0</v>
      </c>
      <c r="H312" s="15">
        <f>'13 - Config_Intake_View'!M312</f>
        <v>0</v>
      </c>
      <c r="I312" s="23">
        <f>IF('13 - Config_Intake_View'!Q312&lt;&gt;"",'13 - Config_Intake_View'!Q312,Deployments!BH313)</f>
        <v>0</v>
      </c>
      <c r="J312" s="15" t="str">
        <f>IF('13 - Config_Intake_View'!Q312&lt;&gt;"","PM Approved",IF(Deployments!BH313&lt;&gt;"","Assumed",""))</f>
        <v/>
      </c>
      <c r="K312" s="23">
        <f>Deployments!BG313</f>
        <v>0</v>
      </c>
      <c r="L312" s="15">
        <f>Deployments!T313</f>
        <v>0</v>
      </c>
      <c r="M312" s="15">
        <f>Deployments!L313</f>
        <v>0</v>
      </c>
      <c r="N312" s="15" t="str">
        <f>Deployments!BK313</f>
        <v/>
      </c>
      <c r="O312" s="23" t="str">
        <f>Deployments!BL313</f>
        <v/>
      </c>
      <c r="P312" s="2">
        <f>Deployments!BA313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Deployments!H314</f>
        <v>0</v>
      </c>
      <c r="B313" s="23">
        <f>Deployments!V314</f>
        <v>0</v>
      </c>
      <c r="C313" s="23">
        <f>Deployments!W314</f>
        <v>0</v>
      </c>
      <c r="D313" s="15">
        <f>Deployments!AJ314</f>
        <v>0</v>
      </c>
      <c r="E313" s="15">
        <f>Deployments!N314</f>
        <v>0</v>
      </c>
      <c r="F313" s="23">
        <f>Deployments!O314</f>
        <v>0</v>
      </c>
      <c r="G313" s="15">
        <f>Deployments!P314</f>
        <v>0</v>
      </c>
      <c r="H313" s="15">
        <f>'13 - Config_Intake_View'!M313</f>
        <v>0</v>
      </c>
      <c r="I313" s="23">
        <f>IF('13 - Config_Intake_View'!Q313&lt;&gt;"",'13 - Config_Intake_View'!Q313,Deployments!BH314)</f>
        <v>0</v>
      </c>
      <c r="J313" s="15" t="str">
        <f>IF('13 - Config_Intake_View'!Q313&lt;&gt;"","PM Approved",IF(Deployments!BH314&lt;&gt;"","Assumed",""))</f>
        <v/>
      </c>
      <c r="K313" s="23">
        <f>Deployments!BG314</f>
        <v>0</v>
      </c>
      <c r="L313" s="15">
        <f>Deployments!T314</f>
        <v>0</v>
      </c>
      <c r="M313" s="15">
        <f>Deployments!L314</f>
        <v>0</v>
      </c>
      <c r="N313" s="15" t="str">
        <f>Deployments!BK314</f>
        <v/>
      </c>
      <c r="O313" s="23" t="str">
        <f>Deployments!BL314</f>
        <v/>
      </c>
      <c r="P313" s="2">
        <f>Deployments!BA314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Deployments!H315</f>
        <v>0</v>
      </c>
      <c r="B314" s="23">
        <f>Deployments!V315</f>
        <v>0</v>
      </c>
      <c r="C314" s="23">
        <f>Deployments!W315</f>
        <v>0</v>
      </c>
      <c r="D314" s="15">
        <f>Deployments!AJ315</f>
        <v>0</v>
      </c>
      <c r="E314" s="15">
        <f>Deployments!N315</f>
        <v>0</v>
      </c>
      <c r="F314" s="23">
        <f>Deployments!O315</f>
        <v>0</v>
      </c>
      <c r="G314" s="15">
        <f>Deployments!P315</f>
        <v>0</v>
      </c>
      <c r="H314" s="15">
        <f>'13 - Config_Intake_View'!M314</f>
        <v>0</v>
      </c>
      <c r="I314" s="23">
        <f>IF('13 - Config_Intake_View'!Q314&lt;&gt;"",'13 - Config_Intake_View'!Q314,Deployments!BH315)</f>
        <v>0</v>
      </c>
      <c r="J314" s="15" t="str">
        <f>IF('13 - Config_Intake_View'!Q314&lt;&gt;"","PM Approved",IF(Deployments!BH315&lt;&gt;"","Assumed",""))</f>
        <v/>
      </c>
      <c r="K314" s="23">
        <f>Deployments!BG315</f>
        <v>0</v>
      </c>
      <c r="L314" s="15">
        <f>Deployments!T315</f>
        <v>0</v>
      </c>
      <c r="M314" s="15">
        <f>Deployments!L315</f>
        <v>0</v>
      </c>
      <c r="N314" s="15" t="str">
        <f>Deployments!BK315</f>
        <v/>
      </c>
      <c r="O314" s="23" t="str">
        <f>Deployments!BL315</f>
        <v/>
      </c>
      <c r="P314" s="2">
        <f>Deployments!BA315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Deployments!H316</f>
        <v>0</v>
      </c>
      <c r="B315" s="23">
        <f>Deployments!V316</f>
        <v>0</v>
      </c>
      <c r="C315" s="23">
        <f>Deployments!W316</f>
        <v>0</v>
      </c>
      <c r="D315" s="15">
        <f>Deployments!AJ316</f>
        <v>0</v>
      </c>
      <c r="E315" s="15">
        <f>Deployments!N316</f>
        <v>0</v>
      </c>
      <c r="F315" s="23">
        <f>Deployments!O316</f>
        <v>0</v>
      </c>
      <c r="G315" s="15">
        <f>Deployments!P316</f>
        <v>0</v>
      </c>
      <c r="H315" s="15">
        <f>'13 - Config_Intake_View'!M315</f>
        <v>0</v>
      </c>
      <c r="I315" s="23">
        <f>IF('13 - Config_Intake_View'!Q315&lt;&gt;"",'13 - Config_Intake_View'!Q315,Deployments!BH316)</f>
        <v>0</v>
      </c>
      <c r="J315" s="15" t="str">
        <f>IF('13 - Config_Intake_View'!Q315&lt;&gt;"","PM Approved",IF(Deployments!BH316&lt;&gt;"","Assumed",""))</f>
        <v/>
      </c>
      <c r="K315" s="23">
        <f>Deployments!BG316</f>
        <v>0</v>
      </c>
      <c r="L315" s="15">
        <f>Deployments!T316</f>
        <v>0</v>
      </c>
      <c r="M315" s="15">
        <f>Deployments!L316</f>
        <v>0</v>
      </c>
      <c r="N315" s="15" t="str">
        <f>Deployments!BK316</f>
        <v/>
      </c>
      <c r="O315" s="23" t="str">
        <f>Deployments!BL316</f>
        <v/>
      </c>
      <c r="P315" s="2">
        <f>Deployments!BA316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Deployments!H317</f>
        <v>0</v>
      </c>
      <c r="B316" s="23">
        <f>Deployments!V317</f>
        <v>0</v>
      </c>
      <c r="C316" s="23">
        <f>Deployments!W317</f>
        <v>0</v>
      </c>
      <c r="D316" s="15">
        <f>Deployments!AJ317</f>
        <v>0</v>
      </c>
      <c r="E316" s="15">
        <f>Deployments!N317</f>
        <v>0</v>
      </c>
      <c r="F316" s="23">
        <f>Deployments!O317</f>
        <v>0</v>
      </c>
      <c r="G316" s="15">
        <f>Deployments!P317</f>
        <v>0</v>
      </c>
      <c r="H316" s="15">
        <f>'13 - Config_Intake_View'!M316</f>
        <v>0</v>
      </c>
      <c r="I316" s="23">
        <f>IF('13 - Config_Intake_View'!Q316&lt;&gt;"",'13 - Config_Intake_View'!Q316,Deployments!BH317)</f>
        <v>0</v>
      </c>
      <c r="J316" s="15" t="str">
        <f>IF('13 - Config_Intake_View'!Q316&lt;&gt;"","PM Approved",IF(Deployments!BH317&lt;&gt;"","Assumed",""))</f>
        <v/>
      </c>
      <c r="K316" s="23">
        <f>Deployments!BG317</f>
        <v>0</v>
      </c>
      <c r="L316" s="15">
        <f>Deployments!T317</f>
        <v>0</v>
      </c>
      <c r="M316" s="15">
        <f>Deployments!L317</f>
        <v>0</v>
      </c>
      <c r="N316" s="15" t="str">
        <f>Deployments!BK317</f>
        <v/>
      </c>
      <c r="O316" s="23" t="str">
        <f>Deployments!BL317</f>
        <v/>
      </c>
      <c r="P316" s="2">
        <f>Deployments!BA317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Deployments!H318</f>
        <v>0</v>
      </c>
      <c r="B317" s="23">
        <f>Deployments!V318</f>
        <v>0</v>
      </c>
      <c r="C317" s="23">
        <f>Deployments!W318</f>
        <v>0</v>
      </c>
      <c r="D317" s="15">
        <f>Deployments!AJ318</f>
        <v>0</v>
      </c>
      <c r="E317" s="15">
        <f>Deployments!N318</f>
        <v>0</v>
      </c>
      <c r="F317" s="23">
        <f>Deployments!O318</f>
        <v>0</v>
      </c>
      <c r="G317" s="15">
        <f>Deployments!P318</f>
        <v>0</v>
      </c>
      <c r="H317" s="15">
        <f>'13 - Config_Intake_View'!M317</f>
        <v>0</v>
      </c>
      <c r="I317" s="23">
        <f>IF('13 - Config_Intake_View'!Q317&lt;&gt;"",'13 - Config_Intake_View'!Q317,Deployments!BH318)</f>
        <v>0</v>
      </c>
      <c r="J317" s="15" t="str">
        <f>IF('13 - Config_Intake_View'!Q317&lt;&gt;"","PM Approved",IF(Deployments!BH318&lt;&gt;"","Assumed",""))</f>
        <v/>
      </c>
      <c r="K317" s="23">
        <f>Deployments!BG318</f>
        <v>0</v>
      </c>
      <c r="L317" s="15">
        <f>Deployments!T318</f>
        <v>0</v>
      </c>
      <c r="M317" s="15">
        <f>Deployments!L318</f>
        <v>0</v>
      </c>
      <c r="N317" s="15" t="str">
        <f>Deployments!BK318</f>
        <v/>
      </c>
      <c r="O317" s="23" t="str">
        <f>Deployments!BL318</f>
        <v/>
      </c>
      <c r="P317" s="2">
        <f>Deployments!BA318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Deployments!H319</f>
        <v>0</v>
      </c>
      <c r="B318" s="23">
        <f>Deployments!V319</f>
        <v>0</v>
      </c>
      <c r="C318" s="23">
        <f>Deployments!W319</f>
        <v>0</v>
      </c>
      <c r="D318" s="15">
        <f>Deployments!AJ319</f>
        <v>0</v>
      </c>
      <c r="E318" s="15">
        <f>Deployments!N319</f>
        <v>0</v>
      </c>
      <c r="F318" s="23">
        <f>Deployments!O319</f>
        <v>0</v>
      </c>
      <c r="G318" s="15">
        <f>Deployments!P319</f>
        <v>0</v>
      </c>
      <c r="H318" s="15">
        <f>'13 - Config_Intake_View'!M318</f>
        <v>0</v>
      </c>
      <c r="I318" s="23">
        <f>IF('13 - Config_Intake_View'!Q318&lt;&gt;"",'13 - Config_Intake_View'!Q318,Deployments!BH319)</f>
        <v>0</v>
      </c>
      <c r="J318" s="15" t="str">
        <f>IF('13 - Config_Intake_View'!Q318&lt;&gt;"","PM Approved",IF(Deployments!BH319&lt;&gt;"","Assumed",""))</f>
        <v/>
      </c>
      <c r="K318" s="23">
        <f>Deployments!BG319</f>
        <v>0</v>
      </c>
      <c r="L318" s="15">
        <f>Deployments!T319</f>
        <v>0</v>
      </c>
      <c r="M318" s="15">
        <f>Deployments!L319</f>
        <v>0</v>
      </c>
      <c r="N318" s="15" t="str">
        <f>Deployments!BK319</f>
        <v/>
      </c>
      <c r="O318" s="23" t="str">
        <f>Deployments!BL319</f>
        <v/>
      </c>
      <c r="P318" s="2">
        <f>Deployments!BA319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Deployments!H320</f>
        <v>0</v>
      </c>
      <c r="B319" s="23">
        <f>Deployments!V320</f>
        <v>0</v>
      </c>
      <c r="C319" s="23">
        <f>Deployments!W320</f>
        <v>0</v>
      </c>
      <c r="D319" s="15">
        <f>Deployments!AJ320</f>
        <v>0</v>
      </c>
      <c r="E319" s="15">
        <f>Deployments!N320</f>
        <v>0</v>
      </c>
      <c r="F319" s="23">
        <f>Deployments!O320</f>
        <v>0</v>
      </c>
      <c r="G319" s="15">
        <f>Deployments!P320</f>
        <v>0</v>
      </c>
      <c r="H319" s="15">
        <f>'13 - Config_Intake_View'!M319</f>
        <v>0</v>
      </c>
      <c r="I319" s="23">
        <f>IF('13 - Config_Intake_View'!Q319&lt;&gt;"",'13 - Config_Intake_View'!Q319,Deployments!BH320)</f>
        <v>0</v>
      </c>
      <c r="J319" s="15" t="str">
        <f>IF('13 - Config_Intake_View'!Q319&lt;&gt;"","PM Approved",IF(Deployments!BH320&lt;&gt;"","Assumed",""))</f>
        <v/>
      </c>
      <c r="K319" s="23">
        <f>Deployments!BG320</f>
        <v>0</v>
      </c>
      <c r="L319" s="15">
        <f>Deployments!T320</f>
        <v>0</v>
      </c>
      <c r="M319" s="15">
        <f>Deployments!L320</f>
        <v>0</v>
      </c>
      <c r="N319" s="15" t="str">
        <f>Deployments!BK320</f>
        <v/>
      </c>
      <c r="O319" s="23" t="str">
        <f>Deployments!BL320</f>
        <v/>
      </c>
      <c r="P319" s="2">
        <f>Deployments!BA320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Deployments!H321</f>
        <v>0</v>
      </c>
      <c r="B320" s="23">
        <f>Deployments!V321</f>
        <v>0</v>
      </c>
      <c r="C320" s="23">
        <f>Deployments!W321</f>
        <v>0</v>
      </c>
      <c r="D320" s="15">
        <f>Deployments!AJ321</f>
        <v>0</v>
      </c>
      <c r="E320" s="15">
        <f>Deployments!N321</f>
        <v>0</v>
      </c>
      <c r="F320" s="23">
        <f>Deployments!O321</f>
        <v>0</v>
      </c>
      <c r="G320" s="15">
        <f>Deployments!P321</f>
        <v>0</v>
      </c>
      <c r="H320" s="15">
        <f>'13 - Config_Intake_View'!M320</f>
        <v>0</v>
      </c>
      <c r="I320" s="23">
        <f>IF('13 - Config_Intake_View'!Q320&lt;&gt;"",'13 - Config_Intake_View'!Q320,Deployments!BH321)</f>
        <v>0</v>
      </c>
      <c r="J320" s="15" t="str">
        <f>IF('13 - Config_Intake_View'!Q320&lt;&gt;"","PM Approved",IF(Deployments!BH321&lt;&gt;"","Assumed",""))</f>
        <v/>
      </c>
      <c r="K320" s="23">
        <f>Deployments!BG321</f>
        <v>0</v>
      </c>
      <c r="L320" s="15">
        <f>Deployments!T321</f>
        <v>0</v>
      </c>
      <c r="M320" s="15">
        <f>Deployments!L321</f>
        <v>0</v>
      </c>
      <c r="N320" s="15" t="str">
        <f>Deployments!BK321</f>
        <v/>
      </c>
      <c r="O320" s="23" t="str">
        <f>Deployments!BL321</f>
        <v/>
      </c>
      <c r="P320" s="2">
        <f>Deployments!BA321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Deployments!H322</f>
        <v>0</v>
      </c>
      <c r="B321" s="23">
        <f>Deployments!V322</f>
        <v>0</v>
      </c>
      <c r="C321" s="23">
        <f>Deployments!W322</f>
        <v>0</v>
      </c>
      <c r="D321" s="15">
        <f>Deployments!AJ322</f>
        <v>0</v>
      </c>
      <c r="E321" s="15">
        <f>Deployments!N322</f>
        <v>0</v>
      </c>
      <c r="F321" s="23">
        <f>Deployments!O322</f>
        <v>0</v>
      </c>
      <c r="G321" s="15">
        <f>Deployments!P322</f>
        <v>0</v>
      </c>
      <c r="H321" s="15">
        <f>'13 - Config_Intake_View'!M321</f>
        <v>0</v>
      </c>
      <c r="I321" s="23">
        <f>IF('13 - Config_Intake_View'!Q321&lt;&gt;"",'13 - Config_Intake_View'!Q321,Deployments!BH322)</f>
        <v>0</v>
      </c>
      <c r="J321" s="15" t="str">
        <f>IF('13 - Config_Intake_View'!Q321&lt;&gt;"","PM Approved",IF(Deployments!BH322&lt;&gt;"","Assumed",""))</f>
        <v/>
      </c>
      <c r="K321" s="23">
        <f>Deployments!BG322</f>
        <v>0</v>
      </c>
      <c r="L321" s="15">
        <f>Deployments!T322</f>
        <v>0</v>
      </c>
      <c r="M321" s="15">
        <f>Deployments!L322</f>
        <v>0</v>
      </c>
      <c r="N321" s="15" t="str">
        <f>Deployments!BK322</f>
        <v/>
      </c>
      <c r="O321" s="23" t="str">
        <f>Deployments!BL322</f>
        <v/>
      </c>
      <c r="P321" s="2">
        <f>Deployments!BA322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Deployments!H323</f>
        <v>0</v>
      </c>
      <c r="B322" s="23">
        <f>Deployments!V323</f>
        <v>0</v>
      </c>
      <c r="C322" s="23">
        <f>Deployments!W323</f>
        <v>0</v>
      </c>
      <c r="D322" s="15">
        <f>Deployments!AJ323</f>
        <v>0</v>
      </c>
      <c r="E322" s="15">
        <f>Deployments!N323</f>
        <v>0</v>
      </c>
      <c r="F322" s="23">
        <f>Deployments!O323</f>
        <v>0</v>
      </c>
      <c r="G322" s="15">
        <f>Deployments!P323</f>
        <v>0</v>
      </c>
      <c r="H322" s="15">
        <f>'13 - Config_Intake_View'!M322</f>
        <v>0</v>
      </c>
      <c r="I322" s="23">
        <f>IF('13 - Config_Intake_View'!Q322&lt;&gt;"",'13 - Config_Intake_View'!Q322,Deployments!BH323)</f>
        <v>0</v>
      </c>
      <c r="J322" s="15" t="str">
        <f>IF('13 - Config_Intake_View'!Q322&lt;&gt;"","PM Approved",IF(Deployments!BH323&lt;&gt;"","Assumed",""))</f>
        <v/>
      </c>
      <c r="K322" s="23">
        <f>Deployments!BG323</f>
        <v>0</v>
      </c>
      <c r="L322" s="15">
        <f>Deployments!T323</f>
        <v>0</v>
      </c>
      <c r="M322" s="15">
        <f>Deployments!L323</f>
        <v>0</v>
      </c>
      <c r="N322" s="15" t="str">
        <f>Deployments!BK323</f>
        <v/>
      </c>
      <c r="O322" s="23" t="str">
        <f>Deployments!BL323</f>
        <v/>
      </c>
      <c r="P322" s="2">
        <f>Deployments!BA323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Deployments!H324</f>
        <v>0</v>
      </c>
      <c r="B323" s="23">
        <f>Deployments!V324</f>
        <v>0</v>
      </c>
      <c r="C323" s="23">
        <f>Deployments!W324</f>
        <v>0</v>
      </c>
      <c r="D323" s="15">
        <f>Deployments!AJ324</f>
        <v>0</v>
      </c>
      <c r="E323" s="15">
        <f>Deployments!N324</f>
        <v>0</v>
      </c>
      <c r="F323" s="23">
        <f>Deployments!O324</f>
        <v>0</v>
      </c>
      <c r="G323" s="15">
        <f>Deployments!P324</f>
        <v>0</v>
      </c>
      <c r="H323" s="15">
        <f>'13 - Config_Intake_View'!M323</f>
        <v>0</v>
      </c>
      <c r="I323" s="23">
        <f>IF('13 - Config_Intake_View'!Q323&lt;&gt;"",'13 - Config_Intake_View'!Q323,Deployments!BH324)</f>
        <v>0</v>
      </c>
      <c r="J323" s="15" t="str">
        <f>IF('13 - Config_Intake_View'!Q323&lt;&gt;"","PM Approved",IF(Deployments!BH324&lt;&gt;"","Assumed",""))</f>
        <v/>
      </c>
      <c r="K323" s="23">
        <f>Deployments!BG324</f>
        <v>0</v>
      </c>
      <c r="L323" s="15">
        <f>Deployments!T324</f>
        <v>0</v>
      </c>
      <c r="M323" s="15">
        <f>Deployments!L324</f>
        <v>0</v>
      </c>
      <c r="N323" s="15" t="str">
        <f>Deployments!BK324</f>
        <v/>
      </c>
      <c r="O323" s="23" t="str">
        <f>Deployments!BL324</f>
        <v/>
      </c>
      <c r="P323" s="2">
        <f>Deployments!BA324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Deployments!H325</f>
        <v>0</v>
      </c>
      <c r="B324" s="23">
        <f>Deployments!V325</f>
        <v>0</v>
      </c>
      <c r="C324" s="23">
        <f>Deployments!W325</f>
        <v>0</v>
      </c>
      <c r="D324" s="15">
        <f>Deployments!AJ325</f>
        <v>0</v>
      </c>
      <c r="E324" s="15">
        <f>Deployments!N325</f>
        <v>0</v>
      </c>
      <c r="F324" s="23">
        <f>Deployments!O325</f>
        <v>0</v>
      </c>
      <c r="G324" s="15">
        <f>Deployments!P325</f>
        <v>0</v>
      </c>
      <c r="H324" s="15">
        <f>'13 - Config_Intake_View'!M324</f>
        <v>0</v>
      </c>
      <c r="I324" s="23">
        <f>IF('13 - Config_Intake_View'!Q324&lt;&gt;"",'13 - Config_Intake_View'!Q324,Deployments!BH325)</f>
        <v>0</v>
      </c>
      <c r="J324" s="15" t="str">
        <f>IF('13 - Config_Intake_View'!Q324&lt;&gt;"","PM Approved",IF(Deployments!BH325&lt;&gt;"","Assumed",""))</f>
        <v/>
      </c>
      <c r="K324" s="23">
        <f>Deployments!BG325</f>
        <v>0</v>
      </c>
      <c r="L324" s="15">
        <f>Deployments!T325</f>
        <v>0</v>
      </c>
      <c r="M324" s="15">
        <f>Deployments!L325</f>
        <v>0</v>
      </c>
      <c r="N324" s="15" t="str">
        <f>Deployments!BK325</f>
        <v/>
      </c>
      <c r="O324" s="23" t="str">
        <f>Deployments!BL325</f>
        <v/>
      </c>
      <c r="P324" s="2">
        <f>Deployments!BA325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Deployments!H326</f>
        <v>0</v>
      </c>
      <c r="B325" s="23">
        <f>Deployments!V326</f>
        <v>0</v>
      </c>
      <c r="C325" s="23">
        <f>Deployments!W326</f>
        <v>0</v>
      </c>
      <c r="D325" s="15">
        <f>Deployments!AJ326</f>
        <v>0</v>
      </c>
      <c r="E325" s="15">
        <f>Deployments!N326</f>
        <v>0</v>
      </c>
      <c r="F325" s="23">
        <f>Deployments!O326</f>
        <v>0</v>
      </c>
      <c r="G325" s="15">
        <f>Deployments!P326</f>
        <v>0</v>
      </c>
      <c r="H325" s="15">
        <f>'13 - Config_Intake_View'!M325</f>
        <v>0</v>
      </c>
      <c r="I325" s="23">
        <f>IF('13 - Config_Intake_View'!Q325&lt;&gt;"",'13 - Config_Intake_View'!Q325,Deployments!BH326)</f>
        <v>0</v>
      </c>
      <c r="J325" s="15" t="str">
        <f>IF('13 - Config_Intake_View'!Q325&lt;&gt;"","PM Approved",IF(Deployments!BH326&lt;&gt;"","Assumed",""))</f>
        <v/>
      </c>
      <c r="K325" s="23">
        <f>Deployments!BG326</f>
        <v>0</v>
      </c>
      <c r="L325" s="15">
        <f>Deployments!T326</f>
        <v>0</v>
      </c>
      <c r="M325" s="15">
        <f>Deployments!L326</f>
        <v>0</v>
      </c>
      <c r="N325" s="15" t="str">
        <f>Deployments!BK326</f>
        <v/>
      </c>
      <c r="O325" s="23" t="str">
        <f>Deployments!BL326</f>
        <v/>
      </c>
      <c r="P325" s="2">
        <f>Deployments!BA326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Deployments!H327</f>
        <v>0</v>
      </c>
      <c r="B326" s="23">
        <f>Deployments!V327</f>
        <v>0</v>
      </c>
      <c r="C326" s="23">
        <f>Deployments!W327</f>
        <v>0</v>
      </c>
      <c r="D326" s="15">
        <f>Deployments!AJ327</f>
        <v>0</v>
      </c>
      <c r="E326" s="15">
        <f>Deployments!N327</f>
        <v>0</v>
      </c>
      <c r="F326" s="23">
        <f>Deployments!O327</f>
        <v>0</v>
      </c>
      <c r="G326" s="15">
        <f>Deployments!P327</f>
        <v>0</v>
      </c>
      <c r="H326" s="15">
        <f>'13 - Config_Intake_View'!M326</f>
        <v>0</v>
      </c>
      <c r="I326" s="23">
        <f>IF('13 - Config_Intake_View'!Q326&lt;&gt;"",'13 - Config_Intake_View'!Q326,Deployments!BH327)</f>
        <v>0</v>
      </c>
      <c r="J326" s="15" t="str">
        <f>IF('13 - Config_Intake_View'!Q326&lt;&gt;"","PM Approved",IF(Deployments!BH327&lt;&gt;"","Assumed",""))</f>
        <v/>
      </c>
      <c r="K326" s="23">
        <f>Deployments!BG327</f>
        <v>0</v>
      </c>
      <c r="L326" s="15">
        <f>Deployments!T327</f>
        <v>0</v>
      </c>
      <c r="M326" s="15">
        <f>Deployments!L327</f>
        <v>0</v>
      </c>
      <c r="N326" s="15" t="str">
        <f>Deployments!BK327</f>
        <v/>
      </c>
      <c r="O326" s="23" t="str">
        <f>Deployments!BL327</f>
        <v/>
      </c>
      <c r="P326" s="2">
        <f>Deployments!BA327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Deployments!H328</f>
        <v>0</v>
      </c>
      <c r="B327" s="23">
        <f>Deployments!V328</f>
        <v>0</v>
      </c>
      <c r="C327" s="23">
        <f>Deployments!W328</f>
        <v>0</v>
      </c>
      <c r="D327" s="15">
        <f>Deployments!AJ328</f>
        <v>0</v>
      </c>
      <c r="E327" s="15">
        <f>Deployments!N328</f>
        <v>0</v>
      </c>
      <c r="F327" s="23">
        <f>Deployments!O328</f>
        <v>0</v>
      </c>
      <c r="G327" s="15">
        <f>Deployments!P328</f>
        <v>0</v>
      </c>
      <c r="H327" s="15">
        <f>'13 - Config_Intake_View'!M327</f>
        <v>0</v>
      </c>
      <c r="I327" s="23">
        <f>IF('13 - Config_Intake_View'!Q327&lt;&gt;"",'13 - Config_Intake_View'!Q327,Deployments!BH328)</f>
        <v>0</v>
      </c>
      <c r="J327" s="15" t="str">
        <f>IF('13 - Config_Intake_View'!Q327&lt;&gt;"","PM Approved",IF(Deployments!BH328&lt;&gt;"","Assumed",""))</f>
        <v/>
      </c>
      <c r="K327" s="23">
        <f>Deployments!BG328</f>
        <v>0</v>
      </c>
      <c r="L327" s="15">
        <f>Deployments!T328</f>
        <v>0</v>
      </c>
      <c r="M327" s="15">
        <f>Deployments!L328</f>
        <v>0</v>
      </c>
      <c r="N327" s="15" t="str">
        <f>Deployments!BK328</f>
        <v/>
      </c>
      <c r="O327" s="23" t="str">
        <f>Deployments!BL328</f>
        <v/>
      </c>
      <c r="P327" s="2">
        <f>Deployments!BA328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Deployments!H329</f>
        <v>0</v>
      </c>
      <c r="B328" s="23">
        <f>Deployments!V329</f>
        <v>0</v>
      </c>
      <c r="C328" s="23">
        <f>Deployments!W329</f>
        <v>0</v>
      </c>
      <c r="D328" s="15">
        <f>Deployments!AJ329</f>
        <v>0</v>
      </c>
      <c r="E328" s="15">
        <f>Deployments!N329</f>
        <v>0</v>
      </c>
      <c r="F328" s="23">
        <f>Deployments!O329</f>
        <v>0</v>
      </c>
      <c r="G328" s="15">
        <f>Deployments!P329</f>
        <v>0</v>
      </c>
      <c r="H328" s="15">
        <f>'13 - Config_Intake_View'!M328</f>
        <v>0</v>
      </c>
      <c r="I328" s="23">
        <f>IF('13 - Config_Intake_View'!Q328&lt;&gt;"",'13 - Config_Intake_View'!Q328,Deployments!BH329)</f>
        <v>0</v>
      </c>
      <c r="J328" s="15" t="str">
        <f>IF('13 - Config_Intake_View'!Q328&lt;&gt;"","PM Approved",IF(Deployments!BH329&lt;&gt;"","Assumed",""))</f>
        <v/>
      </c>
      <c r="K328" s="23">
        <f>Deployments!BG329</f>
        <v>0</v>
      </c>
      <c r="L328" s="15">
        <f>Deployments!T329</f>
        <v>0</v>
      </c>
      <c r="M328" s="15">
        <f>Deployments!L329</f>
        <v>0</v>
      </c>
      <c r="N328" s="15" t="str">
        <f>Deployments!BK329</f>
        <v/>
      </c>
      <c r="O328" s="23" t="str">
        <f>Deployments!BL329</f>
        <v/>
      </c>
      <c r="P328" s="2">
        <f>Deployments!BA329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Deployments!H330</f>
        <v>0</v>
      </c>
      <c r="B329" s="23">
        <f>Deployments!V330</f>
        <v>0</v>
      </c>
      <c r="C329" s="23">
        <f>Deployments!W330</f>
        <v>0</v>
      </c>
      <c r="D329" s="15">
        <f>Deployments!AJ330</f>
        <v>0</v>
      </c>
      <c r="E329" s="15">
        <f>Deployments!N330</f>
        <v>0</v>
      </c>
      <c r="F329" s="23">
        <f>Deployments!O330</f>
        <v>0</v>
      </c>
      <c r="G329" s="15">
        <f>Deployments!P330</f>
        <v>0</v>
      </c>
      <c r="H329" s="15">
        <f>'13 - Config_Intake_View'!M329</f>
        <v>0</v>
      </c>
      <c r="I329" s="23">
        <f>IF('13 - Config_Intake_View'!Q329&lt;&gt;"",'13 - Config_Intake_View'!Q329,Deployments!BH330)</f>
        <v>0</v>
      </c>
      <c r="J329" s="15" t="str">
        <f>IF('13 - Config_Intake_View'!Q329&lt;&gt;"","PM Approved",IF(Deployments!BH330&lt;&gt;"","Assumed",""))</f>
        <v/>
      </c>
      <c r="K329" s="23">
        <f>Deployments!BG330</f>
        <v>0</v>
      </c>
      <c r="L329" s="15">
        <f>Deployments!T330</f>
        <v>0</v>
      </c>
      <c r="M329" s="15">
        <f>Deployments!L330</f>
        <v>0</v>
      </c>
      <c r="N329" s="15" t="str">
        <f>Deployments!BK330</f>
        <v/>
      </c>
      <c r="O329" s="23" t="str">
        <f>Deployments!BL330</f>
        <v/>
      </c>
      <c r="P329" s="2">
        <f>Deployments!BA330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Deployments!H331</f>
        <v>0</v>
      </c>
      <c r="B330" s="23">
        <f>Deployments!V331</f>
        <v>0</v>
      </c>
      <c r="C330" s="23">
        <f>Deployments!W331</f>
        <v>0</v>
      </c>
      <c r="D330" s="15">
        <f>Deployments!AJ331</f>
        <v>0</v>
      </c>
      <c r="E330" s="15">
        <f>Deployments!N331</f>
        <v>0</v>
      </c>
      <c r="F330" s="23">
        <f>Deployments!O331</f>
        <v>0</v>
      </c>
      <c r="G330" s="15">
        <f>Deployments!P331</f>
        <v>0</v>
      </c>
      <c r="H330" s="15">
        <f>'13 - Config_Intake_View'!M330</f>
        <v>0</v>
      </c>
      <c r="I330" s="23">
        <f>IF('13 - Config_Intake_View'!Q330&lt;&gt;"",'13 - Config_Intake_View'!Q330,Deployments!BH331)</f>
        <v>0</v>
      </c>
      <c r="J330" s="15" t="str">
        <f>IF('13 - Config_Intake_View'!Q330&lt;&gt;"","PM Approved",IF(Deployments!BH331&lt;&gt;"","Assumed",""))</f>
        <v/>
      </c>
      <c r="K330" s="23">
        <f>Deployments!BG331</f>
        <v>0</v>
      </c>
      <c r="L330" s="15">
        <f>Deployments!T331</f>
        <v>0</v>
      </c>
      <c r="M330" s="15">
        <f>Deployments!L331</f>
        <v>0</v>
      </c>
      <c r="N330" s="15" t="str">
        <f>Deployments!BK331</f>
        <v/>
      </c>
      <c r="O330" s="23" t="str">
        <f>Deployments!BL331</f>
        <v/>
      </c>
      <c r="P330" s="2">
        <f>Deployments!BA331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Deployments!H332</f>
        <v>0</v>
      </c>
      <c r="B331" s="23">
        <f>Deployments!V332</f>
        <v>0</v>
      </c>
      <c r="C331" s="23">
        <f>Deployments!W332</f>
        <v>0</v>
      </c>
      <c r="D331" s="15">
        <f>Deployments!AJ332</f>
        <v>0</v>
      </c>
      <c r="E331" s="15">
        <f>Deployments!N332</f>
        <v>0</v>
      </c>
      <c r="F331" s="23">
        <f>Deployments!O332</f>
        <v>0</v>
      </c>
      <c r="G331" s="15">
        <f>Deployments!P332</f>
        <v>0</v>
      </c>
      <c r="H331" s="15">
        <f>'13 - Config_Intake_View'!M331</f>
        <v>0</v>
      </c>
      <c r="I331" s="23">
        <f>IF('13 - Config_Intake_View'!Q331&lt;&gt;"",'13 - Config_Intake_View'!Q331,Deployments!BH332)</f>
        <v>0</v>
      </c>
      <c r="J331" s="15" t="str">
        <f>IF('13 - Config_Intake_View'!Q331&lt;&gt;"","PM Approved",IF(Deployments!BH332&lt;&gt;"","Assumed",""))</f>
        <v/>
      </c>
      <c r="K331" s="23">
        <f>Deployments!BG332</f>
        <v>0</v>
      </c>
      <c r="L331" s="15">
        <f>Deployments!T332</f>
        <v>0</v>
      </c>
      <c r="M331" s="15">
        <f>Deployments!L332</f>
        <v>0</v>
      </c>
      <c r="N331" s="15" t="str">
        <f>Deployments!BK332</f>
        <v/>
      </c>
      <c r="O331" s="23" t="str">
        <f>Deployments!BL332</f>
        <v/>
      </c>
      <c r="P331" s="2">
        <f>Deployments!BA332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Deployments!H333</f>
        <v>0</v>
      </c>
      <c r="B332" s="23">
        <f>Deployments!V333</f>
        <v>0</v>
      </c>
      <c r="C332" s="23">
        <f>Deployments!W333</f>
        <v>0</v>
      </c>
      <c r="D332" s="15">
        <f>Deployments!AJ333</f>
        <v>0</v>
      </c>
      <c r="E332" s="15">
        <f>Deployments!N333</f>
        <v>0</v>
      </c>
      <c r="F332" s="23">
        <f>Deployments!O333</f>
        <v>0</v>
      </c>
      <c r="G332" s="15">
        <f>Deployments!P333</f>
        <v>0</v>
      </c>
      <c r="H332" s="15">
        <f>'13 - Config_Intake_View'!M332</f>
        <v>0</v>
      </c>
      <c r="I332" s="23">
        <f>IF('13 - Config_Intake_View'!Q332&lt;&gt;"",'13 - Config_Intake_View'!Q332,Deployments!BH333)</f>
        <v>0</v>
      </c>
      <c r="J332" s="15" t="str">
        <f>IF('13 - Config_Intake_View'!Q332&lt;&gt;"","PM Approved",IF(Deployments!BH333&lt;&gt;"","Assumed",""))</f>
        <v/>
      </c>
      <c r="K332" s="23">
        <f>Deployments!BG333</f>
        <v>0</v>
      </c>
      <c r="L332" s="15">
        <f>Deployments!T333</f>
        <v>0</v>
      </c>
      <c r="M332" s="15">
        <f>Deployments!L333</f>
        <v>0</v>
      </c>
      <c r="N332" s="15" t="str">
        <f>Deployments!BK333</f>
        <v/>
      </c>
      <c r="O332" s="23" t="str">
        <f>Deployments!BL333</f>
        <v/>
      </c>
      <c r="P332" s="2">
        <f>Deployments!BA333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Deployments!H334</f>
        <v>0</v>
      </c>
      <c r="B333" s="23">
        <f>Deployments!V334</f>
        <v>0</v>
      </c>
      <c r="C333" s="23">
        <f>Deployments!W334</f>
        <v>0</v>
      </c>
      <c r="D333" s="15">
        <f>Deployments!AJ334</f>
        <v>0</v>
      </c>
      <c r="E333" s="15">
        <f>Deployments!N334</f>
        <v>0</v>
      </c>
      <c r="F333" s="23">
        <f>Deployments!O334</f>
        <v>0</v>
      </c>
      <c r="G333" s="15">
        <f>Deployments!P334</f>
        <v>0</v>
      </c>
      <c r="H333" s="15">
        <f>'13 - Config_Intake_View'!M333</f>
        <v>0</v>
      </c>
      <c r="I333" s="23">
        <f>IF('13 - Config_Intake_View'!Q333&lt;&gt;"",'13 - Config_Intake_View'!Q333,Deployments!BH334)</f>
        <v>0</v>
      </c>
      <c r="J333" s="15" t="str">
        <f>IF('13 - Config_Intake_View'!Q333&lt;&gt;"","PM Approved",IF(Deployments!BH334&lt;&gt;"","Assumed",""))</f>
        <v/>
      </c>
      <c r="K333" s="23">
        <f>Deployments!BG334</f>
        <v>0</v>
      </c>
      <c r="L333" s="15">
        <f>Deployments!T334</f>
        <v>0</v>
      </c>
      <c r="M333" s="15">
        <f>Deployments!L334</f>
        <v>0</v>
      </c>
      <c r="N333" s="15" t="str">
        <f>Deployments!BK334</f>
        <v/>
      </c>
      <c r="O333" s="23" t="str">
        <f>Deployments!BL334</f>
        <v/>
      </c>
      <c r="P333" s="2">
        <f>Deployments!BA334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Deployments!H335</f>
        <v>0</v>
      </c>
      <c r="B334" s="23">
        <f>Deployments!V335</f>
        <v>0</v>
      </c>
      <c r="C334" s="23">
        <f>Deployments!W335</f>
        <v>0</v>
      </c>
      <c r="D334" s="15">
        <f>Deployments!AJ335</f>
        <v>0</v>
      </c>
      <c r="E334" s="15">
        <f>Deployments!N335</f>
        <v>0</v>
      </c>
      <c r="F334" s="23">
        <f>Deployments!O335</f>
        <v>0</v>
      </c>
      <c r="G334" s="15">
        <f>Deployments!P335</f>
        <v>0</v>
      </c>
      <c r="H334" s="15">
        <f>'13 - Config_Intake_View'!M334</f>
        <v>0</v>
      </c>
      <c r="I334" s="23">
        <f>IF('13 - Config_Intake_View'!Q334&lt;&gt;"",'13 - Config_Intake_View'!Q334,Deployments!BH335)</f>
        <v>0</v>
      </c>
      <c r="J334" s="15" t="str">
        <f>IF('13 - Config_Intake_View'!Q334&lt;&gt;"","PM Approved",IF(Deployments!BH335&lt;&gt;"","Assumed",""))</f>
        <v/>
      </c>
      <c r="K334" s="23">
        <f>Deployments!BG335</f>
        <v>0</v>
      </c>
      <c r="L334" s="15">
        <f>Deployments!T335</f>
        <v>0</v>
      </c>
      <c r="M334" s="15">
        <f>Deployments!L335</f>
        <v>0</v>
      </c>
      <c r="N334" s="15" t="str">
        <f>Deployments!BK335</f>
        <v/>
      </c>
      <c r="O334" s="23" t="str">
        <f>Deployments!BL335</f>
        <v/>
      </c>
      <c r="P334" s="2">
        <f>Deployments!BA335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Deployments!H336</f>
        <v>0</v>
      </c>
      <c r="B335" s="23">
        <f>Deployments!V336</f>
        <v>0</v>
      </c>
      <c r="C335" s="23">
        <f>Deployments!W336</f>
        <v>0</v>
      </c>
      <c r="D335" s="15">
        <f>Deployments!AJ336</f>
        <v>0</v>
      </c>
      <c r="E335" s="15">
        <f>Deployments!N336</f>
        <v>0</v>
      </c>
      <c r="F335" s="23">
        <f>Deployments!O336</f>
        <v>0</v>
      </c>
      <c r="G335" s="15">
        <f>Deployments!P336</f>
        <v>0</v>
      </c>
      <c r="H335" s="15">
        <f>'13 - Config_Intake_View'!M335</f>
        <v>0</v>
      </c>
      <c r="I335" s="23">
        <f>IF('13 - Config_Intake_View'!Q335&lt;&gt;"",'13 - Config_Intake_View'!Q335,Deployments!BH336)</f>
        <v>0</v>
      </c>
      <c r="J335" s="15" t="str">
        <f>IF('13 - Config_Intake_View'!Q335&lt;&gt;"","PM Approved",IF(Deployments!BH336&lt;&gt;"","Assumed",""))</f>
        <v/>
      </c>
      <c r="K335" s="23">
        <f>Deployments!BG336</f>
        <v>0</v>
      </c>
      <c r="L335" s="15">
        <f>Deployments!T336</f>
        <v>0</v>
      </c>
      <c r="M335" s="15">
        <f>Deployments!L336</f>
        <v>0</v>
      </c>
      <c r="N335" s="15" t="str">
        <f>Deployments!BK336</f>
        <v/>
      </c>
      <c r="O335" s="23" t="str">
        <f>Deployments!BL336</f>
        <v/>
      </c>
      <c r="P335" s="2">
        <f>Deployments!BA336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Deployments!H337</f>
        <v>0</v>
      </c>
      <c r="B336" s="23">
        <f>Deployments!V337</f>
        <v>0</v>
      </c>
      <c r="C336" s="23">
        <f>Deployments!W337</f>
        <v>0</v>
      </c>
      <c r="D336" s="15">
        <f>Deployments!AJ337</f>
        <v>0</v>
      </c>
      <c r="E336" s="15">
        <f>Deployments!N337</f>
        <v>0</v>
      </c>
      <c r="F336" s="23">
        <f>Deployments!O337</f>
        <v>0</v>
      </c>
      <c r="G336" s="15">
        <f>Deployments!P337</f>
        <v>0</v>
      </c>
      <c r="H336" s="15">
        <f>'13 - Config_Intake_View'!M336</f>
        <v>0</v>
      </c>
      <c r="I336" s="23">
        <f>IF('13 - Config_Intake_View'!Q336&lt;&gt;"",'13 - Config_Intake_View'!Q336,Deployments!BH337)</f>
        <v>0</v>
      </c>
      <c r="J336" s="15" t="str">
        <f>IF('13 - Config_Intake_View'!Q336&lt;&gt;"","PM Approved",IF(Deployments!BH337&lt;&gt;"","Assumed",""))</f>
        <v/>
      </c>
      <c r="K336" s="23">
        <f>Deployments!BG337</f>
        <v>0</v>
      </c>
      <c r="L336" s="15">
        <f>Deployments!T337</f>
        <v>0</v>
      </c>
      <c r="M336" s="15">
        <f>Deployments!L337</f>
        <v>0</v>
      </c>
      <c r="N336" s="15" t="str">
        <f>Deployments!BK337</f>
        <v/>
      </c>
      <c r="O336" s="23" t="str">
        <f>Deployments!BL337</f>
        <v/>
      </c>
      <c r="P336" s="2">
        <f>Deployments!BA337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Deployments!H338</f>
        <v>0</v>
      </c>
      <c r="B337" s="23">
        <f>Deployments!V338</f>
        <v>0</v>
      </c>
      <c r="C337" s="23">
        <f>Deployments!W338</f>
        <v>0</v>
      </c>
      <c r="D337" s="15">
        <f>Deployments!AJ338</f>
        <v>0</v>
      </c>
      <c r="E337" s="15">
        <f>Deployments!N338</f>
        <v>0</v>
      </c>
      <c r="F337" s="23">
        <f>Deployments!O338</f>
        <v>0</v>
      </c>
      <c r="G337" s="15">
        <f>Deployments!P338</f>
        <v>0</v>
      </c>
      <c r="H337" s="15">
        <f>'13 - Config_Intake_View'!M337</f>
        <v>0</v>
      </c>
      <c r="I337" s="23">
        <f>IF('13 - Config_Intake_View'!Q337&lt;&gt;"",'13 - Config_Intake_View'!Q337,Deployments!BH338)</f>
        <v>0</v>
      </c>
      <c r="J337" s="15" t="str">
        <f>IF('13 - Config_Intake_View'!Q337&lt;&gt;"","PM Approved",IF(Deployments!BH338&lt;&gt;"","Assumed",""))</f>
        <v/>
      </c>
      <c r="K337" s="23">
        <f>Deployments!BG338</f>
        <v>0</v>
      </c>
      <c r="L337" s="15">
        <f>Deployments!T338</f>
        <v>0</v>
      </c>
      <c r="M337" s="15">
        <f>Deployments!L338</f>
        <v>0</v>
      </c>
      <c r="N337" s="15" t="str">
        <f>Deployments!BK338</f>
        <v/>
      </c>
      <c r="O337" s="23" t="str">
        <f>Deployments!BL338</f>
        <v/>
      </c>
      <c r="P337" s="2">
        <f>Deployments!BA338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Deployments!H339</f>
        <v>0</v>
      </c>
      <c r="B338" s="23">
        <f>Deployments!V339</f>
        <v>0</v>
      </c>
      <c r="C338" s="23">
        <f>Deployments!W339</f>
        <v>0</v>
      </c>
      <c r="D338" s="15">
        <f>Deployments!AJ339</f>
        <v>0</v>
      </c>
      <c r="E338" s="15">
        <f>Deployments!N339</f>
        <v>0</v>
      </c>
      <c r="F338" s="23">
        <f>Deployments!O339</f>
        <v>0</v>
      </c>
      <c r="G338" s="15">
        <f>Deployments!P339</f>
        <v>0</v>
      </c>
      <c r="H338" s="15">
        <f>'13 - Config_Intake_View'!M338</f>
        <v>0</v>
      </c>
      <c r="I338" s="23">
        <f>IF('13 - Config_Intake_View'!Q338&lt;&gt;"",'13 - Config_Intake_View'!Q338,Deployments!BH339)</f>
        <v>0</v>
      </c>
      <c r="J338" s="15" t="str">
        <f>IF('13 - Config_Intake_View'!Q338&lt;&gt;"","PM Approved",IF(Deployments!BH339&lt;&gt;"","Assumed",""))</f>
        <v/>
      </c>
      <c r="K338" s="23">
        <f>Deployments!BG339</f>
        <v>0</v>
      </c>
      <c r="L338" s="15">
        <f>Deployments!T339</f>
        <v>0</v>
      </c>
      <c r="M338" s="15">
        <f>Deployments!L339</f>
        <v>0</v>
      </c>
      <c r="N338" s="15" t="str">
        <f>Deployments!BK339</f>
        <v/>
      </c>
      <c r="O338" s="23" t="str">
        <f>Deployments!BL339</f>
        <v/>
      </c>
      <c r="P338" s="2">
        <f>Deployments!BA339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Deployments!H340</f>
        <v>0</v>
      </c>
      <c r="B339" s="23">
        <f>Deployments!V340</f>
        <v>0</v>
      </c>
      <c r="C339" s="23">
        <f>Deployments!W340</f>
        <v>0</v>
      </c>
      <c r="D339" s="15">
        <f>Deployments!AJ340</f>
        <v>0</v>
      </c>
      <c r="E339" s="15">
        <f>Deployments!N340</f>
        <v>0</v>
      </c>
      <c r="F339" s="23">
        <f>Deployments!O340</f>
        <v>0</v>
      </c>
      <c r="G339" s="15">
        <f>Deployments!P340</f>
        <v>0</v>
      </c>
      <c r="H339" s="15">
        <f>'13 - Config_Intake_View'!M339</f>
        <v>0</v>
      </c>
      <c r="I339" s="23">
        <f>IF('13 - Config_Intake_View'!Q339&lt;&gt;"",'13 - Config_Intake_View'!Q339,Deployments!BH340)</f>
        <v>0</v>
      </c>
      <c r="J339" s="15" t="str">
        <f>IF('13 - Config_Intake_View'!Q339&lt;&gt;"","PM Approved",IF(Deployments!BH340&lt;&gt;"","Assumed",""))</f>
        <v/>
      </c>
      <c r="K339" s="23">
        <f>Deployments!BG340</f>
        <v>0</v>
      </c>
      <c r="L339" s="15">
        <f>Deployments!T340</f>
        <v>0</v>
      </c>
      <c r="M339" s="15">
        <f>Deployments!L340</f>
        <v>0</v>
      </c>
      <c r="N339" s="15" t="str">
        <f>Deployments!BK340</f>
        <v/>
      </c>
      <c r="O339" s="23" t="str">
        <f>Deployments!BL340</f>
        <v/>
      </c>
      <c r="P339" s="2">
        <f>Deployments!BA340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Deployments!H341</f>
        <v>0</v>
      </c>
      <c r="B340" s="23">
        <f>Deployments!V341</f>
        <v>0</v>
      </c>
      <c r="C340" s="23">
        <f>Deployments!W341</f>
        <v>0</v>
      </c>
      <c r="D340" s="15">
        <f>Deployments!AJ341</f>
        <v>0</v>
      </c>
      <c r="E340" s="15">
        <f>Deployments!N341</f>
        <v>0</v>
      </c>
      <c r="F340" s="23">
        <f>Deployments!O341</f>
        <v>0</v>
      </c>
      <c r="G340" s="15">
        <f>Deployments!P341</f>
        <v>0</v>
      </c>
      <c r="H340" s="15">
        <f>'13 - Config_Intake_View'!M340</f>
        <v>0</v>
      </c>
      <c r="I340" s="23">
        <f>IF('13 - Config_Intake_View'!Q340&lt;&gt;"",'13 - Config_Intake_View'!Q340,Deployments!BH341)</f>
        <v>0</v>
      </c>
      <c r="J340" s="15" t="str">
        <f>IF('13 - Config_Intake_View'!Q340&lt;&gt;"","PM Approved",IF(Deployments!BH341&lt;&gt;"","Assumed",""))</f>
        <v/>
      </c>
      <c r="K340" s="23">
        <f>Deployments!BG341</f>
        <v>0</v>
      </c>
      <c r="L340" s="15">
        <f>Deployments!T341</f>
        <v>0</v>
      </c>
      <c r="M340" s="15">
        <f>Deployments!L341</f>
        <v>0</v>
      </c>
      <c r="N340" s="15" t="str">
        <f>Deployments!BK341</f>
        <v/>
      </c>
      <c r="O340" s="23" t="str">
        <f>Deployments!BL341</f>
        <v/>
      </c>
      <c r="P340" s="2">
        <f>Deployments!BA341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Deployments!H342</f>
        <v>0</v>
      </c>
      <c r="B341" s="23">
        <f>Deployments!V342</f>
        <v>0</v>
      </c>
      <c r="C341" s="23">
        <f>Deployments!W342</f>
        <v>0</v>
      </c>
      <c r="D341" s="15">
        <f>Deployments!AJ342</f>
        <v>0</v>
      </c>
      <c r="E341" s="15">
        <f>Deployments!N342</f>
        <v>0</v>
      </c>
      <c r="F341" s="23">
        <f>Deployments!O342</f>
        <v>0</v>
      </c>
      <c r="G341" s="15">
        <f>Deployments!P342</f>
        <v>0</v>
      </c>
      <c r="H341" s="15">
        <f>'13 - Config_Intake_View'!M341</f>
        <v>0</v>
      </c>
      <c r="I341" s="23">
        <f>IF('13 - Config_Intake_View'!Q341&lt;&gt;"",'13 - Config_Intake_View'!Q341,Deployments!BH342)</f>
        <v>0</v>
      </c>
      <c r="J341" s="15" t="str">
        <f>IF('13 - Config_Intake_View'!Q341&lt;&gt;"","PM Approved",IF(Deployments!BH342&lt;&gt;"","Assumed",""))</f>
        <v/>
      </c>
      <c r="K341" s="23">
        <f>Deployments!BG342</f>
        <v>0</v>
      </c>
      <c r="L341" s="15">
        <f>Deployments!T342</f>
        <v>0</v>
      </c>
      <c r="M341" s="15">
        <f>Deployments!L342</f>
        <v>0</v>
      </c>
      <c r="N341" s="15" t="str">
        <f>Deployments!BK342</f>
        <v/>
      </c>
      <c r="O341" s="23" t="str">
        <f>Deployments!BL342</f>
        <v/>
      </c>
      <c r="P341" s="2">
        <f>Deployments!BA342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Deployments!H343</f>
        <v>0</v>
      </c>
      <c r="B342" s="23">
        <f>Deployments!V343</f>
        <v>0</v>
      </c>
      <c r="C342" s="23">
        <f>Deployments!W343</f>
        <v>0</v>
      </c>
      <c r="D342" s="15">
        <f>Deployments!AJ343</f>
        <v>0</v>
      </c>
      <c r="E342" s="15">
        <f>Deployments!N343</f>
        <v>0</v>
      </c>
      <c r="F342" s="23">
        <f>Deployments!O343</f>
        <v>0</v>
      </c>
      <c r="G342" s="15">
        <f>Deployments!P343</f>
        <v>0</v>
      </c>
      <c r="H342" s="15">
        <f>'13 - Config_Intake_View'!M342</f>
        <v>0</v>
      </c>
      <c r="I342" s="23">
        <f>IF('13 - Config_Intake_View'!Q342&lt;&gt;"",'13 - Config_Intake_View'!Q342,Deployments!BH343)</f>
        <v>0</v>
      </c>
      <c r="J342" s="15" t="str">
        <f>IF('13 - Config_Intake_View'!Q342&lt;&gt;"","PM Approved",IF(Deployments!BH343&lt;&gt;"","Assumed",""))</f>
        <v/>
      </c>
      <c r="K342" s="23">
        <f>Deployments!BG343</f>
        <v>0</v>
      </c>
      <c r="L342" s="15">
        <f>Deployments!T343</f>
        <v>0</v>
      </c>
      <c r="M342" s="15">
        <f>Deployments!L343</f>
        <v>0</v>
      </c>
      <c r="N342" s="15" t="str">
        <f>Deployments!BK343</f>
        <v/>
      </c>
      <c r="O342" s="23" t="str">
        <f>Deployments!BL343</f>
        <v/>
      </c>
      <c r="P342" s="2">
        <f>Deployments!BA343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Deployments!H344</f>
        <v>0</v>
      </c>
      <c r="B343" s="23">
        <f>Deployments!V344</f>
        <v>0</v>
      </c>
      <c r="C343" s="23">
        <f>Deployments!W344</f>
        <v>0</v>
      </c>
      <c r="D343" s="15">
        <f>Deployments!AJ344</f>
        <v>0</v>
      </c>
      <c r="E343" s="15">
        <f>Deployments!N344</f>
        <v>0</v>
      </c>
      <c r="F343" s="23">
        <f>Deployments!O344</f>
        <v>0</v>
      </c>
      <c r="G343" s="15">
        <f>Deployments!P344</f>
        <v>0</v>
      </c>
      <c r="H343" s="15">
        <f>'13 - Config_Intake_View'!M343</f>
        <v>0</v>
      </c>
      <c r="I343" s="23">
        <f>IF('13 - Config_Intake_View'!Q343&lt;&gt;"",'13 - Config_Intake_View'!Q343,Deployments!BH344)</f>
        <v>0</v>
      </c>
      <c r="J343" s="15" t="str">
        <f>IF('13 - Config_Intake_View'!Q343&lt;&gt;"","PM Approved",IF(Deployments!BH344&lt;&gt;"","Assumed",""))</f>
        <v/>
      </c>
      <c r="K343" s="23">
        <f>Deployments!BG344</f>
        <v>0</v>
      </c>
      <c r="L343" s="15">
        <f>Deployments!T344</f>
        <v>0</v>
      </c>
      <c r="M343" s="15">
        <f>Deployments!L344</f>
        <v>0</v>
      </c>
      <c r="N343" s="15" t="str">
        <f>Deployments!BK344</f>
        <v/>
      </c>
      <c r="O343" s="23" t="str">
        <f>Deployments!BL344</f>
        <v/>
      </c>
      <c r="P343" s="2">
        <f>Deployments!BA344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Deployments!H345</f>
        <v>0</v>
      </c>
      <c r="B344" s="23">
        <f>Deployments!V345</f>
        <v>0</v>
      </c>
      <c r="C344" s="23">
        <f>Deployments!W345</f>
        <v>0</v>
      </c>
      <c r="D344" s="15">
        <f>Deployments!AJ345</f>
        <v>0</v>
      </c>
      <c r="E344" s="15">
        <f>Deployments!N345</f>
        <v>0</v>
      </c>
      <c r="F344" s="23">
        <f>Deployments!O345</f>
        <v>0</v>
      </c>
      <c r="G344" s="15">
        <f>Deployments!P345</f>
        <v>0</v>
      </c>
      <c r="H344" s="15">
        <f>'13 - Config_Intake_View'!M344</f>
        <v>0</v>
      </c>
      <c r="I344" s="23">
        <f>IF('13 - Config_Intake_View'!Q344&lt;&gt;"",'13 - Config_Intake_View'!Q344,Deployments!BH345)</f>
        <v>0</v>
      </c>
      <c r="J344" s="15" t="str">
        <f>IF('13 - Config_Intake_View'!Q344&lt;&gt;"","PM Approved",IF(Deployments!BH345&lt;&gt;"","Assumed",""))</f>
        <v/>
      </c>
      <c r="K344" s="23">
        <f>Deployments!BG345</f>
        <v>0</v>
      </c>
      <c r="L344" s="15">
        <f>Deployments!T345</f>
        <v>0</v>
      </c>
      <c r="M344" s="15">
        <f>Deployments!L345</f>
        <v>0</v>
      </c>
      <c r="N344" s="15" t="str">
        <f>Deployments!BK345</f>
        <v/>
      </c>
      <c r="O344" s="23" t="str">
        <f>Deployments!BL345</f>
        <v/>
      </c>
      <c r="P344" s="2">
        <f>Deployments!BA345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Deployments!H346</f>
        <v>0</v>
      </c>
      <c r="B345" s="23">
        <f>Deployments!V346</f>
        <v>0</v>
      </c>
      <c r="C345" s="23">
        <f>Deployments!W346</f>
        <v>0</v>
      </c>
      <c r="D345" s="15">
        <f>Deployments!AJ346</f>
        <v>0</v>
      </c>
      <c r="E345" s="15">
        <f>Deployments!N346</f>
        <v>0</v>
      </c>
      <c r="F345" s="23">
        <f>Deployments!O346</f>
        <v>0</v>
      </c>
      <c r="G345" s="15">
        <f>Deployments!P346</f>
        <v>0</v>
      </c>
      <c r="H345" s="15">
        <f>'13 - Config_Intake_View'!M345</f>
        <v>0</v>
      </c>
      <c r="I345" s="23">
        <f>IF('13 - Config_Intake_View'!Q345&lt;&gt;"",'13 - Config_Intake_View'!Q345,Deployments!BH346)</f>
        <v>0</v>
      </c>
      <c r="J345" s="15" t="str">
        <f>IF('13 - Config_Intake_View'!Q345&lt;&gt;"","PM Approved",IF(Deployments!BH346&lt;&gt;"","Assumed",""))</f>
        <v/>
      </c>
      <c r="K345" s="23">
        <f>Deployments!BG346</f>
        <v>0</v>
      </c>
      <c r="L345" s="15">
        <f>Deployments!T346</f>
        <v>0</v>
      </c>
      <c r="M345" s="15">
        <f>Deployments!L346</f>
        <v>0</v>
      </c>
      <c r="N345" s="15" t="str">
        <f>Deployments!BK346</f>
        <v/>
      </c>
      <c r="O345" s="23" t="str">
        <f>Deployments!BL346</f>
        <v/>
      </c>
      <c r="P345" s="2">
        <f>Deployments!BA346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Deployments!H347</f>
        <v>0</v>
      </c>
      <c r="B346" s="23">
        <f>Deployments!V347</f>
        <v>0</v>
      </c>
      <c r="C346" s="23">
        <f>Deployments!W347</f>
        <v>0</v>
      </c>
      <c r="D346" s="15">
        <f>Deployments!AJ347</f>
        <v>0</v>
      </c>
      <c r="E346" s="15">
        <f>Deployments!N347</f>
        <v>0</v>
      </c>
      <c r="F346" s="23">
        <f>Deployments!O347</f>
        <v>0</v>
      </c>
      <c r="G346" s="15">
        <f>Deployments!P347</f>
        <v>0</v>
      </c>
      <c r="H346" s="15">
        <f>'13 - Config_Intake_View'!M346</f>
        <v>0</v>
      </c>
      <c r="I346" s="23">
        <f>IF('13 - Config_Intake_View'!Q346&lt;&gt;"",'13 - Config_Intake_View'!Q346,Deployments!BH347)</f>
        <v>0</v>
      </c>
      <c r="J346" s="15" t="str">
        <f>IF('13 - Config_Intake_View'!Q346&lt;&gt;"","PM Approved",IF(Deployments!BH347&lt;&gt;"","Assumed",""))</f>
        <v/>
      </c>
      <c r="K346" s="23">
        <f>Deployments!BG347</f>
        <v>0</v>
      </c>
      <c r="L346" s="15">
        <f>Deployments!T347</f>
        <v>0</v>
      </c>
      <c r="M346" s="15">
        <f>Deployments!L347</f>
        <v>0</v>
      </c>
      <c r="N346" s="15" t="str">
        <f>Deployments!BK347</f>
        <v/>
      </c>
      <c r="O346" s="23" t="str">
        <f>Deployments!BL347</f>
        <v/>
      </c>
      <c r="P346" s="2">
        <f>Deployments!BA347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Deployments!H348</f>
        <v>0</v>
      </c>
      <c r="B347" s="23">
        <f>Deployments!V348</f>
        <v>0</v>
      </c>
      <c r="C347" s="23">
        <f>Deployments!W348</f>
        <v>0</v>
      </c>
      <c r="D347" s="15">
        <f>Deployments!AJ348</f>
        <v>0</v>
      </c>
      <c r="E347" s="15">
        <f>Deployments!N348</f>
        <v>0</v>
      </c>
      <c r="F347" s="23">
        <f>Deployments!O348</f>
        <v>0</v>
      </c>
      <c r="G347" s="15">
        <f>Deployments!P348</f>
        <v>0</v>
      </c>
      <c r="H347" s="15">
        <f>'13 - Config_Intake_View'!M347</f>
        <v>0</v>
      </c>
      <c r="I347" s="23">
        <f>IF('13 - Config_Intake_View'!Q347&lt;&gt;"",'13 - Config_Intake_View'!Q347,Deployments!BH348)</f>
        <v>0</v>
      </c>
      <c r="J347" s="15" t="str">
        <f>IF('13 - Config_Intake_View'!Q347&lt;&gt;"","PM Approved",IF(Deployments!BH348&lt;&gt;"","Assumed",""))</f>
        <v/>
      </c>
      <c r="K347" s="23">
        <f>Deployments!BG348</f>
        <v>0</v>
      </c>
      <c r="L347" s="15">
        <f>Deployments!T348</f>
        <v>0</v>
      </c>
      <c r="M347" s="15">
        <f>Deployments!L348</f>
        <v>0</v>
      </c>
      <c r="N347" s="15" t="str">
        <f>Deployments!BK348</f>
        <v/>
      </c>
      <c r="O347" s="23" t="str">
        <f>Deployments!BL348</f>
        <v/>
      </c>
      <c r="P347" s="2">
        <f>Deployments!BA348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Deployments!H349</f>
        <v>0</v>
      </c>
      <c r="B348" s="23">
        <f>Deployments!V349</f>
        <v>0</v>
      </c>
      <c r="C348" s="23">
        <f>Deployments!W349</f>
        <v>0</v>
      </c>
      <c r="D348" s="15">
        <f>Deployments!AJ349</f>
        <v>0</v>
      </c>
      <c r="E348" s="15">
        <f>Deployments!N349</f>
        <v>0</v>
      </c>
      <c r="F348" s="23">
        <f>Deployments!O349</f>
        <v>0</v>
      </c>
      <c r="G348" s="15">
        <f>Deployments!P349</f>
        <v>0</v>
      </c>
      <c r="H348" s="15">
        <f>'13 - Config_Intake_View'!M348</f>
        <v>0</v>
      </c>
      <c r="I348" s="23">
        <f>IF('13 - Config_Intake_View'!Q348&lt;&gt;"",'13 - Config_Intake_View'!Q348,Deployments!BH349)</f>
        <v>0</v>
      </c>
      <c r="J348" s="15" t="str">
        <f>IF('13 - Config_Intake_View'!Q348&lt;&gt;"","PM Approved",IF(Deployments!BH349&lt;&gt;"","Assumed",""))</f>
        <v/>
      </c>
      <c r="K348" s="23">
        <f>Deployments!BG349</f>
        <v>0</v>
      </c>
      <c r="L348" s="15">
        <f>Deployments!T349</f>
        <v>0</v>
      </c>
      <c r="M348" s="15">
        <f>Deployments!L349</f>
        <v>0</v>
      </c>
      <c r="N348" s="15" t="str">
        <f>Deployments!BK349</f>
        <v/>
      </c>
      <c r="O348" s="23" t="str">
        <f>Deployments!BL349</f>
        <v/>
      </c>
      <c r="P348" s="2">
        <f>Deployments!BA349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Deployments!H350</f>
        <v>0</v>
      </c>
      <c r="B349" s="23">
        <f>Deployments!V350</f>
        <v>0</v>
      </c>
      <c r="C349" s="23">
        <f>Deployments!W350</f>
        <v>0</v>
      </c>
      <c r="D349" s="15">
        <f>Deployments!AJ350</f>
        <v>0</v>
      </c>
      <c r="E349" s="15">
        <f>Deployments!N350</f>
        <v>0</v>
      </c>
      <c r="F349" s="23">
        <f>Deployments!O350</f>
        <v>0</v>
      </c>
      <c r="G349" s="15">
        <f>Deployments!P350</f>
        <v>0</v>
      </c>
      <c r="H349" s="15">
        <f>'13 - Config_Intake_View'!M349</f>
        <v>0</v>
      </c>
      <c r="I349" s="23">
        <f>IF('13 - Config_Intake_View'!Q349&lt;&gt;"",'13 - Config_Intake_View'!Q349,Deployments!BH350)</f>
        <v>0</v>
      </c>
      <c r="J349" s="15" t="str">
        <f>IF('13 - Config_Intake_View'!Q349&lt;&gt;"","PM Approved",IF(Deployments!BH350&lt;&gt;"","Assumed",""))</f>
        <v/>
      </c>
      <c r="K349" s="23">
        <f>Deployments!BG350</f>
        <v>0</v>
      </c>
      <c r="L349" s="15">
        <f>Deployments!T350</f>
        <v>0</v>
      </c>
      <c r="M349" s="15">
        <f>Deployments!L350</f>
        <v>0</v>
      </c>
      <c r="N349" s="15" t="str">
        <f>Deployments!BK350</f>
        <v/>
      </c>
      <c r="O349" s="23" t="str">
        <f>Deployments!BL350</f>
        <v/>
      </c>
      <c r="P349" s="2">
        <f>Deployments!BA350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Deployments!H351</f>
        <v>0</v>
      </c>
      <c r="B350" s="23">
        <f>Deployments!V351</f>
        <v>0</v>
      </c>
      <c r="C350" s="23">
        <f>Deployments!W351</f>
        <v>0</v>
      </c>
      <c r="D350" s="15">
        <f>Deployments!AJ351</f>
        <v>0</v>
      </c>
      <c r="E350" s="15">
        <f>Deployments!N351</f>
        <v>0</v>
      </c>
      <c r="F350" s="23">
        <f>Deployments!O351</f>
        <v>0</v>
      </c>
      <c r="G350" s="15">
        <f>Deployments!P351</f>
        <v>0</v>
      </c>
      <c r="H350" s="15">
        <f>'13 - Config_Intake_View'!M350</f>
        <v>0</v>
      </c>
      <c r="I350" s="23">
        <f>IF('13 - Config_Intake_View'!Q350&lt;&gt;"",'13 - Config_Intake_View'!Q350,Deployments!BH351)</f>
        <v>0</v>
      </c>
      <c r="J350" s="15" t="str">
        <f>IF('13 - Config_Intake_View'!Q350&lt;&gt;"","PM Approved",IF(Deployments!BH351&lt;&gt;"","Assumed",""))</f>
        <v/>
      </c>
      <c r="K350" s="23">
        <f>Deployments!BG351</f>
        <v>0</v>
      </c>
      <c r="L350" s="15">
        <f>Deployments!T351</f>
        <v>0</v>
      </c>
      <c r="M350" s="15">
        <f>Deployments!L351</f>
        <v>0</v>
      </c>
      <c r="N350" s="15" t="str">
        <f>Deployments!BK351</f>
        <v/>
      </c>
      <c r="O350" s="23" t="str">
        <f>Deployments!BL351</f>
        <v/>
      </c>
      <c r="P350" s="2">
        <f>Deployments!BA351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Deployments!H352</f>
        <v>0</v>
      </c>
      <c r="B351" s="23">
        <f>Deployments!V352</f>
        <v>0</v>
      </c>
      <c r="C351" s="23">
        <f>Deployments!W352</f>
        <v>0</v>
      </c>
      <c r="D351" s="15">
        <f>Deployments!AJ352</f>
        <v>0</v>
      </c>
      <c r="E351" s="15">
        <f>Deployments!N352</f>
        <v>0</v>
      </c>
      <c r="F351" s="23">
        <f>Deployments!O352</f>
        <v>0</v>
      </c>
      <c r="G351" s="15">
        <f>Deployments!P352</f>
        <v>0</v>
      </c>
      <c r="H351" s="15">
        <f>'13 - Config_Intake_View'!M351</f>
        <v>0</v>
      </c>
      <c r="I351" s="23">
        <f>IF('13 - Config_Intake_View'!Q351&lt;&gt;"",'13 - Config_Intake_View'!Q351,Deployments!BH352)</f>
        <v>0</v>
      </c>
      <c r="J351" s="15" t="str">
        <f>IF('13 - Config_Intake_View'!Q351&lt;&gt;"","PM Approved",IF(Deployments!BH352&lt;&gt;"","Assumed",""))</f>
        <v/>
      </c>
      <c r="K351" s="23">
        <f>Deployments!BG352</f>
        <v>0</v>
      </c>
      <c r="L351" s="15">
        <f>Deployments!T352</f>
        <v>0</v>
      </c>
      <c r="M351" s="15">
        <f>Deployments!L352</f>
        <v>0</v>
      </c>
      <c r="N351" s="15" t="str">
        <f>Deployments!BK352</f>
        <v/>
      </c>
      <c r="O351" s="23" t="str">
        <f>Deployments!BL352</f>
        <v/>
      </c>
      <c r="P351" s="2">
        <f>Deployments!BA352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Deployments!H353</f>
        <v>0</v>
      </c>
      <c r="B352" s="23">
        <f>Deployments!V353</f>
        <v>0</v>
      </c>
      <c r="C352" s="23">
        <f>Deployments!W353</f>
        <v>0</v>
      </c>
      <c r="D352" s="15">
        <f>Deployments!AJ353</f>
        <v>0</v>
      </c>
      <c r="E352" s="15">
        <f>Deployments!N353</f>
        <v>0</v>
      </c>
      <c r="F352" s="23">
        <f>Deployments!O353</f>
        <v>0</v>
      </c>
      <c r="G352" s="15">
        <f>Deployments!P353</f>
        <v>0</v>
      </c>
      <c r="H352" s="15">
        <f>'13 - Config_Intake_View'!M352</f>
        <v>0</v>
      </c>
      <c r="I352" s="23">
        <f>IF('13 - Config_Intake_View'!Q352&lt;&gt;"",'13 - Config_Intake_View'!Q352,Deployments!BH353)</f>
        <v>0</v>
      </c>
      <c r="J352" s="15" t="str">
        <f>IF('13 - Config_Intake_View'!Q352&lt;&gt;"","PM Approved",IF(Deployments!BH353&lt;&gt;"","Assumed",""))</f>
        <v/>
      </c>
      <c r="K352" s="23">
        <f>Deployments!BG353</f>
        <v>0</v>
      </c>
      <c r="L352" s="15">
        <f>Deployments!T353</f>
        <v>0</v>
      </c>
      <c r="M352" s="15">
        <f>Deployments!L353</f>
        <v>0</v>
      </c>
      <c r="N352" s="15" t="str">
        <f>Deployments!BK353</f>
        <v/>
      </c>
      <c r="O352" s="23" t="str">
        <f>Deployments!BL353</f>
        <v/>
      </c>
      <c r="P352" s="2">
        <f>Deployments!BA353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Deployments!H354</f>
        <v>0</v>
      </c>
      <c r="B353" s="23">
        <f>Deployments!V354</f>
        <v>0</v>
      </c>
      <c r="C353" s="23">
        <f>Deployments!W354</f>
        <v>0</v>
      </c>
      <c r="D353" s="15">
        <f>Deployments!AJ354</f>
        <v>0</v>
      </c>
      <c r="E353" s="15">
        <f>Deployments!N354</f>
        <v>0</v>
      </c>
      <c r="F353" s="23">
        <f>Deployments!O354</f>
        <v>0</v>
      </c>
      <c r="G353" s="15">
        <f>Deployments!P354</f>
        <v>0</v>
      </c>
      <c r="H353" s="15">
        <f>'13 - Config_Intake_View'!M353</f>
        <v>0</v>
      </c>
      <c r="I353" s="23">
        <f>IF('13 - Config_Intake_View'!Q353&lt;&gt;"",'13 - Config_Intake_View'!Q353,Deployments!BH354)</f>
        <v>0</v>
      </c>
      <c r="J353" s="15" t="str">
        <f>IF('13 - Config_Intake_View'!Q353&lt;&gt;"","PM Approved",IF(Deployments!BH354&lt;&gt;"","Assumed",""))</f>
        <v/>
      </c>
      <c r="K353" s="23">
        <f>Deployments!BG354</f>
        <v>0</v>
      </c>
      <c r="L353" s="15">
        <f>Deployments!T354</f>
        <v>0</v>
      </c>
      <c r="M353" s="15">
        <f>Deployments!L354</f>
        <v>0</v>
      </c>
      <c r="N353" s="15" t="str">
        <f>Deployments!BK354</f>
        <v/>
      </c>
      <c r="O353" s="23" t="str">
        <f>Deployments!BL354</f>
        <v/>
      </c>
      <c r="P353" s="2">
        <f>Deployments!BA354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Deployments!H355</f>
        <v>0</v>
      </c>
      <c r="B354" s="23">
        <f>Deployments!V355</f>
        <v>0</v>
      </c>
      <c r="C354" s="23">
        <f>Deployments!W355</f>
        <v>0</v>
      </c>
      <c r="D354" s="15">
        <f>Deployments!AJ355</f>
        <v>0</v>
      </c>
      <c r="E354" s="15">
        <f>Deployments!N355</f>
        <v>0</v>
      </c>
      <c r="F354" s="23">
        <f>Deployments!O355</f>
        <v>0</v>
      </c>
      <c r="G354" s="15">
        <f>Deployments!P355</f>
        <v>0</v>
      </c>
      <c r="H354" s="15">
        <f>'13 - Config_Intake_View'!M354</f>
        <v>0</v>
      </c>
      <c r="I354" s="23">
        <f>IF('13 - Config_Intake_View'!Q354&lt;&gt;"",'13 - Config_Intake_View'!Q354,Deployments!BH355)</f>
        <v>0</v>
      </c>
      <c r="J354" s="15" t="str">
        <f>IF('13 - Config_Intake_View'!Q354&lt;&gt;"","PM Approved",IF(Deployments!BH355&lt;&gt;"","Assumed",""))</f>
        <v/>
      </c>
      <c r="K354" s="23">
        <f>Deployments!BG355</f>
        <v>0</v>
      </c>
      <c r="L354" s="15">
        <f>Deployments!T355</f>
        <v>0</v>
      </c>
      <c r="M354" s="15">
        <f>Deployments!L355</f>
        <v>0</v>
      </c>
      <c r="N354" s="15" t="str">
        <f>Deployments!BK355</f>
        <v/>
      </c>
      <c r="O354" s="23" t="str">
        <f>Deployments!BL355</f>
        <v/>
      </c>
      <c r="P354" s="2">
        <f>Deployments!BA355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Deployments!H356</f>
        <v>0</v>
      </c>
      <c r="B355" s="23">
        <f>Deployments!V356</f>
        <v>0</v>
      </c>
      <c r="C355" s="23">
        <f>Deployments!W356</f>
        <v>0</v>
      </c>
      <c r="D355" s="15">
        <f>Deployments!AJ356</f>
        <v>0</v>
      </c>
      <c r="E355" s="15">
        <f>Deployments!N356</f>
        <v>0</v>
      </c>
      <c r="F355" s="23">
        <f>Deployments!O356</f>
        <v>0</v>
      </c>
      <c r="G355" s="15">
        <f>Deployments!P356</f>
        <v>0</v>
      </c>
      <c r="H355" s="15">
        <f>'13 - Config_Intake_View'!M355</f>
        <v>0</v>
      </c>
      <c r="I355" s="23">
        <f>IF('13 - Config_Intake_View'!Q355&lt;&gt;"",'13 - Config_Intake_View'!Q355,Deployments!BH356)</f>
        <v>0</v>
      </c>
      <c r="J355" s="15" t="str">
        <f>IF('13 - Config_Intake_View'!Q355&lt;&gt;"","PM Approved",IF(Deployments!BH356&lt;&gt;"","Assumed",""))</f>
        <v/>
      </c>
      <c r="K355" s="23">
        <f>Deployments!BG356</f>
        <v>0</v>
      </c>
      <c r="L355" s="15">
        <f>Deployments!T356</f>
        <v>0</v>
      </c>
      <c r="M355" s="15">
        <f>Deployments!L356</f>
        <v>0</v>
      </c>
      <c r="N355" s="15" t="str">
        <f>Deployments!BK356</f>
        <v/>
      </c>
      <c r="O355" s="23" t="str">
        <f>Deployments!BL356</f>
        <v/>
      </c>
      <c r="P355" s="2">
        <f>Deployments!BA356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Deployments!H357</f>
        <v>0</v>
      </c>
      <c r="B356" s="23">
        <f>Deployments!V357</f>
        <v>0</v>
      </c>
      <c r="C356" s="23">
        <f>Deployments!W357</f>
        <v>0</v>
      </c>
      <c r="D356" s="15">
        <f>Deployments!AJ357</f>
        <v>0</v>
      </c>
      <c r="E356" s="15">
        <f>Deployments!N357</f>
        <v>0</v>
      </c>
      <c r="F356" s="23">
        <f>Deployments!O357</f>
        <v>0</v>
      </c>
      <c r="G356" s="15">
        <f>Deployments!P357</f>
        <v>0</v>
      </c>
      <c r="H356" s="15">
        <f>'13 - Config_Intake_View'!M356</f>
        <v>0</v>
      </c>
      <c r="I356" s="23">
        <f>IF('13 - Config_Intake_View'!Q356&lt;&gt;"",'13 - Config_Intake_View'!Q356,Deployments!BH357)</f>
        <v>0</v>
      </c>
      <c r="J356" s="15" t="str">
        <f>IF('13 - Config_Intake_View'!Q356&lt;&gt;"","PM Approved",IF(Deployments!BH357&lt;&gt;"","Assumed",""))</f>
        <v/>
      </c>
      <c r="K356" s="23">
        <f>Deployments!BG357</f>
        <v>0</v>
      </c>
      <c r="L356" s="15">
        <f>Deployments!T357</f>
        <v>0</v>
      </c>
      <c r="M356" s="15">
        <f>Deployments!L357</f>
        <v>0</v>
      </c>
      <c r="N356" s="15" t="str">
        <f>Deployments!BK357</f>
        <v/>
      </c>
      <c r="O356" s="23" t="str">
        <f>Deployments!BL357</f>
        <v/>
      </c>
      <c r="P356" s="2">
        <f>Deployments!BA357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Deployments!H358</f>
        <v>0</v>
      </c>
      <c r="B357" s="23">
        <f>Deployments!V358</f>
        <v>0</v>
      </c>
      <c r="C357" s="23">
        <f>Deployments!W358</f>
        <v>0</v>
      </c>
      <c r="D357" s="15">
        <f>Deployments!AJ358</f>
        <v>0</v>
      </c>
      <c r="E357" s="15">
        <f>Deployments!N358</f>
        <v>0</v>
      </c>
      <c r="F357" s="23">
        <f>Deployments!O358</f>
        <v>0</v>
      </c>
      <c r="G357" s="15">
        <f>Deployments!P358</f>
        <v>0</v>
      </c>
      <c r="H357" s="15">
        <f>'13 - Config_Intake_View'!M357</f>
        <v>0</v>
      </c>
      <c r="I357" s="23">
        <f>IF('13 - Config_Intake_View'!Q357&lt;&gt;"",'13 - Config_Intake_View'!Q357,Deployments!BH358)</f>
        <v>0</v>
      </c>
      <c r="J357" s="15" t="str">
        <f>IF('13 - Config_Intake_View'!Q357&lt;&gt;"","PM Approved",IF(Deployments!BH358&lt;&gt;"","Assumed",""))</f>
        <v/>
      </c>
      <c r="K357" s="23">
        <f>Deployments!BG358</f>
        <v>0</v>
      </c>
      <c r="L357" s="15">
        <f>Deployments!T358</f>
        <v>0</v>
      </c>
      <c r="M357" s="15">
        <f>Deployments!L358</f>
        <v>0</v>
      </c>
      <c r="N357" s="15" t="str">
        <f>Deployments!BK358</f>
        <v/>
      </c>
      <c r="O357" s="23" t="str">
        <f>Deployments!BL358</f>
        <v/>
      </c>
      <c r="P357" s="2">
        <f>Deployments!BA358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Deployments!H359</f>
        <v>0</v>
      </c>
      <c r="B358" s="23">
        <f>Deployments!V359</f>
        <v>0</v>
      </c>
      <c r="C358" s="23">
        <f>Deployments!W359</f>
        <v>0</v>
      </c>
      <c r="D358" s="15">
        <f>Deployments!AJ359</f>
        <v>0</v>
      </c>
      <c r="E358" s="15">
        <f>Deployments!N359</f>
        <v>0</v>
      </c>
      <c r="F358" s="23">
        <f>Deployments!O359</f>
        <v>0</v>
      </c>
      <c r="G358" s="15">
        <f>Deployments!P359</f>
        <v>0</v>
      </c>
      <c r="H358" s="15">
        <f>'13 - Config_Intake_View'!M358</f>
        <v>0</v>
      </c>
      <c r="I358" s="23">
        <f>IF('13 - Config_Intake_View'!Q358&lt;&gt;"",'13 - Config_Intake_View'!Q358,Deployments!BH359)</f>
        <v>0</v>
      </c>
      <c r="J358" s="15" t="str">
        <f>IF('13 - Config_Intake_View'!Q358&lt;&gt;"","PM Approved",IF(Deployments!BH359&lt;&gt;"","Assumed",""))</f>
        <v/>
      </c>
      <c r="K358" s="23">
        <f>Deployments!BG359</f>
        <v>0</v>
      </c>
      <c r="L358" s="15">
        <f>Deployments!T359</f>
        <v>0</v>
      </c>
      <c r="M358" s="15">
        <f>Deployments!L359</f>
        <v>0</v>
      </c>
      <c r="N358" s="15" t="str">
        <f>Deployments!BK359</f>
        <v/>
      </c>
      <c r="O358" s="23" t="str">
        <f>Deployments!BL359</f>
        <v/>
      </c>
      <c r="P358" s="2">
        <f>Deployments!BA359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Deployments!H360</f>
        <v>0</v>
      </c>
      <c r="B359" s="23">
        <f>Deployments!V360</f>
        <v>0</v>
      </c>
      <c r="C359" s="23">
        <f>Deployments!W360</f>
        <v>0</v>
      </c>
      <c r="D359" s="15">
        <f>Deployments!AJ360</f>
        <v>0</v>
      </c>
      <c r="E359" s="15">
        <f>Deployments!N360</f>
        <v>0</v>
      </c>
      <c r="F359" s="23">
        <f>Deployments!O360</f>
        <v>0</v>
      </c>
      <c r="G359" s="15">
        <f>Deployments!P360</f>
        <v>0</v>
      </c>
      <c r="H359" s="15">
        <f>'13 - Config_Intake_View'!M359</f>
        <v>0</v>
      </c>
      <c r="I359" s="23">
        <f>IF('13 - Config_Intake_View'!Q359&lt;&gt;"",'13 - Config_Intake_View'!Q359,Deployments!BH360)</f>
        <v>0</v>
      </c>
      <c r="J359" s="15" t="str">
        <f>IF('13 - Config_Intake_View'!Q359&lt;&gt;"","PM Approved",IF(Deployments!BH360&lt;&gt;"","Assumed",""))</f>
        <v/>
      </c>
      <c r="K359" s="23">
        <f>Deployments!BG360</f>
        <v>0</v>
      </c>
      <c r="L359" s="15">
        <f>Deployments!T360</f>
        <v>0</v>
      </c>
      <c r="M359" s="15">
        <f>Deployments!L360</f>
        <v>0</v>
      </c>
      <c r="N359" s="15" t="str">
        <f>Deployments!BK360</f>
        <v/>
      </c>
      <c r="O359" s="23" t="str">
        <f>Deployments!BL360</f>
        <v/>
      </c>
      <c r="P359" s="2">
        <f>Deployments!BA360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Deployments!H361</f>
        <v>0</v>
      </c>
      <c r="B360" s="23">
        <f>Deployments!V361</f>
        <v>0</v>
      </c>
      <c r="C360" s="23">
        <f>Deployments!W361</f>
        <v>0</v>
      </c>
      <c r="D360" s="15">
        <f>Deployments!AJ361</f>
        <v>0</v>
      </c>
      <c r="E360" s="15">
        <f>Deployments!N361</f>
        <v>0</v>
      </c>
      <c r="F360" s="23">
        <f>Deployments!O361</f>
        <v>0</v>
      </c>
      <c r="G360" s="15">
        <f>Deployments!P361</f>
        <v>0</v>
      </c>
      <c r="H360" s="15">
        <f>'13 - Config_Intake_View'!M360</f>
        <v>0</v>
      </c>
      <c r="I360" s="23">
        <f>IF('13 - Config_Intake_View'!Q360&lt;&gt;"",'13 - Config_Intake_View'!Q360,Deployments!BH361)</f>
        <v>0</v>
      </c>
      <c r="J360" s="15" t="str">
        <f>IF('13 - Config_Intake_View'!Q360&lt;&gt;"","PM Approved",IF(Deployments!BH361&lt;&gt;"","Assumed",""))</f>
        <v/>
      </c>
      <c r="K360" s="23">
        <f>Deployments!BG361</f>
        <v>0</v>
      </c>
      <c r="L360" s="15">
        <f>Deployments!T361</f>
        <v>0</v>
      </c>
      <c r="M360" s="15">
        <f>Deployments!L361</f>
        <v>0</v>
      </c>
      <c r="N360" s="15" t="str">
        <f>Deployments!BK361</f>
        <v/>
      </c>
      <c r="O360" s="23" t="str">
        <f>Deployments!BL361</f>
        <v/>
      </c>
      <c r="P360" s="2">
        <f>Deployments!BA361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Deployments!H362</f>
        <v>0</v>
      </c>
      <c r="B361" s="23">
        <f>Deployments!V362</f>
        <v>0</v>
      </c>
      <c r="C361" s="23">
        <f>Deployments!W362</f>
        <v>0</v>
      </c>
      <c r="D361" s="15">
        <f>Deployments!AJ362</f>
        <v>0</v>
      </c>
      <c r="E361" s="15">
        <f>Deployments!N362</f>
        <v>0</v>
      </c>
      <c r="F361" s="23">
        <f>Deployments!O362</f>
        <v>0</v>
      </c>
      <c r="G361" s="15">
        <f>Deployments!P362</f>
        <v>0</v>
      </c>
      <c r="H361" s="15">
        <f>'13 - Config_Intake_View'!M361</f>
        <v>0</v>
      </c>
      <c r="I361" s="23">
        <f>IF('13 - Config_Intake_View'!Q361&lt;&gt;"",'13 - Config_Intake_View'!Q361,Deployments!BH362)</f>
        <v>0</v>
      </c>
      <c r="J361" s="15" t="str">
        <f>IF('13 - Config_Intake_View'!Q361&lt;&gt;"","PM Approved",IF(Deployments!BH362&lt;&gt;"","Assumed",""))</f>
        <v/>
      </c>
      <c r="K361" s="23">
        <f>Deployments!BG362</f>
        <v>0</v>
      </c>
      <c r="L361" s="15">
        <f>Deployments!T362</f>
        <v>0</v>
      </c>
      <c r="M361" s="15">
        <f>Deployments!L362</f>
        <v>0</v>
      </c>
      <c r="N361" s="15" t="str">
        <f>Deployments!BK362</f>
        <v/>
      </c>
      <c r="O361" s="23" t="str">
        <f>Deployments!BL362</f>
        <v/>
      </c>
      <c r="P361" s="2">
        <f>Deployments!BA362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Deployments!H363</f>
        <v>0</v>
      </c>
      <c r="B362" s="23">
        <f>Deployments!V363</f>
        <v>0</v>
      </c>
      <c r="C362" s="23">
        <f>Deployments!W363</f>
        <v>0</v>
      </c>
      <c r="D362" s="15">
        <f>Deployments!AJ363</f>
        <v>0</v>
      </c>
      <c r="E362" s="15">
        <f>Deployments!N363</f>
        <v>0</v>
      </c>
      <c r="F362" s="23">
        <f>Deployments!O363</f>
        <v>0</v>
      </c>
      <c r="G362" s="15">
        <f>Deployments!P363</f>
        <v>0</v>
      </c>
      <c r="H362" s="15">
        <f>'13 - Config_Intake_View'!M362</f>
        <v>0</v>
      </c>
      <c r="I362" s="23">
        <f>IF('13 - Config_Intake_View'!Q362&lt;&gt;"",'13 - Config_Intake_View'!Q362,Deployments!BH363)</f>
        <v>0</v>
      </c>
      <c r="J362" s="15" t="str">
        <f>IF('13 - Config_Intake_View'!Q362&lt;&gt;"","PM Approved",IF(Deployments!BH363&lt;&gt;"","Assumed",""))</f>
        <v/>
      </c>
      <c r="K362" s="23">
        <f>Deployments!BG363</f>
        <v>0</v>
      </c>
      <c r="L362" s="15">
        <f>Deployments!T363</f>
        <v>0</v>
      </c>
      <c r="M362" s="15">
        <f>Deployments!L363</f>
        <v>0</v>
      </c>
      <c r="N362" s="15" t="str">
        <f>Deployments!BK363</f>
        <v/>
      </c>
      <c r="O362" s="23" t="str">
        <f>Deployments!BL363</f>
        <v/>
      </c>
      <c r="P362" s="2">
        <f>Deployments!BA363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Deployments!H364</f>
        <v>0</v>
      </c>
      <c r="B363" s="23">
        <f>Deployments!V364</f>
        <v>0</v>
      </c>
      <c r="C363" s="23">
        <f>Deployments!W364</f>
        <v>0</v>
      </c>
      <c r="D363" s="15">
        <f>Deployments!AJ364</f>
        <v>0</v>
      </c>
      <c r="E363" s="15">
        <f>Deployments!N364</f>
        <v>0</v>
      </c>
      <c r="F363" s="23">
        <f>Deployments!O364</f>
        <v>0</v>
      </c>
      <c r="G363" s="15">
        <f>Deployments!P364</f>
        <v>0</v>
      </c>
      <c r="H363" s="15">
        <f>'13 - Config_Intake_View'!M363</f>
        <v>0</v>
      </c>
      <c r="I363" s="23">
        <f>IF('13 - Config_Intake_View'!Q363&lt;&gt;"",'13 - Config_Intake_View'!Q363,Deployments!BH364)</f>
        <v>0</v>
      </c>
      <c r="J363" s="15" t="str">
        <f>IF('13 - Config_Intake_View'!Q363&lt;&gt;"","PM Approved",IF(Deployments!BH364&lt;&gt;"","Assumed",""))</f>
        <v/>
      </c>
      <c r="K363" s="23">
        <f>Deployments!BG364</f>
        <v>0</v>
      </c>
      <c r="L363" s="15">
        <f>Deployments!T364</f>
        <v>0</v>
      </c>
      <c r="M363" s="15">
        <f>Deployments!L364</f>
        <v>0</v>
      </c>
      <c r="N363" s="15" t="str">
        <f>Deployments!BK364</f>
        <v/>
      </c>
      <c r="O363" s="23" t="str">
        <f>Deployments!BL364</f>
        <v/>
      </c>
      <c r="P363" s="2">
        <f>Deployments!BA364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Deployments!H365</f>
        <v>0</v>
      </c>
      <c r="B364" s="23">
        <f>Deployments!V365</f>
        <v>0</v>
      </c>
      <c r="C364" s="23">
        <f>Deployments!W365</f>
        <v>0</v>
      </c>
      <c r="D364" s="15">
        <f>Deployments!AJ365</f>
        <v>0</v>
      </c>
      <c r="E364" s="15">
        <f>Deployments!N365</f>
        <v>0</v>
      </c>
      <c r="F364" s="23">
        <f>Deployments!O365</f>
        <v>0</v>
      </c>
      <c r="G364" s="15">
        <f>Deployments!P365</f>
        <v>0</v>
      </c>
      <c r="H364" s="15">
        <f>'13 - Config_Intake_View'!M364</f>
        <v>0</v>
      </c>
      <c r="I364" s="23">
        <f>IF('13 - Config_Intake_View'!Q364&lt;&gt;"",'13 - Config_Intake_View'!Q364,Deployments!BH365)</f>
        <v>0</v>
      </c>
      <c r="J364" s="15" t="str">
        <f>IF('13 - Config_Intake_View'!Q364&lt;&gt;"","PM Approved",IF(Deployments!BH365&lt;&gt;"","Assumed",""))</f>
        <v/>
      </c>
      <c r="K364" s="23">
        <f>Deployments!BG365</f>
        <v>0</v>
      </c>
      <c r="L364" s="15">
        <f>Deployments!T365</f>
        <v>0</v>
      </c>
      <c r="M364" s="15">
        <f>Deployments!L365</f>
        <v>0</v>
      </c>
      <c r="N364" s="15" t="str">
        <f>Deployments!BK365</f>
        <v/>
      </c>
      <c r="O364" s="23" t="str">
        <f>Deployments!BL365</f>
        <v/>
      </c>
      <c r="P364" s="2">
        <f>Deployments!BA365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Deployments!H366</f>
        <v>0</v>
      </c>
      <c r="B365" s="23">
        <f>Deployments!V366</f>
        <v>0</v>
      </c>
      <c r="C365" s="23">
        <f>Deployments!W366</f>
        <v>0</v>
      </c>
      <c r="D365" s="15">
        <f>Deployments!AJ366</f>
        <v>0</v>
      </c>
      <c r="E365" s="15">
        <f>Deployments!N366</f>
        <v>0</v>
      </c>
      <c r="F365" s="23">
        <f>Deployments!O366</f>
        <v>0</v>
      </c>
      <c r="G365" s="15">
        <f>Deployments!P366</f>
        <v>0</v>
      </c>
      <c r="H365" s="15">
        <f>'13 - Config_Intake_View'!M365</f>
        <v>0</v>
      </c>
      <c r="I365" s="23">
        <f>IF('13 - Config_Intake_View'!Q365&lt;&gt;"",'13 - Config_Intake_View'!Q365,Deployments!BH366)</f>
        <v>0</v>
      </c>
      <c r="J365" s="15" t="str">
        <f>IF('13 - Config_Intake_View'!Q365&lt;&gt;"","PM Approved",IF(Deployments!BH366&lt;&gt;"","Assumed",""))</f>
        <v/>
      </c>
      <c r="K365" s="23">
        <f>Deployments!BG366</f>
        <v>0</v>
      </c>
      <c r="L365" s="15">
        <f>Deployments!T366</f>
        <v>0</v>
      </c>
      <c r="M365" s="15">
        <f>Deployments!L366</f>
        <v>0</v>
      </c>
      <c r="N365" s="15" t="str">
        <f>Deployments!BK366</f>
        <v/>
      </c>
      <c r="O365" s="23" t="str">
        <f>Deployments!BL366</f>
        <v/>
      </c>
      <c r="P365" s="2">
        <f>Deployments!BA366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Deployments!H367</f>
        <v>0</v>
      </c>
      <c r="B366" s="23">
        <f>Deployments!V367</f>
        <v>0</v>
      </c>
      <c r="C366" s="23">
        <f>Deployments!W367</f>
        <v>0</v>
      </c>
      <c r="D366" s="15">
        <f>Deployments!AJ367</f>
        <v>0</v>
      </c>
      <c r="E366" s="15">
        <f>Deployments!N367</f>
        <v>0</v>
      </c>
      <c r="F366" s="23">
        <f>Deployments!O367</f>
        <v>0</v>
      </c>
      <c r="G366" s="15">
        <f>Deployments!P367</f>
        <v>0</v>
      </c>
      <c r="H366" s="15">
        <f>'13 - Config_Intake_View'!M366</f>
        <v>0</v>
      </c>
      <c r="I366" s="23">
        <f>IF('13 - Config_Intake_View'!Q366&lt;&gt;"",'13 - Config_Intake_View'!Q366,Deployments!BH367)</f>
        <v>0</v>
      </c>
      <c r="J366" s="15" t="str">
        <f>IF('13 - Config_Intake_View'!Q366&lt;&gt;"","PM Approved",IF(Deployments!BH367&lt;&gt;"","Assumed",""))</f>
        <v/>
      </c>
      <c r="K366" s="23">
        <f>Deployments!BG367</f>
        <v>0</v>
      </c>
      <c r="L366" s="15">
        <f>Deployments!T367</f>
        <v>0</v>
      </c>
      <c r="M366" s="15">
        <f>Deployments!L367</f>
        <v>0</v>
      </c>
      <c r="N366" s="15" t="str">
        <f>Deployments!BK367</f>
        <v/>
      </c>
      <c r="O366" s="23" t="str">
        <f>Deployments!BL367</f>
        <v/>
      </c>
      <c r="P366" s="2">
        <f>Deployments!BA367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Deployments!H368</f>
        <v>0</v>
      </c>
      <c r="B367" s="23">
        <f>Deployments!V368</f>
        <v>0</v>
      </c>
      <c r="C367" s="23">
        <f>Deployments!W368</f>
        <v>0</v>
      </c>
      <c r="D367" s="15">
        <f>Deployments!AJ368</f>
        <v>0</v>
      </c>
      <c r="E367" s="15">
        <f>Deployments!N368</f>
        <v>0</v>
      </c>
      <c r="F367" s="23">
        <f>Deployments!O368</f>
        <v>0</v>
      </c>
      <c r="G367" s="15">
        <f>Deployments!P368</f>
        <v>0</v>
      </c>
      <c r="H367" s="15">
        <f>'13 - Config_Intake_View'!M367</f>
        <v>0</v>
      </c>
      <c r="I367" s="23">
        <f>IF('13 - Config_Intake_View'!Q367&lt;&gt;"",'13 - Config_Intake_View'!Q367,Deployments!BH368)</f>
        <v>0</v>
      </c>
      <c r="J367" s="15" t="str">
        <f>IF('13 - Config_Intake_View'!Q367&lt;&gt;"","PM Approved",IF(Deployments!BH368&lt;&gt;"","Assumed",""))</f>
        <v/>
      </c>
      <c r="K367" s="23">
        <f>Deployments!BG368</f>
        <v>0</v>
      </c>
      <c r="L367" s="15">
        <f>Deployments!T368</f>
        <v>0</v>
      </c>
      <c r="M367" s="15">
        <f>Deployments!L368</f>
        <v>0</v>
      </c>
      <c r="N367" s="15" t="str">
        <f>Deployments!BK368</f>
        <v/>
      </c>
      <c r="O367" s="23" t="str">
        <f>Deployments!BL368</f>
        <v/>
      </c>
      <c r="P367" s="2">
        <f>Deployments!BA368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Deployments!H369</f>
        <v>0</v>
      </c>
      <c r="B368" s="23">
        <f>Deployments!V369</f>
        <v>0</v>
      </c>
      <c r="C368" s="23">
        <f>Deployments!W369</f>
        <v>0</v>
      </c>
      <c r="D368" s="15">
        <f>Deployments!AJ369</f>
        <v>0</v>
      </c>
      <c r="E368" s="15">
        <f>Deployments!N369</f>
        <v>0</v>
      </c>
      <c r="F368" s="23">
        <f>Deployments!O369</f>
        <v>0</v>
      </c>
      <c r="G368" s="15">
        <f>Deployments!P369</f>
        <v>0</v>
      </c>
      <c r="H368" s="15">
        <f>'13 - Config_Intake_View'!M368</f>
        <v>0</v>
      </c>
      <c r="I368" s="23">
        <f>IF('13 - Config_Intake_View'!Q368&lt;&gt;"",'13 - Config_Intake_View'!Q368,Deployments!BH369)</f>
        <v>0</v>
      </c>
      <c r="J368" s="15" t="str">
        <f>IF('13 - Config_Intake_View'!Q368&lt;&gt;"","PM Approved",IF(Deployments!BH369&lt;&gt;"","Assumed",""))</f>
        <v/>
      </c>
      <c r="K368" s="23">
        <f>Deployments!BG369</f>
        <v>0</v>
      </c>
      <c r="L368" s="15">
        <f>Deployments!T369</f>
        <v>0</v>
      </c>
      <c r="M368" s="15">
        <f>Deployments!L369</f>
        <v>0</v>
      </c>
      <c r="N368" s="15" t="str">
        <f>Deployments!BK369</f>
        <v/>
      </c>
      <c r="O368" s="23" t="str">
        <f>Deployments!BL369</f>
        <v/>
      </c>
      <c r="P368" s="2">
        <f>Deployments!BA369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Deployments!H370</f>
        <v>0</v>
      </c>
      <c r="B369" s="23">
        <f>Deployments!V370</f>
        <v>0</v>
      </c>
      <c r="C369" s="23">
        <f>Deployments!W370</f>
        <v>0</v>
      </c>
      <c r="D369" s="15">
        <f>Deployments!AJ370</f>
        <v>0</v>
      </c>
      <c r="E369" s="15">
        <f>Deployments!N370</f>
        <v>0</v>
      </c>
      <c r="F369" s="23">
        <f>Deployments!O370</f>
        <v>0</v>
      </c>
      <c r="G369" s="15">
        <f>Deployments!P370</f>
        <v>0</v>
      </c>
      <c r="H369" s="15">
        <f>'13 - Config_Intake_View'!M369</f>
        <v>0</v>
      </c>
      <c r="I369" s="23">
        <f>IF('13 - Config_Intake_View'!Q369&lt;&gt;"",'13 - Config_Intake_View'!Q369,Deployments!BH370)</f>
        <v>0</v>
      </c>
      <c r="J369" s="15" t="str">
        <f>IF('13 - Config_Intake_View'!Q369&lt;&gt;"","PM Approved",IF(Deployments!BH370&lt;&gt;"","Assumed",""))</f>
        <v/>
      </c>
      <c r="K369" s="23">
        <f>Deployments!BG370</f>
        <v>0</v>
      </c>
      <c r="L369" s="15">
        <f>Deployments!T370</f>
        <v>0</v>
      </c>
      <c r="M369" s="15">
        <f>Deployments!L370</f>
        <v>0</v>
      </c>
      <c r="N369" s="15" t="str">
        <f>Deployments!BK370</f>
        <v/>
      </c>
      <c r="O369" s="23" t="str">
        <f>Deployments!BL370</f>
        <v/>
      </c>
      <c r="P369" s="2">
        <f>Deployments!BA370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Deployments!H371</f>
        <v>0</v>
      </c>
      <c r="B370" s="23">
        <f>Deployments!V371</f>
        <v>0</v>
      </c>
      <c r="C370" s="23">
        <f>Deployments!W371</f>
        <v>0</v>
      </c>
      <c r="D370" s="15">
        <f>Deployments!AJ371</f>
        <v>0</v>
      </c>
      <c r="E370" s="15">
        <f>Deployments!N371</f>
        <v>0</v>
      </c>
      <c r="F370" s="23">
        <f>Deployments!O371</f>
        <v>0</v>
      </c>
      <c r="G370" s="15">
        <f>Deployments!P371</f>
        <v>0</v>
      </c>
      <c r="H370" s="15">
        <f>'13 - Config_Intake_View'!M370</f>
        <v>0</v>
      </c>
      <c r="I370" s="23">
        <f>IF('13 - Config_Intake_View'!Q370&lt;&gt;"",'13 - Config_Intake_View'!Q370,Deployments!BH371)</f>
        <v>0</v>
      </c>
      <c r="J370" s="15" t="str">
        <f>IF('13 - Config_Intake_View'!Q370&lt;&gt;"","PM Approved",IF(Deployments!BH371&lt;&gt;"","Assumed",""))</f>
        <v/>
      </c>
      <c r="K370" s="23">
        <f>Deployments!BG371</f>
        <v>0</v>
      </c>
      <c r="L370" s="15">
        <f>Deployments!T371</f>
        <v>0</v>
      </c>
      <c r="M370" s="15">
        <f>Deployments!L371</f>
        <v>0</v>
      </c>
      <c r="N370" s="15" t="str">
        <f>Deployments!BK371</f>
        <v/>
      </c>
      <c r="O370" s="23" t="str">
        <f>Deployments!BL371</f>
        <v/>
      </c>
      <c r="P370" s="2">
        <f>Deployments!BA371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Deployments!H372</f>
        <v>0</v>
      </c>
      <c r="B371" s="23">
        <f>Deployments!V372</f>
        <v>0</v>
      </c>
      <c r="C371" s="23">
        <f>Deployments!W372</f>
        <v>0</v>
      </c>
      <c r="D371" s="15">
        <f>Deployments!AJ372</f>
        <v>0</v>
      </c>
      <c r="E371" s="15">
        <f>Deployments!N372</f>
        <v>0</v>
      </c>
      <c r="F371" s="23">
        <f>Deployments!O372</f>
        <v>0</v>
      </c>
      <c r="G371" s="15">
        <f>Deployments!P372</f>
        <v>0</v>
      </c>
      <c r="H371" s="15">
        <f>'13 - Config_Intake_View'!M371</f>
        <v>0</v>
      </c>
      <c r="I371" s="23">
        <f>IF('13 - Config_Intake_View'!Q371&lt;&gt;"",'13 - Config_Intake_View'!Q371,Deployments!BH372)</f>
        <v>0</v>
      </c>
      <c r="J371" s="15" t="str">
        <f>IF('13 - Config_Intake_View'!Q371&lt;&gt;"","PM Approved",IF(Deployments!BH372&lt;&gt;"","Assumed",""))</f>
        <v/>
      </c>
      <c r="K371" s="23">
        <f>Deployments!BG372</f>
        <v>0</v>
      </c>
      <c r="L371" s="15">
        <f>Deployments!T372</f>
        <v>0</v>
      </c>
      <c r="M371" s="15">
        <f>Deployments!L372</f>
        <v>0</v>
      </c>
      <c r="N371" s="15" t="str">
        <f>Deployments!BK372</f>
        <v/>
      </c>
      <c r="O371" s="23" t="str">
        <f>Deployments!BL372</f>
        <v/>
      </c>
      <c r="P371" s="2">
        <f>Deployments!BA372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Deployments!H373</f>
        <v>0</v>
      </c>
      <c r="B372" s="23">
        <f>Deployments!V373</f>
        <v>0</v>
      </c>
      <c r="C372" s="23">
        <f>Deployments!W373</f>
        <v>0</v>
      </c>
      <c r="D372" s="15">
        <f>Deployments!AJ373</f>
        <v>0</v>
      </c>
      <c r="E372" s="15">
        <f>Deployments!N373</f>
        <v>0</v>
      </c>
      <c r="F372" s="23">
        <f>Deployments!O373</f>
        <v>0</v>
      </c>
      <c r="G372" s="15">
        <f>Deployments!P373</f>
        <v>0</v>
      </c>
      <c r="H372" s="15">
        <f>'13 - Config_Intake_View'!M372</f>
        <v>0</v>
      </c>
      <c r="I372" s="23">
        <f>IF('13 - Config_Intake_View'!Q372&lt;&gt;"",'13 - Config_Intake_View'!Q372,Deployments!BH373)</f>
        <v>0</v>
      </c>
      <c r="J372" s="15" t="str">
        <f>IF('13 - Config_Intake_View'!Q372&lt;&gt;"","PM Approved",IF(Deployments!BH373&lt;&gt;"","Assumed",""))</f>
        <v/>
      </c>
      <c r="K372" s="23">
        <f>Deployments!BG373</f>
        <v>0</v>
      </c>
      <c r="L372" s="15">
        <f>Deployments!T373</f>
        <v>0</v>
      </c>
      <c r="M372" s="15">
        <f>Deployments!L373</f>
        <v>0</v>
      </c>
      <c r="N372" s="15" t="str">
        <f>Deployments!BK373</f>
        <v/>
      </c>
      <c r="O372" s="23" t="str">
        <f>Deployments!BL373</f>
        <v/>
      </c>
      <c r="P372" s="2">
        <f>Deployments!BA373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Deployments!H374</f>
        <v>0</v>
      </c>
      <c r="B373" s="23">
        <f>Deployments!V374</f>
        <v>0</v>
      </c>
      <c r="C373" s="23">
        <f>Deployments!W374</f>
        <v>0</v>
      </c>
      <c r="D373" s="15">
        <f>Deployments!AJ374</f>
        <v>0</v>
      </c>
      <c r="E373" s="15">
        <f>Deployments!N374</f>
        <v>0</v>
      </c>
      <c r="F373" s="23">
        <f>Deployments!O374</f>
        <v>0</v>
      </c>
      <c r="G373" s="15">
        <f>Deployments!P374</f>
        <v>0</v>
      </c>
      <c r="H373" s="15">
        <f>'13 - Config_Intake_View'!M373</f>
        <v>0</v>
      </c>
      <c r="I373" s="23">
        <f>IF('13 - Config_Intake_View'!Q373&lt;&gt;"",'13 - Config_Intake_View'!Q373,Deployments!BH374)</f>
        <v>0</v>
      </c>
      <c r="J373" s="15" t="str">
        <f>IF('13 - Config_Intake_View'!Q373&lt;&gt;"","PM Approved",IF(Deployments!BH374&lt;&gt;"","Assumed",""))</f>
        <v/>
      </c>
      <c r="K373" s="23">
        <f>Deployments!BG374</f>
        <v>0</v>
      </c>
      <c r="L373" s="15">
        <f>Deployments!T374</f>
        <v>0</v>
      </c>
      <c r="M373" s="15">
        <f>Deployments!L374</f>
        <v>0</v>
      </c>
      <c r="N373" s="15" t="str">
        <f>Deployments!BK374</f>
        <v/>
      </c>
      <c r="O373" s="23" t="str">
        <f>Deployments!BL374</f>
        <v/>
      </c>
      <c r="P373" s="2">
        <f>Deployments!BA374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Deployments!H375</f>
        <v>0</v>
      </c>
      <c r="B374" s="23">
        <f>Deployments!V375</f>
        <v>0</v>
      </c>
      <c r="C374" s="23">
        <f>Deployments!W375</f>
        <v>0</v>
      </c>
      <c r="D374" s="15">
        <f>Deployments!AJ375</f>
        <v>0</v>
      </c>
      <c r="E374" s="15">
        <f>Deployments!N375</f>
        <v>0</v>
      </c>
      <c r="F374" s="23">
        <f>Deployments!O375</f>
        <v>0</v>
      </c>
      <c r="G374" s="15">
        <f>Deployments!P375</f>
        <v>0</v>
      </c>
      <c r="H374" s="15">
        <f>'13 - Config_Intake_View'!M374</f>
        <v>0</v>
      </c>
      <c r="I374" s="23">
        <f>IF('13 - Config_Intake_View'!Q374&lt;&gt;"",'13 - Config_Intake_View'!Q374,Deployments!BH375)</f>
        <v>0</v>
      </c>
      <c r="J374" s="15" t="str">
        <f>IF('13 - Config_Intake_View'!Q374&lt;&gt;"","PM Approved",IF(Deployments!BH375&lt;&gt;"","Assumed",""))</f>
        <v/>
      </c>
      <c r="K374" s="23">
        <f>Deployments!BG375</f>
        <v>0</v>
      </c>
      <c r="L374" s="15">
        <f>Deployments!T375</f>
        <v>0</v>
      </c>
      <c r="M374" s="15">
        <f>Deployments!L375</f>
        <v>0</v>
      </c>
      <c r="N374" s="15" t="str">
        <f>Deployments!BK375</f>
        <v/>
      </c>
      <c r="O374" s="23" t="str">
        <f>Deployments!BL375</f>
        <v/>
      </c>
      <c r="P374" s="2">
        <f>Deployments!BA375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Deployments!H376</f>
        <v>0</v>
      </c>
      <c r="B375" s="23">
        <f>Deployments!V376</f>
        <v>0</v>
      </c>
      <c r="C375" s="23">
        <f>Deployments!W376</f>
        <v>0</v>
      </c>
      <c r="D375" s="15">
        <f>Deployments!AJ376</f>
        <v>0</v>
      </c>
      <c r="E375" s="15">
        <f>Deployments!N376</f>
        <v>0</v>
      </c>
      <c r="F375" s="23">
        <f>Deployments!O376</f>
        <v>0</v>
      </c>
      <c r="G375" s="15">
        <f>Deployments!P376</f>
        <v>0</v>
      </c>
      <c r="H375" s="15">
        <f>'13 - Config_Intake_View'!M375</f>
        <v>0</v>
      </c>
      <c r="I375" s="23">
        <f>IF('13 - Config_Intake_View'!Q375&lt;&gt;"",'13 - Config_Intake_View'!Q375,Deployments!BH376)</f>
        <v>0</v>
      </c>
      <c r="J375" s="15" t="str">
        <f>IF('13 - Config_Intake_View'!Q375&lt;&gt;"","PM Approved",IF(Deployments!BH376&lt;&gt;"","Assumed",""))</f>
        <v/>
      </c>
      <c r="K375" s="23">
        <f>Deployments!BG376</f>
        <v>0</v>
      </c>
      <c r="L375" s="15">
        <f>Deployments!T376</f>
        <v>0</v>
      </c>
      <c r="M375" s="15">
        <f>Deployments!L376</f>
        <v>0</v>
      </c>
      <c r="N375" s="15" t="str">
        <f>Deployments!BK376</f>
        <v/>
      </c>
      <c r="O375" s="23" t="str">
        <f>Deployments!BL376</f>
        <v/>
      </c>
      <c r="P375" s="2">
        <f>Deployments!BA376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Deployments!H377</f>
        <v>0</v>
      </c>
      <c r="B376" s="23">
        <f>Deployments!V377</f>
        <v>0</v>
      </c>
      <c r="C376" s="23">
        <f>Deployments!W377</f>
        <v>0</v>
      </c>
      <c r="D376" s="15">
        <f>Deployments!AJ377</f>
        <v>0</v>
      </c>
      <c r="E376" s="15">
        <f>Deployments!N377</f>
        <v>0</v>
      </c>
      <c r="F376" s="23">
        <f>Deployments!O377</f>
        <v>0</v>
      </c>
      <c r="G376" s="15">
        <f>Deployments!P377</f>
        <v>0</v>
      </c>
      <c r="H376" s="15">
        <f>'13 - Config_Intake_View'!M376</f>
        <v>0</v>
      </c>
      <c r="I376" s="23">
        <f>IF('13 - Config_Intake_View'!Q376&lt;&gt;"",'13 - Config_Intake_View'!Q376,Deployments!BH377)</f>
        <v>0</v>
      </c>
      <c r="J376" s="15" t="str">
        <f>IF('13 - Config_Intake_View'!Q376&lt;&gt;"","PM Approved",IF(Deployments!BH377&lt;&gt;"","Assumed",""))</f>
        <v/>
      </c>
      <c r="K376" s="23">
        <f>Deployments!BG377</f>
        <v>0</v>
      </c>
      <c r="L376" s="15">
        <f>Deployments!T377</f>
        <v>0</v>
      </c>
      <c r="M376" s="15">
        <f>Deployments!L377</f>
        <v>0</v>
      </c>
      <c r="N376" s="15" t="str">
        <f>Deployments!BK377</f>
        <v/>
      </c>
      <c r="O376" s="23" t="str">
        <f>Deployments!BL377</f>
        <v/>
      </c>
      <c r="P376" s="2">
        <f>Deployments!BA377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Deployments!H378</f>
        <v>0</v>
      </c>
      <c r="B377" s="23">
        <f>Deployments!V378</f>
        <v>0</v>
      </c>
      <c r="C377" s="23">
        <f>Deployments!W378</f>
        <v>0</v>
      </c>
      <c r="D377" s="15">
        <f>Deployments!AJ378</f>
        <v>0</v>
      </c>
      <c r="E377" s="15">
        <f>Deployments!N378</f>
        <v>0</v>
      </c>
      <c r="F377" s="23">
        <f>Deployments!O378</f>
        <v>0</v>
      </c>
      <c r="G377" s="15">
        <f>Deployments!P378</f>
        <v>0</v>
      </c>
      <c r="H377" s="15">
        <f>'13 - Config_Intake_View'!M377</f>
        <v>0</v>
      </c>
      <c r="I377" s="23">
        <f>IF('13 - Config_Intake_View'!Q377&lt;&gt;"",'13 - Config_Intake_View'!Q377,Deployments!BH378)</f>
        <v>0</v>
      </c>
      <c r="J377" s="15" t="str">
        <f>IF('13 - Config_Intake_View'!Q377&lt;&gt;"","PM Approved",IF(Deployments!BH378&lt;&gt;"","Assumed",""))</f>
        <v/>
      </c>
      <c r="K377" s="23">
        <f>Deployments!BG378</f>
        <v>0</v>
      </c>
      <c r="L377" s="15">
        <f>Deployments!T378</f>
        <v>0</v>
      </c>
      <c r="M377" s="15">
        <f>Deployments!L378</f>
        <v>0</v>
      </c>
      <c r="N377" s="15" t="str">
        <f>Deployments!BK378</f>
        <v/>
      </c>
      <c r="O377" s="23" t="str">
        <f>Deployments!BL378</f>
        <v/>
      </c>
      <c r="P377" s="2">
        <f>Deployments!BA378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Deployments!H379</f>
        <v>0</v>
      </c>
      <c r="B378" s="23">
        <f>Deployments!V379</f>
        <v>0</v>
      </c>
      <c r="C378" s="23">
        <f>Deployments!W379</f>
        <v>0</v>
      </c>
      <c r="D378" s="15">
        <f>Deployments!AJ379</f>
        <v>0</v>
      </c>
      <c r="E378" s="15">
        <f>Deployments!N379</f>
        <v>0</v>
      </c>
      <c r="F378" s="23">
        <f>Deployments!O379</f>
        <v>0</v>
      </c>
      <c r="G378" s="15">
        <f>Deployments!P379</f>
        <v>0</v>
      </c>
      <c r="H378" s="15">
        <f>'13 - Config_Intake_View'!M378</f>
        <v>0</v>
      </c>
      <c r="I378" s="23">
        <f>IF('13 - Config_Intake_View'!Q378&lt;&gt;"",'13 - Config_Intake_View'!Q378,Deployments!BH379)</f>
        <v>0</v>
      </c>
      <c r="J378" s="15" t="str">
        <f>IF('13 - Config_Intake_View'!Q378&lt;&gt;"","PM Approved",IF(Deployments!BH379&lt;&gt;"","Assumed",""))</f>
        <v/>
      </c>
      <c r="K378" s="23">
        <f>Deployments!BG379</f>
        <v>0</v>
      </c>
      <c r="L378" s="15">
        <f>Deployments!T379</f>
        <v>0</v>
      </c>
      <c r="M378" s="15">
        <f>Deployments!L379</f>
        <v>0</v>
      </c>
      <c r="N378" s="15" t="str">
        <f>Deployments!BK379</f>
        <v/>
      </c>
      <c r="O378" s="23" t="str">
        <f>Deployments!BL379</f>
        <v/>
      </c>
      <c r="P378" s="2">
        <f>Deployments!BA379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Deployments!H380</f>
        <v>0</v>
      </c>
      <c r="B379" s="23">
        <f>Deployments!V380</f>
        <v>0</v>
      </c>
      <c r="C379" s="23">
        <f>Deployments!W380</f>
        <v>0</v>
      </c>
      <c r="D379" s="15">
        <f>Deployments!AJ380</f>
        <v>0</v>
      </c>
      <c r="E379" s="15">
        <f>Deployments!N380</f>
        <v>0</v>
      </c>
      <c r="F379" s="23">
        <f>Deployments!O380</f>
        <v>0</v>
      </c>
      <c r="G379" s="15">
        <f>Deployments!P380</f>
        <v>0</v>
      </c>
      <c r="H379" s="15">
        <f>'13 - Config_Intake_View'!M379</f>
        <v>0</v>
      </c>
      <c r="I379" s="23">
        <f>IF('13 - Config_Intake_View'!Q379&lt;&gt;"",'13 - Config_Intake_View'!Q379,Deployments!BH380)</f>
        <v>0</v>
      </c>
      <c r="J379" s="15" t="str">
        <f>IF('13 - Config_Intake_View'!Q379&lt;&gt;"","PM Approved",IF(Deployments!BH380&lt;&gt;"","Assumed",""))</f>
        <v/>
      </c>
      <c r="K379" s="23">
        <f>Deployments!BG380</f>
        <v>0</v>
      </c>
      <c r="L379" s="15">
        <f>Deployments!T380</f>
        <v>0</v>
      </c>
      <c r="M379" s="15">
        <f>Deployments!L380</f>
        <v>0</v>
      </c>
      <c r="N379" s="15" t="str">
        <f>Deployments!BK380</f>
        <v/>
      </c>
      <c r="O379" s="23" t="str">
        <f>Deployments!BL380</f>
        <v/>
      </c>
      <c r="P379" s="2">
        <f>Deployments!BA380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Deployments!H381</f>
        <v>0</v>
      </c>
      <c r="B380" s="23">
        <f>Deployments!V381</f>
        <v>0</v>
      </c>
      <c r="C380" s="23">
        <f>Deployments!W381</f>
        <v>0</v>
      </c>
      <c r="D380" s="15">
        <f>Deployments!AJ381</f>
        <v>0</v>
      </c>
      <c r="E380" s="15">
        <f>Deployments!N381</f>
        <v>0</v>
      </c>
      <c r="F380" s="23">
        <f>Deployments!O381</f>
        <v>0</v>
      </c>
      <c r="G380" s="15">
        <f>Deployments!P381</f>
        <v>0</v>
      </c>
      <c r="H380" s="15">
        <f>'13 - Config_Intake_View'!M380</f>
        <v>0</v>
      </c>
      <c r="I380" s="23">
        <f>IF('13 - Config_Intake_View'!Q380&lt;&gt;"",'13 - Config_Intake_View'!Q380,Deployments!BH381)</f>
        <v>0</v>
      </c>
      <c r="J380" s="15" t="str">
        <f>IF('13 - Config_Intake_View'!Q380&lt;&gt;"","PM Approved",IF(Deployments!BH381&lt;&gt;"","Assumed",""))</f>
        <v/>
      </c>
      <c r="K380" s="23">
        <f>Deployments!BG381</f>
        <v>0</v>
      </c>
      <c r="L380" s="15">
        <f>Deployments!T381</f>
        <v>0</v>
      </c>
      <c r="M380" s="15">
        <f>Deployments!L381</f>
        <v>0</v>
      </c>
      <c r="N380" s="15" t="str">
        <f>Deployments!BK381</f>
        <v/>
      </c>
      <c r="O380" s="23" t="str">
        <f>Deployments!BL381</f>
        <v/>
      </c>
      <c r="P380" s="2">
        <f>Deployments!BA381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Deployments!H382</f>
        <v>0</v>
      </c>
      <c r="B381" s="23">
        <f>Deployments!V382</f>
        <v>0</v>
      </c>
      <c r="C381" s="23">
        <f>Deployments!W382</f>
        <v>0</v>
      </c>
      <c r="D381" s="15">
        <f>Deployments!AJ382</f>
        <v>0</v>
      </c>
      <c r="E381" s="15">
        <f>Deployments!N382</f>
        <v>0</v>
      </c>
      <c r="F381" s="23">
        <f>Deployments!O382</f>
        <v>0</v>
      </c>
      <c r="G381" s="15">
        <f>Deployments!P382</f>
        <v>0</v>
      </c>
      <c r="H381" s="15">
        <f>'13 - Config_Intake_View'!M381</f>
        <v>0</v>
      </c>
      <c r="I381" s="23">
        <f>IF('13 - Config_Intake_View'!Q381&lt;&gt;"",'13 - Config_Intake_View'!Q381,Deployments!BH382)</f>
        <v>0</v>
      </c>
      <c r="J381" s="15" t="str">
        <f>IF('13 - Config_Intake_View'!Q381&lt;&gt;"","PM Approved",IF(Deployments!BH382&lt;&gt;"","Assumed",""))</f>
        <v/>
      </c>
      <c r="K381" s="23">
        <f>Deployments!BG382</f>
        <v>0</v>
      </c>
      <c r="L381" s="15">
        <f>Deployments!T382</f>
        <v>0</v>
      </c>
      <c r="M381" s="15">
        <f>Deployments!L382</f>
        <v>0</v>
      </c>
      <c r="N381" s="15" t="str">
        <f>Deployments!BK382</f>
        <v/>
      </c>
      <c r="O381" s="23" t="str">
        <f>Deployments!BL382</f>
        <v/>
      </c>
      <c r="P381" s="2">
        <f>Deployments!BA382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Deployments!H383</f>
        <v>0</v>
      </c>
      <c r="B382" s="23">
        <f>Deployments!V383</f>
        <v>0</v>
      </c>
      <c r="C382" s="23">
        <f>Deployments!W383</f>
        <v>0</v>
      </c>
      <c r="D382" s="15">
        <f>Deployments!AJ383</f>
        <v>0</v>
      </c>
      <c r="E382" s="15">
        <f>Deployments!N383</f>
        <v>0</v>
      </c>
      <c r="F382" s="23">
        <f>Deployments!O383</f>
        <v>0</v>
      </c>
      <c r="G382" s="15">
        <f>Deployments!P383</f>
        <v>0</v>
      </c>
      <c r="H382" s="15">
        <f>'13 - Config_Intake_View'!M382</f>
        <v>0</v>
      </c>
      <c r="I382" s="23">
        <f>IF('13 - Config_Intake_View'!Q382&lt;&gt;"",'13 - Config_Intake_View'!Q382,Deployments!BH383)</f>
        <v>0</v>
      </c>
      <c r="J382" s="15" t="str">
        <f>IF('13 - Config_Intake_View'!Q382&lt;&gt;"","PM Approved",IF(Deployments!BH383&lt;&gt;"","Assumed",""))</f>
        <v/>
      </c>
      <c r="K382" s="23">
        <f>Deployments!BG383</f>
        <v>0</v>
      </c>
      <c r="L382" s="15">
        <f>Deployments!T383</f>
        <v>0</v>
      </c>
      <c r="M382" s="15">
        <f>Deployments!L383</f>
        <v>0</v>
      </c>
      <c r="N382" s="15" t="str">
        <f>Deployments!BK383</f>
        <v/>
      </c>
      <c r="O382" s="23" t="str">
        <f>Deployments!BL383</f>
        <v/>
      </c>
      <c r="P382" s="2">
        <f>Deployments!BA383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Deployments!H384</f>
        <v>0</v>
      </c>
      <c r="B383" s="23">
        <f>Deployments!V384</f>
        <v>0</v>
      </c>
      <c r="C383" s="23">
        <f>Deployments!W384</f>
        <v>0</v>
      </c>
      <c r="D383" s="15">
        <f>Deployments!AJ384</f>
        <v>0</v>
      </c>
      <c r="E383" s="15">
        <f>Deployments!N384</f>
        <v>0</v>
      </c>
      <c r="F383" s="23">
        <f>Deployments!O384</f>
        <v>0</v>
      </c>
      <c r="G383" s="15">
        <f>Deployments!P384</f>
        <v>0</v>
      </c>
      <c r="H383" s="15">
        <f>'13 - Config_Intake_View'!M383</f>
        <v>0</v>
      </c>
      <c r="I383" s="23">
        <f>IF('13 - Config_Intake_View'!Q383&lt;&gt;"",'13 - Config_Intake_View'!Q383,Deployments!BH384)</f>
        <v>0</v>
      </c>
      <c r="J383" s="15" t="str">
        <f>IF('13 - Config_Intake_View'!Q383&lt;&gt;"","PM Approved",IF(Deployments!BH384&lt;&gt;"","Assumed",""))</f>
        <v/>
      </c>
      <c r="K383" s="23">
        <f>Deployments!BG384</f>
        <v>0</v>
      </c>
      <c r="L383" s="15">
        <f>Deployments!T384</f>
        <v>0</v>
      </c>
      <c r="M383" s="15">
        <f>Deployments!L384</f>
        <v>0</v>
      </c>
      <c r="N383" s="15" t="str">
        <f>Deployments!BK384</f>
        <v/>
      </c>
      <c r="O383" s="23" t="str">
        <f>Deployments!BL384</f>
        <v/>
      </c>
      <c r="P383" s="2">
        <f>Deployments!BA384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Deployments!H385</f>
        <v>0</v>
      </c>
      <c r="B384" s="23">
        <f>Deployments!V385</f>
        <v>0</v>
      </c>
      <c r="C384" s="23">
        <f>Deployments!W385</f>
        <v>0</v>
      </c>
      <c r="D384" s="15">
        <f>Deployments!AJ385</f>
        <v>0</v>
      </c>
      <c r="E384" s="15">
        <f>Deployments!N385</f>
        <v>0</v>
      </c>
      <c r="F384" s="23">
        <f>Deployments!O385</f>
        <v>0</v>
      </c>
      <c r="G384" s="15">
        <f>Deployments!P385</f>
        <v>0</v>
      </c>
      <c r="H384" s="15">
        <f>'13 - Config_Intake_View'!M384</f>
        <v>0</v>
      </c>
      <c r="I384" s="23">
        <f>IF('13 - Config_Intake_View'!Q384&lt;&gt;"",'13 - Config_Intake_View'!Q384,Deployments!BH385)</f>
        <v>0</v>
      </c>
      <c r="J384" s="15" t="str">
        <f>IF('13 - Config_Intake_View'!Q384&lt;&gt;"","PM Approved",IF(Deployments!BH385&lt;&gt;"","Assumed",""))</f>
        <v/>
      </c>
      <c r="K384" s="23">
        <f>Deployments!BG385</f>
        <v>0</v>
      </c>
      <c r="L384" s="15">
        <f>Deployments!T385</f>
        <v>0</v>
      </c>
      <c r="M384" s="15">
        <f>Deployments!L385</f>
        <v>0</v>
      </c>
      <c r="N384" s="15" t="str">
        <f>Deployments!BK385</f>
        <v/>
      </c>
      <c r="O384" s="23" t="str">
        <f>Deployments!BL385</f>
        <v/>
      </c>
      <c r="P384" s="2">
        <f>Deployments!BA385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Deployments!H386</f>
        <v>0</v>
      </c>
      <c r="B385" s="23">
        <f>Deployments!V386</f>
        <v>0</v>
      </c>
      <c r="C385" s="23">
        <f>Deployments!W386</f>
        <v>0</v>
      </c>
      <c r="D385" s="15">
        <f>Deployments!AJ386</f>
        <v>0</v>
      </c>
      <c r="E385" s="15">
        <f>Deployments!N386</f>
        <v>0</v>
      </c>
      <c r="F385" s="23">
        <f>Deployments!O386</f>
        <v>0</v>
      </c>
      <c r="G385" s="15">
        <f>Deployments!P386</f>
        <v>0</v>
      </c>
      <c r="H385" s="15">
        <f>'13 - Config_Intake_View'!M385</f>
        <v>0</v>
      </c>
      <c r="I385" s="23">
        <f>IF('13 - Config_Intake_View'!Q385&lt;&gt;"",'13 - Config_Intake_View'!Q385,Deployments!BH386)</f>
        <v>0</v>
      </c>
      <c r="J385" s="15" t="str">
        <f>IF('13 - Config_Intake_View'!Q385&lt;&gt;"","PM Approved",IF(Deployments!BH386&lt;&gt;"","Assumed",""))</f>
        <v/>
      </c>
      <c r="K385" s="23">
        <f>Deployments!BG386</f>
        <v>0</v>
      </c>
      <c r="L385" s="15">
        <f>Deployments!T386</f>
        <v>0</v>
      </c>
      <c r="M385" s="15">
        <f>Deployments!L386</f>
        <v>0</v>
      </c>
      <c r="N385" s="15" t="str">
        <f>Deployments!BK386</f>
        <v/>
      </c>
      <c r="O385" s="23" t="str">
        <f>Deployments!BL386</f>
        <v/>
      </c>
      <c r="P385" s="2">
        <f>Deployments!BA386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Deployments!H387</f>
        <v>0</v>
      </c>
      <c r="B386" s="23">
        <f>Deployments!V387</f>
        <v>0</v>
      </c>
      <c r="C386" s="23">
        <f>Deployments!W387</f>
        <v>0</v>
      </c>
      <c r="D386" s="15">
        <f>Deployments!AJ387</f>
        <v>0</v>
      </c>
      <c r="E386" s="15">
        <f>Deployments!N387</f>
        <v>0</v>
      </c>
      <c r="F386" s="23">
        <f>Deployments!O387</f>
        <v>0</v>
      </c>
      <c r="G386" s="15">
        <f>Deployments!P387</f>
        <v>0</v>
      </c>
      <c r="H386" s="15">
        <f>'13 - Config_Intake_View'!M386</f>
        <v>0</v>
      </c>
      <c r="I386" s="23">
        <f>IF('13 - Config_Intake_View'!Q386&lt;&gt;"",'13 - Config_Intake_View'!Q386,Deployments!BH387)</f>
        <v>0</v>
      </c>
      <c r="J386" s="15" t="str">
        <f>IF('13 - Config_Intake_View'!Q386&lt;&gt;"","PM Approved",IF(Deployments!BH387&lt;&gt;"","Assumed",""))</f>
        <v/>
      </c>
      <c r="K386" s="23">
        <f>Deployments!BG387</f>
        <v>0</v>
      </c>
      <c r="L386" s="15">
        <f>Deployments!T387</f>
        <v>0</v>
      </c>
      <c r="M386" s="15">
        <f>Deployments!L387</f>
        <v>0</v>
      </c>
      <c r="N386" s="15" t="str">
        <f>Deployments!BK387</f>
        <v/>
      </c>
      <c r="O386" s="23" t="str">
        <f>Deployments!BL387</f>
        <v/>
      </c>
      <c r="P386" s="2">
        <f>Deployments!BA387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Deployments!H388</f>
        <v>0</v>
      </c>
      <c r="B387" s="23">
        <f>Deployments!V388</f>
        <v>0</v>
      </c>
      <c r="C387" s="23">
        <f>Deployments!W388</f>
        <v>0</v>
      </c>
      <c r="D387" s="15">
        <f>Deployments!AJ388</f>
        <v>0</v>
      </c>
      <c r="E387" s="15">
        <f>Deployments!N388</f>
        <v>0</v>
      </c>
      <c r="F387" s="23">
        <f>Deployments!O388</f>
        <v>0</v>
      </c>
      <c r="G387" s="15">
        <f>Deployments!P388</f>
        <v>0</v>
      </c>
      <c r="H387" s="15">
        <f>'13 - Config_Intake_View'!M387</f>
        <v>0</v>
      </c>
      <c r="I387" s="23">
        <f>IF('13 - Config_Intake_View'!Q387&lt;&gt;"",'13 - Config_Intake_View'!Q387,Deployments!BH388)</f>
        <v>0</v>
      </c>
      <c r="J387" s="15" t="str">
        <f>IF('13 - Config_Intake_View'!Q387&lt;&gt;"","PM Approved",IF(Deployments!BH388&lt;&gt;"","Assumed",""))</f>
        <v/>
      </c>
      <c r="K387" s="23">
        <f>Deployments!BG388</f>
        <v>0</v>
      </c>
      <c r="L387" s="15">
        <f>Deployments!T388</f>
        <v>0</v>
      </c>
      <c r="M387" s="15">
        <f>Deployments!L388</f>
        <v>0</v>
      </c>
      <c r="N387" s="15" t="str">
        <f>Deployments!BK388</f>
        <v/>
      </c>
      <c r="O387" s="23" t="str">
        <f>Deployments!BL388</f>
        <v/>
      </c>
      <c r="P387" s="2">
        <f>Deployments!BA388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Deployments!H389</f>
        <v>0</v>
      </c>
      <c r="B388" s="23">
        <f>Deployments!V389</f>
        <v>0</v>
      </c>
      <c r="C388" s="23">
        <f>Deployments!W389</f>
        <v>0</v>
      </c>
      <c r="D388" s="15">
        <f>Deployments!AJ389</f>
        <v>0</v>
      </c>
      <c r="E388" s="15">
        <f>Deployments!N389</f>
        <v>0</v>
      </c>
      <c r="F388" s="23">
        <f>Deployments!O389</f>
        <v>0</v>
      </c>
      <c r="G388" s="15">
        <f>Deployments!P389</f>
        <v>0</v>
      </c>
      <c r="H388" s="15">
        <f>'13 - Config_Intake_View'!M388</f>
        <v>0</v>
      </c>
      <c r="I388" s="23">
        <f>IF('13 - Config_Intake_View'!Q388&lt;&gt;"",'13 - Config_Intake_View'!Q388,Deployments!BH389)</f>
        <v>0</v>
      </c>
      <c r="J388" s="15" t="str">
        <f>IF('13 - Config_Intake_View'!Q388&lt;&gt;"","PM Approved",IF(Deployments!BH389&lt;&gt;"","Assumed",""))</f>
        <v/>
      </c>
      <c r="K388" s="23">
        <f>Deployments!BG389</f>
        <v>0</v>
      </c>
      <c r="L388" s="15">
        <f>Deployments!T389</f>
        <v>0</v>
      </c>
      <c r="M388" s="15">
        <f>Deployments!L389</f>
        <v>0</v>
      </c>
      <c r="N388" s="15" t="str">
        <f>Deployments!BK389</f>
        <v/>
      </c>
      <c r="O388" s="23" t="str">
        <f>Deployments!BL389</f>
        <v/>
      </c>
      <c r="P388" s="2">
        <f>Deployments!BA389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Deployments!H390</f>
        <v>0</v>
      </c>
      <c r="B389" s="23">
        <f>Deployments!V390</f>
        <v>0</v>
      </c>
      <c r="C389" s="23">
        <f>Deployments!W390</f>
        <v>0</v>
      </c>
      <c r="D389" s="15">
        <f>Deployments!AJ390</f>
        <v>0</v>
      </c>
      <c r="E389" s="15">
        <f>Deployments!N390</f>
        <v>0</v>
      </c>
      <c r="F389" s="23">
        <f>Deployments!O390</f>
        <v>0</v>
      </c>
      <c r="G389" s="15">
        <f>Deployments!P390</f>
        <v>0</v>
      </c>
      <c r="H389" s="15">
        <f>'13 - Config_Intake_View'!M389</f>
        <v>0</v>
      </c>
      <c r="I389" s="23">
        <f>IF('13 - Config_Intake_View'!Q389&lt;&gt;"",'13 - Config_Intake_View'!Q389,Deployments!BH390)</f>
        <v>0</v>
      </c>
      <c r="J389" s="15" t="str">
        <f>IF('13 - Config_Intake_View'!Q389&lt;&gt;"","PM Approved",IF(Deployments!BH390&lt;&gt;"","Assumed",""))</f>
        <v/>
      </c>
      <c r="K389" s="23">
        <f>Deployments!BG390</f>
        <v>0</v>
      </c>
      <c r="L389" s="15">
        <f>Deployments!T390</f>
        <v>0</v>
      </c>
      <c r="M389" s="15">
        <f>Deployments!L390</f>
        <v>0</v>
      </c>
      <c r="N389" s="15" t="str">
        <f>Deployments!BK390</f>
        <v/>
      </c>
      <c r="O389" s="23" t="str">
        <f>Deployments!BL390</f>
        <v/>
      </c>
      <c r="P389" s="2">
        <f>Deployments!BA390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Deployments!H391</f>
        <v>0</v>
      </c>
      <c r="B390" s="23">
        <f>Deployments!V391</f>
        <v>0</v>
      </c>
      <c r="C390" s="23">
        <f>Deployments!W391</f>
        <v>0</v>
      </c>
      <c r="D390" s="15">
        <f>Deployments!AJ391</f>
        <v>0</v>
      </c>
      <c r="E390" s="15">
        <f>Deployments!N391</f>
        <v>0</v>
      </c>
      <c r="F390" s="23">
        <f>Deployments!O391</f>
        <v>0</v>
      </c>
      <c r="G390" s="15">
        <f>Deployments!P391</f>
        <v>0</v>
      </c>
      <c r="H390" s="15">
        <f>'13 - Config_Intake_View'!M390</f>
        <v>0</v>
      </c>
      <c r="I390" s="23">
        <f>IF('13 - Config_Intake_View'!Q390&lt;&gt;"",'13 - Config_Intake_View'!Q390,Deployments!BH391)</f>
        <v>0</v>
      </c>
      <c r="J390" s="15" t="str">
        <f>IF('13 - Config_Intake_View'!Q390&lt;&gt;"","PM Approved",IF(Deployments!BH391&lt;&gt;"","Assumed",""))</f>
        <v/>
      </c>
      <c r="K390" s="23">
        <f>Deployments!BG391</f>
        <v>0</v>
      </c>
      <c r="L390" s="15">
        <f>Deployments!T391</f>
        <v>0</v>
      </c>
      <c r="M390" s="15">
        <f>Deployments!L391</f>
        <v>0</v>
      </c>
      <c r="N390" s="15" t="str">
        <f>Deployments!BK391</f>
        <v/>
      </c>
      <c r="O390" s="23" t="str">
        <f>Deployments!BL391</f>
        <v/>
      </c>
      <c r="P390" s="2">
        <f>Deployments!BA391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Deployments!H392</f>
        <v>0</v>
      </c>
      <c r="B391" s="23">
        <f>Deployments!V392</f>
        <v>0</v>
      </c>
      <c r="C391" s="23">
        <f>Deployments!W392</f>
        <v>0</v>
      </c>
      <c r="D391" s="15">
        <f>Deployments!AJ392</f>
        <v>0</v>
      </c>
      <c r="E391" s="15">
        <f>Deployments!N392</f>
        <v>0</v>
      </c>
      <c r="F391" s="23">
        <f>Deployments!O392</f>
        <v>0</v>
      </c>
      <c r="G391" s="15">
        <f>Deployments!P392</f>
        <v>0</v>
      </c>
      <c r="H391" s="15">
        <f>'13 - Config_Intake_View'!M391</f>
        <v>0</v>
      </c>
      <c r="I391" s="23">
        <f>IF('13 - Config_Intake_View'!Q391&lt;&gt;"",'13 - Config_Intake_View'!Q391,Deployments!BH392)</f>
        <v>0</v>
      </c>
      <c r="J391" s="15" t="str">
        <f>IF('13 - Config_Intake_View'!Q391&lt;&gt;"","PM Approved",IF(Deployments!BH392&lt;&gt;"","Assumed",""))</f>
        <v/>
      </c>
      <c r="K391" s="23">
        <f>Deployments!BG392</f>
        <v>0</v>
      </c>
      <c r="L391" s="15">
        <f>Deployments!T392</f>
        <v>0</v>
      </c>
      <c r="M391" s="15">
        <f>Deployments!L392</f>
        <v>0</v>
      </c>
      <c r="N391" s="15" t="str">
        <f>Deployments!BK392</f>
        <v/>
      </c>
      <c r="O391" s="23" t="str">
        <f>Deployments!BL392</f>
        <v/>
      </c>
      <c r="P391" s="2">
        <f>Deployments!BA392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Deployments!H393</f>
        <v>0</v>
      </c>
      <c r="B392" s="23">
        <f>Deployments!V393</f>
        <v>0</v>
      </c>
      <c r="C392" s="23">
        <f>Deployments!W393</f>
        <v>0</v>
      </c>
      <c r="D392" s="15">
        <f>Deployments!AJ393</f>
        <v>0</v>
      </c>
      <c r="E392" s="15">
        <f>Deployments!N393</f>
        <v>0</v>
      </c>
      <c r="F392" s="23">
        <f>Deployments!O393</f>
        <v>0</v>
      </c>
      <c r="G392" s="15">
        <f>Deployments!P393</f>
        <v>0</v>
      </c>
      <c r="H392" s="15">
        <f>'13 - Config_Intake_View'!M392</f>
        <v>0</v>
      </c>
      <c r="I392" s="23">
        <f>IF('13 - Config_Intake_View'!Q392&lt;&gt;"",'13 - Config_Intake_View'!Q392,Deployments!BH393)</f>
        <v>0</v>
      </c>
      <c r="J392" s="15" t="str">
        <f>IF('13 - Config_Intake_View'!Q392&lt;&gt;"","PM Approved",IF(Deployments!BH393&lt;&gt;"","Assumed",""))</f>
        <v/>
      </c>
      <c r="K392" s="23">
        <f>Deployments!BG393</f>
        <v>0</v>
      </c>
      <c r="L392" s="15">
        <f>Deployments!T393</f>
        <v>0</v>
      </c>
      <c r="M392" s="15">
        <f>Deployments!L393</f>
        <v>0</v>
      </c>
      <c r="N392" s="15" t="str">
        <f>Deployments!BK393</f>
        <v/>
      </c>
      <c r="O392" s="23" t="str">
        <f>Deployments!BL393</f>
        <v/>
      </c>
      <c r="P392" s="2">
        <f>Deployments!BA393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Deployments!H394</f>
        <v>0</v>
      </c>
      <c r="B393" s="23">
        <f>Deployments!V394</f>
        <v>0</v>
      </c>
      <c r="C393" s="23">
        <f>Deployments!W394</f>
        <v>0</v>
      </c>
      <c r="D393" s="15">
        <f>Deployments!AJ394</f>
        <v>0</v>
      </c>
      <c r="E393" s="15">
        <f>Deployments!N394</f>
        <v>0</v>
      </c>
      <c r="F393" s="23">
        <f>Deployments!O394</f>
        <v>0</v>
      </c>
      <c r="G393" s="15">
        <f>Deployments!P394</f>
        <v>0</v>
      </c>
      <c r="H393" s="15">
        <f>'13 - Config_Intake_View'!M393</f>
        <v>0</v>
      </c>
      <c r="I393" s="23">
        <f>IF('13 - Config_Intake_View'!Q393&lt;&gt;"",'13 - Config_Intake_View'!Q393,Deployments!BH394)</f>
        <v>0</v>
      </c>
      <c r="J393" s="15" t="str">
        <f>IF('13 - Config_Intake_View'!Q393&lt;&gt;"","PM Approved",IF(Deployments!BH394&lt;&gt;"","Assumed",""))</f>
        <v/>
      </c>
      <c r="K393" s="23">
        <f>Deployments!BG394</f>
        <v>0</v>
      </c>
      <c r="L393" s="15">
        <f>Deployments!T394</f>
        <v>0</v>
      </c>
      <c r="M393" s="15">
        <f>Deployments!L394</f>
        <v>0</v>
      </c>
      <c r="N393" s="15" t="str">
        <f>Deployments!BK394</f>
        <v/>
      </c>
      <c r="O393" s="23" t="str">
        <f>Deployments!BL394</f>
        <v/>
      </c>
      <c r="P393" s="2">
        <f>Deployments!BA394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Deployments!H395</f>
        <v>0</v>
      </c>
      <c r="B394" s="23">
        <f>Deployments!V395</f>
        <v>0</v>
      </c>
      <c r="C394" s="23">
        <f>Deployments!W395</f>
        <v>0</v>
      </c>
      <c r="D394" s="15">
        <f>Deployments!AJ395</f>
        <v>0</v>
      </c>
      <c r="E394" s="15">
        <f>Deployments!N395</f>
        <v>0</v>
      </c>
      <c r="F394" s="23">
        <f>Deployments!O395</f>
        <v>0</v>
      </c>
      <c r="G394" s="15">
        <f>Deployments!P395</f>
        <v>0</v>
      </c>
      <c r="H394" s="15">
        <f>'13 - Config_Intake_View'!M394</f>
        <v>0</v>
      </c>
      <c r="I394" s="23">
        <f>IF('13 - Config_Intake_View'!Q394&lt;&gt;"",'13 - Config_Intake_View'!Q394,Deployments!BH395)</f>
        <v>0</v>
      </c>
      <c r="J394" s="15" t="str">
        <f>IF('13 - Config_Intake_View'!Q394&lt;&gt;"","PM Approved",IF(Deployments!BH395&lt;&gt;"","Assumed",""))</f>
        <v/>
      </c>
      <c r="K394" s="23">
        <f>Deployments!BG395</f>
        <v>0</v>
      </c>
      <c r="L394" s="15">
        <f>Deployments!T395</f>
        <v>0</v>
      </c>
      <c r="M394" s="15">
        <f>Deployments!L395</f>
        <v>0</v>
      </c>
      <c r="N394" s="15" t="str">
        <f>Deployments!BK395</f>
        <v/>
      </c>
      <c r="O394" s="23" t="str">
        <f>Deployments!BL395</f>
        <v/>
      </c>
      <c r="P394" s="2">
        <f>Deployments!BA395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Deployments!H396</f>
        <v>0</v>
      </c>
      <c r="B395" s="23">
        <f>Deployments!V396</f>
        <v>0</v>
      </c>
      <c r="C395" s="23">
        <f>Deployments!W396</f>
        <v>0</v>
      </c>
      <c r="D395" s="15">
        <f>Deployments!AJ396</f>
        <v>0</v>
      </c>
      <c r="E395" s="15">
        <f>Deployments!N396</f>
        <v>0</v>
      </c>
      <c r="F395" s="23">
        <f>Deployments!O396</f>
        <v>0</v>
      </c>
      <c r="G395" s="15">
        <f>Deployments!P396</f>
        <v>0</v>
      </c>
      <c r="H395" s="15">
        <f>'13 - Config_Intake_View'!M395</f>
        <v>0</v>
      </c>
      <c r="I395" s="23">
        <f>IF('13 - Config_Intake_View'!Q395&lt;&gt;"",'13 - Config_Intake_View'!Q395,Deployments!BH396)</f>
        <v>0</v>
      </c>
      <c r="J395" s="15" t="str">
        <f>IF('13 - Config_Intake_View'!Q395&lt;&gt;"","PM Approved",IF(Deployments!BH396&lt;&gt;"","Assumed",""))</f>
        <v/>
      </c>
      <c r="K395" s="23">
        <f>Deployments!BG396</f>
        <v>0</v>
      </c>
      <c r="L395" s="15">
        <f>Deployments!T396</f>
        <v>0</v>
      </c>
      <c r="M395" s="15">
        <f>Deployments!L396</f>
        <v>0</v>
      </c>
      <c r="N395" s="15" t="str">
        <f>Deployments!BK396</f>
        <v/>
      </c>
      <c r="O395" s="23" t="str">
        <f>Deployments!BL396</f>
        <v/>
      </c>
      <c r="P395" s="2">
        <f>Deployments!BA396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Deployments!H397</f>
        <v>0</v>
      </c>
      <c r="B396" s="23">
        <f>Deployments!V397</f>
        <v>0</v>
      </c>
      <c r="C396" s="23">
        <f>Deployments!W397</f>
        <v>0</v>
      </c>
      <c r="D396" s="15">
        <f>Deployments!AJ397</f>
        <v>0</v>
      </c>
      <c r="E396" s="15">
        <f>Deployments!N397</f>
        <v>0</v>
      </c>
      <c r="F396" s="23">
        <f>Deployments!O397</f>
        <v>0</v>
      </c>
      <c r="G396" s="15">
        <f>Deployments!P397</f>
        <v>0</v>
      </c>
      <c r="H396" s="15">
        <f>'13 - Config_Intake_View'!M396</f>
        <v>0</v>
      </c>
      <c r="I396" s="23">
        <f>IF('13 - Config_Intake_View'!Q396&lt;&gt;"",'13 - Config_Intake_View'!Q396,Deployments!BH397)</f>
        <v>0</v>
      </c>
      <c r="J396" s="15" t="str">
        <f>IF('13 - Config_Intake_View'!Q396&lt;&gt;"","PM Approved",IF(Deployments!BH397&lt;&gt;"","Assumed",""))</f>
        <v/>
      </c>
      <c r="K396" s="23">
        <f>Deployments!BG397</f>
        <v>0</v>
      </c>
      <c r="L396" s="15">
        <f>Deployments!T397</f>
        <v>0</v>
      </c>
      <c r="M396" s="15">
        <f>Deployments!L397</f>
        <v>0</v>
      </c>
      <c r="N396" s="15" t="str">
        <f>Deployments!BK397</f>
        <v/>
      </c>
      <c r="O396" s="23" t="str">
        <f>Deployments!BL397</f>
        <v/>
      </c>
      <c r="P396" s="2">
        <f>Deployments!BA397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Deployments!H398</f>
        <v>0</v>
      </c>
      <c r="B397" s="23">
        <f>Deployments!V398</f>
        <v>0</v>
      </c>
      <c r="C397" s="23">
        <f>Deployments!W398</f>
        <v>0</v>
      </c>
      <c r="D397" s="15">
        <f>Deployments!AJ398</f>
        <v>0</v>
      </c>
      <c r="E397" s="15">
        <f>Deployments!N398</f>
        <v>0</v>
      </c>
      <c r="F397" s="23">
        <f>Deployments!O398</f>
        <v>0</v>
      </c>
      <c r="G397" s="15">
        <f>Deployments!P398</f>
        <v>0</v>
      </c>
      <c r="H397" s="15">
        <f>'13 - Config_Intake_View'!M397</f>
        <v>0</v>
      </c>
      <c r="I397" s="23">
        <f>IF('13 - Config_Intake_View'!Q397&lt;&gt;"",'13 - Config_Intake_View'!Q397,Deployments!BH398)</f>
        <v>0</v>
      </c>
      <c r="J397" s="15" t="str">
        <f>IF('13 - Config_Intake_View'!Q397&lt;&gt;"","PM Approved",IF(Deployments!BH398&lt;&gt;"","Assumed",""))</f>
        <v/>
      </c>
      <c r="K397" s="23">
        <f>Deployments!BG398</f>
        <v>0</v>
      </c>
      <c r="L397" s="15">
        <f>Deployments!T398</f>
        <v>0</v>
      </c>
      <c r="M397" s="15">
        <f>Deployments!L398</f>
        <v>0</v>
      </c>
      <c r="N397" s="15" t="str">
        <f>Deployments!BK398</f>
        <v/>
      </c>
      <c r="O397" s="23" t="str">
        <f>Deployments!BL398</f>
        <v/>
      </c>
      <c r="P397" s="2">
        <f>Deployments!BA398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Deployments!H399</f>
        <v>0</v>
      </c>
      <c r="B398" s="23">
        <f>Deployments!V399</f>
        <v>0</v>
      </c>
      <c r="C398" s="23">
        <f>Deployments!W399</f>
        <v>0</v>
      </c>
      <c r="D398" s="15">
        <f>Deployments!AJ399</f>
        <v>0</v>
      </c>
      <c r="E398" s="15">
        <f>Deployments!N399</f>
        <v>0</v>
      </c>
      <c r="F398" s="23">
        <f>Deployments!O399</f>
        <v>0</v>
      </c>
      <c r="G398" s="15">
        <f>Deployments!P399</f>
        <v>0</v>
      </c>
      <c r="H398" s="15">
        <f>'13 - Config_Intake_View'!M398</f>
        <v>0</v>
      </c>
      <c r="I398" s="23">
        <f>IF('13 - Config_Intake_View'!Q398&lt;&gt;"",'13 - Config_Intake_View'!Q398,Deployments!BH399)</f>
        <v>0</v>
      </c>
      <c r="J398" s="15" t="str">
        <f>IF('13 - Config_Intake_View'!Q398&lt;&gt;"","PM Approved",IF(Deployments!BH399&lt;&gt;"","Assumed",""))</f>
        <v/>
      </c>
      <c r="K398" s="23">
        <f>Deployments!BG399</f>
        <v>0</v>
      </c>
      <c r="L398" s="15">
        <f>Deployments!T399</f>
        <v>0</v>
      </c>
      <c r="M398" s="15">
        <f>Deployments!L399</f>
        <v>0</v>
      </c>
      <c r="N398" s="15" t="str">
        <f>Deployments!BK399</f>
        <v/>
      </c>
      <c r="O398" s="23" t="str">
        <f>Deployments!BL399</f>
        <v/>
      </c>
      <c r="P398" s="2">
        <f>Deployments!BA399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Deployments!H400</f>
        <v>0</v>
      </c>
      <c r="B399" s="23">
        <f>Deployments!V400</f>
        <v>0</v>
      </c>
      <c r="C399" s="23">
        <f>Deployments!W400</f>
        <v>0</v>
      </c>
      <c r="D399" s="15">
        <f>Deployments!AJ400</f>
        <v>0</v>
      </c>
      <c r="E399" s="15">
        <f>Deployments!N400</f>
        <v>0</v>
      </c>
      <c r="F399" s="23">
        <f>Deployments!O400</f>
        <v>0</v>
      </c>
      <c r="G399" s="15">
        <f>Deployments!P400</f>
        <v>0</v>
      </c>
      <c r="H399" s="15">
        <f>'13 - Config_Intake_View'!M399</f>
        <v>0</v>
      </c>
      <c r="I399" s="23">
        <f>IF('13 - Config_Intake_View'!Q399&lt;&gt;"",'13 - Config_Intake_View'!Q399,Deployments!BH400)</f>
        <v>0</v>
      </c>
      <c r="J399" s="15" t="str">
        <f>IF('13 - Config_Intake_View'!Q399&lt;&gt;"","PM Approved",IF(Deployments!BH400&lt;&gt;"","Assumed",""))</f>
        <v/>
      </c>
      <c r="K399" s="23">
        <f>Deployments!BG400</f>
        <v>0</v>
      </c>
      <c r="L399" s="15">
        <f>Deployments!T400</f>
        <v>0</v>
      </c>
      <c r="M399" s="15">
        <f>Deployments!L400</f>
        <v>0</v>
      </c>
      <c r="N399" s="15" t="str">
        <f>Deployments!BK400</f>
        <v/>
      </c>
      <c r="O399" s="23" t="str">
        <f>Deployments!BL400</f>
        <v/>
      </c>
      <c r="P399" s="2">
        <f>Deployments!BA400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Deployments!H401</f>
        <v>0</v>
      </c>
      <c r="B400" s="23">
        <f>Deployments!V401</f>
        <v>0</v>
      </c>
      <c r="C400" s="23">
        <f>Deployments!W401</f>
        <v>0</v>
      </c>
      <c r="D400" s="15">
        <f>Deployments!AJ401</f>
        <v>0</v>
      </c>
      <c r="E400" s="15">
        <f>Deployments!N401</f>
        <v>0</v>
      </c>
      <c r="F400" s="23">
        <f>Deployments!O401</f>
        <v>0</v>
      </c>
      <c r="G400" s="15">
        <f>Deployments!P401</f>
        <v>0</v>
      </c>
      <c r="H400" s="15">
        <f>'13 - Config_Intake_View'!M400</f>
        <v>0</v>
      </c>
      <c r="I400" s="23">
        <f>IF('13 - Config_Intake_View'!Q400&lt;&gt;"",'13 - Config_Intake_View'!Q400,Deployments!BH401)</f>
        <v>0</v>
      </c>
      <c r="J400" s="15" t="str">
        <f>IF('13 - Config_Intake_View'!Q400&lt;&gt;"","PM Approved",IF(Deployments!BH401&lt;&gt;"","Assumed",""))</f>
        <v/>
      </c>
      <c r="K400" s="23">
        <f>Deployments!BG401</f>
        <v>0</v>
      </c>
      <c r="L400" s="15">
        <f>Deployments!T401</f>
        <v>0</v>
      </c>
      <c r="M400" s="15">
        <f>Deployments!L401</f>
        <v>0</v>
      </c>
      <c r="N400" s="15" t="str">
        <f>Deployments!BK401</f>
        <v/>
      </c>
      <c r="O400" s="23" t="str">
        <f>Deployments!BL401</f>
        <v/>
      </c>
      <c r="P400" s="2">
        <f>Deployments!BA401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Deployments!H402</f>
        <v>0</v>
      </c>
      <c r="B401" s="23">
        <f>Deployments!V402</f>
        <v>0</v>
      </c>
      <c r="C401" s="23">
        <f>Deployments!W402</f>
        <v>0</v>
      </c>
      <c r="D401" s="15">
        <f>Deployments!AJ402</f>
        <v>0</v>
      </c>
      <c r="E401" s="15">
        <f>Deployments!N402</f>
        <v>0</v>
      </c>
      <c r="F401" s="23">
        <f>Deployments!O402</f>
        <v>0</v>
      </c>
      <c r="G401" s="15">
        <f>Deployments!P402</f>
        <v>0</v>
      </c>
      <c r="H401" s="15">
        <f>'13 - Config_Intake_View'!M401</f>
        <v>0</v>
      </c>
      <c r="I401" s="23">
        <f>IF('13 - Config_Intake_View'!Q401&lt;&gt;"",'13 - Config_Intake_View'!Q401,Deployments!BH402)</f>
        <v>0</v>
      </c>
      <c r="J401" s="15" t="str">
        <f>IF('13 - Config_Intake_View'!Q401&lt;&gt;"","PM Approved",IF(Deployments!BH402&lt;&gt;"","Assumed",""))</f>
        <v/>
      </c>
      <c r="K401" s="23">
        <f>Deployments!BG402</f>
        <v>0</v>
      </c>
      <c r="L401" s="15">
        <f>Deployments!T402</f>
        <v>0</v>
      </c>
      <c r="M401" s="15">
        <f>Deployments!L402</f>
        <v>0</v>
      </c>
      <c r="N401" s="15" t="str">
        <f>Deployments!BK402</f>
        <v/>
      </c>
      <c r="O401" s="23" t="str">
        <f>Deployments!BL402</f>
        <v/>
      </c>
      <c r="P401" s="2">
        <f>Deployments!BA402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Deployments!H403</f>
        <v>0</v>
      </c>
      <c r="B402" s="23">
        <f>Deployments!V403</f>
        <v>0</v>
      </c>
      <c r="C402" s="23">
        <f>Deployments!W403</f>
        <v>0</v>
      </c>
      <c r="D402" s="15">
        <f>Deployments!AJ403</f>
        <v>0</v>
      </c>
      <c r="E402" s="15">
        <f>Deployments!N403</f>
        <v>0</v>
      </c>
      <c r="F402" s="23">
        <f>Deployments!O403</f>
        <v>0</v>
      </c>
      <c r="G402" s="15">
        <f>Deployments!P403</f>
        <v>0</v>
      </c>
      <c r="H402" s="15">
        <f>'13 - Config_Intake_View'!M402</f>
        <v>0</v>
      </c>
      <c r="I402" s="23">
        <f>IF('13 - Config_Intake_View'!Q402&lt;&gt;"",'13 - Config_Intake_View'!Q402,Deployments!BH403)</f>
        <v>0</v>
      </c>
      <c r="J402" s="15" t="str">
        <f>IF('13 - Config_Intake_View'!Q402&lt;&gt;"","PM Approved",IF(Deployments!BH403&lt;&gt;"","Assumed",""))</f>
        <v/>
      </c>
      <c r="K402" s="23">
        <f>Deployments!BG403</f>
        <v>0</v>
      </c>
      <c r="L402" s="15">
        <f>Deployments!T403</f>
        <v>0</v>
      </c>
      <c r="M402" s="15">
        <f>Deployments!L403</f>
        <v>0</v>
      </c>
      <c r="N402" s="15" t="str">
        <f>Deployments!BK403</f>
        <v/>
      </c>
      <c r="O402" s="23" t="str">
        <f>Deployments!BL403</f>
        <v/>
      </c>
      <c r="P402" s="2">
        <f>Deployments!BA403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Deployments!H404</f>
        <v>0</v>
      </c>
      <c r="B403" s="23">
        <f>Deployments!V404</f>
        <v>0</v>
      </c>
      <c r="C403" s="23">
        <f>Deployments!W404</f>
        <v>0</v>
      </c>
      <c r="D403" s="15">
        <f>Deployments!AJ404</f>
        <v>0</v>
      </c>
      <c r="E403" s="15">
        <f>Deployments!N404</f>
        <v>0</v>
      </c>
      <c r="F403" s="23">
        <f>Deployments!O404</f>
        <v>0</v>
      </c>
      <c r="G403" s="15">
        <f>Deployments!P404</f>
        <v>0</v>
      </c>
      <c r="H403" s="15">
        <f>'13 - Config_Intake_View'!M403</f>
        <v>0</v>
      </c>
      <c r="I403" s="23">
        <f>IF('13 - Config_Intake_View'!Q403&lt;&gt;"",'13 - Config_Intake_View'!Q403,Deployments!BH404)</f>
        <v>0</v>
      </c>
      <c r="J403" s="15" t="str">
        <f>IF('13 - Config_Intake_View'!Q403&lt;&gt;"","PM Approved",IF(Deployments!BH404&lt;&gt;"","Assumed",""))</f>
        <v/>
      </c>
      <c r="K403" s="23">
        <f>Deployments!BG404</f>
        <v>0</v>
      </c>
      <c r="L403" s="15">
        <f>Deployments!T404</f>
        <v>0</v>
      </c>
      <c r="M403" s="15">
        <f>Deployments!L404</f>
        <v>0</v>
      </c>
      <c r="N403" s="15" t="str">
        <f>Deployments!BK404</f>
        <v/>
      </c>
      <c r="O403" s="23" t="str">
        <f>Deployments!BL404</f>
        <v/>
      </c>
      <c r="P403" s="2">
        <f>Deployments!BA404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Deployments!H405</f>
        <v>0</v>
      </c>
      <c r="B404" s="23">
        <f>Deployments!V405</f>
        <v>0</v>
      </c>
      <c r="C404" s="23">
        <f>Deployments!W405</f>
        <v>0</v>
      </c>
      <c r="D404" s="15">
        <f>Deployments!AJ405</f>
        <v>0</v>
      </c>
      <c r="E404" s="15">
        <f>Deployments!N405</f>
        <v>0</v>
      </c>
      <c r="F404" s="23">
        <f>Deployments!O405</f>
        <v>0</v>
      </c>
      <c r="G404" s="15">
        <f>Deployments!P405</f>
        <v>0</v>
      </c>
      <c r="H404" s="15">
        <f>'13 - Config_Intake_View'!M404</f>
        <v>0</v>
      </c>
      <c r="I404" s="23">
        <f>IF('13 - Config_Intake_View'!Q404&lt;&gt;"",'13 - Config_Intake_View'!Q404,Deployments!BH405)</f>
        <v>0</v>
      </c>
      <c r="J404" s="15" t="str">
        <f>IF('13 - Config_Intake_View'!Q404&lt;&gt;"","PM Approved",IF(Deployments!BH405&lt;&gt;"","Assumed",""))</f>
        <v/>
      </c>
      <c r="K404" s="23">
        <f>Deployments!BG405</f>
        <v>0</v>
      </c>
      <c r="L404" s="15">
        <f>Deployments!T405</f>
        <v>0</v>
      </c>
      <c r="M404" s="15">
        <f>Deployments!L405</f>
        <v>0</v>
      </c>
      <c r="N404" s="15" t="str">
        <f>Deployments!BK405</f>
        <v/>
      </c>
      <c r="O404" s="23" t="str">
        <f>Deployments!BL405</f>
        <v/>
      </c>
      <c r="P404" s="2">
        <f>Deployments!BA405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Deployments!H406</f>
        <v>0</v>
      </c>
      <c r="B405" s="23">
        <f>Deployments!V406</f>
        <v>0</v>
      </c>
      <c r="C405" s="23">
        <f>Deployments!W406</f>
        <v>0</v>
      </c>
      <c r="D405" s="15">
        <f>Deployments!AJ406</f>
        <v>0</v>
      </c>
      <c r="E405" s="15">
        <f>Deployments!N406</f>
        <v>0</v>
      </c>
      <c r="F405" s="23">
        <f>Deployments!O406</f>
        <v>0</v>
      </c>
      <c r="G405" s="15">
        <f>Deployments!P406</f>
        <v>0</v>
      </c>
      <c r="H405" s="15">
        <f>'13 - Config_Intake_View'!M405</f>
        <v>0</v>
      </c>
      <c r="I405" s="23">
        <f>IF('13 - Config_Intake_View'!Q405&lt;&gt;"",'13 - Config_Intake_View'!Q405,Deployments!BH406)</f>
        <v>0</v>
      </c>
      <c r="J405" s="15" t="str">
        <f>IF('13 - Config_Intake_View'!Q405&lt;&gt;"","PM Approved",IF(Deployments!BH406&lt;&gt;"","Assumed",""))</f>
        <v/>
      </c>
      <c r="K405" s="23">
        <f>Deployments!BG406</f>
        <v>0</v>
      </c>
      <c r="L405" s="15">
        <f>Deployments!T406</f>
        <v>0</v>
      </c>
      <c r="M405" s="15">
        <f>Deployments!L406</f>
        <v>0</v>
      </c>
      <c r="N405" s="15" t="str">
        <f>Deployments!BK406</f>
        <v/>
      </c>
      <c r="O405" s="23" t="str">
        <f>Deployments!BL406</f>
        <v/>
      </c>
      <c r="P405" s="2">
        <f>Deployments!BA406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Deployments!H407</f>
        <v>0</v>
      </c>
      <c r="B406" s="23">
        <f>Deployments!V407</f>
        <v>0</v>
      </c>
      <c r="C406" s="23">
        <f>Deployments!W407</f>
        <v>0</v>
      </c>
      <c r="D406" s="15">
        <f>Deployments!AJ407</f>
        <v>0</v>
      </c>
      <c r="E406" s="15">
        <f>Deployments!N407</f>
        <v>0</v>
      </c>
      <c r="F406" s="23">
        <f>Deployments!O407</f>
        <v>0</v>
      </c>
      <c r="G406" s="15">
        <f>Deployments!P407</f>
        <v>0</v>
      </c>
      <c r="H406" s="15">
        <f>'13 - Config_Intake_View'!M406</f>
        <v>0</v>
      </c>
      <c r="I406" s="23">
        <f>IF('13 - Config_Intake_View'!Q406&lt;&gt;"",'13 - Config_Intake_View'!Q406,Deployments!BH407)</f>
        <v>0</v>
      </c>
      <c r="J406" s="15" t="str">
        <f>IF('13 - Config_Intake_View'!Q406&lt;&gt;"","PM Approved",IF(Deployments!BH407&lt;&gt;"","Assumed",""))</f>
        <v/>
      </c>
      <c r="K406" s="23">
        <f>Deployments!BG407</f>
        <v>0</v>
      </c>
      <c r="L406" s="15">
        <f>Deployments!T407</f>
        <v>0</v>
      </c>
      <c r="M406" s="15">
        <f>Deployments!L407</f>
        <v>0</v>
      </c>
      <c r="N406" s="15" t="str">
        <f>Deployments!BK407</f>
        <v/>
      </c>
      <c r="O406" s="23" t="str">
        <f>Deployments!BL407</f>
        <v/>
      </c>
      <c r="P406" s="2">
        <f>Deployments!BA407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Deployments!H408</f>
        <v>0</v>
      </c>
      <c r="B407" s="23">
        <f>Deployments!V408</f>
        <v>0</v>
      </c>
      <c r="C407" s="23">
        <f>Deployments!W408</f>
        <v>0</v>
      </c>
      <c r="D407" s="15">
        <f>Deployments!AJ408</f>
        <v>0</v>
      </c>
      <c r="E407" s="15">
        <f>Deployments!N408</f>
        <v>0</v>
      </c>
      <c r="F407" s="23">
        <f>Deployments!O408</f>
        <v>0</v>
      </c>
      <c r="G407" s="15">
        <f>Deployments!P408</f>
        <v>0</v>
      </c>
      <c r="H407" s="15">
        <f>'13 - Config_Intake_View'!M407</f>
        <v>0</v>
      </c>
      <c r="I407" s="23">
        <f>IF('13 - Config_Intake_View'!Q407&lt;&gt;"",'13 - Config_Intake_View'!Q407,Deployments!BH408)</f>
        <v>0</v>
      </c>
      <c r="J407" s="15" t="str">
        <f>IF('13 - Config_Intake_View'!Q407&lt;&gt;"","PM Approved",IF(Deployments!BH408&lt;&gt;"","Assumed",""))</f>
        <v/>
      </c>
      <c r="K407" s="23">
        <f>Deployments!BG408</f>
        <v>0</v>
      </c>
      <c r="L407" s="15">
        <f>Deployments!T408</f>
        <v>0</v>
      </c>
      <c r="M407" s="15">
        <f>Deployments!L408</f>
        <v>0</v>
      </c>
      <c r="N407" s="15" t="str">
        <f>Deployments!BK408</f>
        <v/>
      </c>
      <c r="O407" s="23" t="str">
        <f>Deployments!BL408</f>
        <v/>
      </c>
      <c r="P407" s="2">
        <f>Deployments!BA408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Deployments!H409</f>
        <v>0</v>
      </c>
      <c r="B408" s="23">
        <f>Deployments!V409</f>
        <v>0</v>
      </c>
      <c r="C408" s="23">
        <f>Deployments!W409</f>
        <v>0</v>
      </c>
      <c r="D408" s="15">
        <f>Deployments!AJ409</f>
        <v>0</v>
      </c>
      <c r="E408" s="15">
        <f>Deployments!N409</f>
        <v>0</v>
      </c>
      <c r="F408" s="23">
        <f>Deployments!O409</f>
        <v>0</v>
      </c>
      <c r="G408" s="15">
        <f>Deployments!P409</f>
        <v>0</v>
      </c>
      <c r="H408" s="15">
        <f>'13 - Config_Intake_View'!M408</f>
        <v>0</v>
      </c>
      <c r="I408" s="23">
        <f>IF('13 - Config_Intake_View'!Q408&lt;&gt;"",'13 - Config_Intake_View'!Q408,Deployments!BH409)</f>
        <v>0</v>
      </c>
      <c r="J408" s="15" t="str">
        <f>IF('13 - Config_Intake_View'!Q408&lt;&gt;"","PM Approved",IF(Deployments!BH409&lt;&gt;"","Assumed",""))</f>
        <v/>
      </c>
      <c r="K408" s="23">
        <f>Deployments!BG409</f>
        <v>0</v>
      </c>
      <c r="L408" s="15">
        <f>Deployments!T409</f>
        <v>0</v>
      </c>
      <c r="M408" s="15">
        <f>Deployments!L409</f>
        <v>0</v>
      </c>
      <c r="N408" s="15" t="str">
        <f>Deployments!BK409</f>
        <v/>
      </c>
      <c r="O408" s="23" t="str">
        <f>Deployments!BL409</f>
        <v/>
      </c>
      <c r="P408" s="2">
        <f>Deployments!BA409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Deployments!H410</f>
        <v>0</v>
      </c>
      <c r="B409" s="23">
        <f>Deployments!V410</f>
        <v>0</v>
      </c>
      <c r="C409" s="23">
        <f>Deployments!W410</f>
        <v>0</v>
      </c>
      <c r="D409" s="15">
        <f>Deployments!AJ410</f>
        <v>0</v>
      </c>
      <c r="E409" s="15">
        <f>Deployments!N410</f>
        <v>0</v>
      </c>
      <c r="F409" s="23">
        <f>Deployments!O410</f>
        <v>0</v>
      </c>
      <c r="G409" s="15">
        <f>Deployments!P410</f>
        <v>0</v>
      </c>
      <c r="H409" s="15">
        <f>'13 - Config_Intake_View'!M409</f>
        <v>0</v>
      </c>
      <c r="I409" s="23">
        <f>IF('13 - Config_Intake_View'!Q409&lt;&gt;"",'13 - Config_Intake_View'!Q409,Deployments!BH410)</f>
        <v>0</v>
      </c>
      <c r="J409" s="15" t="str">
        <f>IF('13 - Config_Intake_View'!Q409&lt;&gt;"","PM Approved",IF(Deployments!BH410&lt;&gt;"","Assumed",""))</f>
        <v/>
      </c>
      <c r="K409" s="23">
        <f>Deployments!BG410</f>
        <v>0</v>
      </c>
      <c r="L409" s="15">
        <f>Deployments!T410</f>
        <v>0</v>
      </c>
      <c r="M409" s="15">
        <f>Deployments!L410</f>
        <v>0</v>
      </c>
      <c r="N409" s="15" t="str">
        <f>Deployments!BK410</f>
        <v/>
      </c>
      <c r="O409" s="23" t="str">
        <f>Deployments!BL410</f>
        <v/>
      </c>
      <c r="P409" s="2">
        <f>Deployments!BA410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Deployments!H411</f>
        <v>0</v>
      </c>
      <c r="B410" s="23">
        <f>Deployments!V411</f>
        <v>0</v>
      </c>
      <c r="C410" s="23">
        <f>Deployments!W411</f>
        <v>0</v>
      </c>
      <c r="D410" s="15">
        <f>Deployments!AJ411</f>
        <v>0</v>
      </c>
      <c r="E410" s="15">
        <f>Deployments!N411</f>
        <v>0</v>
      </c>
      <c r="F410" s="23">
        <f>Deployments!O411</f>
        <v>0</v>
      </c>
      <c r="G410" s="15">
        <f>Deployments!P411</f>
        <v>0</v>
      </c>
      <c r="H410" s="15">
        <f>'13 - Config_Intake_View'!M410</f>
        <v>0</v>
      </c>
      <c r="I410" s="23">
        <f>IF('13 - Config_Intake_View'!Q410&lt;&gt;"",'13 - Config_Intake_View'!Q410,Deployments!BH411)</f>
        <v>0</v>
      </c>
      <c r="J410" s="15" t="str">
        <f>IF('13 - Config_Intake_View'!Q410&lt;&gt;"","PM Approved",IF(Deployments!BH411&lt;&gt;"","Assumed",""))</f>
        <v/>
      </c>
      <c r="K410" s="23">
        <f>Deployments!BG411</f>
        <v>0</v>
      </c>
      <c r="L410" s="15">
        <f>Deployments!T411</f>
        <v>0</v>
      </c>
      <c r="M410" s="15">
        <f>Deployments!L411</f>
        <v>0</v>
      </c>
      <c r="N410" s="15" t="str">
        <f>Deployments!BK411</f>
        <v/>
      </c>
      <c r="O410" s="23" t="str">
        <f>Deployments!BL411</f>
        <v/>
      </c>
      <c r="P410" s="2">
        <f>Deployments!BA411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Deployments!H412</f>
        <v>0</v>
      </c>
      <c r="B411" s="23">
        <f>Deployments!V412</f>
        <v>0</v>
      </c>
      <c r="C411" s="23">
        <f>Deployments!W412</f>
        <v>0</v>
      </c>
      <c r="D411" s="15">
        <f>Deployments!AJ412</f>
        <v>0</v>
      </c>
      <c r="E411" s="15">
        <f>Deployments!N412</f>
        <v>0</v>
      </c>
      <c r="F411" s="23">
        <f>Deployments!O412</f>
        <v>0</v>
      </c>
      <c r="G411" s="15">
        <f>Deployments!P412</f>
        <v>0</v>
      </c>
      <c r="H411" s="15">
        <f>'13 - Config_Intake_View'!M411</f>
        <v>0</v>
      </c>
      <c r="I411" s="23">
        <f>IF('13 - Config_Intake_View'!Q411&lt;&gt;"",'13 - Config_Intake_View'!Q411,Deployments!BH412)</f>
        <v>0</v>
      </c>
      <c r="J411" s="15" t="str">
        <f>IF('13 - Config_Intake_View'!Q411&lt;&gt;"","PM Approved",IF(Deployments!BH412&lt;&gt;"","Assumed",""))</f>
        <v/>
      </c>
      <c r="K411" s="23">
        <f>Deployments!BG412</f>
        <v>0</v>
      </c>
      <c r="L411" s="15">
        <f>Deployments!T412</f>
        <v>0</v>
      </c>
      <c r="M411" s="15">
        <f>Deployments!L412</f>
        <v>0</v>
      </c>
      <c r="N411" s="15" t="str">
        <f>Deployments!BK412</f>
        <v/>
      </c>
      <c r="O411" s="23" t="str">
        <f>Deployments!BL412</f>
        <v/>
      </c>
      <c r="P411" s="2">
        <f>Deployments!BA412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Deployments!H413</f>
        <v>0</v>
      </c>
      <c r="B412" s="23">
        <f>Deployments!V413</f>
        <v>0</v>
      </c>
      <c r="C412" s="23">
        <f>Deployments!W413</f>
        <v>0</v>
      </c>
      <c r="D412" s="15">
        <f>Deployments!AJ413</f>
        <v>0</v>
      </c>
      <c r="E412" s="15">
        <f>Deployments!N413</f>
        <v>0</v>
      </c>
      <c r="F412" s="23">
        <f>Deployments!O413</f>
        <v>0</v>
      </c>
      <c r="G412" s="15">
        <f>Deployments!P413</f>
        <v>0</v>
      </c>
      <c r="H412" s="15">
        <f>'13 - Config_Intake_View'!M412</f>
        <v>0</v>
      </c>
      <c r="I412" s="23">
        <f>IF('13 - Config_Intake_View'!Q412&lt;&gt;"",'13 - Config_Intake_View'!Q412,Deployments!BH413)</f>
        <v>0</v>
      </c>
      <c r="J412" s="15" t="str">
        <f>IF('13 - Config_Intake_View'!Q412&lt;&gt;"","PM Approved",IF(Deployments!BH413&lt;&gt;"","Assumed",""))</f>
        <v/>
      </c>
      <c r="K412" s="23">
        <f>Deployments!BG413</f>
        <v>0</v>
      </c>
      <c r="L412" s="15">
        <f>Deployments!T413</f>
        <v>0</v>
      </c>
      <c r="M412" s="15">
        <f>Deployments!L413</f>
        <v>0</v>
      </c>
      <c r="N412" s="15" t="str">
        <f>Deployments!BK413</f>
        <v/>
      </c>
      <c r="O412" s="23" t="str">
        <f>Deployments!BL413</f>
        <v/>
      </c>
      <c r="P412" s="2">
        <f>Deployments!BA413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Deployments!H414</f>
        <v>0</v>
      </c>
      <c r="B413" s="23">
        <f>Deployments!V414</f>
        <v>0</v>
      </c>
      <c r="C413" s="23">
        <f>Deployments!W414</f>
        <v>0</v>
      </c>
      <c r="D413" s="15">
        <f>Deployments!AJ414</f>
        <v>0</v>
      </c>
      <c r="E413" s="15">
        <f>Deployments!N414</f>
        <v>0</v>
      </c>
      <c r="F413" s="23">
        <f>Deployments!O414</f>
        <v>0</v>
      </c>
      <c r="G413" s="15">
        <f>Deployments!P414</f>
        <v>0</v>
      </c>
      <c r="H413" s="15">
        <f>'13 - Config_Intake_View'!M413</f>
        <v>0</v>
      </c>
      <c r="I413" s="23">
        <f>IF('13 - Config_Intake_View'!Q413&lt;&gt;"",'13 - Config_Intake_View'!Q413,Deployments!BH414)</f>
        <v>0</v>
      </c>
      <c r="J413" s="15" t="str">
        <f>IF('13 - Config_Intake_View'!Q413&lt;&gt;"","PM Approved",IF(Deployments!BH414&lt;&gt;"","Assumed",""))</f>
        <v/>
      </c>
      <c r="K413" s="23">
        <f>Deployments!BG414</f>
        <v>0</v>
      </c>
      <c r="L413" s="15">
        <f>Deployments!T414</f>
        <v>0</v>
      </c>
      <c r="M413" s="15">
        <f>Deployments!L414</f>
        <v>0</v>
      </c>
      <c r="N413" s="15" t="str">
        <f>Deployments!BK414</f>
        <v/>
      </c>
      <c r="O413" s="23" t="str">
        <f>Deployments!BL414</f>
        <v/>
      </c>
      <c r="P413" s="2">
        <f>Deployments!BA414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Deployments!H415</f>
        <v>0</v>
      </c>
      <c r="B414" s="23">
        <f>Deployments!V415</f>
        <v>0</v>
      </c>
      <c r="C414" s="23">
        <f>Deployments!W415</f>
        <v>0</v>
      </c>
      <c r="D414" s="15">
        <f>Deployments!AJ415</f>
        <v>0</v>
      </c>
      <c r="E414" s="15">
        <f>Deployments!N415</f>
        <v>0</v>
      </c>
      <c r="F414" s="23">
        <f>Deployments!O415</f>
        <v>0</v>
      </c>
      <c r="G414" s="15">
        <f>Deployments!P415</f>
        <v>0</v>
      </c>
      <c r="H414" s="15">
        <f>'13 - Config_Intake_View'!M414</f>
        <v>0</v>
      </c>
      <c r="I414" s="23">
        <f>IF('13 - Config_Intake_View'!Q414&lt;&gt;"",'13 - Config_Intake_View'!Q414,Deployments!BH415)</f>
        <v>0</v>
      </c>
      <c r="J414" s="15" t="str">
        <f>IF('13 - Config_Intake_View'!Q414&lt;&gt;"","PM Approved",IF(Deployments!BH415&lt;&gt;"","Assumed",""))</f>
        <v/>
      </c>
      <c r="K414" s="23">
        <f>Deployments!BG415</f>
        <v>0</v>
      </c>
      <c r="L414" s="15">
        <f>Deployments!T415</f>
        <v>0</v>
      </c>
      <c r="M414" s="15">
        <f>Deployments!L415</f>
        <v>0</v>
      </c>
      <c r="N414" s="15" t="str">
        <f>Deployments!BK415</f>
        <v/>
      </c>
      <c r="O414" s="23" t="str">
        <f>Deployments!BL415</f>
        <v/>
      </c>
      <c r="P414" s="2">
        <f>Deployments!BA415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Deployments!H416</f>
        <v>0</v>
      </c>
      <c r="B415" s="23">
        <f>Deployments!V416</f>
        <v>0</v>
      </c>
      <c r="C415" s="23">
        <f>Deployments!W416</f>
        <v>0</v>
      </c>
      <c r="D415" s="15">
        <f>Deployments!AJ416</f>
        <v>0</v>
      </c>
      <c r="E415" s="15">
        <f>Deployments!N416</f>
        <v>0</v>
      </c>
      <c r="F415" s="23">
        <f>Deployments!O416</f>
        <v>0</v>
      </c>
      <c r="G415" s="15">
        <f>Deployments!P416</f>
        <v>0</v>
      </c>
      <c r="H415" s="15">
        <f>'13 - Config_Intake_View'!M415</f>
        <v>0</v>
      </c>
      <c r="I415" s="23">
        <f>IF('13 - Config_Intake_View'!Q415&lt;&gt;"",'13 - Config_Intake_View'!Q415,Deployments!BH416)</f>
        <v>0</v>
      </c>
      <c r="J415" s="15" t="str">
        <f>IF('13 - Config_Intake_View'!Q415&lt;&gt;"","PM Approved",IF(Deployments!BH416&lt;&gt;"","Assumed",""))</f>
        <v/>
      </c>
      <c r="K415" s="23">
        <f>Deployments!BG416</f>
        <v>0</v>
      </c>
      <c r="L415" s="15">
        <f>Deployments!T416</f>
        <v>0</v>
      </c>
      <c r="M415" s="15">
        <f>Deployments!L416</f>
        <v>0</v>
      </c>
      <c r="N415" s="15" t="str">
        <f>Deployments!BK416</f>
        <v/>
      </c>
      <c r="O415" s="23" t="str">
        <f>Deployments!BL416</f>
        <v/>
      </c>
      <c r="P415" s="2">
        <f>Deployments!BA416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Deployments!H417</f>
        <v>0</v>
      </c>
      <c r="B416" s="23">
        <f>Deployments!V417</f>
        <v>0</v>
      </c>
      <c r="C416" s="23">
        <f>Deployments!W417</f>
        <v>0</v>
      </c>
      <c r="D416" s="15">
        <f>Deployments!AJ417</f>
        <v>0</v>
      </c>
      <c r="E416" s="15">
        <f>Deployments!N417</f>
        <v>0</v>
      </c>
      <c r="F416" s="23">
        <f>Deployments!O417</f>
        <v>0</v>
      </c>
      <c r="G416" s="15">
        <f>Deployments!P417</f>
        <v>0</v>
      </c>
      <c r="H416" s="15">
        <f>'13 - Config_Intake_View'!M416</f>
        <v>0</v>
      </c>
      <c r="I416" s="23">
        <f>IF('13 - Config_Intake_View'!Q416&lt;&gt;"",'13 - Config_Intake_View'!Q416,Deployments!BH417)</f>
        <v>0</v>
      </c>
      <c r="J416" s="15" t="str">
        <f>IF('13 - Config_Intake_View'!Q416&lt;&gt;"","PM Approved",IF(Deployments!BH417&lt;&gt;"","Assumed",""))</f>
        <v/>
      </c>
      <c r="K416" s="23">
        <f>Deployments!BG417</f>
        <v>0</v>
      </c>
      <c r="L416" s="15">
        <f>Deployments!T417</f>
        <v>0</v>
      </c>
      <c r="M416" s="15">
        <f>Deployments!L417</f>
        <v>0</v>
      </c>
      <c r="N416" s="15" t="str">
        <f>Deployments!BK417</f>
        <v/>
      </c>
      <c r="O416" s="23" t="str">
        <f>Deployments!BL417</f>
        <v/>
      </c>
      <c r="P416" s="2">
        <f>Deployments!BA417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Deployments!H418</f>
        <v>0</v>
      </c>
      <c r="B417" s="23">
        <f>Deployments!V418</f>
        <v>0</v>
      </c>
      <c r="C417" s="23">
        <f>Deployments!W418</f>
        <v>0</v>
      </c>
      <c r="D417" s="15">
        <f>Deployments!AJ418</f>
        <v>0</v>
      </c>
      <c r="E417" s="15">
        <f>Deployments!N418</f>
        <v>0</v>
      </c>
      <c r="F417" s="23">
        <f>Deployments!O418</f>
        <v>0</v>
      </c>
      <c r="G417" s="15">
        <f>Deployments!P418</f>
        <v>0</v>
      </c>
      <c r="H417" s="15">
        <f>'13 - Config_Intake_View'!M417</f>
        <v>0</v>
      </c>
      <c r="I417" s="23">
        <f>IF('13 - Config_Intake_View'!Q417&lt;&gt;"",'13 - Config_Intake_View'!Q417,Deployments!BH418)</f>
        <v>0</v>
      </c>
      <c r="J417" s="15" t="str">
        <f>IF('13 - Config_Intake_View'!Q417&lt;&gt;"","PM Approved",IF(Deployments!BH418&lt;&gt;"","Assumed",""))</f>
        <v/>
      </c>
      <c r="K417" s="23">
        <f>Deployments!BG418</f>
        <v>0</v>
      </c>
      <c r="L417" s="15">
        <f>Deployments!T418</f>
        <v>0</v>
      </c>
      <c r="M417" s="15">
        <f>Deployments!L418</f>
        <v>0</v>
      </c>
      <c r="N417" s="15" t="str">
        <f>Deployments!BK418</f>
        <v/>
      </c>
      <c r="O417" s="23" t="str">
        <f>Deployments!BL418</f>
        <v/>
      </c>
      <c r="P417" s="2">
        <f>Deployments!BA418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Deployments!H419</f>
        <v>0</v>
      </c>
      <c r="B418" s="23">
        <f>Deployments!V419</f>
        <v>0</v>
      </c>
      <c r="C418" s="23">
        <f>Deployments!W419</f>
        <v>0</v>
      </c>
      <c r="D418" s="15">
        <f>Deployments!AJ419</f>
        <v>0</v>
      </c>
      <c r="E418" s="15">
        <f>Deployments!N419</f>
        <v>0</v>
      </c>
      <c r="F418" s="23">
        <f>Deployments!O419</f>
        <v>0</v>
      </c>
      <c r="G418" s="15">
        <f>Deployments!P419</f>
        <v>0</v>
      </c>
      <c r="H418" s="15">
        <f>'13 - Config_Intake_View'!M418</f>
        <v>0</v>
      </c>
      <c r="I418" s="23">
        <f>IF('13 - Config_Intake_View'!Q418&lt;&gt;"",'13 - Config_Intake_View'!Q418,Deployments!BH419)</f>
        <v>0</v>
      </c>
      <c r="J418" s="15" t="str">
        <f>IF('13 - Config_Intake_View'!Q418&lt;&gt;"","PM Approved",IF(Deployments!BH419&lt;&gt;"","Assumed",""))</f>
        <v/>
      </c>
      <c r="K418" s="23">
        <f>Deployments!BG419</f>
        <v>0</v>
      </c>
      <c r="L418" s="15">
        <f>Deployments!T419</f>
        <v>0</v>
      </c>
      <c r="M418" s="15">
        <f>Deployments!L419</f>
        <v>0</v>
      </c>
      <c r="N418" s="15" t="str">
        <f>Deployments!BK419</f>
        <v/>
      </c>
      <c r="O418" s="23" t="str">
        <f>Deployments!BL419</f>
        <v/>
      </c>
      <c r="P418" s="2">
        <f>Deployments!BA419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Deployments!H420</f>
        <v>0</v>
      </c>
      <c r="B419" s="23">
        <f>Deployments!V420</f>
        <v>0</v>
      </c>
      <c r="C419" s="23">
        <f>Deployments!W420</f>
        <v>0</v>
      </c>
      <c r="D419" s="15">
        <f>Deployments!AJ420</f>
        <v>0</v>
      </c>
      <c r="E419" s="15">
        <f>Deployments!N420</f>
        <v>0</v>
      </c>
      <c r="F419" s="23">
        <f>Deployments!O420</f>
        <v>0</v>
      </c>
      <c r="G419" s="15">
        <f>Deployments!P420</f>
        <v>0</v>
      </c>
      <c r="H419" s="15">
        <f>'13 - Config_Intake_View'!M419</f>
        <v>0</v>
      </c>
      <c r="I419" s="23">
        <f>IF('13 - Config_Intake_View'!Q419&lt;&gt;"",'13 - Config_Intake_View'!Q419,Deployments!BH420)</f>
        <v>0</v>
      </c>
      <c r="J419" s="15" t="str">
        <f>IF('13 - Config_Intake_View'!Q419&lt;&gt;"","PM Approved",IF(Deployments!BH420&lt;&gt;"","Assumed",""))</f>
        <v/>
      </c>
      <c r="K419" s="23">
        <f>Deployments!BG420</f>
        <v>0</v>
      </c>
      <c r="L419" s="15">
        <f>Deployments!T420</f>
        <v>0</v>
      </c>
      <c r="M419" s="15">
        <f>Deployments!L420</f>
        <v>0</v>
      </c>
      <c r="N419" s="15" t="str">
        <f>Deployments!BK420</f>
        <v/>
      </c>
      <c r="O419" s="23" t="str">
        <f>Deployments!BL420</f>
        <v/>
      </c>
      <c r="P419" s="2">
        <f>Deployments!BA420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Deployments!H421</f>
        <v>0</v>
      </c>
      <c r="B420" s="23">
        <f>Deployments!V421</f>
        <v>0</v>
      </c>
      <c r="C420" s="23">
        <f>Deployments!W421</f>
        <v>0</v>
      </c>
      <c r="D420" s="15">
        <f>Deployments!AJ421</f>
        <v>0</v>
      </c>
      <c r="E420" s="15">
        <f>Deployments!N421</f>
        <v>0</v>
      </c>
      <c r="F420" s="23">
        <f>Deployments!O421</f>
        <v>0</v>
      </c>
      <c r="G420" s="15">
        <f>Deployments!P421</f>
        <v>0</v>
      </c>
      <c r="H420" s="15">
        <f>'13 - Config_Intake_View'!M420</f>
        <v>0</v>
      </c>
      <c r="I420" s="23">
        <f>IF('13 - Config_Intake_View'!Q420&lt;&gt;"",'13 - Config_Intake_View'!Q420,Deployments!BH421)</f>
        <v>0</v>
      </c>
      <c r="J420" s="15" t="str">
        <f>IF('13 - Config_Intake_View'!Q420&lt;&gt;"","PM Approved",IF(Deployments!BH421&lt;&gt;"","Assumed",""))</f>
        <v/>
      </c>
      <c r="K420" s="23">
        <f>Deployments!BG421</f>
        <v>0</v>
      </c>
      <c r="L420" s="15">
        <f>Deployments!T421</f>
        <v>0</v>
      </c>
      <c r="M420" s="15">
        <f>Deployments!L421</f>
        <v>0</v>
      </c>
      <c r="N420" s="15" t="str">
        <f>Deployments!BK421</f>
        <v/>
      </c>
      <c r="O420" s="23" t="str">
        <f>Deployments!BL421</f>
        <v/>
      </c>
      <c r="P420" s="2">
        <f>Deployments!BA421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Deployments!H422</f>
        <v>0</v>
      </c>
      <c r="B421" s="23">
        <f>Deployments!V422</f>
        <v>0</v>
      </c>
      <c r="C421" s="23">
        <f>Deployments!W422</f>
        <v>0</v>
      </c>
      <c r="D421" s="15">
        <f>Deployments!AJ422</f>
        <v>0</v>
      </c>
      <c r="E421" s="15">
        <f>Deployments!N422</f>
        <v>0</v>
      </c>
      <c r="F421" s="23">
        <f>Deployments!O422</f>
        <v>0</v>
      </c>
      <c r="G421" s="15">
        <f>Deployments!P422</f>
        <v>0</v>
      </c>
      <c r="H421" s="15">
        <f>'13 - Config_Intake_View'!M421</f>
        <v>0</v>
      </c>
      <c r="I421" s="23">
        <f>IF('13 - Config_Intake_View'!Q421&lt;&gt;"",'13 - Config_Intake_View'!Q421,Deployments!BH422)</f>
        <v>0</v>
      </c>
      <c r="J421" s="15" t="str">
        <f>IF('13 - Config_Intake_View'!Q421&lt;&gt;"","PM Approved",IF(Deployments!BH422&lt;&gt;"","Assumed",""))</f>
        <v/>
      </c>
      <c r="K421" s="23">
        <f>Deployments!BG422</f>
        <v>0</v>
      </c>
      <c r="L421" s="15">
        <f>Deployments!T422</f>
        <v>0</v>
      </c>
      <c r="M421" s="15">
        <f>Deployments!L422</f>
        <v>0</v>
      </c>
      <c r="N421" s="15" t="str">
        <f>Deployments!BK422</f>
        <v/>
      </c>
      <c r="O421" s="23" t="str">
        <f>Deployments!BL422</f>
        <v/>
      </c>
      <c r="P421" s="2">
        <f>Deployments!BA422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Deployments!H423</f>
        <v>0</v>
      </c>
      <c r="B422" s="23">
        <f>Deployments!V423</f>
        <v>0</v>
      </c>
      <c r="C422" s="23">
        <f>Deployments!W423</f>
        <v>0</v>
      </c>
      <c r="D422" s="15">
        <f>Deployments!AJ423</f>
        <v>0</v>
      </c>
      <c r="E422" s="15">
        <f>Deployments!N423</f>
        <v>0</v>
      </c>
      <c r="F422" s="23">
        <f>Deployments!O423</f>
        <v>0</v>
      </c>
      <c r="G422" s="15">
        <f>Deployments!P423</f>
        <v>0</v>
      </c>
      <c r="H422" s="15">
        <f>'13 - Config_Intake_View'!M422</f>
        <v>0</v>
      </c>
      <c r="I422" s="23">
        <f>IF('13 - Config_Intake_View'!Q422&lt;&gt;"",'13 - Config_Intake_View'!Q422,Deployments!BH423)</f>
        <v>0</v>
      </c>
      <c r="J422" s="15" t="str">
        <f>IF('13 - Config_Intake_View'!Q422&lt;&gt;"","PM Approved",IF(Deployments!BH423&lt;&gt;"","Assumed",""))</f>
        <v/>
      </c>
      <c r="K422" s="23">
        <f>Deployments!BG423</f>
        <v>0</v>
      </c>
      <c r="L422" s="15">
        <f>Deployments!T423</f>
        <v>0</v>
      </c>
      <c r="M422" s="15">
        <f>Deployments!L423</f>
        <v>0</v>
      </c>
      <c r="N422" s="15" t="str">
        <f>Deployments!BK423</f>
        <v/>
      </c>
      <c r="O422" s="23" t="str">
        <f>Deployments!BL423</f>
        <v/>
      </c>
      <c r="P422" s="2">
        <f>Deployments!BA423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Deployments!H424</f>
        <v>0</v>
      </c>
      <c r="B423" s="23">
        <f>Deployments!V424</f>
        <v>0</v>
      </c>
      <c r="C423" s="23">
        <f>Deployments!W424</f>
        <v>0</v>
      </c>
      <c r="D423" s="15">
        <f>Deployments!AJ424</f>
        <v>0</v>
      </c>
      <c r="E423" s="15">
        <f>Deployments!N424</f>
        <v>0</v>
      </c>
      <c r="F423" s="23">
        <f>Deployments!O424</f>
        <v>0</v>
      </c>
      <c r="G423" s="15">
        <f>Deployments!P424</f>
        <v>0</v>
      </c>
      <c r="H423" s="15">
        <f>'13 - Config_Intake_View'!M423</f>
        <v>0</v>
      </c>
      <c r="I423" s="23">
        <f>IF('13 - Config_Intake_View'!Q423&lt;&gt;"",'13 - Config_Intake_View'!Q423,Deployments!BH424)</f>
        <v>0</v>
      </c>
      <c r="J423" s="15" t="str">
        <f>IF('13 - Config_Intake_View'!Q423&lt;&gt;"","PM Approved",IF(Deployments!BH424&lt;&gt;"","Assumed",""))</f>
        <v/>
      </c>
      <c r="K423" s="23">
        <f>Deployments!BG424</f>
        <v>0</v>
      </c>
      <c r="L423" s="15">
        <f>Deployments!T424</f>
        <v>0</v>
      </c>
      <c r="M423" s="15">
        <f>Deployments!L424</f>
        <v>0</v>
      </c>
      <c r="N423" s="15" t="str">
        <f>Deployments!BK424</f>
        <v/>
      </c>
      <c r="O423" s="23" t="str">
        <f>Deployments!BL424</f>
        <v/>
      </c>
      <c r="P423" s="2">
        <f>Deployments!BA424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Deployments!H425</f>
        <v>0</v>
      </c>
      <c r="B424" s="23">
        <f>Deployments!V425</f>
        <v>0</v>
      </c>
      <c r="C424" s="23">
        <f>Deployments!W425</f>
        <v>0</v>
      </c>
      <c r="D424" s="15">
        <f>Deployments!AJ425</f>
        <v>0</v>
      </c>
      <c r="E424" s="15">
        <f>Deployments!N425</f>
        <v>0</v>
      </c>
      <c r="F424" s="23">
        <f>Deployments!O425</f>
        <v>0</v>
      </c>
      <c r="G424" s="15">
        <f>Deployments!P425</f>
        <v>0</v>
      </c>
      <c r="H424" s="15">
        <f>'13 - Config_Intake_View'!M424</f>
        <v>0</v>
      </c>
      <c r="I424" s="23">
        <f>IF('13 - Config_Intake_View'!Q424&lt;&gt;"",'13 - Config_Intake_View'!Q424,Deployments!BH425)</f>
        <v>0</v>
      </c>
      <c r="J424" s="15" t="str">
        <f>IF('13 - Config_Intake_View'!Q424&lt;&gt;"","PM Approved",IF(Deployments!BH425&lt;&gt;"","Assumed",""))</f>
        <v/>
      </c>
      <c r="K424" s="23">
        <f>Deployments!BG425</f>
        <v>0</v>
      </c>
      <c r="L424" s="15">
        <f>Deployments!T425</f>
        <v>0</v>
      </c>
      <c r="M424" s="15">
        <f>Deployments!L425</f>
        <v>0</v>
      </c>
      <c r="N424" s="15" t="str">
        <f>Deployments!BK425</f>
        <v/>
      </c>
      <c r="O424" s="23" t="str">
        <f>Deployments!BL425</f>
        <v/>
      </c>
      <c r="P424" s="2">
        <f>Deployments!BA425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Deployments!H426</f>
        <v>0</v>
      </c>
      <c r="B425" s="23">
        <f>Deployments!V426</f>
        <v>0</v>
      </c>
      <c r="C425" s="23">
        <f>Deployments!W426</f>
        <v>0</v>
      </c>
      <c r="D425" s="15">
        <f>Deployments!AJ426</f>
        <v>0</v>
      </c>
      <c r="E425" s="15">
        <f>Deployments!N426</f>
        <v>0</v>
      </c>
      <c r="F425" s="23">
        <f>Deployments!O426</f>
        <v>0</v>
      </c>
      <c r="G425" s="15">
        <f>Deployments!P426</f>
        <v>0</v>
      </c>
      <c r="H425" s="15">
        <f>'13 - Config_Intake_View'!M425</f>
        <v>0</v>
      </c>
      <c r="I425" s="23">
        <f>IF('13 - Config_Intake_View'!Q425&lt;&gt;"",'13 - Config_Intake_View'!Q425,Deployments!BH426)</f>
        <v>0</v>
      </c>
      <c r="J425" s="15" t="str">
        <f>IF('13 - Config_Intake_View'!Q425&lt;&gt;"","PM Approved",IF(Deployments!BH426&lt;&gt;"","Assumed",""))</f>
        <v/>
      </c>
      <c r="K425" s="23">
        <f>Deployments!BG426</f>
        <v>0</v>
      </c>
      <c r="L425" s="15">
        <f>Deployments!T426</f>
        <v>0</v>
      </c>
      <c r="M425" s="15">
        <f>Deployments!L426</f>
        <v>0</v>
      </c>
      <c r="N425" s="15" t="str">
        <f>Deployments!BK426</f>
        <v/>
      </c>
      <c r="O425" s="23" t="str">
        <f>Deployments!BL426</f>
        <v/>
      </c>
      <c r="P425" s="2">
        <f>Deployments!BA426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Deployments!H427</f>
        <v>0</v>
      </c>
      <c r="B426" s="23">
        <f>Deployments!V427</f>
        <v>0</v>
      </c>
      <c r="C426" s="23">
        <f>Deployments!W427</f>
        <v>0</v>
      </c>
      <c r="D426" s="15">
        <f>Deployments!AJ427</f>
        <v>0</v>
      </c>
      <c r="E426" s="15">
        <f>Deployments!N427</f>
        <v>0</v>
      </c>
      <c r="F426" s="23">
        <f>Deployments!O427</f>
        <v>0</v>
      </c>
      <c r="G426" s="15">
        <f>Deployments!P427</f>
        <v>0</v>
      </c>
      <c r="H426" s="15">
        <f>'13 - Config_Intake_View'!M426</f>
        <v>0</v>
      </c>
      <c r="I426" s="23">
        <f>IF('13 - Config_Intake_View'!Q426&lt;&gt;"",'13 - Config_Intake_View'!Q426,Deployments!BH427)</f>
        <v>0</v>
      </c>
      <c r="J426" s="15" t="str">
        <f>IF('13 - Config_Intake_View'!Q426&lt;&gt;"","PM Approved",IF(Deployments!BH427&lt;&gt;"","Assumed",""))</f>
        <v/>
      </c>
      <c r="K426" s="23">
        <f>Deployments!BG427</f>
        <v>0</v>
      </c>
      <c r="L426" s="15">
        <f>Deployments!T427</f>
        <v>0</v>
      </c>
      <c r="M426" s="15">
        <f>Deployments!L427</f>
        <v>0</v>
      </c>
      <c r="N426" s="15" t="str">
        <f>Deployments!BK427</f>
        <v/>
      </c>
      <c r="O426" s="23" t="str">
        <f>Deployments!BL427</f>
        <v/>
      </c>
      <c r="P426" s="2">
        <f>Deployments!BA427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Deployments!H428</f>
        <v>0</v>
      </c>
      <c r="B427" s="23">
        <f>Deployments!V428</f>
        <v>0</v>
      </c>
      <c r="C427" s="23">
        <f>Deployments!W428</f>
        <v>0</v>
      </c>
      <c r="D427" s="15">
        <f>Deployments!AJ428</f>
        <v>0</v>
      </c>
      <c r="E427" s="15">
        <f>Deployments!N428</f>
        <v>0</v>
      </c>
      <c r="F427" s="23">
        <f>Deployments!O428</f>
        <v>0</v>
      </c>
      <c r="G427" s="15">
        <f>Deployments!P428</f>
        <v>0</v>
      </c>
      <c r="H427" s="15">
        <f>'13 - Config_Intake_View'!M427</f>
        <v>0</v>
      </c>
      <c r="I427" s="23">
        <f>IF('13 - Config_Intake_View'!Q427&lt;&gt;"",'13 - Config_Intake_View'!Q427,Deployments!BH428)</f>
        <v>0</v>
      </c>
      <c r="J427" s="15" t="str">
        <f>IF('13 - Config_Intake_View'!Q427&lt;&gt;"","PM Approved",IF(Deployments!BH428&lt;&gt;"","Assumed",""))</f>
        <v/>
      </c>
      <c r="K427" s="23">
        <f>Deployments!BG428</f>
        <v>0</v>
      </c>
      <c r="L427" s="15">
        <f>Deployments!T428</f>
        <v>0</v>
      </c>
      <c r="M427" s="15">
        <f>Deployments!L428</f>
        <v>0</v>
      </c>
      <c r="N427" s="15" t="str">
        <f>Deployments!BK428</f>
        <v/>
      </c>
      <c r="O427" s="23" t="str">
        <f>Deployments!BL428</f>
        <v/>
      </c>
      <c r="P427" s="2">
        <f>Deployments!BA428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Deployments!H429</f>
        <v>0</v>
      </c>
      <c r="B428" s="23">
        <f>Deployments!V429</f>
        <v>0</v>
      </c>
      <c r="C428" s="23">
        <f>Deployments!W429</f>
        <v>0</v>
      </c>
      <c r="D428" s="15">
        <f>Deployments!AJ429</f>
        <v>0</v>
      </c>
      <c r="E428" s="15">
        <f>Deployments!N429</f>
        <v>0</v>
      </c>
      <c r="F428" s="23">
        <f>Deployments!O429</f>
        <v>0</v>
      </c>
      <c r="G428" s="15">
        <f>Deployments!P429</f>
        <v>0</v>
      </c>
      <c r="H428" s="15">
        <f>'13 - Config_Intake_View'!M428</f>
        <v>0</v>
      </c>
      <c r="I428" s="23">
        <f>IF('13 - Config_Intake_View'!Q428&lt;&gt;"",'13 - Config_Intake_View'!Q428,Deployments!BH429)</f>
        <v>0</v>
      </c>
      <c r="J428" s="15" t="str">
        <f>IF('13 - Config_Intake_View'!Q428&lt;&gt;"","PM Approved",IF(Deployments!BH429&lt;&gt;"","Assumed",""))</f>
        <v/>
      </c>
      <c r="K428" s="23">
        <f>Deployments!BG429</f>
        <v>0</v>
      </c>
      <c r="L428" s="15">
        <f>Deployments!T429</f>
        <v>0</v>
      </c>
      <c r="M428" s="15">
        <f>Deployments!L429</f>
        <v>0</v>
      </c>
      <c r="N428" s="15" t="str">
        <f>Deployments!BK429</f>
        <v/>
      </c>
      <c r="O428" s="23" t="str">
        <f>Deployments!BL429</f>
        <v/>
      </c>
      <c r="P428" s="2">
        <f>Deployments!BA429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Deployments!H430</f>
        <v>0</v>
      </c>
      <c r="B429" s="23">
        <f>Deployments!V430</f>
        <v>0</v>
      </c>
      <c r="C429" s="23">
        <f>Deployments!W430</f>
        <v>0</v>
      </c>
      <c r="D429" s="15">
        <f>Deployments!AJ430</f>
        <v>0</v>
      </c>
      <c r="E429" s="15">
        <f>Deployments!N430</f>
        <v>0</v>
      </c>
      <c r="F429" s="23">
        <f>Deployments!O430</f>
        <v>0</v>
      </c>
      <c r="G429" s="15">
        <f>Deployments!P430</f>
        <v>0</v>
      </c>
      <c r="H429" s="15">
        <f>'13 - Config_Intake_View'!M429</f>
        <v>0</v>
      </c>
      <c r="I429" s="23">
        <f>IF('13 - Config_Intake_View'!Q429&lt;&gt;"",'13 - Config_Intake_View'!Q429,Deployments!BH430)</f>
        <v>0</v>
      </c>
      <c r="J429" s="15" t="str">
        <f>IF('13 - Config_Intake_View'!Q429&lt;&gt;"","PM Approved",IF(Deployments!BH430&lt;&gt;"","Assumed",""))</f>
        <v/>
      </c>
      <c r="K429" s="23">
        <f>Deployments!BG430</f>
        <v>0</v>
      </c>
      <c r="L429" s="15">
        <f>Deployments!T430</f>
        <v>0</v>
      </c>
      <c r="M429" s="15">
        <f>Deployments!L430</f>
        <v>0</v>
      </c>
      <c r="N429" s="15" t="str">
        <f>Deployments!BK430</f>
        <v/>
      </c>
      <c r="O429" s="23" t="str">
        <f>Deployments!BL430</f>
        <v/>
      </c>
      <c r="P429" s="2">
        <f>Deployments!BA430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Deployments!H431</f>
        <v>0</v>
      </c>
      <c r="B430" s="23">
        <f>Deployments!V431</f>
        <v>0</v>
      </c>
      <c r="C430" s="23">
        <f>Deployments!W431</f>
        <v>0</v>
      </c>
      <c r="D430" s="15">
        <f>Deployments!AJ431</f>
        <v>0</v>
      </c>
      <c r="E430" s="15">
        <f>Deployments!N431</f>
        <v>0</v>
      </c>
      <c r="F430" s="23">
        <f>Deployments!O431</f>
        <v>0</v>
      </c>
      <c r="G430" s="15">
        <f>Deployments!P431</f>
        <v>0</v>
      </c>
      <c r="H430" s="15">
        <f>'13 - Config_Intake_View'!M430</f>
        <v>0</v>
      </c>
      <c r="I430" s="23">
        <f>IF('13 - Config_Intake_View'!Q430&lt;&gt;"",'13 - Config_Intake_View'!Q430,Deployments!BH431)</f>
        <v>0</v>
      </c>
      <c r="J430" s="15" t="str">
        <f>IF('13 - Config_Intake_View'!Q430&lt;&gt;"","PM Approved",IF(Deployments!BH431&lt;&gt;"","Assumed",""))</f>
        <v/>
      </c>
      <c r="K430" s="23">
        <f>Deployments!BG431</f>
        <v>0</v>
      </c>
      <c r="L430" s="15">
        <f>Deployments!T431</f>
        <v>0</v>
      </c>
      <c r="M430" s="15">
        <f>Deployments!L431</f>
        <v>0</v>
      </c>
      <c r="N430" s="15" t="str">
        <f>Deployments!BK431</f>
        <v/>
      </c>
      <c r="O430" s="23" t="str">
        <f>Deployments!BL431</f>
        <v/>
      </c>
      <c r="P430" s="2">
        <f>Deployments!BA431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Deployments!H432</f>
        <v>0</v>
      </c>
      <c r="B431" s="23">
        <f>Deployments!V432</f>
        <v>0</v>
      </c>
      <c r="C431" s="23">
        <f>Deployments!W432</f>
        <v>0</v>
      </c>
      <c r="D431" s="15">
        <f>Deployments!AJ432</f>
        <v>0</v>
      </c>
      <c r="E431" s="15">
        <f>Deployments!N432</f>
        <v>0</v>
      </c>
      <c r="F431" s="23">
        <f>Deployments!O432</f>
        <v>0</v>
      </c>
      <c r="G431" s="15">
        <f>Deployments!P432</f>
        <v>0</v>
      </c>
      <c r="H431" s="15">
        <f>'13 - Config_Intake_View'!M431</f>
        <v>0</v>
      </c>
      <c r="I431" s="23">
        <f>IF('13 - Config_Intake_View'!Q431&lt;&gt;"",'13 - Config_Intake_View'!Q431,Deployments!BH432)</f>
        <v>0</v>
      </c>
      <c r="J431" s="15" t="str">
        <f>IF('13 - Config_Intake_View'!Q431&lt;&gt;"","PM Approved",IF(Deployments!BH432&lt;&gt;"","Assumed",""))</f>
        <v/>
      </c>
      <c r="K431" s="23">
        <f>Deployments!BG432</f>
        <v>0</v>
      </c>
      <c r="L431" s="15">
        <f>Deployments!T432</f>
        <v>0</v>
      </c>
      <c r="M431" s="15">
        <f>Deployments!L432</f>
        <v>0</v>
      </c>
      <c r="N431" s="15" t="str">
        <f>Deployments!BK432</f>
        <v/>
      </c>
      <c r="O431" s="23" t="str">
        <f>Deployments!BL432</f>
        <v/>
      </c>
      <c r="P431" s="2">
        <f>Deployments!BA432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Deployments!H433</f>
        <v>0</v>
      </c>
      <c r="B432" s="23">
        <f>Deployments!V433</f>
        <v>0</v>
      </c>
      <c r="C432" s="23">
        <f>Deployments!W433</f>
        <v>0</v>
      </c>
      <c r="D432" s="15">
        <f>Deployments!AJ433</f>
        <v>0</v>
      </c>
      <c r="E432" s="15">
        <f>Deployments!N433</f>
        <v>0</v>
      </c>
      <c r="F432" s="23">
        <f>Deployments!O433</f>
        <v>0</v>
      </c>
      <c r="G432" s="15">
        <f>Deployments!P433</f>
        <v>0</v>
      </c>
      <c r="H432" s="15">
        <f>'13 - Config_Intake_View'!M432</f>
        <v>0</v>
      </c>
      <c r="I432" s="23">
        <f>IF('13 - Config_Intake_View'!Q432&lt;&gt;"",'13 - Config_Intake_View'!Q432,Deployments!BH433)</f>
        <v>0</v>
      </c>
      <c r="J432" s="15" t="str">
        <f>IF('13 - Config_Intake_View'!Q432&lt;&gt;"","PM Approved",IF(Deployments!BH433&lt;&gt;"","Assumed",""))</f>
        <v/>
      </c>
      <c r="K432" s="23">
        <f>Deployments!BG433</f>
        <v>0</v>
      </c>
      <c r="L432" s="15">
        <f>Deployments!T433</f>
        <v>0</v>
      </c>
      <c r="M432" s="15">
        <f>Deployments!L433</f>
        <v>0</v>
      </c>
      <c r="N432" s="15" t="str">
        <f>Deployments!BK433</f>
        <v/>
      </c>
      <c r="O432" s="23" t="str">
        <f>Deployments!BL433</f>
        <v/>
      </c>
      <c r="P432" s="2">
        <f>Deployments!BA433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Deployments!H434</f>
        <v>0</v>
      </c>
      <c r="B433" s="23">
        <f>Deployments!V434</f>
        <v>0</v>
      </c>
      <c r="C433" s="23">
        <f>Deployments!W434</f>
        <v>0</v>
      </c>
      <c r="D433" s="15">
        <f>Deployments!AJ434</f>
        <v>0</v>
      </c>
      <c r="E433" s="15">
        <f>Deployments!N434</f>
        <v>0</v>
      </c>
      <c r="F433" s="23">
        <f>Deployments!O434</f>
        <v>0</v>
      </c>
      <c r="G433" s="15">
        <f>Deployments!P434</f>
        <v>0</v>
      </c>
      <c r="H433" s="15">
        <f>'13 - Config_Intake_View'!M433</f>
        <v>0</v>
      </c>
      <c r="I433" s="23">
        <f>IF('13 - Config_Intake_View'!Q433&lt;&gt;"",'13 - Config_Intake_View'!Q433,Deployments!BH434)</f>
        <v>0</v>
      </c>
      <c r="J433" s="15" t="str">
        <f>IF('13 - Config_Intake_View'!Q433&lt;&gt;"","PM Approved",IF(Deployments!BH434&lt;&gt;"","Assumed",""))</f>
        <v/>
      </c>
      <c r="K433" s="23">
        <f>Deployments!BG434</f>
        <v>0</v>
      </c>
      <c r="L433" s="15">
        <f>Deployments!T434</f>
        <v>0</v>
      </c>
      <c r="M433" s="15">
        <f>Deployments!L434</f>
        <v>0</v>
      </c>
      <c r="N433" s="15" t="str">
        <f>Deployments!BK434</f>
        <v/>
      </c>
      <c r="O433" s="23" t="str">
        <f>Deployments!BL434</f>
        <v/>
      </c>
      <c r="P433" s="2">
        <f>Deployments!BA434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Deployments!H435</f>
        <v>0</v>
      </c>
      <c r="B434" s="23">
        <f>Deployments!V435</f>
        <v>0</v>
      </c>
      <c r="C434" s="23">
        <f>Deployments!W435</f>
        <v>0</v>
      </c>
      <c r="D434" s="15">
        <f>Deployments!AJ435</f>
        <v>0</v>
      </c>
      <c r="E434" s="15">
        <f>Deployments!N435</f>
        <v>0</v>
      </c>
      <c r="F434" s="23">
        <f>Deployments!O435</f>
        <v>0</v>
      </c>
      <c r="G434" s="15">
        <f>Deployments!P435</f>
        <v>0</v>
      </c>
      <c r="H434" s="15">
        <f>'13 - Config_Intake_View'!M434</f>
        <v>0</v>
      </c>
      <c r="I434" s="23">
        <f>IF('13 - Config_Intake_View'!Q434&lt;&gt;"",'13 - Config_Intake_View'!Q434,Deployments!BH435)</f>
        <v>0</v>
      </c>
      <c r="J434" s="15" t="str">
        <f>IF('13 - Config_Intake_View'!Q434&lt;&gt;"","PM Approved",IF(Deployments!BH435&lt;&gt;"","Assumed",""))</f>
        <v/>
      </c>
      <c r="K434" s="23">
        <f>Deployments!BG435</f>
        <v>0</v>
      </c>
      <c r="L434" s="15">
        <f>Deployments!T435</f>
        <v>0</v>
      </c>
      <c r="M434" s="15">
        <f>Deployments!L435</f>
        <v>0</v>
      </c>
      <c r="N434" s="15" t="str">
        <f>Deployments!BK435</f>
        <v/>
      </c>
      <c r="O434" s="23" t="str">
        <f>Deployments!BL435</f>
        <v/>
      </c>
      <c r="P434" s="2">
        <f>Deployments!BA435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Deployments!H436</f>
        <v>0</v>
      </c>
      <c r="B435" s="23">
        <f>Deployments!V436</f>
        <v>0</v>
      </c>
      <c r="C435" s="23">
        <f>Deployments!W436</f>
        <v>0</v>
      </c>
      <c r="D435" s="15">
        <f>Deployments!AJ436</f>
        <v>0</v>
      </c>
      <c r="E435" s="15">
        <f>Deployments!N436</f>
        <v>0</v>
      </c>
      <c r="F435" s="23">
        <f>Deployments!O436</f>
        <v>0</v>
      </c>
      <c r="G435" s="15">
        <f>Deployments!P436</f>
        <v>0</v>
      </c>
      <c r="H435" s="15">
        <f>'13 - Config_Intake_View'!M435</f>
        <v>0</v>
      </c>
      <c r="I435" s="23">
        <f>IF('13 - Config_Intake_View'!Q435&lt;&gt;"",'13 - Config_Intake_View'!Q435,Deployments!BH436)</f>
        <v>0</v>
      </c>
      <c r="J435" s="15" t="str">
        <f>IF('13 - Config_Intake_View'!Q435&lt;&gt;"","PM Approved",IF(Deployments!BH436&lt;&gt;"","Assumed",""))</f>
        <v/>
      </c>
      <c r="K435" s="23">
        <f>Deployments!BG436</f>
        <v>0</v>
      </c>
      <c r="L435" s="15">
        <f>Deployments!T436</f>
        <v>0</v>
      </c>
      <c r="M435" s="15">
        <f>Deployments!L436</f>
        <v>0</v>
      </c>
      <c r="N435" s="15" t="str">
        <f>Deployments!BK436</f>
        <v/>
      </c>
      <c r="O435" s="23" t="str">
        <f>Deployments!BL436</f>
        <v/>
      </c>
      <c r="P435" s="2">
        <f>Deployments!BA436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Deployments!H437</f>
        <v>0</v>
      </c>
      <c r="B436" s="23">
        <f>Deployments!V437</f>
        <v>0</v>
      </c>
      <c r="C436" s="23">
        <f>Deployments!W437</f>
        <v>0</v>
      </c>
      <c r="D436" s="15">
        <f>Deployments!AJ437</f>
        <v>0</v>
      </c>
      <c r="E436" s="15">
        <f>Deployments!N437</f>
        <v>0</v>
      </c>
      <c r="F436" s="23">
        <f>Deployments!O437</f>
        <v>0</v>
      </c>
      <c r="G436" s="15">
        <f>Deployments!P437</f>
        <v>0</v>
      </c>
      <c r="H436" s="15">
        <f>'13 - Config_Intake_View'!M436</f>
        <v>0</v>
      </c>
      <c r="I436" s="23">
        <f>IF('13 - Config_Intake_View'!Q436&lt;&gt;"",'13 - Config_Intake_View'!Q436,Deployments!BH437)</f>
        <v>0</v>
      </c>
      <c r="J436" s="15" t="str">
        <f>IF('13 - Config_Intake_View'!Q436&lt;&gt;"","PM Approved",IF(Deployments!BH437&lt;&gt;"","Assumed",""))</f>
        <v/>
      </c>
      <c r="K436" s="23">
        <f>Deployments!BG437</f>
        <v>0</v>
      </c>
      <c r="L436" s="15">
        <f>Deployments!T437</f>
        <v>0</v>
      </c>
      <c r="M436" s="15">
        <f>Deployments!L437</f>
        <v>0</v>
      </c>
      <c r="N436" s="15" t="str">
        <f>Deployments!BK437</f>
        <v/>
      </c>
      <c r="O436" s="23" t="str">
        <f>Deployments!BL437</f>
        <v/>
      </c>
      <c r="P436" s="2">
        <f>Deployments!BA437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Deployments!H438</f>
        <v>0</v>
      </c>
      <c r="B437" s="23">
        <f>Deployments!V438</f>
        <v>0</v>
      </c>
      <c r="C437" s="23">
        <f>Deployments!W438</f>
        <v>0</v>
      </c>
      <c r="D437" s="15">
        <f>Deployments!AJ438</f>
        <v>0</v>
      </c>
      <c r="E437" s="15">
        <f>Deployments!N438</f>
        <v>0</v>
      </c>
      <c r="F437" s="23">
        <f>Deployments!O438</f>
        <v>0</v>
      </c>
      <c r="G437" s="15">
        <f>Deployments!P438</f>
        <v>0</v>
      </c>
      <c r="H437" s="15">
        <f>'13 - Config_Intake_View'!M437</f>
        <v>0</v>
      </c>
      <c r="I437" s="23">
        <f>IF('13 - Config_Intake_View'!Q437&lt;&gt;"",'13 - Config_Intake_View'!Q437,Deployments!BH438)</f>
        <v>0</v>
      </c>
      <c r="J437" s="15" t="str">
        <f>IF('13 - Config_Intake_View'!Q437&lt;&gt;"","PM Approved",IF(Deployments!BH438&lt;&gt;"","Assumed",""))</f>
        <v/>
      </c>
      <c r="K437" s="23">
        <f>Deployments!BG438</f>
        <v>0</v>
      </c>
      <c r="L437" s="15">
        <f>Deployments!T438</f>
        <v>0</v>
      </c>
      <c r="M437" s="15">
        <f>Deployments!L438</f>
        <v>0</v>
      </c>
      <c r="N437" s="15" t="str">
        <f>Deployments!BK438</f>
        <v/>
      </c>
      <c r="O437" s="23" t="str">
        <f>Deployments!BL438</f>
        <v/>
      </c>
      <c r="P437" s="2">
        <f>Deployments!BA438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Deployments!H439</f>
        <v>0</v>
      </c>
      <c r="B438" s="23">
        <f>Deployments!V439</f>
        <v>0</v>
      </c>
      <c r="C438" s="23">
        <f>Deployments!W439</f>
        <v>0</v>
      </c>
      <c r="D438" s="15">
        <f>Deployments!AJ439</f>
        <v>0</v>
      </c>
      <c r="E438" s="15">
        <f>Deployments!N439</f>
        <v>0</v>
      </c>
      <c r="F438" s="23">
        <f>Deployments!O439</f>
        <v>0</v>
      </c>
      <c r="G438" s="15">
        <f>Deployments!P439</f>
        <v>0</v>
      </c>
      <c r="H438" s="15">
        <f>'13 - Config_Intake_View'!M438</f>
        <v>0</v>
      </c>
      <c r="I438" s="23">
        <f>IF('13 - Config_Intake_View'!Q438&lt;&gt;"",'13 - Config_Intake_View'!Q438,Deployments!BH439)</f>
        <v>0</v>
      </c>
      <c r="J438" s="15" t="str">
        <f>IF('13 - Config_Intake_View'!Q438&lt;&gt;"","PM Approved",IF(Deployments!BH439&lt;&gt;"","Assumed",""))</f>
        <v/>
      </c>
      <c r="K438" s="23">
        <f>Deployments!BG439</f>
        <v>0</v>
      </c>
      <c r="L438" s="15">
        <f>Deployments!T439</f>
        <v>0</v>
      </c>
      <c r="M438" s="15">
        <f>Deployments!L439</f>
        <v>0</v>
      </c>
      <c r="N438" s="15" t="str">
        <f>Deployments!BK439</f>
        <v/>
      </c>
      <c r="O438" s="23" t="str">
        <f>Deployments!BL439</f>
        <v/>
      </c>
      <c r="P438" s="2">
        <f>Deployments!BA439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Deployments!H440</f>
        <v>0</v>
      </c>
      <c r="B439" s="23">
        <f>Deployments!V440</f>
        <v>0</v>
      </c>
      <c r="C439" s="23">
        <f>Deployments!W440</f>
        <v>0</v>
      </c>
      <c r="D439" s="15">
        <f>Deployments!AJ440</f>
        <v>0</v>
      </c>
      <c r="E439" s="15">
        <f>Deployments!N440</f>
        <v>0</v>
      </c>
      <c r="F439" s="23">
        <f>Deployments!O440</f>
        <v>0</v>
      </c>
      <c r="G439" s="15">
        <f>Deployments!P440</f>
        <v>0</v>
      </c>
      <c r="H439" s="15">
        <f>'13 - Config_Intake_View'!M439</f>
        <v>0</v>
      </c>
      <c r="I439" s="23">
        <f>IF('13 - Config_Intake_View'!Q439&lt;&gt;"",'13 - Config_Intake_View'!Q439,Deployments!BH440)</f>
        <v>0</v>
      </c>
      <c r="J439" s="15" t="str">
        <f>IF('13 - Config_Intake_View'!Q439&lt;&gt;"","PM Approved",IF(Deployments!BH440&lt;&gt;"","Assumed",""))</f>
        <v/>
      </c>
      <c r="K439" s="23">
        <f>Deployments!BG440</f>
        <v>0</v>
      </c>
      <c r="L439" s="15">
        <f>Deployments!T440</f>
        <v>0</v>
      </c>
      <c r="M439" s="15">
        <f>Deployments!L440</f>
        <v>0</v>
      </c>
      <c r="N439" s="15" t="str">
        <f>Deployments!BK440</f>
        <v/>
      </c>
      <c r="O439" s="23" t="str">
        <f>Deployments!BL440</f>
        <v/>
      </c>
      <c r="P439" s="2">
        <f>Deployments!BA440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Deployments!H441</f>
        <v>0</v>
      </c>
      <c r="B440" s="23">
        <f>Deployments!V441</f>
        <v>0</v>
      </c>
      <c r="C440" s="23">
        <f>Deployments!W441</f>
        <v>0</v>
      </c>
      <c r="D440" s="15">
        <f>Deployments!AJ441</f>
        <v>0</v>
      </c>
      <c r="E440" s="15">
        <f>Deployments!N441</f>
        <v>0</v>
      </c>
      <c r="F440" s="23">
        <f>Deployments!O441</f>
        <v>0</v>
      </c>
      <c r="G440" s="15">
        <f>Deployments!P441</f>
        <v>0</v>
      </c>
      <c r="H440" s="15">
        <f>'13 - Config_Intake_View'!M440</f>
        <v>0</v>
      </c>
      <c r="I440" s="23">
        <f>IF('13 - Config_Intake_View'!Q440&lt;&gt;"",'13 - Config_Intake_View'!Q440,Deployments!BH441)</f>
        <v>0</v>
      </c>
      <c r="J440" s="15" t="str">
        <f>IF('13 - Config_Intake_View'!Q440&lt;&gt;"","PM Approved",IF(Deployments!BH441&lt;&gt;"","Assumed",""))</f>
        <v/>
      </c>
      <c r="K440" s="23">
        <f>Deployments!BG441</f>
        <v>0</v>
      </c>
      <c r="L440" s="15">
        <f>Deployments!T441</f>
        <v>0</v>
      </c>
      <c r="M440" s="15">
        <f>Deployments!L441</f>
        <v>0</v>
      </c>
      <c r="N440" s="15" t="str">
        <f>Deployments!BK441</f>
        <v/>
      </c>
      <c r="O440" s="23" t="str">
        <f>Deployments!BL441</f>
        <v/>
      </c>
      <c r="P440" s="2">
        <f>Deployments!BA441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Deployments!H442</f>
        <v>0</v>
      </c>
      <c r="B441" s="23">
        <f>Deployments!V442</f>
        <v>0</v>
      </c>
      <c r="C441" s="23">
        <f>Deployments!W442</f>
        <v>0</v>
      </c>
      <c r="D441" s="15">
        <f>Deployments!AJ442</f>
        <v>0</v>
      </c>
      <c r="E441" s="15">
        <f>Deployments!N442</f>
        <v>0</v>
      </c>
      <c r="F441" s="23">
        <f>Deployments!O442</f>
        <v>0</v>
      </c>
      <c r="G441" s="15">
        <f>Deployments!P442</f>
        <v>0</v>
      </c>
      <c r="H441" s="15">
        <f>'13 - Config_Intake_View'!M441</f>
        <v>0</v>
      </c>
      <c r="I441" s="23">
        <f>IF('13 - Config_Intake_View'!Q441&lt;&gt;"",'13 - Config_Intake_View'!Q441,Deployments!BH442)</f>
        <v>0</v>
      </c>
      <c r="J441" s="15" t="str">
        <f>IF('13 - Config_Intake_View'!Q441&lt;&gt;"","PM Approved",IF(Deployments!BH442&lt;&gt;"","Assumed",""))</f>
        <v/>
      </c>
      <c r="K441" s="23">
        <f>Deployments!BG442</f>
        <v>0</v>
      </c>
      <c r="L441" s="15">
        <f>Deployments!T442</f>
        <v>0</v>
      </c>
      <c r="M441" s="15">
        <f>Deployments!L442</f>
        <v>0</v>
      </c>
      <c r="N441" s="15" t="str">
        <f>Deployments!BK442</f>
        <v/>
      </c>
      <c r="O441" s="23" t="str">
        <f>Deployments!BL442</f>
        <v/>
      </c>
      <c r="P441" s="2">
        <f>Deployments!BA442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Deployments!H443</f>
        <v>0</v>
      </c>
      <c r="B442" s="23">
        <f>Deployments!V443</f>
        <v>0</v>
      </c>
      <c r="C442" s="23">
        <f>Deployments!W443</f>
        <v>0</v>
      </c>
      <c r="D442" s="15">
        <f>Deployments!AJ443</f>
        <v>0</v>
      </c>
      <c r="E442" s="15">
        <f>Deployments!N443</f>
        <v>0</v>
      </c>
      <c r="F442" s="23">
        <f>Deployments!O443</f>
        <v>0</v>
      </c>
      <c r="G442" s="15">
        <f>Deployments!P443</f>
        <v>0</v>
      </c>
      <c r="H442" s="15">
        <f>'13 - Config_Intake_View'!M442</f>
        <v>0</v>
      </c>
      <c r="I442" s="23">
        <f>IF('13 - Config_Intake_View'!Q442&lt;&gt;"",'13 - Config_Intake_View'!Q442,Deployments!BH443)</f>
        <v>0</v>
      </c>
      <c r="J442" s="15" t="str">
        <f>IF('13 - Config_Intake_View'!Q442&lt;&gt;"","PM Approved",IF(Deployments!BH443&lt;&gt;"","Assumed",""))</f>
        <v/>
      </c>
      <c r="K442" s="23">
        <f>Deployments!BG443</f>
        <v>0</v>
      </c>
      <c r="L442" s="15">
        <f>Deployments!T443</f>
        <v>0</v>
      </c>
      <c r="M442" s="15">
        <f>Deployments!L443</f>
        <v>0</v>
      </c>
      <c r="N442" s="15" t="str">
        <f>Deployments!BK443</f>
        <v/>
      </c>
      <c r="O442" s="23" t="str">
        <f>Deployments!BL443</f>
        <v/>
      </c>
      <c r="P442" s="2">
        <f>Deployments!BA443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Deployments!H444</f>
        <v>0</v>
      </c>
      <c r="B443" s="23">
        <f>Deployments!V444</f>
        <v>0</v>
      </c>
      <c r="C443" s="23">
        <f>Deployments!W444</f>
        <v>0</v>
      </c>
      <c r="D443" s="15">
        <f>Deployments!AJ444</f>
        <v>0</v>
      </c>
      <c r="E443" s="15">
        <f>Deployments!N444</f>
        <v>0</v>
      </c>
      <c r="F443" s="23">
        <f>Deployments!O444</f>
        <v>0</v>
      </c>
      <c r="G443" s="15">
        <f>Deployments!P444</f>
        <v>0</v>
      </c>
      <c r="H443" s="15">
        <f>'13 - Config_Intake_View'!M443</f>
        <v>0</v>
      </c>
      <c r="I443" s="23">
        <f>IF('13 - Config_Intake_View'!Q443&lt;&gt;"",'13 - Config_Intake_View'!Q443,Deployments!BH444)</f>
        <v>0</v>
      </c>
      <c r="J443" s="15" t="str">
        <f>IF('13 - Config_Intake_View'!Q443&lt;&gt;"","PM Approved",IF(Deployments!BH444&lt;&gt;"","Assumed",""))</f>
        <v/>
      </c>
      <c r="K443" s="23">
        <f>Deployments!BG444</f>
        <v>0</v>
      </c>
      <c r="L443" s="15">
        <f>Deployments!T444</f>
        <v>0</v>
      </c>
      <c r="M443" s="15">
        <f>Deployments!L444</f>
        <v>0</v>
      </c>
      <c r="N443" s="15" t="str">
        <f>Deployments!BK444</f>
        <v/>
      </c>
      <c r="O443" s="23" t="str">
        <f>Deployments!BL444</f>
        <v/>
      </c>
      <c r="P443" s="2">
        <f>Deployments!BA444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Deployments!H445</f>
        <v>0</v>
      </c>
      <c r="B444" s="23">
        <f>Deployments!V445</f>
        <v>0</v>
      </c>
      <c r="C444" s="23">
        <f>Deployments!W445</f>
        <v>0</v>
      </c>
      <c r="D444" s="15">
        <f>Deployments!AJ445</f>
        <v>0</v>
      </c>
      <c r="E444" s="15">
        <f>Deployments!N445</f>
        <v>0</v>
      </c>
      <c r="F444" s="23">
        <f>Deployments!O445</f>
        <v>0</v>
      </c>
      <c r="G444" s="15">
        <f>Deployments!P445</f>
        <v>0</v>
      </c>
      <c r="H444" s="15">
        <f>'13 - Config_Intake_View'!M444</f>
        <v>0</v>
      </c>
      <c r="I444" s="23">
        <f>IF('13 - Config_Intake_View'!Q444&lt;&gt;"",'13 - Config_Intake_View'!Q444,Deployments!BH445)</f>
        <v>0</v>
      </c>
      <c r="J444" s="15" t="str">
        <f>IF('13 - Config_Intake_View'!Q444&lt;&gt;"","PM Approved",IF(Deployments!BH445&lt;&gt;"","Assumed",""))</f>
        <v/>
      </c>
      <c r="K444" s="23">
        <f>Deployments!BG445</f>
        <v>0</v>
      </c>
      <c r="L444" s="15">
        <f>Deployments!T445</f>
        <v>0</v>
      </c>
      <c r="M444" s="15">
        <f>Deployments!L445</f>
        <v>0</v>
      </c>
      <c r="N444" s="15" t="str">
        <f>Deployments!BK445</f>
        <v/>
      </c>
      <c r="O444" s="23" t="str">
        <f>Deployments!BL445</f>
        <v/>
      </c>
      <c r="P444" s="2">
        <f>Deployments!BA445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Deployments!H446</f>
        <v>0</v>
      </c>
      <c r="B445" s="23">
        <f>Deployments!V446</f>
        <v>0</v>
      </c>
      <c r="C445" s="23">
        <f>Deployments!W446</f>
        <v>0</v>
      </c>
      <c r="D445" s="15">
        <f>Deployments!AJ446</f>
        <v>0</v>
      </c>
      <c r="E445" s="15">
        <f>Deployments!N446</f>
        <v>0</v>
      </c>
      <c r="F445" s="23">
        <f>Deployments!O446</f>
        <v>0</v>
      </c>
      <c r="G445" s="15">
        <f>Deployments!P446</f>
        <v>0</v>
      </c>
      <c r="H445" s="15">
        <f>'13 - Config_Intake_View'!M445</f>
        <v>0</v>
      </c>
      <c r="I445" s="23">
        <f>IF('13 - Config_Intake_View'!Q445&lt;&gt;"",'13 - Config_Intake_View'!Q445,Deployments!BH446)</f>
        <v>0</v>
      </c>
      <c r="J445" s="15" t="str">
        <f>IF('13 - Config_Intake_View'!Q445&lt;&gt;"","PM Approved",IF(Deployments!BH446&lt;&gt;"","Assumed",""))</f>
        <v/>
      </c>
      <c r="K445" s="23">
        <f>Deployments!BG446</f>
        <v>0</v>
      </c>
      <c r="L445" s="15">
        <f>Deployments!T446</f>
        <v>0</v>
      </c>
      <c r="M445" s="15">
        <f>Deployments!L446</f>
        <v>0</v>
      </c>
      <c r="N445" s="15" t="str">
        <f>Deployments!BK446</f>
        <v/>
      </c>
      <c r="O445" s="23" t="str">
        <f>Deployments!BL446</f>
        <v/>
      </c>
      <c r="P445" s="2">
        <f>Deployments!BA446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Deployments!H447</f>
        <v>0</v>
      </c>
      <c r="B446" s="23">
        <f>Deployments!V447</f>
        <v>0</v>
      </c>
      <c r="C446" s="23">
        <f>Deployments!W447</f>
        <v>0</v>
      </c>
      <c r="D446" s="15">
        <f>Deployments!AJ447</f>
        <v>0</v>
      </c>
      <c r="E446" s="15">
        <f>Deployments!N447</f>
        <v>0</v>
      </c>
      <c r="F446" s="23">
        <f>Deployments!O447</f>
        <v>0</v>
      </c>
      <c r="G446" s="15">
        <f>Deployments!P447</f>
        <v>0</v>
      </c>
      <c r="H446" s="15">
        <f>'13 - Config_Intake_View'!M446</f>
        <v>0</v>
      </c>
      <c r="I446" s="23">
        <f>IF('13 - Config_Intake_View'!Q446&lt;&gt;"",'13 - Config_Intake_View'!Q446,Deployments!BH447)</f>
        <v>0</v>
      </c>
      <c r="J446" s="15" t="str">
        <f>IF('13 - Config_Intake_View'!Q446&lt;&gt;"","PM Approved",IF(Deployments!BH447&lt;&gt;"","Assumed",""))</f>
        <v/>
      </c>
      <c r="K446" s="23">
        <f>Deployments!BG447</f>
        <v>0</v>
      </c>
      <c r="L446" s="15">
        <f>Deployments!T447</f>
        <v>0</v>
      </c>
      <c r="M446" s="15">
        <f>Deployments!L447</f>
        <v>0</v>
      </c>
      <c r="N446" s="15" t="str">
        <f>Deployments!BK447</f>
        <v/>
      </c>
      <c r="O446" s="23" t="str">
        <f>Deployments!BL447</f>
        <v/>
      </c>
      <c r="P446" s="2">
        <f>Deployments!BA447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Deployments!H448</f>
        <v>0</v>
      </c>
      <c r="B447" s="23">
        <f>Deployments!V448</f>
        <v>0</v>
      </c>
      <c r="C447" s="23">
        <f>Deployments!W448</f>
        <v>0</v>
      </c>
      <c r="D447" s="15">
        <f>Deployments!AJ448</f>
        <v>0</v>
      </c>
      <c r="E447" s="15">
        <f>Deployments!N448</f>
        <v>0</v>
      </c>
      <c r="F447" s="23">
        <f>Deployments!O448</f>
        <v>0</v>
      </c>
      <c r="G447" s="15">
        <f>Deployments!P448</f>
        <v>0</v>
      </c>
      <c r="H447" s="15">
        <f>'13 - Config_Intake_View'!M447</f>
        <v>0</v>
      </c>
      <c r="I447" s="23">
        <f>IF('13 - Config_Intake_View'!Q447&lt;&gt;"",'13 - Config_Intake_View'!Q447,Deployments!BH448)</f>
        <v>0</v>
      </c>
      <c r="J447" s="15" t="str">
        <f>IF('13 - Config_Intake_View'!Q447&lt;&gt;"","PM Approved",IF(Deployments!BH448&lt;&gt;"","Assumed",""))</f>
        <v/>
      </c>
      <c r="K447" s="23">
        <f>Deployments!BG448</f>
        <v>0</v>
      </c>
      <c r="L447" s="15">
        <f>Deployments!T448</f>
        <v>0</v>
      </c>
      <c r="M447" s="15">
        <f>Deployments!L448</f>
        <v>0</v>
      </c>
      <c r="N447" s="15" t="str">
        <f>Deployments!BK448</f>
        <v/>
      </c>
      <c r="O447" s="23" t="str">
        <f>Deployments!BL448</f>
        <v/>
      </c>
      <c r="P447" s="2">
        <f>Deployments!BA448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Deployments!H449</f>
        <v>0</v>
      </c>
      <c r="B448" s="23">
        <f>Deployments!V449</f>
        <v>0</v>
      </c>
      <c r="C448" s="23">
        <f>Deployments!W449</f>
        <v>0</v>
      </c>
      <c r="D448" s="15">
        <f>Deployments!AJ449</f>
        <v>0</v>
      </c>
      <c r="E448" s="15">
        <f>Deployments!N449</f>
        <v>0</v>
      </c>
      <c r="F448" s="23">
        <f>Deployments!O449</f>
        <v>0</v>
      </c>
      <c r="G448" s="15">
        <f>Deployments!P449</f>
        <v>0</v>
      </c>
      <c r="H448" s="15">
        <f>'13 - Config_Intake_View'!M448</f>
        <v>0</v>
      </c>
      <c r="I448" s="23">
        <f>IF('13 - Config_Intake_View'!Q448&lt;&gt;"",'13 - Config_Intake_View'!Q448,Deployments!BH449)</f>
        <v>0</v>
      </c>
      <c r="J448" s="15" t="str">
        <f>IF('13 - Config_Intake_View'!Q448&lt;&gt;"","PM Approved",IF(Deployments!BH449&lt;&gt;"","Assumed",""))</f>
        <v/>
      </c>
      <c r="K448" s="23">
        <f>Deployments!BG449</f>
        <v>0</v>
      </c>
      <c r="L448" s="15">
        <f>Deployments!T449</f>
        <v>0</v>
      </c>
      <c r="M448" s="15">
        <f>Deployments!L449</f>
        <v>0</v>
      </c>
      <c r="N448" s="15" t="str">
        <f>Deployments!BK449</f>
        <v/>
      </c>
      <c r="O448" s="23" t="str">
        <f>Deployments!BL449</f>
        <v/>
      </c>
      <c r="P448" s="2">
        <f>Deployments!BA449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Deployments!H450</f>
        <v>0</v>
      </c>
      <c r="B449" s="23">
        <f>Deployments!V450</f>
        <v>0</v>
      </c>
      <c r="C449" s="23">
        <f>Deployments!W450</f>
        <v>0</v>
      </c>
      <c r="D449" s="15">
        <f>Deployments!AJ450</f>
        <v>0</v>
      </c>
      <c r="E449" s="15">
        <f>Deployments!N450</f>
        <v>0</v>
      </c>
      <c r="F449" s="23">
        <f>Deployments!O450</f>
        <v>0</v>
      </c>
      <c r="G449" s="15">
        <f>Deployments!P450</f>
        <v>0</v>
      </c>
      <c r="H449" s="15">
        <f>'13 - Config_Intake_View'!M449</f>
        <v>0</v>
      </c>
      <c r="I449" s="23">
        <f>IF('13 - Config_Intake_View'!Q449&lt;&gt;"",'13 - Config_Intake_View'!Q449,Deployments!BH450)</f>
        <v>0</v>
      </c>
      <c r="J449" s="15" t="str">
        <f>IF('13 - Config_Intake_View'!Q449&lt;&gt;"","PM Approved",IF(Deployments!BH450&lt;&gt;"","Assumed",""))</f>
        <v/>
      </c>
      <c r="K449" s="23">
        <f>Deployments!BG450</f>
        <v>0</v>
      </c>
      <c r="L449" s="15">
        <f>Deployments!T450</f>
        <v>0</v>
      </c>
      <c r="M449" s="15">
        <f>Deployments!L450</f>
        <v>0</v>
      </c>
      <c r="N449" s="15" t="str">
        <f>Deployments!BK450</f>
        <v/>
      </c>
      <c r="O449" s="23" t="str">
        <f>Deployments!BL450</f>
        <v/>
      </c>
      <c r="P449" s="2">
        <f>Deployments!BA450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Deployments!H451</f>
        <v>0</v>
      </c>
      <c r="B450" s="23">
        <f>Deployments!V451</f>
        <v>0</v>
      </c>
      <c r="C450" s="23">
        <f>Deployments!W451</f>
        <v>0</v>
      </c>
      <c r="D450" s="15">
        <f>Deployments!AJ451</f>
        <v>0</v>
      </c>
      <c r="E450" s="15">
        <f>Deployments!N451</f>
        <v>0</v>
      </c>
      <c r="F450" s="23">
        <f>Deployments!O451</f>
        <v>0</v>
      </c>
      <c r="G450" s="15">
        <f>Deployments!P451</f>
        <v>0</v>
      </c>
      <c r="H450" s="15">
        <f>'13 - Config_Intake_View'!M450</f>
        <v>0</v>
      </c>
      <c r="I450" s="23">
        <f>IF('13 - Config_Intake_View'!Q450&lt;&gt;"",'13 - Config_Intake_View'!Q450,Deployments!BH451)</f>
        <v>0</v>
      </c>
      <c r="J450" s="15" t="str">
        <f>IF('13 - Config_Intake_View'!Q450&lt;&gt;"","PM Approved",IF(Deployments!BH451&lt;&gt;"","Assumed",""))</f>
        <v/>
      </c>
      <c r="K450" s="23">
        <f>Deployments!BG451</f>
        <v>0</v>
      </c>
      <c r="L450" s="15">
        <f>Deployments!T451</f>
        <v>0</v>
      </c>
      <c r="M450" s="15">
        <f>Deployments!L451</f>
        <v>0</v>
      </c>
      <c r="N450" s="15" t="str">
        <f>Deployments!BK451</f>
        <v/>
      </c>
      <c r="O450" s="23" t="str">
        <f>Deployments!BL451</f>
        <v/>
      </c>
      <c r="P450" s="2">
        <f>Deployments!BA451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Deployments!H452</f>
        <v>0</v>
      </c>
      <c r="B451" s="23">
        <f>Deployments!V452</f>
        <v>0</v>
      </c>
      <c r="C451" s="23">
        <f>Deployments!W452</f>
        <v>0</v>
      </c>
      <c r="D451" s="15">
        <f>Deployments!AJ452</f>
        <v>0</v>
      </c>
      <c r="E451" s="15">
        <f>Deployments!N452</f>
        <v>0</v>
      </c>
      <c r="F451" s="23">
        <f>Deployments!O452</f>
        <v>0</v>
      </c>
      <c r="G451" s="15">
        <f>Deployments!P452</f>
        <v>0</v>
      </c>
      <c r="H451" s="15">
        <f>'13 - Config_Intake_View'!M451</f>
        <v>0</v>
      </c>
      <c r="I451" s="23">
        <f>IF('13 - Config_Intake_View'!Q451&lt;&gt;"",'13 - Config_Intake_View'!Q451,Deployments!BH452)</f>
        <v>0</v>
      </c>
      <c r="J451" s="15" t="str">
        <f>IF('13 - Config_Intake_View'!Q451&lt;&gt;"","PM Approved",IF(Deployments!BH452&lt;&gt;"","Assumed",""))</f>
        <v/>
      </c>
      <c r="K451" s="23">
        <f>Deployments!BG452</f>
        <v>0</v>
      </c>
      <c r="L451" s="15">
        <f>Deployments!T452</f>
        <v>0</v>
      </c>
      <c r="M451" s="15">
        <f>Deployments!L452</f>
        <v>0</v>
      </c>
      <c r="N451" s="15" t="str">
        <f>Deployments!BK452</f>
        <v/>
      </c>
      <c r="O451" s="23" t="str">
        <f>Deployments!BL452</f>
        <v/>
      </c>
      <c r="P451" s="2">
        <f>Deployments!BA452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Deployments!H453</f>
        <v>0</v>
      </c>
      <c r="B452" s="23">
        <f>Deployments!V453</f>
        <v>0</v>
      </c>
      <c r="C452" s="23">
        <f>Deployments!W453</f>
        <v>0</v>
      </c>
      <c r="D452" s="15">
        <f>Deployments!AJ453</f>
        <v>0</v>
      </c>
      <c r="E452" s="15">
        <f>Deployments!N453</f>
        <v>0</v>
      </c>
      <c r="F452" s="23">
        <f>Deployments!O453</f>
        <v>0</v>
      </c>
      <c r="G452" s="15">
        <f>Deployments!P453</f>
        <v>0</v>
      </c>
      <c r="H452" s="15">
        <f>'13 - Config_Intake_View'!M452</f>
        <v>0</v>
      </c>
      <c r="I452" s="23">
        <f>IF('13 - Config_Intake_View'!Q452&lt;&gt;"",'13 - Config_Intake_View'!Q452,Deployments!BH453)</f>
        <v>0</v>
      </c>
      <c r="J452" s="15" t="str">
        <f>IF('13 - Config_Intake_View'!Q452&lt;&gt;"","PM Approved",IF(Deployments!BH453&lt;&gt;"","Assumed",""))</f>
        <v/>
      </c>
      <c r="K452" s="23">
        <f>Deployments!BG453</f>
        <v>0</v>
      </c>
      <c r="L452" s="15">
        <f>Deployments!T453</f>
        <v>0</v>
      </c>
      <c r="M452" s="15">
        <f>Deployments!L453</f>
        <v>0</v>
      </c>
      <c r="N452" s="15" t="str">
        <f>Deployments!BK453</f>
        <v/>
      </c>
      <c r="O452" s="23" t="str">
        <f>Deployments!BL453</f>
        <v/>
      </c>
      <c r="P452" s="2">
        <f>Deployments!BA453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Deployments!H454</f>
        <v>0</v>
      </c>
      <c r="B453" s="23">
        <f>Deployments!V454</f>
        <v>0</v>
      </c>
      <c r="C453" s="23">
        <f>Deployments!W454</f>
        <v>0</v>
      </c>
      <c r="D453" s="15">
        <f>Deployments!AJ454</f>
        <v>0</v>
      </c>
      <c r="E453" s="15">
        <f>Deployments!N454</f>
        <v>0</v>
      </c>
      <c r="F453" s="23">
        <f>Deployments!O454</f>
        <v>0</v>
      </c>
      <c r="G453" s="15">
        <f>Deployments!P454</f>
        <v>0</v>
      </c>
      <c r="H453" s="15">
        <f>'13 - Config_Intake_View'!M453</f>
        <v>0</v>
      </c>
      <c r="I453" s="23">
        <f>IF('13 - Config_Intake_View'!Q453&lt;&gt;"",'13 - Config_Intake_View'!Q453,Deployments!BH454)</f>
        <v>0</v>
      </c>
      <c r="J453" s="15" t="str">
        <f>IF('13 - Config_Intake_View'!Q453&lt;&gt;"","PM Approved",IF(Deployments!BH454&lt;&gt;"","Assumed",""))</f>
        <v/>
      </c>
      <c r="K453" s="23">
        <f>Deployments!BG454</f>
        <v>0</v>
      </c>
      <c r="L453" s="15">
        <f>Deployments!T454</f>
        <v>0</v>
      </c>
      <c r="M453" s="15">
        <f>Deployments!L454</f>
        <v>0</v>
      </c>
      <c r="N453" s="15" t="str">
        <f>Deployments!BK454</f>
        <v/>
      </c>
      <c r="O453" s="23" t="str">
        <f>Deployments!BL454</f>
        <v/>
      </c>
      <c r="P453" s="2">
        <f>Deployments!BA454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Deployments!H455</f>
        <v>0</v>
      </c>
      <c r="B454" s="23">
        <f>Deployments!V455</f>
        <v>0</v>
      </c>
      <c r="C454" s="23">
        <f>Deployments!W455</f>
        <v>0</v>
      </c>
      <c r="D454" s="15">
        <f>Deployments!AJ455</f>
        <v>0</v>
      </c>
      <c r="E454" s="15">
        <f>Deployments!N455</f>
        <v>0</v>
      </c>
      <c r="F454" s="23">
        <f>Deployments!O455</f>
        <v>0</v>
      </c>
      <c r="G454" s="15">
        <f>Deployments!P455</f>
        <v>0</v>
      </c>
      <c r="H454" s="15">
        <f>'13 - Config_Intake_View'!M454</f>
        <v>0</v>
      </c>
      <c r="I454" s="23">
        <f>IF('13 - Config_Intake_View'!Q454&lt;&gt;"",'13 - Config_Intake_View'!Q454,Deployments!BH455)</f>
        <v>0</v>
      </c>
      <c r="J454" s="15" t="str">
        <f>IF('13 - Config_Intake_View'!Q454&lt;&gt;"","PM Approved",IF(Deployments!BH455&lt;&gt;"","Assumed",""))</f>
        <v/>
      </c>
      <c r="K454" s="23">
        <f>Deployments!BG455</f>
        <v>0</v>
      </c>
      <c r="L454" s="15">
        <f>Deployments!T455</f>
        <v>0</v>
      </c>
      <c r="M454" s="15">
        <f>Deployments!L455</f>
        <v>0</v>
      </c>
      <c r="N454" s="15" t="str">
        <f>Deployments!BK455</f>
        <v/>
      </c>
      <c r="O454" s="23" t="str">
        <f>Deployments!BL455</f>
        <v/>
      </c>
      <c r="P454" s="2">
        <f>Deployments!BA455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Deployments!H456</f>
        <v>0</v>
      </c>
      <c r="B455" s="23">
        <f>Deployments!V456</f>
        <v>0</v>
      </c>
      <c r="C455" s="23">
        <f>Deployments!W456</f>
        <v>0</v>
      </c>
      <c r="D455" s="15">
        <f>Deployments!AJ456</f>
        <v>0</v>
      </c>
      <c r="E455" s="15">
        <f>Deployments!N456</f>
        <v>0</v>
      </c>
      <c r="F455" s="23">
        <f>Deployments!O456</f>
        <v>0</v>
      </c>
      <c r="G455" s="15">
        <f>Deployments!P456</f>
        <v>0</v>
      </c>
      <c r="H455" s="15">
        <f>'13 - Config_Intake_View'!M455</f>
        <v>0</v>
      </c>
      <c r="I455" s="23">
        <f>IF('13 - Config_Intake_View'!Q455&lt;&gt;"",'13 - Config_Intake_View'!Q455,Deployments!BH456)</f>
        <v>0</v>
      </c>
      <c r="J455" s="15" t="str">
        <f>IF('13 - Config_Intake_View'!Q455&lt;&gt;"","PM Approved",IF(Deployments!BH456&lt;&gt;"","Assumed",""))</f>
        <v/>
      </c>
      <c r="K455" s="23">
        <f>Deployments!BG456</f>
        <v>0</v>
      </c>
      <c r="L455" s="15">
        <f>Deployments!T456</f>
        <v>0</v>
      </c>
      <c r="M455" s="15">
        <f>Deployments!L456</f>
        <v>0</v>
      </c>
      <c r="N455" s="15" t="str">
        <f>Deployments!BK456</f>
        <v/>
      </c>
      <c r="O455" s="23" t="str">
        <f>Deployments!BL456</f>
        <v/>
      </c>
      <c r="P455" s="2">
        <f>Deployments!BA456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Deployments!H457</f>
        <v>0</v>
      </c>
      <c r="B456" s="23">
        <f>Deployments!V457</f>
        <v>0</v>
      </c>
      <c r="C456" s="23">
        <f>Deployments!W457</f>
        <v>0</v>
      </c>
      <c r="D456" s="15">
        <f>Deployments!AJ457</f>
        <v>0</v>
      </c>
      <c r="E456" s="15">
        <f>Deployments!N457</f>
        <v>0</v>
      </c>
      <c r="F456" s="23">
        <f>Deployments!O457</f>
        <v>0</v>
      </c>
      <c r="G456" s="15">
        <f>Deployments!P457</f>
        <v>0</v>
      </c>
      <c r="H456" s="15">
        <f>'13 - Config_Intake_View'!M456</f>
        <v>0</v>
      </c>
      <c r="I456" s="23">
        <f>IF('13 - Config_Intake_View'!Q456&lt;&gt;"",'13 - Config_Intake_View'!Q456,Deployments!BH457)</f>
        <v>0</v>
      </c>
      <c r="J456" s="15" t="str">
        <f>IF('13 - Config_Intake_View'!Q456&lt;&gt;"","PM Approved",IF(Deployments!BH457&lt;&gt;"","Assumed",""))</f>
        <v/>
      </c>
      <c r="K456" s="23">
        <f>Deployments!BG457</f>
        <v>0</v>
      </c>
      <c r="L456" s="15">
        <f>Deployments!T457</f>
        <v>0</v>
      </c>
      <c r="M456" s="15">
        <f>Deployments!L457</f>
        <v>0</v>
      </c>
      <c r="N456" s="15" t="str">
        <f>Deployments!BK457</f>
        <v/>
      </c>
      <c r="O456" s="23" t="str">
        <f>Deployments!BL457</f>
        <v/>
      </c>
      <c r="P456" s="2">
        <f>Deployments!BA457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Deployments!H458</f>
        <v>0</v>
      </c>
      <c r="B457" s="23">
        <f>Deployments!V458</f>
        <v>0</v>
      </c>
      <c r="C457" s="23">
        <f>Deployments!W458</f>
        <v>0</v>
      </c>
      <c r="D457" s="15">
        <f>Deployments!AJ458</f>
        <v>0</v>
      </c>
      <c r="E457" s="15">
        <f>Deployments!N458</f>
        <v>0</v>
      </c>
      <c r="F457" s="23">
        <f>Deployments!O458</f>
        <v>0</v>
      </c>
      <c r="G457" s="15">
        <f>Deployments!P458</f>
        <v>0</v>
      </c>
      <c r="H457" s="15">
        <f>'13 - Config_Intake_View'!M457</f>
        <v>0</v>
      </c>
      <c r="I457" s="23">
        <f>IF('13 - Config_Intake_View'!Q457&lt;&gt;"",'13 - Config_Intake_View'!Q457,Deployments!BH458)</f>
        <v>0</v>
      </c>
      <c r="J457" s="15" t="str">
        <f>IF('13 - Config_Intake_View'!Q457&lt;&gt;"","PM Approved",IF(Deployments!BH458&lt;&gt;"","Assumed",""))</f>
        <v/>
      </c>
      <c r="K457" s="23">
        <f>Deployments!BG458</f>
        <v>0</v>
      </c>
      <c r="L457" s="15">
        <f>Deployments!T458</f>
        <v>0</v>
      </c>
      <c r="M457" s="15">
        <f>Deployments!L458</f>
        <v>0</v>
      </c>
      <c r="N457" s="15" t="str">
        <f>Deployments!BK458</f>
        <v/>
      </c>
      <c r="O457" s="23" t="str">
        <f>Deployments!BL458</f>
        <v/>
      </c>
      <c r="P457" s="2">
        <f>Deployments!BA458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Deployments!H459</f>
        <v>0</v>
      </c>
      <c r="B458" s="23">
        <f>Deployments!V459</f>
        <v>0</v>
      </c>
      <c r="C458" s="23">
        <f>Deployments!W459</f>
        <v>0</v>
      </c>
      <c r="D458" s="15">
        <f>Deployments!AJ459</f>
        <v>0</v>
      </c>
      <c r="E458" s="15">
        <f>Deployments!N459</f>
        <v>0</v>
      </c>
      <c r="F458" s="23">
        <f>Deployments!O459</f>
        <v>0</v>
      </c>
      <c r="G458" s="15">
        <f>Deployments!P459</f>
        <v>0</v>
      </c>
      <c r="H458" s="15">
        <f>'13 - Config_Intake_View'!M458</f>
        <v>0</v>
      </c>
      <c r="I458" s="23">
        <f>IF('13 - Config_Intake_View'!Q458&lt;&gt;"",'13 - Config_Intake_View'!Q458,Deployments!BH459)</f>
        <v>0</v>
      </c>
      <c r="J458" s="15" t="str">
        <f>IF('13 - Config_Intake_View'!Q458&lt;&gt;"","PM Approved",IF(Deployments!BH459&lt;&gt;"","Assumed",""))</f>
        <v/>
      </c>
      <c r="K458" s="23">
        <f>Deployments!BG459</f>
        <v>0</v>
      </c>
      <c r="L458" s="15">
        <f>Deployments!T459</f>
        <v>0</v>
      </c>
      <c r="M458" s="15">
        <f>Deployments!L459</f>
        <v>0</v>
      </c>
      <c r="N458" s="15" t="str">
        <f>Deployments!BK459</f>
        <v/>
      </c>
      <c r="O458" s="23" t="str">
        <f>Deployments!BL459</f>
        <v/>
      </c>
      <c r="P458" s="2">
        <f>Deployments!BA459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Deployments!H460</f>
        <v>0</v>
      </c>
      <c r="B459" s="23">
        <f>Deployments!V460</f>
        <v>0</v>
      </c>
      <c r="C459" s="23">
        <f>Deployments!W460</f>
        <v>0</v>
      </c>
      <c r="D459" s="15">
        <f>Deployments!AJ460</f>
        <v>0</v>
      </c>
      <c r="E459" s="15">
        <f>Deployments!N460</f>
        <v>0</v>
      </c>
      <c r="F459" s="23">
        <f>Deployments!O460</f>
        <v>0</v>
      </c>
      <c r="G459" s="15">
        <f>Deployments!P460</f>
        <v>0</v>
      </c>
      <c r="H459" s="15">
        <f>'13 - Config_Intake_View'!M459</f>
        <v>0</v>
      </c>
      <c r="I459" s="23">
        <f>IF('13 - Config_Intake_View'!Q459&lt;&gt;"",'13 - Config_Intake_View'!Q459,Deployments!BH460)</f>
        <v>0</v>
      </c>
      <c r="J459" s="15" t="str">
        <f>IF('13 - Config_Intake_View'!Q459&lt;&gt;"","PM Approved",IF(Deployments!BH460&lt;&gt;"","Assumed",""))</f>
        <v/>
      </c>
      <c r="K459" s="23">
        <f>Deployments!BG460</f>
        <v>0</v>
      </c>
      <c r="L459" s="15">
        <f>Deployments!T460</f>
        <v>0</v>
      </c>
      <c r="M459" s="15">
        <f>Deployments!L460</f>
        <v>0</v>
      </c>
      <c r="N459" s="15" t="str">
        <f>Deployments!BK460</f>
        <v/>
      </c>
      <c r="O459" s="23" t="str">
        <f>Deployments!BL460</f>
        <v/>
      </c>
      <c r="P459" s="2">
        <f>Deployments!BA460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Deployments!H461</f>
        <v>0</v>
      </c>
      <c r="B460" s="23">
        <f>Deployments!V461</f>
        <v>0</v>
      </c>
      <c r="C460" s="23">
        <f>Deployments!W461</f>
        <v>0</v>
      </c>
      <c r="D460" s="15">
        <f>Deployments!AJ461</f>
        <v>0</v>
      </c>
      <c r="E460" s="15">
        <f>Deployments!N461</f>
        <v>0</v>
      </c>
      <c r="F460" s="23">
        <f>Deployments!O461</f>
        <v>0</v>
      </c>
      <c r="G460" s="15">
        <f>Deployments!P461</f>
        <v>0</v>
      </c>
      <c r="H460" s="15">
        <f>'13 - Config_Intake_View'!M460</f>
        <v>0</v>
      </c>
      <c r="I460" s="23">
        <f>IF('13 - Config_Intake_View'!Q460&lt;&gt;"",'13 - Config_Intake_View'!Q460,Deployments!BH461)</f>
        <v>0</v>
      </c>
      <c r="J460" s="15" t="str">
        <f>IF('13 - Config_Intake_View'!Q460&lt;&gt;"","PM Approved",IF(Deployments!BH461&lt;&gt;"","Assumed",""))</f>
        <v/>
      </c>
      <c r="K460" s="23">
        <f>Deployments!BG461</f>
        <v>0</v>
      </c>
      <c r="L460" s="15">
        <f>Deployments!T461</f>
        <v>0</v>
      </c>
      <c r="M460" s="15">
        <f>Deployments!L461</f>
        <v>0</v>
      </c>
      <c r="N460" s="15" t="str">
        <f>Deployments!BK461</f>
        <v/>
      </c>
      <c r="O460" s="23" t="str">
        <f>Deployments!BL461</f>
        <v/>
      </c>
      <c r="P460" s="2">
        <f>Deployments!BA461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Deployments!H462</f>
        <v>0</v>
      </c>
      <c r="B461" s="23">
        <f>Deployments!V462</f>
        <v>0</v>
      </c>
      <c r="C461" s="23">
        <f>Deployments!W462</f>
        <v>0</v>
      </c>
      <c r="D461" s="15">
        <f>Deployments!AJ462</f>
        <v>0</v>
      </c>
      <c r="E461" s="15">
        <f>Deployments!N462</f>
        <v>0</v>
      </c>
      <c r="F461" s="23">
        <f>Deployments!O462</f>
        <v>0</v>
      </c>
      <c r="G461" s="15">
        <f>Deployments!P462</f>
        <v>0</v>
      </c>
      <c r="H461" s="15">
        <f>'13 - Config_Intake_View'!M461</f>
        <v>0</v>
      </c>
      <c r="I461" s="23">
        <f>IF('13 - Config_Intake_View'!Q461&lt;&gt;"",'13 - Config_Intake_View'!Q461,Deployments!BH462)</f>
        <v>0</v>
      </c>
      <c r="J461" s="15" t="str">
        <f>IF('13 - Config_Intake_View'!Q461&lt;&gt;"","PM Approved",IF(Deployments!BH462&lt;&gt;"","Assumed",""))</f>
        <v/>
      </c>
      <c r="K461" s="23">
        <f>Deployments!BG462</f>
        <v>0</v>
      </c>
      <c r="L461" s="15">
        <f>Deployments!T462</f>
        <v>0</v>
      </c>
      <c r="M461" s="15">
        <f>Deployments!L462</f>
        <v>0</v>
      </c>
      <c r="N461" s="15" t="str">
        <f>Deployments!BK462</f>
        <v/>
      </c>
      <c r="O461" s="23" t="str">
        <f>Deployments!BL462</f>
        <v/>
      </c>
      <c r="P461" s="2">
        <f>Deployments!BA462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Deployments!H463</f>
        <v>0</v>
      </c>
      <c r="B462" s="23">
        <f>Deployments!V463</f>
        <v>0</v>
      </c>
      <c r="C462" s="23">
        <f>Deployments!W463</f>
        <v>0</v>
      </c>
      <c r="D462" s="15">
        <f>Deployments!AJ463</f>
        <v>0</v>
      </c>
      <c r="E462" s="15">
        <f>Deployments!N463</f>
        <v>0</v>
      </c>
      <c r="F462" s="23">
        <f>Deployments!O463</f>
        <v>0</v>
      </c>
      <c r="G462" s="15">
        <f>Deployments!P463</f>
        <v>0</v>
      </c>
      <c r="H462" s="15">
        <f>'13 - Config_Intake_View'!M462</f>
        <v>0</v>
      </c>
      <c r="I462" s="23">
        <f>IF('13 - Config_Intake_View'!Q462&lt;&gt;"",'13 - Config_Intake_View'!Q462,Deployments!BH463)</f>
        <v>0</v>
      </c>
      <c r="J462" s="15" t="str">
        <f>IF('13 - Config_Intake_View'!Q462&lt;&gt;"","PM Approved",IF(Deployments!BH463&lt;&gt;"","Assumed",""))</f>
        <v/>
      </c>
      <c r="K462" s="23">
        <f>Deployments!BG463</f>
        <v>0</v>
      </c>
      <c r="L462" s="15">
        <f>Deployments!T463</f>
        <v>0</v>
      </c>
      <c r="M462" s="15">
        <f>Deployments!L463</f>
        <v>0</v>
      </c>
      <c r="N462" s="15" t="str">
        <f>Deployments!BK463</f>
        <v/>
      </c>
      <c r="O462" s="23" t="str">
        <f>Deployments!BL463</f>
        <v/>
      </c>
      <c r="P462" s="2">
        <f>Deployments!BA463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Deployments!H464</f>
        <v>0</v>
      </c>
      <c r="B463" s="23">
        <f>Deployments!V464</f>
        <v>0</v>
      </c>
      <c r="C463" s="23">
        <f>Deployments!W464</f>
        <v>0</v>
      </c>
      <c r="D463" s="15">
        <f>Deployments!AJ464</f>
        <v>0</v>
      </c>
      <c r="E463" s="15">
        <f>Deployments!N464</f>
        <v>0</v>
      </c>
      <c r="F463" s="23">
        <f>Deployments!O464</f>
        <v>0</v>
      </c>
      <c r="G463" s="15">
        <f>Deployments!P464</f>
        <v>0</v>
      </c>
      <c r="H463" s="15">
        <f>'13 - Config_Intake_View'!M463</f>
        <v>0</v>
      </c>
      <c r="I463" s="23">
        <f>IF('13 - Config_Intake_View'!Q463&lt;&gt;"",'13 - Config_Intake_View'!Q463,Deployments!BH464)</f>
        <v>0</v>
      </c>
      <c r="J463" s="15" t="str">
        <f>IF('13 - Config_Intake_View'!Q463&lt;&gt;"","PM Approved",IF(Deployments!BH464&lt;&gt;"","Assumed",""))</f>
        <v/>
      </c>
      <c r="K463" s="23">
        <f>Deployments!BG464</f>
        <v>0</v>
      </c>
      <c r="L463" s="15">
        <f>Deployments!T464</f>
        <v>0</v>
      </c>
      <c r="M463" s="15">
        <f>Deployments!L464</f>
        <v>0</v>
      </c>
      <c r="N463" s="15" t="str">
        <f>Deployments!BK464</f>
        <v/>
      </c>
      <c r="O463" s="23" t="str">
        <f>Deployments!BL464</f>
        <v/>
      </c>
      <c r="P463" s="2">
        <f>Deployments!BA464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Deployments!H465</f>
        <v>0</v>
      </c>
      <c r="B464" s="23">
        <f>Deployments!V465</f>
        <v>0</v>
      </c>
      <c r="C464" s="23">
        <f>Deployments!W465</f>
        <v>0</v>
      </c>
      <c r="D464" s="15">
        <f>Deployments!AJ465</f>
        <v>0</v>
      </c>
      <c r="E464" s="15">
        <f>Deployments!N465</f>
        <v>0</v>
      </c>
      <c r="F464" s="23">
        <f>Deployments!O465</f>
        <v>0</v>
      </c>
      <c r="G464" s="15">
        <f>Deployments!P465</f>
        <v>0</v>
      </c>
      <c r="H464" s="15">
        <f>'13 - Config_Intake_View'!M464</f>
        <v>0</v>
      </c>
      <c r="I464" s="23">
        <f>IF('13 - Config_Intake_View'!Q464&lt;&gt;"",'13 - Config_Intake_View'!Q464,Deployments!BH465)</f>
        <v>0</v>
      </c>
      <c r="J464" s="15" t="str">
        <f>IF('13 - Config_Intake_View'!Q464&lt;&gt;"","PM Approved",IF(Deployments!BH465&lt;&gt;"","Assumed",""))</f>
        <v/>
      </c>
      <c r="K464" s="23">
        <f>Deployments!BG465</f>
        <v>0</v>
      </c>
      <c r="L464" s="15">
        <f>Deployments!T465</f>
        <v>0</v>
      </c>
      <c r="M464" s="15">
        <f>Deployments!L465</f>
        <v>0</v>
      </c>
      <c r="N464" s="15" t="str">
        <f>Deployments!BK465</f>
        <v/>
      </c>
      <c r="O464" s="23" t="str">
        <f>Deployments!BL465</f>
        <v/>
      </c>
      <c r="P464" s="2">
        <f>Deployments!BA465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Deployments!H466</f>
        <v>0</v>
      </c>
      <c r="B465" s="23">
        <f>Deployments!V466</f>
        <v>0</v>
      </c>
      <c r="C465" s="23">
        <f>Deployments!W466</f>
        <v>0</v>
      </c>
      <c r="D465" s="15">
        <f>Deployments!AJ466</f>
        <v>0</v>
      </c>
      <c r="E465" s="15">
        <f>Deployments!N466</f>
        <v>0</v>
      </c>
      <c r="F465" s="23">
        <f>Deployments!O466</f>
        <v>0</v>
      </c>
      <c r="G465" s="15">
        <f>Deployments!P466</f>
        <v>0</v>
      </c>
      <c r="H465" s="15">
        <f>'13 - Config_Intake_View'!M465</f>
        <v>0</v>
      </c>
      <c r="I465" s="23">
        <f>IF('13 - Config_Intake_View'!Q465&lt;&gt;"",'13 - Config_Intake_View'!Q465,Deployments!BH466)</f>
        <v>0</v>
      </c>
      <c r="J465" s="15" t="str">
        <f>IF('13 - Config_Intake_View'!Q465&lt;&gt;"","PM Approved",IF(Deployments!BH466&lt;&gt;"","Assumed",""))</f>
        <v/>
      </c>
      <c r="K465" s="23">
        <f>Deployments!BG466</f>
        <v>0</v>
      </c>
      <c r="L465" s="15">
        <f>Deployments!T466</f>
        <v>0</v>
      </c>
      <c r="M465" s="15">
        <f>Deployments!L466</f>
        <v>0</v>
      </c>
      <c r="N465" s="15" t="str">
        <f>Deployments!BK466</f>
        <v/>
      </c>
      <c r="O465" s="23" t="str">
        <f>Deployments!BL466</f>
        <v/>
      </c>
      <c r="P465" s="2">
        <f>Deployments!BA466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Deployments!H467</f>
        <v>0</v>
      </c>
      <c r="B466" s="23">
        <f>Deployments!V467</f>
        <v>0</v>
      </c>
      <c r="C466" s="23">
        <f>Deployments!W467</f>
        <v>0</v>
      </c>
      <c r="D466" s="15">
        <f>Deployments!AJ467</f>
        <v>0</v>
      </c>
      <c r="E466" s="15">
        <f>Deployments!N467</f>
        <v>0</v>
      </c>
      <c r="F466" s="23">
        <f>Deployments!O467</f>
        <v>0</v>
      </c>
      <c r="G466" s="15">
        <f>Deployments!P467</f>
        <v>0</v>
      </c>
      <c r="H466" s="15">
        <f>'13 - Config_Intake_View'!M466</f>
        <v>0</v>
      </c>
      <c r="I466" s="23">
        <f>IF('13 - Config_Intake_View'!Q466&lt;&gt;"",'13 - Config_Intake_View'!Q466,Deployments!BH467)</f>
        <v>0</v>
      </c>
      <c r="J466" s="15" t="str">
        <f>IF('13 - Config_Intake_View'!Q466&lt;&gt;"","PM Approved",IF(Deployments!BH467&lt;&gt;"","Assumed",""))</f>
        <v/>
      </c>
      <c r="K466" s="23">
        <f>Deployments!BG467</f>
        <v>0</v>
      </c>
      <c r="L466" s="15">
        <f>Deployments!T467</f>
        <v>0</v>
      </c>
      <c r="M466" s="15">
        <f>Deployments!L467</f>
        <v>0</v>
      </c>
      <c r="N466" s="15" t="str">
        <f>Deployments!BK467</f>
        <v/>
      </c>
      <c r="O466" s="23" t="str">
        <f>Deployments!BL467</f>
        <v/>
      </c>
      <c r="P466" s="2">
        <f>Deployments!BA467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Deployments!H468</f>
        <v>0</v>
      </c>
      <c r="B467" s="23">
        <f>Deployments!V468</f>
        <v>0</v>
      </c>
      <c r="C467" s="23">
        <f>Deployments!W468</f>
        <v>0</v>
      </c>
      <c r="D467" s="15">
        <f>Deployments!AJ468</f>
        <v>0</v>
      </c>
      <c r="E467" s="15">
        <f>Deployments!N468</f>
        <v>0</v>
      </c>
      <c r="F467" s="23">
        <f>Deployments!O468</f>
        <v>0</v>
      </c>
      <c r="G467" s="15">
        <f>Deployments!P468</f>
        <v>0</v>
      </c>
      <c r="H467" s="15">
        <f>'13 - Config_Intake_View'!M467</f>
        <v>0</v>
      </c>
      <c r="I467" s="23">
        <f>IF('13 - Config_Intake_View'!Q467&lt;&gt;"",'13 - Config_Intake_View'!Q467,Deployments!BH468)</f>
        <v>0</v>
      </c>
      <c r="J467" s="15" t="str">
        <f>IF('13 - Config_Intake_View'!Q467&lt;&gt;"","PM Approved",IF(Deployments!BH468&lt;&gt;"","Assumed",""))</f>
        <v/>
      </c>
      <c r="K467" s="23">
        <f>Deployments!BG468</f>
        <v>0</v>
      </c>
      <c r="L467" s="15">
        <f>Deployments!T468</f>
        <v>0</v>
      </c>
      <c r="M467" s="15">
        <f>Deployments!L468</f>
        <v>0</v>
      </c>
      <c r="N467" s="15" t="str">
        <f>Deployments!BK468</f>
        <v/>
      </c>
      <c r="O467" s="23" t="str">
        <f>Deployments!BL468</f>
        <v/>
      </c>
      <c r="P467" s="2">
        <f>Deployments!BA468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Deployments!H469</f>
        <v>0</v>
      </c>
      <c r="B468" s="23">
        <f>Deployments!V469</f>
        <v>0</v>
      </c>
      <c r="C468" s="23">
        <f>Deployments!W469</f>
        <v>0</v>
      </c>
      <c r="D468" s="15">
        <f>Deployments!AJ469</f>
        <v>0</v>
      </c>
      <c r="E468" s="15">
        <f>Deployments!N469</f>
        <v>0</v>
      </c>
      <c r="F468" s="23">
        <f>Deployments!O469</f>
        <v>0</v>
      </c>
      <c r="G468" s="15">
        <f>Deployments!P469</f>
        <v>0</v>
      </c>
      <c r="H468" s="15">
        <f>'13 - Config_Intake_View'!M468</f>
        <v>0</v>
      </c>
      <c r="I468" s="23">
        <f>IF('13 - Config_Intake_View'!Q468&lt;&gt;"",'13 - Config_Intake_View'!Q468,Deployments!BH469)</f>
        <v>0</v>
      </c>
      <c r="J468" s="15" t="str">
        <f>IF('13 - Config_Intake_View'!Q468&lt;&gt;"","PM Approved",IF(Deployments!BH469&lt;&gt;"","Assumed",""))</f>
        <v/>
      </c>
      <c r="K468" s="23">
        <f>Deployments!BG469</f>
        <v>0</v>
      </c>
      <c r="L468" s="15">
        <f>Deployments!T469</f>
        <v>0</v>
      </c>
      <c r="M468" s="15">
        <f>Deployments!L469</f>
        <v>0</v>
      </c>
      <c r="N468" s="15" t="str">
        <f>Deployments!BK469</f>
        <v/>
      </c>
      <c r="O468" s="23" t="str">
        <f>Deployments!BL469</f>
        <v/>
      </c>
      <c r="P468" s="2">
        <f>Deployments!BA469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Deployments!H470</f>
        <v>0</v>
      </c>
      <c r="B469" s="23">
        <f>Deployments!V470</f>
        <v>0</v>
      </c>
      <c r="C469" s="23">
        <f>Deployments!W470</f>
        <v>0</v>
      </c>
      <c r="D469" s="15">
        <f>Deployments!AJ470</f>
        <v>0</v>
      </c>
      <c r="E469" s="15">
        <f>Deployments!N470</f>
        <v>0</v>
      </c>
      <c r="F469" s="23">
        <f>Deployments!O470</f>
        <v>0</v>
      </c>
      <c r="G469" s="15">
        <f>Deployments!P470</f>
        <v>0</v>
      </c>
      <c r="H469" s="15">
        <f>'13 - Config_Intake_View'!M469</f>
        <v>0</v>
      </c>
      <c r="I469" s="23">
        <f>IF('13 - Config_Intake_View'!Q469&lt;&gt;"",'13 - Config_Intake_View'!Q469,Deployments!BH470)</f>
        <v>0</v>
      </c>
      <c r="J469" s="15" t="str">
        <f>IF('13 - Config_Intake_View'!Q469&lt;&gt;"","PM Approved",IF(Deployments!BH470&lt;&gt;"","Assumed",""))</f>
        <v/>
      </c>
      <c r="K469" s="23">
        <f>Deployments!BG470</f>
        <v>0</v>
      </c>
      <c r="L469" s="15">
        <f>Deployments!T470</f>
        <v>0</v>
      </c>
      <c r="M469" s="15">
        <f>Deployments!L470</f>
        <v>0</v>
      </c>
      <c r="N469" s="15" t="str">
        <f>Deployments!BK470</f>
        <v/>
      </c>
      <c r="O469" s="23" t="str">
        <f>Deployments!BL470</f>
        <v/>
      </c>
      <c r="P469" s="2">
        <f>Deployments!BA470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Deployments!H471</f>
        <v>0</v>
      </c>
      <c r="B470" s="23">
        <f>Deployments!V471</f>
        <v>0</v>
      </c>
      <c r="C470" s="23">
        <f>Deployments!W471</f>
        <v>0</v>
      </c>
      <c r="D470" s="15">
        <f>Deployments!AJ471</f>
        <v>0</v>
      </c>
      <c r="E470" s="15">
        <f>Deployments!N471</f>
        <v>0</v>
      </c>
      <c r="F470" s="23">
        <f>Deployments!O471</f>
        <v>0</v>
      </c>
      <c r="G470" s="15">
        <f>Deployments!P471</f>
        <v>0</v>
      </c>
      <c r="H470" s="15">
        <f>'13 - Config_Intake_View'!M470</f>
        <v>0</v>
      </c>
      <c r="I470" s="23">
        <f>IF('13 - Config_Intake_View'!Q470&lt;&gt;"",'13 - Config_Intake_View'!Q470,Deployments!BH471)</f>
        <v>0</v>
      </c>
      <c r="J470" s="15" t="str">
        <f>IF('13 - Config_Intake_View'!Q470&lt;&gt;"","PM Approved",IF(Deployments!BH471&lt;&gt;"","Assumed",""))</f>
        <v/>
      </c>
      <c r="K470" s="23">
        <f>Deployments!BG471</f>
        <v>0</v>
      </c>
      <c r="L470" s="15">
        <f>Deployments!T471</f>
        <v>0</v>
      </c>
      <c r="M470" s="15">
        <f>Deployments!L471</f>
        <v>0</v>
      </c>
      <c r="N470" s="15" t="str">
        <f>Deployments!BK471</f>
        <v/>
      </c>
      <c r="O470" s="23" t="str">
        <f>Deployments!BL471</f>
        <v/>
      </c>
      <c r="P470" s="2">
        <f>Deployments!BA471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Deployments!H472</f>
        <v>0</v>
      </c>
      <c r="B471" s="23">
        <f>Deployments!V472</f>
        <v>0</v>
      </c>
      <c r="C471" s="23">
        <f>Deployments!W472</f>
        <v>0</v>
      </c>
      <c r="D471" s="15">
        <f>Deployments!AJ472</f>
        <v>0</v>
      </c>
      <c r="E471" s="15">
        <f>Deployments!N472</f>
        <v>0</v>
      </c>
      <c r="F471" s="23">
        <f>Deployments!O472</f>
        <v>0</v>
      </c>
      <c r="G471" s="15">
        <f>Deployments!P472</f>
        <v>0</v>
      </c>
      <c r="H471" s="15">
        <f>'13 - Config_Intake_View'!M471</f>
        <v>0</v>
      </c>
      <c r="I471" s="23">
        <f>IF('13 - Config_Intake_View'!Q471&lt;&gt;"",'13 - Config_Intake_View'!Q471,Deployments!BH472)</f>
        <v>0</v>
      </c>
      <c r="J471" s="15" t="str">
        <f>IF('13 - Config_Intake_View'!Q471&lt;&gt;"","PM Approved",IF(Deployments!BH472&lt;&gt;"","Assumed",""))</f>
        <v/>
      </c>
      <c r="K471" s="23">
        <f>Deployments!BG472</f>
        <v>0</v>
      </c>
      <c r="L471" s="15">
        <f>Deployments!T472</f>
        <v>0</v>
      </c>
      <c r="M471" s="15">
        <f>Deployments!L472</f>
        <v>0</v>
      </c>
      <c r="N471" s="15" t="str">
        <f>Deployments!BK472</f>
        <v/>
      </c>
      <c r="O471" s="23" t="str">
        <f>Deployments!BL472</f>
        <v/>
      </c>
      <c r="P471" s="2">
        <f>Deployments!BA472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Deployments!H473</f>
        <v>0</v>
      </c>
      <c r="B472" s="23">
        <f>Deployments!V473</f>
        <v>0</v>
      </c>
      <c r="C472" s="23">
        <f>Deployments!W473</f>
        <v>0</v>
      </c>
      <c r="D472" s="15">
        <f>Deployments!AJ473</f>
        <v>0</v>
      </c>
      <c r="E472" s="15">
        <f>Deployments!N473</f>
        <v>0</v>
      </c>
      <c r="F472" s="23">
        <f>Deployments!O473</f>
        <v>0</v>
      </c>
      <c r="G472" s="15">
        <f>Deployments!P473</f>
        <v>0</v>
      </c>
      <c r="H472" s="15">
        <f>'13 - Config_Intake_View'!M472</f>
        <v>0</v>
      </c>
      <c r="I472" s="23">
        <f>IF('13 - Config_Intake_View'!Q472&lt;&gt;"",'13 - Config_Intake_View'!Q472,Deployments!BH473)</f>
        <v>0</v>
      </c>
      <c r="J472" s="15" t="str">
        <f>IF('13 - Config_Intake_View'!Q472&lt;&gt;"","PM Approved",IF(Deployments!BH473&lt;&gt;"","Assumed",""))</f>
        <v/>
      </c>
      <c r="K472" s="23">
        <f>Deployments!BG473</f>
        <v>0</v>
      </c>
      <c r="L472" s="15">
        <f>Deployments!T473</f>
        <v>0</v>
      </c>
      <c r="M472" s="15">
        <f>Deployments!L473</f>
        <v>0</v>
      </c>
      <c r="N472" s="15" t="str">
        <f>Deployments!BK473</f>
        <v/>
      </c>
      <c r="O472" s="23" t="str">
        <f>Deployments!BL473</f>
        <v/>
      </c>
      <c r="P472" s="2">
        <f>Deployments!BA473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Deployments!H474</f>
        <v>0</v>
      </c>
      <c r="B473" s="23">
        <f>Deployments!V474</f>
        <v>0</v>
      </c>
      <c r="C473" s="23">
        <f>Deployments!W474</f>
        <v>0</v>
      </c>
      <c r="D473" s="15">
        <f>Deployments!AJ474</f>
        <v>0</v>
      </c>
      <c r="E473" s="15">
        <f>Deployments!N474</f>
        <v>0</v>
      </c>
      <c r="F473" s="23">
        <f>Deployments!O474</f>
        <v>0</v>
      </c>
      <c r="G473" s="15">
        <f>Deployments!P474</f>
        <v>0</v>
      </c>
      <c r="H473" s="15">
        <f>'13 - Config_Intake_View'!M473</f>
        <v>0</v>
      </c>
      <c r="I473" s="23">
        <f>IF('13 - Config_Intake_View'!Q473&lt;&gt;"",'13 - Config_Intake_View'!Q473,Deployments!BH474)</f>
        <v>0</v>
      </c>
      <c r="J473" s="15" t="str">
        <f>IF('13 - Config_Intake_View'!Q473&lt;&gt;"","PM Approved",IF(Deployments!BH474&lt;&gt;"","Assumed",""))</f>
        <v/>
      </c>
      <c r="K473" s="23">
        <f>Deployments!BG474</f>
        <v>0</v>
      </c>
      <c r="L473" s="15">
        <f>Deployments!T474</f>
        <v>0</v>
      </c>
      <c r="M473" s="15">
        <f>Deployments!L474</f>
        <v>0</v>
      </c>
      <c r="N473" s="15" t="str">
        <f>Deployments!BK474</f>
        <v/>
      </c>
      <c r="O473" s="23" t="str">
        <f>Deployments!BL474</f>
        <v/>
      </c>
      <c r="P473" s="2">
        <f>Deployments!BA474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Deployments!H475</f>
        <v>0</v>
      </c>
      <c r="B474" s="23">
        <f>Deployments!V475</f>
        <v>0</v>
      </c>
      <c r="C474" s="23">
        <f>Deployments!W475</f>
        <v>0</v>
      </c>
      <c r="D474" s="15">
        <f>Deployments!AJ475</f>
        <v>0</v>
      </c>
      <c r="E474" s="15">
        <f>Deployments!N475</f>
        <v>0</v>
      </c>
      <c r="F474" s="23">
        <f>Deployments!O475</f>
        <v>0</v>
      </c>
      <c r="G474" s="15">
        <f>Deployments!P475</f>
        <v>0</v>
      </c>
      <c r="H474" s="15">
        <f>'13 - Config_Intake_View'!M474</f>
        <v>0</v>
      </c>
      <c r="I474" s="23">
        <f>IF('13 - Config_Intake_View'!Q474&lt;&gt;"",'13 - Config_Intake_View'!Q474,Deployments!BH475)</f>
        <v>0</v>
      </c>
      <c r="J474" s="15" t="str">
        <f>IF('13 - Config_Intake_View'!Q474&lt;&gt;"","PM Approved",IF(Deployments!BH475&lt;&gt;"","Assumed",""))</f>
        <v/>
      </c>
      <c r="K474" s="23">
        <f>Deployments!BG475</f>
        <v>0</v>
      </c>
      <c r="L474" s="15">
        <f>Deployments!T475</f>
        <v>0</v>
      </c>
      <c r="M474" s="15">
        <f>Deployments!L475</f>
        <v>0</v>
      </c>
      <c r="N474" s="15" t="str">
        <f>Deployments!BK475</f>
        <v/>
      </c>
      <c r="O474" s="23" t="str">
        <f>Deployments!BL475</f>
        <v/>
      </c>
      <c r="P474" s="2">
        <f>Deployments!BA475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Deployments!H476</f>
        <v>0</v>
      </c>
      <c r="B475" s="23">
        <f>Deployments!V476</f>
        <v>0</v>
      </c>
      <c r="C475" s="23">
        <f>Deployments!W476</f>
        <v>0</v>
      </c>
      <c r="D475" s="15">
        <f>Deployments!AJ476</f>
        <v>0</v>
      </c>
      <c r="E475" s="15">
        <f>Deployments!N476</f>
        <v>0</v>
      </c>
      <c r="F475" s="23">
        <f>Deployments!O476</f>
        <v>0</v>
      </c>
      <c r="G475" s="15">
        <f>Deployments!P476</f>
        <v>0</v>
      </c>
      <c r="H475" s="15">
        <f>'13 - Config_Intake_View'!M475</f>
        <v>0</v>
      </c>
      <c r="I475" s="23">
        <f>IF('13 - Config_Intake_View'!Q475&lt;&gt;"",'13 - Config_Intake_View'!Q475,Deployments!BH476)</f>
        <v>0</v>
      </c>
      <c r="J475" s="15" t="str">
        <f>IF('13 - Config_Intake_View'!Q475&lt;&gt;"","PM Approved",IF(Deployments!BH476&lt;&gt;"","Assumed",""))</f>
        <v/>
      </c>
      <c r="K475" s="23">
        <f>Deployments!BG476</f>
        <v>0</v>
      </c>
      <c r="L475" s="15">
        <f>Deployments!T476</f>
        <v>0</v>
      </c>
      <c r="M475" s="15">
        <f>Deployments!L476</f>
        <v>0</v>
      </c>
      <c r="N475" s="15" t="str">
        <f>Deployments!BK476</f>
        <v/>
      </c>
      <c r="O475" s="23" t="str">
        <f>Deployments!BL476</f>
        <v/>
      </c>
      <c r="P475" s="2">
        <f>Deployments!BA476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Deployments!H477</f>
        <v>0</v>
      </c>
      <c r="B476" s="23">
        <f>Deployments!V477</f>
        <v>0</v>
      </c>
      <c r="C476" s="23">
        <f>Deployments!W477</f>
        <v>0</v>
      </c>
      <c r="D476" s="15">
        <f>Deployments!AJ477</f>
        <v>0</v>
      </c>
      <c r="E476" s="15">
        <f>Deployments!N477</f>
        <v>0</v>
      </c>
      <c r="F476" s="23">
        <f>Deployments!O477</f>
        <v>0</v>
      </c>
      <c r="G476" s="15">
        <f>Deployments!P477</f>
        <v>0</v>
      </c>
      <c r="H476" s="15">
        <f>'13 - Config_Intake_View'!M476</f>
        <v>0</v>
      </c>
      <c r="I476" s="23">
        <f>IF('13 - Config_Intake_View'!Q476&lt;&gt;"",'13 - Config_Intake_View'!Q476,Deployments!BH477)</f>
        <v>0</v>
      </c>
      <c r="J476" s="15" t="str">
        <f>IF('13 - Config_Intake_View'!Q476&lt;&gt;"","PM Approved",IF(Deployments!BH477&lt;&gt;"","Assumed",""))</f>
        <v/>
      </c>
      <c r="K476" s="23">
        <f>Deployments!BG477</f>
        <v>0</v>
      </c>
      <c r="L476" s="15">
        <f>Deployments!T477</f>
        <v>0</v>
      </c>
      <c r="M476" s="15">
        <f>Deployments!L477</f>
        <v>0</v>
      </c>
      <c r="N476" s="15" t="str">
        <f>Deployments!BK477</f>
        <v/>
      </c>
      <c r="O476" s="23" t="str">
        <f>Deployments!BL477</f>
        <v/>
      </c>
      <c r="P476" s="2">
        <f>Deployments!BA477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Deployments!H478</f>
        <v>0</v>
      </c>
      <c r="B477" s="23">
        <f>Deployments!V478</f>
        <v>0</v>
      </c>
      <c r="C477" s="23">
        <f>Deployments!W478</f>
        <v>0</v>
      </c>
      <c r="D477" s="15">
        <f>Deployments!AJ478</f>
        <v>0</v>
      </c>
      <c r="E477" s="15">
        <f>Deployments!N478</f>
        <v>0</v>
      </c>
      <c r="F477" s="23">
        <f>Deployments!O478</f>
        <v>0</v>
      </c>
      <c r="G477" s="15">
        <f>Deployments!P478</f>
        <v>0</v>
      </c>
      <c r="H477" s="15">
        <f>'13 - Config_Intake_View'!M477</f>
        <v>0</v>
      </c>
      <c r="I477" s="23">
        <f>IF('13 - Config_Intake_View'!Q477&lt;&gt;"",'13 - Config_Intake_View'!Q477,Deployments!BH478)</f>
        <v>0</v>
      </c>
      <c r="J477" s="15" t="str">
        <f>IF('13 - Config_Intake_View'!Q477&lt;&gt;"","PM Approved",IF(Deployments!BH478&lt;&gt;"","Assumed",""))</f>
        <v/>
      </c>
      <c r="K477" s="23">
        <f>Deployments!BG478</f>
        <v>0</v>
      </c>
      <c r="L477" s="15">
        <f>Deployments!T478</f>
        <v>0</v>
      </c>
      <c r="M477" s="15">
        <f>Deployments!L478</f>
        <v>0</v>
      </c>
      <c r="N477" s="15" t="str">
        <f>Deployments!BK478</f>
        <v/>
      </c>
      <c r="O477" s="23" t="str">
        <f>Deployments!BL478</f>
        <v/>
      </c>
      <c r="P477" s="2">
        <f>Deployments!BA478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Deployments!H479</f>
        <v>0</v>
      </c>
      <c r="B478" s="23">
        <f>Deployments!V479</f>
        <v>0</v>
      </c>
      <c r="C478" s="23">
        <f>Deployments!W479</f>
        <v>0</v>
      </c>
      <c r="D478" s="15">
        <f>Deployments!AJ479</f>
        <v>0</v>
      </c>
      <c r="E478" s="15">
        <f>Deployments!N479</f>
        <v>0</v>
      </c>
      <c r="F478" s="23">
        <f>Deployments!O479</f>
        <v>0</v>
      </c>
      <c r="G478" s="15">
        <f>Deployments!P479</f>
        <v>0</v>
      </c>
      <c r="H478" s="15">
        <f>'13 - Config_Intake_View'!M478</f>
        <v>0</v>
      </c>
      <c r="I478" s="23">
        <f>IF('13 - Config_Intake_View'!Q478&lt;&gt;"",'13 - Config_Intake_View'!Q478,Deployments!BH479)</f>
        <v>0</v>
      </c>
      <c r="J478" s="15" t="str">
        <f>IF('13 - Config_Intake_View'!Q478&lt;&gt;"","PM Approved",IF(Deployments!BH479&lt;&gt;"","Assumed",""))</f>
        <v/>
      </c>
      <c r="K478" s="23">
        <f>Deployments!BG479</f>
        <v>0</v>
      </c>
      <c r="L478" s="15">
        <f>Deployments!T479</f>
        <v>0</v>
      </c>
      <c r="M478" s="15">
        <f>Deployments!L479</f>
        <v>0</v>
      </c>
      <c r="N478" s="15" t="str">
        <f>Deployments!BK479</f>
        <v/>
      </c>
      <c r="O478" s="23" t="str">
        <f>Deployments!BL479</f>
        <v/>
      </c>
      <c r="P478" s="2">
        <f>Deployments!BA479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Deployments!H480</f>
        <v>0</v>
      </c>
      <c r="B479" s="23">
        <f>Deployments!V480</f>
        <v>0</v>
      </c>
      <c r="C479" s="23">
        <f>Deployments!W480</f>
        <v>0</v>
      </c>
      <c r="D479" s="15">
        <f>Deployments!AJ480</f>
        <v>0</v>
      </c>
      <c r="E479" s="15">
        <f>Deployments!N480</f>
        <v>0</v>
      </c>
      <c r="F479" s="23">
        <f>Deployments!O480</f>
        <v>0</v>
      </c>
      <c r="G479" s="15">
        <f>Deployments!P480</f>
        <v>0</v>
      </c>
      <c r="H479" s="15">
        <f>'13 - Config_Intake_View'!M479</f>
        <v>0</v>
      </c>
      <c r="I479" s="23">
        <f>IF('13 - Config_Intake_View'!Q479&lt;&gt;"",'13 - Config_Intake_View'!Q479,Deployments!BH480)</f>
        <v>0</v>
      </c>
      <c r="J479" s="15" t="str">
        <f>IF('13 - Config_Intake_View'!Q479&lt;&gt;"","PM Approved",IF(Deployments!BH480&lt;&gt;"","Assumed",""))</f>
        <v/>
      </c>
      <c r="K479" s="23">
        <f>Deployments!BG480</f>
        <v>0</v>
      </c>
      <c r="L479" s="15">
        <f>Deployments!T480</f>
        <v>0</v>
      </c>
      <c r="M479" s="15">
        <f>Deployments!L480</f>
        <v>0</v>
      </c>
      <c r="N479" s="15" t="str">
        <f>Deployments!BK480</f>
        <v/>
      </c>
      <c r="O479" s="23" t="str">
        <f>Deployments!BL480</f>
        <v/>
      </c>
      <c r="P479" s="2">
        <f>Deployments!BA480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Deployments!H481</f>
        <v>0</v>
      </c>
      <c r="B480" s="23">
        <f>Deployments!V481</f>
        <v>0</v>
      </c>
      <c r="C480" s="23">
        <f>Deployments!W481</f>
        <v>0</v>
      </c>
      <c r="D480" s="15">
        <f>Deployments!AJ481</f>
        <v>0</v>
      </c>
      <c r="E480" s="15">
        <f>Deployments!N481</f>
        <v>0</v>
      </c>
      <c r="F480" s="23">
        <f>Deployments!O481</f>
        <v>0</v>
      </c>
      <c r="G480" s="15">
        <f>Deployments!P481</f>
        <v>0</v>
      </c>
      <c r="H480" s="15">
        <f>'13 - Config_Intake_View'!M480</f>
        <v>0</v>
      </c>
      <c r="I480" s="23">
        <f>IF('13 - Config_Intake_View'!Q480&lt;&gt;"",'13 - Config_Intake_View'!Q480,Deployments!BH481)</f>
        <v>0</v>
      </c>
      <c r="J480" s="15" t="str">
        <f>IF('13 - Config_Intake_View'!Q480&lt;&gt;"","PM Approved",IF(Deployments!BH481&lt;&gt;"","Assumed",""))</f>
        <v/>
      </c>
      <c r="K480" s="23">
        <f>Deployments!BG481</f>
        <v>0</v>
      </c>
      <c r="L480" s="15">
        <f>Deployments!T481</f>
        <v>0</v>
      </c>
      <c r="M480" s="15">
        <f>Deployments!L481</f>
        <v>0</v>
      </c>
      <c r="N480" s="15" t="str">
        <f>Deployments!BK481</f>
        <v/>
      </c>
      <c r="O480" s="23" t="str">
        <f>Deployments!BL481</f>
        <v/>
      </c>
      <c r="P480" s="2">
        <f>Deployments!BA481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Deployments!H482</f>
        <v>0</v>
      </c>
      <c r="B481" s="23">
        <f>Deployments!V482</f>
        <v>0</v>
      </c>
      <c r="C481" s="23">
        <f>Deployments!W482</f>
        <v>0</v>
      </c>
      <c r="D481" s="15">
        <f>Deployments!AJ482</f>
        <v>0</v>
      </c>
      <c r="E481" s="15">
        <f>Deployments!N482</f>
        <v>0</v>
      </c>
      <c r="F481" s="23">
        <f>Deployments!O482</f>
        <v>0</v>
      </c>
      <c r="G481" s="15">
        <f>Deployments!P482</f>
        <v>0</v>
      </c>
      <c r="H481" s="15">
        <f>'13 - Config_Intake_View'!M481</f>
        <v>0</v>
      </c>
      <c r="I481" s="23">
        <f>IF('13 - Config_Intake_View'!Q481&lt;&gt;"",'13 - Config_Intake_View'!Q481,Deployments!BH482)</f>
        <v>0</v>
      </c>
      <c r="J481" s="15" t="str">
        <f>IF('13 - Config_Intake_View'!Q481&lt;&gt;"","PM Approved",IF(Deployments!BH482&lt;&gt;"","Assumed",""))</f>
        <v/>
      </c>
      <c r="K481" s="23">
        <f>Deployments!BG482</f>
        <v>0</v>
      </c>
      <c r="L481" s="15">
        <f>Deployments!T482</f>
        <v>0</v>
      </c>
      <c r="M481" s="15">
        <f>Deployments!L482</f>
        <v>0</v>
      </c>
      <c r="N481" s="15" t="str">
        <f>Deployments!BK482</f>
        <v/>
      </c>
      <c r="O481" s="23" t="str">
        <f>Deployments!BL482</f>
        <v/>
      </c>
      <c r="P481" s="2">
        <f>Deployments!BA482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Deployments!H483</f>
        <v>0</v>
      </c>
      <c r="B482" s="23">
        <f>Deployments!V483</f>
        <v>0</v>
      </c>
      <c r="C482" s="23">
        <f>Deployments!W483</f>
        <v>0</v>
      </c>
      <c r="D482" s="15">
        <f>Deployments!AJ483</f>
        <v>0</v>
      </c>
      <c r="E482" s="15">
        <f>Deployments!N483</f>
        <v>0</v>
      </c>
      <c r="F482" s="23">
        <f>Deployments!O483</f>
        <v>0</v>
      </c>
      <c r="G482" s="15">
        <f>Deployments!P483</f>
        <v>0</v>
      </c>
      <c r="H482" s="15">
        <f>'13 - Config_Intake_View'!M482</f>
        <v>0</v>
      </c>
      <c r="I482" s="23">
        <f>IF('13 - Config_Intake_View'!Q482&lt;&gt;"",'13 - Config_Intake_View'!Q482,Deployments!BH483)</f>
        <v>0</v>
      </c>
      <c r="J482" s="15" t="str">
        <f>IF('13 - Config_Intake_View'!Q482&lt;&gt;"","PM Approved",IF(Deployments!BH483&lt;&gt;"","Assumed",""))</f>
        <v/>
      </c>
      <c r="K482" s="23">
        <f>Deployments!BG483</f>
        <v>0</v>
      </c>
      <c r="L482" s="15">
        <f>Deployments!T483</f>
        <v>0</v>
      </c>
      <c r="M482" s="15">
        <f>Deployments!L483</f>
        <v>0</v>
      </c>
      <c r="N482" s="15" t="str">
        <f>Deployments!BK483</f>
        <v/>
      </c>
      <c r="O482" s="23" t="str">
        <f>Deployments!BL483</f>
        <v/>
      </c>
      <c r="P482" s="2">
        <f>Deployments!BA483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Deployments!H484</f>
        <v>0</v>
      </c>
      <c r="B483" s="23">
        <f>Deployments!V484</f>
        <v>0</v>
      </c>
      <c r="C483" s="23">
        <f>Deployments!W484</f>
        <v>0</v>
      </c>
      <c r="D483" s="15">
        <f>Deployments!AJ484</f>
        <v>0</v>
      </c>
      <c r="E483" s="15">
        <f>Deployments!N484</f>
        <v>0</v>
      </c>
      <c r="F483" s="23">
        <f>Deployments!O484</f>
        <v>0</v>
      </c>
      <c r="G483" s="15">
        <f>Deployments!P484</f>
        <v>0</v>
      </c>
      <c r="H483" s="15">
        <f>'13 - Config_Intake_View'!M483</f>
        <v>0</v>
      </c>
      <c r="I483" s="23">
        <f>IF('13 - Config_Intake_View'!Q483&lt;&gt;"",'13 - Config_Intake_View'!Q483,Deployments!BH484)</f>
        <v>0</v>
      </c>
      <c r="J483" s="15" t="str">
        <f>IF('13 - Config_Intake_View'!Q483&lt;&gt;"","PM Approved",IF(Deployments!BH484&lt;&gt;"","Assumed",""))</f>
        <v/>
      </c>
      <c r="K483" s="23">
        <f>Deployments!BG484</f>
        <v>0</v>
      </c>
      <c r="L483" s="15">
        <f>Deployments!T484</f>
        <v>0</v>
      </c>
      <c r="M483" s="15">
        <f>Deployments!L484</f>
        <v>0</v>
      </c>
      <c r="N483" s="15" t="str">
        <f>Deployments!BK484</f>
        <v/>
      </c>
      <c r="O483" s="23" t="str">
        <f>Deployments!BL484</f>
        <v/>
      </c>
      <c r="P483" s="2">
        <f>Deployments!BA484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Deployments!H485</f>
        <v>0</v>
      </c>
      <c r="B484" s="23">
        <f>Deployments!V485</f>
        <v>0</v>
      </c>
      <c r="C484" s="23">
        <f>Deployments!W485</f>
        <v>0</v>
      </c>
      <c r="D484" s="15">
        <f>Deployments!AJ485</f>
        <v>0</v>
      </c>
      <c r="E484" s="15">
        <f>Deployments!N485</f>
        <v>0</v>
      </c>
      <c r="F484" s="23">
        <f>Deployments!O485</f>
        <v>0</v>
      </c>
      <c r="G484" s="15">
        <f>Deployments!P485</f>
        <v>0</v>
      </c>
      <c r="H484" s="15">
        <f>'13 - Config_Intake_View'!M484</f>
        <v>0</v>
      </c>
      <c r="I484" s="23">
        <f>IF('13 - Config_Intake_View'!Q484&lt;&gt;"",'13 - Config_Intake_View'!Q484,Deployments!BH485)</f>
        <v>0</v>
      </c>
      <c r="J484" s="15" t="str">
        <f>IF('13 - Config_Intake_View'!Q484&lt;&gt;"","PM Approved",IF(Deployments!BH485&lt;&gt;"","Assumed",""))</f>
        <v/>
      </c>
      <c r="K484" s="23">
        <f>Deployments!BG485</f>
        <v>0</v>
      </c>
      <c r="L484" s="15">
        <f>Deployments!T485</f>
        <v>0</v>
      </c>
      <c r="M484" s="15">
        <f>Deployments!L485</f>
        <v>0</v>
      </c>
      <c r="N484" s="15" t="str">
        <f>Deployments!BK485</f>
        <v/>
      </c>
      <c r="O484" s="23" t="str">
        <f>Deployments!BL485</f>
        <v/>
      </c>
      <c r="P484" s="2">
        <f>Deployments!BA485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Deployments!H486</f>
        <v>0</v>
      </c>
      <c r="B485" s="23">
        <f>Deployments!V486</f>
        <v>0</v>
      </c>
      <c r="C485" s="23">
        <f>Deployments!W486</f>
        <v>0</v>
      </c>
      <c r="D485" s="15">
        <f>Deployments!AJ486</f>
        <v>0</v>
      </c>
      <c r="E485" s="15">
        <f>Deployments!N486</f>
        <v>0</v>
      </c>
      <c r="F485" s="23">
        <f>Deployments!O486</f>
        <v>0</v>
      </c>
      <c r="G485" s="15">
        <f>Deployments!P486</f>
        <v>0</v>
      </c>
      <c r="H485" s="15">
        <f>'13 - Config_Intake_View'!M485</f>
        <v>0</v>
      </c>
      <c r="I485" s="23">
        <f>IF('13 - Config_Intake_View'!Q485&lt;&gt;"",'13 - Config_Intake_View'!Q485,Deployments!BH486)</f>
        <v>0</v>
      </c>
      <c r="J485" s="15" t="str">
        <f>IF('13 - Config_Intake_View'!Q485&lt;&gt;"","PM Approved",IF(Deployments!BH486&lt;&gt;"","Assumed",""))</f>
        <v/>
      </c>
      <c r="K485" s="23">
        <f>Deployments!BG486</f>
        <v>0</v>
      </c>
      <c r="L485" s="15">
        <f>Deployments!T486</f>
        <v>0</v>
      </c>
      <c r="M485" s="15">
        <f>Deployments!L486</f>
        <v>0</v>
      </c>
      <c r="N485" s="15" t="str">
        <f>Deployments!BK486</f>
        <v/>
      </c>
      <c r="O485" s="23" t="str">
        <f>Deployments!BL486</f>
        <v/>
      </c>
      <c r="P485" s="2">
        <f>Deployments!BA486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Deployments!H487</f>
        <v>0</v>
      </c>
      <c r="B486" s="23">
        <f>Deployments!V487</f>
        <v>0</v>
      </c>
      <c r="C486" s="23">
        <f>Deployments!W487</f>
        <v>0</v>
      </c>
      <c r="D486" s="15">
        <f>Deployments!AJ487</f>
        <v>0</v>
      </c>
      <c r="E486" s="15">
        <f>Deployments!N487</f>
        <v>0</v>
      </c>
      <c r="F486" s="23">
        <f>Deployments!O487</f>
        <v>0</v>
      </c>
      <c r="G486" s="15">
        <f>Deployments!P487</f>
        <v>0</v>
      </c>
      <c r="H486" s="15">
        <f>'13 - Config_Intake_View'!M486</f>
        <v>0</v>
      </c>
      <c r="I486" s="23">
        <f>IF('13 - Config_Intake_View'!Q486&lt;&gt;"",'13 - Config_Intake_View'!Q486,Deployments!BH487)</f>
        <v>0</v>
      </c>
      <c r="J486" s="15" t="str">
        <f>IF('13 - Config_Intake_View'!Q486&lt;&gt;"","PM Approved",IF(Deployments!BH487&lt;&gt;"","Assumed",""))</f>
        <v/>
      </c>
      <c r="K486" s="23">
        <f>Deployments!BG487</f>
        <v>0</v>
      </c>
      <c r="L486" s="15">
        <f>Deployments!T487</f>
        <v>0</v>
      </c>
      <c r="M486" s="15">
        <f>Deployments!L487</f>
        <v>0</v>
      </c>
      <c r="N486" s="15" t="str">
        <f>Deployments!BK487</f>
        <v/>
      </c>
      <c r="O486" s="23" t="str">
        <f>Deployments!BL487</f>
        <v/>
      </c>
      <c r="P486" s="2">
        <f>Deployments!BA487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Deployments!H488</f>
        <v>0</v>
      </c>
      <c r="B487" s="23">
        <f>Deployments!V488</f>
        <v>0</v>
      </c>
      <c r="C487" s="23">
        <f>Deployments!W488</f>
        <v>0</v>
      </c>
      <c r="D487" s="15">
        <f>Deployments!AJ488</f>
        <v>0</v>
      </c>
      <c r="E487" s="15">
        <f>Deployments!N488</f>
        <v>0</v>
      </c>
      <c r="F487" s="23">
        <f>Deployments!O488</f>
        <v>0</v>
      </c>
      <c r="G487" s="15">
        <f>Deployments!P488</f>
        <v>0</v>
      </c>
      <c r="H487" s="15">
        <f>'13 - Config_Intake_View'!M487</f>
        <v>0</v>
      </c>
      <c r="I487" s="23">
        <f>IF('13 - Config_Intake_View'!Q487&lt;&gt;"",'13 - Config_Intake_View'!Q487,Deployments!BH488)</f>
        <v>0</v>
      </c>
      <c r="J487" s="15" t="str">
        <f>IF('13 - Config_Intake_View'!Q487&lt;&gt;"","PM Approved",IF(Deployments!BH488&lt;&gt;"","Assumed",""))</f>
        <v/>
      </c>
      <c r="K487" s="23">
        <f>Deployments!BG488</f>
        <v>0</v>
      </c>
      <c r="L487" s="15">
        <f>Deployments!T488</f>
        <v>0</v>
      </c>
      <c r="M487" s="15">
        <f>Deployments!L488</f>
        <v>0</v>
      </c>
      <c r="N487" s="15" t="str">
        <f>Deployments!BK488</f>
        <v/>
      </c>
      <c r="O487" s="23" t="str">
        <f>Deployments!BL488</f>
        <v/>
      </c>
      <c r="P487" s="2">
        <f>Deployments!BA488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Deployments!H489</f>
        <v>0</v>
      </c>
      <c r="B488" s="23">
        <f>Deployments!V489</f>
        <v>0</v>
      </c>
      <c r="C488" s="23">
        <f>Deployments!W489</f>
        <v>0</v>
      </c>
      <c r="D488" s="15">
        <f>Deployments!AJ489</f>
        <v>0</v>
      </c>
      <c r="E488" s="15">
        <f>Deployments!N489</f>
        <v>0</v>
      </c>
      <c r="F488" s="23">
        <f>Deployments!O489</f>
        <v>0</v>
      </c>
      <c r="G488" s="15">
        <f>Deployments!P489</f>
        <v>0</v>
      </c>
      <c r="H488" s="15">
        <f>'13 - Config_Intake_View'!M488</f>
        <v>0</v>
      </c>
      <c r="I488" s="23">
        <f>IF('13 - Config_Intake_View'!Q488&lt;&gt;"",'13 - Config_Intake_View'!Q488,Deployments!BH489)</f>
        <v>0</v>
      </c>
      <c r="J488" s="15" t="str">
        <f>IF('13 - Config_Intake_View'!Q488&lt;&gt;"","PM Approved",IF(Deployments!BH489&lt;&gt;"","Assumed",""))</f>
        <v/>
      </c>
      <c r="K488" s="23">
        <f>Deployments!BG489</f>
        <v>0</v>
      </c>
      <c r="L488" s="15">
        <f>Deployments!T489</f>
        <v>0</v>
      </c>
      <c r="M488" s="15">
        <f>Deployments!L489</f>
        <v>0</v>
      </c>
      <c r="N488" s="15" t="str">
        <f>Deployments!BK489</f>
        <v/>
      </c>
      <c r="O488" s="23" t="str">
        <f>Deployments!BL489</f>
        <v/>
      </c>
      <c r="P488" s="2">
        <f>Deployments!BA489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Deployments!H490</f>
        <v>0</v>
      </c>
      <c r="B489" s="23">
        <f>Deployments!V490</f>
        <v>0</v>
      </c>
      <c r="C489" s="23">
        <f>Deployments!W490</f>
        <v>0</v>
      </c>
      <c r="D489" s="15">
        <f>Deployments!AJ490</f>
        <v>0</v>
      </c>
      <c r="E489" s="15">
        <f>Deployments!N490</f>
        <v>0</v>
      </c>
      <c r="F489" s="23">
        <f>Deployments!O490</f>
        <v>0</v>
      </c>
      <c r="G489" s="15">
        <f>Deployments!P490</f>
        <v>0</v>
      </c>
      <c r="H489" s="15">
        <f>'13 - Config_Intake_View'!M489</f>
        <v>0</v>
      </c>
      <c r="I489" s="23">
        <f>IF('13 - Config_Intake_View'!Q489&lt;&gt;"",'13 - Config_Intake_View'!Q489,Deployments!BH490)</f>
        <v>0</v>
      </c>
      <c r="J489" s="15" t="str">
        <f>IF('13 - Config_Intake_View'!Q489&lt;&gt;"","PM Approved",IF(Deployments!BH490&lt;&gt;"","Assumed",""))</f>
        <v/>
      </c>
      <c r="K489" s="23">
        <f>Deployments!BG490</f>
        <v>0</v>
      </c>
      <c r="L489" s="15">
        <f>Deployments!T490</f>
        <v>0</v>
      </c>
      <c r="M489" s="15">
        <f>Deployments!L490</f>
        <v>0</v>
      </c>
      <c r="N489" s="15" t="str">
        <f>Deployments!BK490</f>
        <v/>
      </c>
      <c r="O489" s="23" t="str">
        <f>Deployments!BL490</f>
        <v/>
      </c>
      <c r="P489" s="2">
        <f>Deployments!BA490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Deployments!H491</f>
        <v>0</v>
      </c>
      <c r="B490" s="23">
        <f>Deployments!V491</f>
        <v>0</v>
      </c>
      <c r="C490" s="23">
        <f>Deployments!W491</f>
        <v>0</v>
      </c>
      <c r="D490" s="15">
        <f>Deployments!AJ491</f>
        <v>0</v>
      </c>
      <c r="E490" s="15">
        <f>Deployments!N491</f>
        <v>0</v>
      </c>
      <c r="F490" s="23">
        <f>Deployments!O491</f>
        <v>0</v>
      </c>
      <c r="G490" s="15">
        <f>Deployments!P491</f>
        <v>0</v>
      </c>
      <c r="H490" s="15">
        <f>'13 - Config_Intake_View'!M490</f>
        <v>0</v>
      </c>
      <c r="I490" s="23">
        <f>IF('13 - Config_Intake_View'!Q490&lt;&gt;"",'13 - Config_Intake_View'!Q490,Deployments!BH491)</f>
        <v>0</v>
      </c>
      <c r="J490" s="15" t="str">
        <f>IF('13 - Config_Intake_View'!Q490&lt;&gt;"","PM Approved",IF(Deployments!BH491&lt;&gt;"","Assumed",""))</f>
        <v/>
      </c>
      <c r="K490" s="23">
        <f>Deployments!BG491</f>
        <v>0</v>
      </c>
      <c r="L490" s="15">
        <f>Deployments!T491</f>
        <v>0</v>
      </c>
      <c r="M490" s="15">
        <f>Deployments!L491</f>
        <v>0</v>
      </c>
      <c r="N490" s="15" t="str">
        <f>Deployments!BK491</f>
        <v/>
      </c>
      <c r="O490" s="23" t="str">
        <f>Deployments!BL491</f>
        <v/>
      </c>
      <c r="P490" s="2">
        <f>Deployments!BA491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Deployments!H492</f>
        <v>0</v>
      </c>
      <c r="B491" s="23">
        <f>Deployments!V492</f>
        <v>0</v>
      </c>
      <c r="C491" s="23">
        <f>Deployments!W492</f>
        <v>0</v>
      </c>
      <c r="D491" s="15">
        <f>Deployments!AJ492</f>
        <v>0</v>
      </c>
      <c r="E491" s="15">
        <f>Deployments!N492</f>
        <v>0</v>
      </c>
      <c r="F491" s="23">
        <f>Deployments!O492</f>
        <v>0</v>
      </c>
      <c r="G491" s="15">
        <f>Deployments!P492</f>
        <v>0</v>
      </c>
      <c r="H491" s="15">
        <f>'13 - Config_Intake_View'!M491</f>
        <v>0</v>
      </c>
      <c r="I491" s="23">
        <f>IF('13 - Config_Intake_View'!Q491&lt;&gt;"",'13 - Config_Intake_View'!Q491,Deployments!BH492)</f>
        <v>0</v>
      </c>
      <c r="J491" s="15" t="str">
        <f>IF('13 - Config_Intake_View'!Q491&lt;&gt;"","PM Approved",IF(Deployments!BH492&lt;&gt;"","Assumed",""))</f>
        <v/>
      </c>
      <c r="K491" s="23">
        <f>Deployments!BG492</f>
        <v>0</v>
      </c>
      <c r="L491" s="15">
        <f>Deployments!T492</f>
        <v>0</v>
      </c>
      <c r="M491" s="15">
        <f>Deployments!L492</f>
        <v>0</v>
      </c>
      <c r="N491" s="15" t="str">
        <f>Deployments!BK492</f>
        <v/>
      </c>
      <c r="O491" s="23" t="str">
        <f>Deployments!BL492</f>
        <v/>
      </c>
      <c r="P491" s="2">
        <f>Deployments!BA492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Deployments!H493</f>
        <v>0</v>
      </c>
      <c r="B492" s="23">
        <f>Deployments!V493</f>
        <v>0</v>
      </c>
      <c r="C492" s="23">
        <f>Deployments!W493</f>
        <v>0</v>
      </c>
      <c r="D492" s="15">
        <f>Deployments!AJ493</f>
        <v>0</v>
      </c>
      <c r="E492" s="15">
        <f>Deployments!N493</f>
        <v>0</v>
      </c>
      <c r="F492" s="23">
        <f>Deployments!O493</f>
        <v>0</v>
      </c>
      <c r="G492" s="15">
        <f>Deployments!P493</f>
        <v>0</v>
      </c>
      <c r="H492" s="15">
        <f>'13 - Config_Intake_View'!M492</f>
        <v>0</v>
      </c>
      <c r="I492" s="23">
        <f>IF('13 - Config_Intake_View'!Q492&lt;&gt;"",'13 - Config_Intake_View'!Q492,Deployments!BH493)</f>
        <v>0</v>
      </c>
      <c r="J492" s="15" t="str">
        <f>IF('13 - Config_Intake_View'!Q492&lt;&gt;"","PM Approved",IF(Deployments!BH493&lt;&gt;"","Assumed",""))</f>
        <v/>
      </c>
      <c r="K492" s="23">
        <f>Deployments!BG493</f>
        <v>0</v>
      </c>
      <c r="L492" s="15">
        <f>Deployments!T493</f>
        <v>0</v>
      </c>
      <c r="M492" s="15">
        <f>Deployments!L493</f>
        <v>0</v>
      </c>
      <c r="N492" s="15" t="str">
        <f>Deployments!BK493</f>
        <v/>
      </c>
      <c r="O492" s="23" t="str">
        <f>Deployments!BL493</f>
        <v/>
      </c>
      <c r="P492" s="2">
        <f>Deployments!BA493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Deployments!H494</f>
        <v>0</v>
      </c>
      <c r="B493" s="23">
        <f>Deployments!V494</f>
        <v>0</v>
      </c>
      <c r="C493" s="23">
        <f>Deployments!W494</f>
        <v>0</v>
      </c>
      <c r="D493" s="15">
        <f>Deployments!AJ494</f>
        <v>0</v>
      </c>
      <c r="E493" s="15">
        <f>Deployments!N494</f>
        <v>0</v>
      </c>
      <c r="F493" s="23">
        <f>Deployments!O494</f>
        <v>0</v>
      </c>
      <c r="G493" s="15">
        <f>Deployments!P494</f>
        <v>0</v>
      </c>
      <c r="H493" s="15">
        <f>'13 - Config_Intake_View'!M493</f>
        <v>0</v>
      </c>
      <c r="I493" s="23">
        <f>IF('13 - Config_Intake_View'!Q493&lt;&gt;"",'13 - Config_Intake_View'!Q493,Deployments!BH494)</f>
        <v>0</v>
      </c>
      <c r="J493" s="15" t="str">
        <f>IF('13 - Config_Intake_View'!Q493&lt;&gt;"","PM Approved",IF(Deployments!BH494&lt;&gt;"","Assumed",""))</f>
        <v/>
      </c>
      <c r="K493" s="23">
        <f>Deployments!BG494</f>
        <v>0</v>
      </c>
      <c r="L493" s="15">
        <f>Deployments!T494</f>
        <v>0</v>
      </c>
      <c r="M493" s="15">
        <f>Deployments!L494</f>
        <v>0</v>
      </c>
      <c r="N493" s="15" t="str">
        <f>Deployments!BK494</f>
        <v/>
      </c>
      <c r="O493" s="23" t="str">
        <f>Deployments!BL494</f>
        <v/>
      </c>
      <c r="P493" s="2">
        <f>Deployments!BA494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Deployments!H495</f>
        <v>0</v>
      </c>
      <c r="B494" s="23">
        <f>Deployments!V495</f>
        <v>0</v>
      </c>
      <c r="C494" s="23">
        <f>Deployments!W495</f>
        <v>0</v>
      </c>
      <c r="D494" s="15">
        <f>Deployments!AJ495</f>
        <v>0</v>
      </c>
      <c r="E494" s="15">
        <f>Deployments!N495</f>
        <v>0</v>
      </c>
      <c r="F494" s="23">
        <f>Deployments!O495</f>
        <v>0</v>
      </c>
      <c r="G494" s="15">
        <f>Deployments!P495</f>
        <v>0</v>
      </c>
      <c r="H494" s="15">
        <f>'13 - Config_Intake_View'!M494</f>
        <v>0</v>
      </c>
      <c r="I494" s="23">
        <f>IF('13 - Config_Intake_View'!Q494&lt;&gt;"",'13 - Config_Intake_View'!Q494,Deployments!BH495)</f>
        <v>0</v>
      </c>
      <c r="J494" s="15" t="str">
        <f>IF('13 - Config_Intake_View'!Q494&lt;&gt;"","PM Approved",IF(Deployments!BH495&lt;&gt;"","Assumed",""))</f>
        <v/>
      </c>
      <c r="K494" s="23">
        <f>Deployments!BG495</f>
        <v>0</v>
      </c>
      <c r="L494" s="15">
        <f>Deployments!T495</f>
        <v>0</v>
      </c>
      <c r="M494" s="15">
        <f>Deployments!L495</f>
        <v>0</v>
      </c>
      <c r="N494" s="15" t="str">
        <f>Deployments!BK495</f>
        <v/>
      </c>
      <c r="O494" s="23" t="str">
        <f>Deployments!BL495</f>
        <v/>
      </c>
      <c r="P494" s="2">
        <f>Deployments!BA495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Deployments!H496</f>
        <v>0</v>
      </c>
      <c r="B495" s="23">
        <f>Deployments!V496</f>
        <v>0</v>
      </c>
      <c r="C495" s="23">
        <f>Deployments!W496</f>
        <v>0</v>
      </c>
      <c r="D495" s="15">
        <f>Deployments!AJ496</f>
        <v>0</v>
      </c>
      <c r="E495" s="15">
        <f>Deployments!N496</f>
        <v>0</v>
      </c>
      <c r="F495" s="23">
        <f>Deployments!O496</f>
        <v>0</v>
      </c>
      <c r="G495" s="15">
        <f>Deployments!P496</f>
        <v>0</v>
      </c>
      <c r="H495" s="15">
        <f>'13 - Config_Intake_View'!M495</f>
        <v>0</v>
      </c>
      <c r="I495" s="23">
        <f>IF('13 - Config_Intake_View'!Q495&lt;&gt;"",'13 - Config_Intake_View'!Q495,Deployments!BH496)</f>
        <v>0</v>
      </c>
      <c r="J495" s="15" t="str">
        <f>IF('13 - Config_Intake_View'!Q495&lt;&gt;"","PM Approved",IF(Deployments!BH496&lt;&gt;"","Assumed",""))</f>
        <v/>
      </c>
      <c r="K495" s="23">
        <f>Deployments!BG496</f>
        <v>0</v>
      </c>
      <c r="L495" s="15">
        <f>Deployments!T496</f>
        <v>0</v>
      </c>
      <c r="M495" s="15">
        <f>Deployments!L496</f>
        <v>0</v>
      </c>
      <c r="N495" s="15" t="str">
        <f>Deployments!BK496</f>
        <v/>
      </c>
      <c r="O495" s="23" t="str">
        <f>Deployments!BL496</f>
        <v/>
      </c>
      <c r="P495" s="2">
        <f>Deployments!BA496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Deployments!H497</f>
        <v>0</v>
      </c>
      <c r="B496" s="23">
        <f>Deployments!V497</f>
        <v>0</v>
      </c>
      <c r="C496" s="23">
        <f>Deployments!W497</f>
        <v>0</v>
      </c>
      <c r="D496" s="15">
        <f>Deployments!AJ497</f>
        <v>0</v>
      </c>
      <c r="E496" s="15">
        <f>Deployments!N497</f>
        <v>0</v>
      </c>
      <c r="F496" s="23">
        <f>Deployments!O497</f>
        <v>0</v>
      </c>
      <c r="G496" s="15">
        <f>Deployments!P497</f>
        <v>0</v>
      </c>
      <c r="H496" s="15">
        <f>'13 - Config_Intake_View'!M496</f>
        <v>0</v>
      </c>
      <c r="I496" s="23">
        <f>IF('13 - Config_Intake_View'!Q496&lt;&gt;"",'13 - Config_Intake_View'!Q496,Deployments!BH497)</f>
        <v>0</v>
      </c>
      <c r="J496" s="15" t="str">
        <f>IF('13 - Config_Intake_View'!Q496&lt;&gt;"","PM Approved",IF(Deployments!BH497&lt;&gt;"","Assumed",""))</f>
        <v/>
      </c>
      <c r="K496" s="23">
        <f>Deployments!BG497</f>
        <v>0</v>
      </c>
      <c r="L496" s="15">
        <f>Deployments!T497</f>
        <v>0</v>
      </c>
      <c r="M496" s="15">
        <f>Deployments!L497</f>
        <v>0</v>
      </c>
      <c r="N496" s="15" t="str">
        <f>Deployments!BK497</f>
        <v/>
      </c>
      <c r="O496" s="23" t="str">
        <f>Deployments!BL497</f>
        <v/>
      </c>
      <c r="P496" s="2">
        <f>Deployments!BA497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Deployments!H498</f>
        <v>0</v>
      </c>
      <c r="B497" s="23">
        <f>Deployments!V498</f>
        <v>0</v>
      </c>
      <c r="C497" s="23">
        <f>Deployments!W498</f>
        <v>0</v>
      </c>
      <c r="D497" s="15">
        <f>Deployments!AJ498</f>
        <v>0</v>
      </c>
      <c r="E497" s="15">
        <f>Deployments!N498</f>
        <v>0</v>
      </c>
      <c r="F497" s="23">
        <f>Deployments!O498</f>
        <v>0</v>
      </c>
      <c r="G497" s="15">
        <f>Deployments!P498</f>
        <v>0</v>
      </c>
      <c r="H497" s="15">
        <f>'13 - Config_Intake_View'!M497</f>
        <v>0</v>
      </c>
      <c r="I497" s="23">
        <f>IF('13 - Config_Intake_View'!Q497&lt;&gt;"",'13 - Config_Intake_View'!Q497,Deployments!BH498)</f>
        <v>0</v>
      </c>
      <c r="J497" s="15" t="str">
        <f>IF('13 - Config_Intake_View'!Q497&lt;&gt;"","PM Approved",IF(Deployments!BH498&lt;&gt;"","Assumed",""))</f>
        <v/>
      </c>
      <c r="K497" s="23">
        <f>Deployments!BG498</f>
        <v>0</v>
      </c>
      <c r="L497" s="15">
        <f>Deployments!T498</f>
        <v>0</v>
      </c>
      <c r="M497" s="15">
        <f>Deployments!L498</f>
        <v>0</v>
      </c>
      <c r="N497" s="15" t="str">
        <f>Deployments!BK498</f>
        <v/>
      </c>
      <c r="O497" s="23" t="str">
        <f>Deployments!BL498</f>
        <v/>
      </c>
      <c r="P497" s="2">
        <f>Deployments!BA498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Deployments!H499</f>
        <v>0</v>
      </c>
      <c r="B498" s="23">
        <f>Deployments!V499</f>
        <v>0</v>
      </c>
      <c r="C498" s="23">
        <f>Deployments!W499</f>
        <v>0</v>
      </c>
      <c r="D498" s="15">
        <f>Deployments!AJ499</f>
        <v>0</v>
      </c>
      <c r="E498" s="15">
        <f>Deployments!N499</f>
        <v>0</v>
      </c>
      <c r="F498" s="23">
        <f>Deployments!O499</f>
        <v>0</v>
      </c>
      <c r="G498" s="15">
        <f>Deployments!P499</f>
        <v>0</v>
      </c>
      <c r="H498" s="15">
        <f>'13 - Config_Intake_View'!M498</f>
        <v>0</v>
      </c>
      <c r="I498" s="23">
        <f>IF('13 - Config_Intake_View'!Q498&lt;&gt;"",'13 - Config_Intake_View'!Q498,Deployments!BH499)</f>
        <v>0</v>
      </c>
      <c r="J498" s="15" t="str">
        <f>IF('13 - Config_Intake_View'!Q498&lt;&gt;"","PM Approved",IF(Deployments!BH499&lt;&gt;"","Assumed",""))</f>
        <v/>
      </c>
      <c r="K498" s="23">
        <f>Deployments!BG499</f>
        <v>0</v>
      </c>
      <c r="L498" s="15">
        <f>Deployments!T499</f>
        <v>0</v>
      </c>
      <c r="M498" s="15">
        <f>Deployments!L499</f>
        <v>0</v>
      </c>
      <c r="N498" s="15" t="str">
        <f>Deployments!BK499</f>
        <v/>
      </c>
      <c r="O498" s="23" t="str">
        <f>Deployments!BL499</f>
        <v/>
      </c>
      <c r="P498" s="2">
        <f>Deployments!BA499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Deployments!H500</f>
        <v>0</v>
      </c>
      <c r="B499" s="23">
        <f>Deployments!V500</f>
        <v>0</v>
      </c>
      <c r="C499" s="23">
        <f>Deployments!W500</f>
        <v>0</v>
      </c>
      <c r="D499" s="15">
        <f>Deployments!AJ500</f>
        <v>0</v>
      </c>
      <c r="E499" s="15">
        <f>Deployments!N500</f>
        <v>0</v>
      </c>
      <c r="F499" s="23">
        <f>Deployments!O500</f>
        <v>0</v>
      </c>
      <c r="G499" s="15">
        <f>Deployments!P500</f>
        <v>0</v>
      </c>
      <c r="H499" s="15">
        <f>'13 - Config_Intake_View'!M499</f>
        <v>0</v>
      </c>
      <c r="I499" s="23">
        <f>IF('13 - Config_Intake_View'!Q499&lt;&gt;"",'13 - Config_Intake_View'!Q499,Deployments!BH500)</f>
        <v>0</v>
      </c>
      <c r="J499" s="15" t="str">
        <f>IF('13 - Config_Intake_View'!Q499&lt;&gt;"","PM Approved",IF(Deployments!BH500&lt;&gt;"","Assumed",""))</f>
        <v/>
      </c>
      <c r="K499" s="23">
        <f>Deployments!BG500</f>
        <v>0</v>
      </c>
      <c r="L499" s="15">
        <f>Deployments!T500</f>
        <v>0</v>
      </c>
      <c r="M499" s="15">
        <f>Deployments!L500</f>
        <v>0</v>
      </c>
      <c r="N499" s="15" t="str">
        <f>Deployments!BK500</f>
        <v/>
      </c>
      <c r="O499" s="23" t="str">
        <f>Deployments!BL500</f>
        <v/>
      </c>
      <c r="P499" s="2">
        <f>Deployments!BA500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Deployments!H501</f>
        <v>0</v>
      </c>
      <c r="B500" s="23">
        <f>Deployments!V501</f>
        <v>0</v>
      </c>
      <c r="C500" s="23">
        <f>Deployments!W501</f>
        <v>0</v>
      </c>
      <c r="D500" s="15">
        <f>Deployments!AJ501</f>
        <v>0</v>
      </c>
      <c r="E500" s="15">
        <f>Deployments!N501</f>
        <v>0</v>
      </c>
      <c r="F500" s="23">
        <f>Deployments!O501</f>
        <v>0</v>
      </c>
      <c r="G500" s="15">
        <f>Deployments!P501</f>
        <v>0</v>
      </c>
      <c r="H500" s="15">
        <f>'13 - Config_Intake_View'!M500</f>
        <v>0</v>
      </c>
      <c r="I500" s="23">
        <f>IF('13 - Config_Intake_View'!Q500&lt;&gt;"",'13 - Config_Intake_View'!Q500,Deployments!BH501)</f>
        <v>0</v>
      </c>
      <c r="J500" s="15" t="str">
        <f>IF('13 - Config_Intake_View'!Q500&lt;&gt;"","PM Approved",IF(Deployments!BH501&lt;&gt;"","Assumed",""))</f>
        <v/>
      </c>
      <c r="K500" s="23">
        <f>Deployments!BG501</f>
        <v>0</v>
      </c>
      <c r="L500" s="15">
        <f>Deployments!T501</f>
        <v>0</v>
      </c>
      <c r="M500" s="15">
        <f>Deployments!L501</f>
        <v>0</v>
      </c>
      <c r="N500" s="15" t="str">
        <f>Deployments!BK501</f>
        <v/>
      </c>
      <c r="O500" s="23" t="str">
        <f>Deployments!BL501</f>
        <v/>
      </c>
      <c r="P500" s="2">
        <f>Deployments!BA501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Deployments!H502</f>
        <v>0</v>
      </c>
      <c r="B501" s="23">
        <f>Deployments!V502</f>
        <v>0</v>
      </c>
      <c r="C501" s="23">
        <f>Deployments!W502</f>
        <v>0</v>
      </c>
      <c r="D501" s="15">
        <f>Deployments!AJ502</f>
        <v>0</v>
      </c>
      <c r="E501" s="15">
        <f>Deployments!N502</f>
        <v>0</v>
      </c>
      <c r="F501" s="23">
        <f>Deployments!O502</f>
        <v>0</v>
      </c>
      <c r="G501" s="15">
        <f>Deployments!P502</f>
        <v>0</v>
      </c>
      <c r="H501" s="15">
        <f>'13 - Config_Intake_View'!M501</f>
        <v>0</v>
      </c>
      <c r="I501" s="23">
        <f>IF('13 - Config_Intake_View'!Q501&lt;&gt;"",'13 - Config_Intake_View'!Q501,Deployments!BH502)</f>
        <v>0</v>
      </c>
      <c r="J501" s="15" t="str">
        <f>IF('13 - Config_Intake_View'!Q501&lt;&gt;"","PM Approved",IF(Deployments!BH502&lt;&gt;"","Assumed",""))</f>
        <v/>
      </c>
      <c r="K501" s="23">
        <f>Deployments!BG502</f>
        <v>0</v>
      </c>
      <c r="L501" s="15">
        <f>Deployments!T502</f>
        <v>0</v>
      </c>
      <c r="M501" s="15">
        <f>Deployments!L502</f>
        <v>0</v>
      </c>
      <c r="N501" s="15" t="str">
        <f>Deployments!BK502</f>
        <v/>
      </c>
      <c r="O501" s="23" t="str">
        <f>Deployments!BL502</f>
        <v/>
      </c>
      <c r="P501" s="2">
        <f>Deployments!BA502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Deployments!H503</f>
        <v>0</v>
      </c>
      <c r="B502" s="23">
        <f>Deployments!V503</f>
        <v>0</v>
      </c>
      <c r="C502" s="23">
        <f>Deployments!W503</f>
        <v>0</v>
      </c>
      <c r="D502" s="15">
        <f>Deployments!AJ503</f>
        <v>0</v>
      </c>
      <c r="E502" s="15">
        <f>Deployments!N503</f>
        <v>0</v>
      </c>
      <c r="F502" s="23">
        <f>Deployments!O503</f>
        <v>0</v>
      </c>
      <c r="G502" s="15">
        <f>Deployments!P503</f>
        <v>0</v>
      </c>
      <c r="H502" s="15">
        <f>'13 - Config_Intake_View'!M502</f>
        <v>0</v>
      </c>
      <c r="I502" s="23">
        <f>IF('13 - Config_Intake_View'!Q502&lt;&gt;"",'13 - Config_Intake_View'!Q502,Deployments!BH503)</f>
        <v>0</v>
      </c>
      <c r="J502" s="15" t="str">
        <f>IF('13 - Config_Intake_View'!Q502&lt;&gt;"","PM Approved",IF(Deployments!BH503&lt;&gt;"","Assumed",""))</f>
        <v/>
      </c>
      <c r="K502" s="23">
        <f>Deployments!BG503</f>
        <v>0</v>
      </c>
      <c r="L502" s="15">
        <f>Deployments!T503</f>
        <v>0</v>
      </c>
      <c r="M502" s="15">
        <f>Deployments!L503</f>
        <v>0</v>
      </c>
      <c r="N502" s="15" t="str">
        <f>Deployments!BK503</f>
        <v/>
      </c>
      <c r="O502" s="23" t="str">
        <f>Deployments!BL503</f>
        <v/>
      </c>
      <c r="P502" s="2">
        <f>Deployments!BA503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Deployments!H504</f>
        <v>0</v>
      </c>
      <c r="B503" s="23">
        <f>Deployments!V504</f>
        <v>0</v>
      </c>
      <c r="C503" s="23">
        <f>Deployments!W504</f>
        <v>0</v>
      </c>
      <c r="D503" s="15">
        <f>Deployments!AJ504</f>
        <v>0</v>
      </c>
      <c r="E503" s="15">
        <f>Deployments!N504</f>
        <v>0</v>
      </c>
      <c r="F503" s="23">
        <f>Deployments!O504</f>
        <v>0</v>
      </c>
      <c r="G503" s="15">
        <f>Deployments!P504</f>
        <v>0</v>
      </c>
      <c r="H503" s="15">
        <f>'13 - Config_Intake_View'!M503</f>
        <v>0</v>
      </c>
      <c r="I503" s="23">
        <f>IF('13 - Config_Intake_View'!Q503&lt;&gt;"",'13 - Config_Intake_View'!Q503,Deployments!BH504)</f>
        <v>0</v>
      </c>
      <c r="J503" s="15" t="str">
        <f>IF('13 - Config_Intake_View'!Q503&lt;&gt;"","PM Approved",IF(Deployments!BH504&lt;&gt;"","Assumed",""))</f>
        <v/>
      </c>
      <c r="K503" s="23">
        <f>Deployments!BG504</f>
        <v>0</v>
      </c>
      <c r="L503" s="15">
        <f>Deployments!T504</f>
        <v>0</v>
      </c>
      <c r="M503" s="15">
        <f>Deployments!L504</f>
        <v>0</v>
      </c>
      <c r="N503" s="15" t="str">
        <f>Deployments!BK504</f>
        <v/>
      </c>
      <c r="O503" s="23" t="str">
        <f>Deployments!BL504</f>
        <v/>
      </c>
      <c r="P503" s="2">
        <f>Deployments!BA504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1374</v>
      </c>
      <c r="B1" s="61" t="s">
        <v>1375</v>
      </c>
      <c r="C1" s="63"/>
      <c r="D1" s="61" t="s">
        <v>1376</v>
      </c>
      <c r="E1" s="63"/>
      <c r="F1" s="61" t="s">
        <v>1377</v>
      </c>
      <c r="G1" s="64"/>
      <c r="H1" s="63"/>
      <c r="I1" s="5"/>
      <c r="J1" s="61" t="s">
        <v>1378</v>
      </c>
      <c r="K1" s="63"/>
    </row>
    <row r="2" spans="1:11" ht="30" customHeight="1">
      <c r="A2" s="6"/>
      <c r="B2" s="6" t="s">
        <v>1279</v>
      </c>
      <c r="C2" s="6" t="s">
        <v>1363</v>
      </c>
      <c r="D2" s="6" t="s">
        <v>1279</v>
      </c>
      <c r="E2" s="6" t="s">
        <v>1363</v>
      </c>
      <c r="F2" s="6" t="s">
        <v>1379</v>
      </c>
      <c r="G2" s="6" t="s">
        <v>1380</v>
      </c>
      <c r="H2" s="6" t="s">
        <v>1381</v>
      </c>
      <c r="I2" s="6"/>
      <c r="J2" s="6" t="s">
        <v>1279</v>
      </c>
      <c r="K2" s="6" t="s">
        <v>1363</v>
      </c>
    </row>
    <row r="3" spans="1:11">
      <c r="A3" s="7" t="s">
        <v>1382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1383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1384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1385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1386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1387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1388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1389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1390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1391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1392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1393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1394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1395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1396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1397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1398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1399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1374</v>
      </c>
      <c r="B1" s="61" t="s">
        <v>1375</v>
      </c>
      <c r="C1" s="63"/>
      <c r="D1" s="61" t="s">
        <v>1376</v>
      </c>
      <c r="E1" s="63"/>
      <c r="F1" s="61" t="s">
        <v>1377</v>
      </c>
      <c r="G1" s="64"/>
      <c r="H1" s="63"/>
      <c r="I1" s="5"/>
      <c r="J1" s="61" t="s">
        <v>1378</v>
      </c>
      <c r="K1" s="63"/>
    </row>
    <row r="2" spans="1:11" ht="30" customHeight="1">
      <c r="A2" s="6"/>
      <c r="B2" s="6" t="s">
        <v>1279</v>
      </c>
      <c r="C2" s="6" t="s">
        <v>1363</v>
      </c>
      <c r="D2" s="6" t="s">
        <v>1279</v>
      </c>
      <c r="E2" s="6" t="s">
        <v>1363</v>
      </c>
      <c r="F2" s="6" t="s">
        <v>1379</v>
      </c>
      <c r="G2" s="6" t="s">
        <v>1380</v>
      </c>
      <c r="H2" s="6" t="s">
        <v>1381</v>
      </c>
      <c r="I2" s="6"/>
      <c r="J2" s="6" t="s">
        <v>1279</v>
      </c>
      <c r="K2" s="6" t="s">
        <v>1363</v>
      </c>
    </row>
    <row r="3" spans="1:11">
      <c r="A3" s="7" t="s">
        <v>1382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1383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1384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1385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1386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1387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1388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1389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1390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1391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1392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1393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1394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1395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1396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1397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1398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1399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1374</v>
      </c>
      <c r="B1" s="61" t="s">
        <v>1375</v>
      </c>
      <c r="C1" s="63"/>
      <c r="D1" s="61" t="s">
        <v>1376</v>
      </c>
      <c r="E1" s="63"/>
      <c r="F1" s="61" t="s">
        <v>1377</v>
      </c>
      <c r="G1" s="64"/>
      <c r="H1" s="63"/>
      <c r="I1" s="5"/>
      <c r="J1" s="61" t="s">
        <v>1378</v>
      </c>
      <c r="K1" s="63"/>
    </row>
    <row r="2" spans="1:11" ht="30" customHeight="1">
      <c r="A2" s="6"/>
      <c r="B2" s="6" t="s">
        <v>1279</v>
      </c>
      <c r="C2" s="6" t="s">
        <v>1363</v>
      </c>
      <c r="D2" s="6" t="s">
        <v>1279</v>
      </c>
      <c r="E2" s="6" t="s">
        <v>1363</v>
      </c>
      <c r="F2" s="6" t="s">
        <v>1379</v>
      </c>
      <c r="G2" s="6" t="s">
        <v>1380</v>
      </c>
      <c r="H2" s="6" t="s">
        <v>1381</v>
      </c>
      <c r="I2" s="6"/>
      <c r="J2" s="6" t="s">
        <v>1279</v>
      </c>
      <c r="K2" s="6" t="s">
        <v>1363</v>
      </c>
    </row>
    <row r="3" spans="1:11">
      <c r="A3" s="7" t="s">
        <v>1382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1383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1384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1385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1386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1387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1388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1389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1390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1391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1392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1393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1394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1395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1396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1397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1398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1399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1374</v>
      </c>
      <c r="B1" s="61" t="s">
        <v>1375</v>
      </c>
      <c r="C1" s="63"/>
      <c r="D1" s="61" t="s">
        <v>1376</v>
      </c>
      <c r="E1" s="63"/>
      <c r="F1" s="61" t="s">
        <v>1377</v>
      </c>
      <c r="G1" s="64"/>
      <c r="H1" s="63"/>
      <c r="I1" s="5"/>
      <c r="J1" s="61" t="s">
        <v>1378</v>
      </c>
      <c r="K1" s="63"/>
    </row>
    <row r="2" spans="1:11" ht="30" customHeight="1">
      <c r="A2" s="6"/>
      <c r="B2" s="6" t="s">
        <v>1279</v>
      </c>
      <c r="C2" s="6" t="s">
        <v>1363</v>
      </c>
      <c r="D2" s="6" t="s">
        <v>1279</v>
      </c>
      <c r="E2" s="6" t="s">
        <v>1363</v>
      </c>
      <c r="F2" s="6" t="s">
        <v>1379</v>
      </c>
      <c r="G2" s="6" t="s">
        <v>1380</v>
      </c>
      <c r="H2" s="6" t="s">
        <v>1381</v>
      </c>
      <c r="I2" s="6"/>
      <c r="J2" s="6" t="s">
        <v>1279</v>
      </c>
      <c r="K2" s="6" t="s">
        <v>1363</v>
      </c>
    </row>
    <row r="3" spans="1:11">
      <c r="A3" s="7" t="s">
        <v>1382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1383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1384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1385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1386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1387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1388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1389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1390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1391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1392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1393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1394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1395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1396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1397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1398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1399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1374</v>
      </c>
      <c r="B1" s="61" t="s">
        <v>1375</v>
      </c>
      <c r="C1" s="63"/>
      <c r="D1" s="61" t="s">
        <v>1376</v>
      </c>
      <c r="E1" s="63"/>
      <c r="F1" s="61" t="s">
        <v>1377</v>
      </c>
      <c r="G1" s="64"/>
      <c r="H1" s="63"/>
      <c r="I1" s="5"/>
      <c r="J1" s="61" t="s">
        <v>1378</v>
      </c>
      <c r="K1" s="63"/>
    </row>
    <row r="2" spans="1:11" ht="30" customHeight="1">
      <c r="A2" s="6"/>
      <c r="B2" s="6" t="s">
        <v>1279</v>
      </c>
      <c r="C2" s="6" t="s">
        <v>1363</v>
      </c>
      <c r="D2" s="6" t="s">
        <v>1279</v>
      </c>
      <c r="E2" s="6" t="s">
        <v>1363</v>
      </c>
      <c r="F2" s="6" t="s">
        <v>1379</v>
      </c>
      <c r="G2" s="6" t="s">
        <v>1380</v>
      </c>
      <c r="H2" s="6" t="s">
        <v>1381</v>
      </c>
      <c r="I2" s="6"/>
      <c r="J2" s="6" t="s">
        <v>1279</v>
      </c>
      <c r="K2" s="6" t="s">
        <v>1363</v>
      </c>
    </row>
    <row r="3" spans="1:11">
      <c r="A3" s="7" t="s">
        <v>1382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1383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1384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1385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1386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1387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1388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1389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1390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1391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1392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1393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1394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1395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1396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1397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1398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1399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1400</v>
      </c>
      <c r="B1" s="50" t="s">
        <v>1401</v>
      </c>
      <c r="C1" s="50" t="s">
        <v>1402</v>
      </c>
      <c r="D1" s="50" t="s">
        <v>1</v>
      </c>
      <c r="E1" s="50" t="s">
        <v>1403</v>
      </c>
      <c r="F1" s="50" t="s">
        <v>1404</v>
      </c>
      <c r="G1" s="50" t="s">
        <v>1405</v>
      </c>
      <c r="H1" s="50" t="s">
        <v>1374</v>
      </c>
      <c r="I1" s="50" t="s">
        <v>1406</v>
      </c>
      <c r="J1" s="50" t="s">
        <v>1407</v>
      </c>
      <c r="K1" s="50" t="s">
        <v>137</v>
      </c>
    </row>
    <row r="2" spans="1:11" ht="30">
      <c r="A2" s="3"/>
      <c r="B2" s="4" t="s">
        <v>1408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1409</v>
      </c>
      <c r="C3" s="4" t="s">
        <v>1410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1411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1412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1413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1414</v>
      </c>
      <c r="C7" s="4" t="s">
        <v>1415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1416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1417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1418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1419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1420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1421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1422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1423</v>
      </c>
      <c r="B15" s="4" t="s">
        <v>1424</v>
      </c>
      <c r="C15" s="4" t="s">
        <v>1425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1426</v>
      </c>
    </row>
    <row r="3" spans="1:6">
      <c r="A3" s="10" t="s">
        <v>1427</v>
      </c>
    </row>
    <row r="4" spans="1:6" ht="30" customHeight="1">
      <c r="A4" s="50" t="s">
        <v>1406</v>
      </c>
      <c r="B4" s="50" t="s">
        <v>1428</v>
      </c>
      <c r="C4" s="50" t="s">
        <v>1429</v>
      </c>
      <c r="D4" s="50" t="s">
        <v>1430</v>
      </c>
      <c r="E4" s="50" t="s">
        <v>1289</v>
      </c>
      <c r="F4" s="50" t="s">
        <v>1431</v>
      </c>
    </row>
    <row r="5" spans="1:6">
      <c r="A5" s="7" t="s">
        <v>1432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1433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1434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1435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1436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1437</v>
      </c>
    </row>
    <row r="14" spans="1:6">
      <c r="A14" s="50" t="s">
        <v>1438</v>
      </c>
      <c r="B14" s="50" t="s">
        <v>1240</v>
      </c>
    </row>
    <row r="15" spans="1:6">
      <c r="A15" s="7" t="s">
        <v>1439</v>
      </c>
      <c r="B15" s="8">
        <f t="array" ref="B15">SUMPRODUCT((Deployments!$W$2:$X$527&lt;&gt;"")*(Deployments!$AV$2:$AZ$527&lt;&gt;"Yes")*(Deployments!$AV$2:$AZ$527&lt;&gt;"N/A"))</f>
        <v>214</v>
      </c>
    </row>
    <row r="16" spans="1:6">
      <c r="A16" s="7" t="s">
        <v>1440</v>
      </c>
      <c r="B16" s="8">
        <f t="array" ref="B16">SUMPRODUCT((Deployments!$W$2:$X$527&lt;&gt;"")*(Deployments!$AW$2:$BA$527&lt;&gt;"Yes")*(Deployments!$AW$2:$BA$527&lt;&gt;"N/A"))</f>
        <v>179</v>
      </c>
    </row>
    <row r="17" spans="1:2">
      <c r="A17" s="7" t="s">
        <v>1441</v>
      </c>
      <c r="B17" s="8">
        <f t="array" ref="B17">SUMPRODUCT((Deployments!$W$2:$X$527&lt;&gt;"")*(Deployments!$BD$2:$BH$527&lt;&gt;"Yes")*(Deployments!$BD$2:$BH$527&lt;&gt;"N/A"))</f>
        <v>78</v>
      </c>
    </row>
    <row r="18" spans="1:2">
      <c r="A18" s="7" t="s">
        <v>1442</v>
      </c>
      <c r="B18" s="8">
        <f t="array" ref="B18">SUMPRODUCT((Deployments!$W$2:$X$527&lt;&gt;"")*(Deployments!$BD$2:$BH$527="Yes")*(Deployments!$BE$2:$BI$527&lt;&gt;"Yes")*(Deployments!$BE$2:$BI$527&lt;&gt;"N/A"))</f>
        <v>34</v>
      </c>
    </row>
    <row r="19" spans="1:2">
      <c r="A19" s="7" t="s">
        <v>1443</v>
      </c>
      <c r="B19" s="8" t="e">
        <f t="array" ref="B19">SUMPRODUCT((Deployments!$W$2:$X$527&lt;&gt;"")*(Deployments!$BI$2:$BM$527&lt;&gt;"Yes")*(Deployments!$BI$2:$BM$527&lt;&gt;"N/A"))</f>
        <v>#REF!</v>
      </c>
    </row>
    <row r="20" spans="1:2">
      <c r="A20" s="7" t="s">
        <v>1444</v>
      </c>
      <c r="B20" s="8" t="e">
        <f t="array" ref="B20">SUMPRODUCT((Deployments!$W$2:$X$527&lt;&gt;"")*(Deployments!$BJ$2:$BN$527&lt;&gt;"Yes")*(Deployments!$BJ$2:$BN$527&lt;&gt;"N/A"))</f>
        <v>#REF!</v>
      </c>
    </row>
    <row r="21" spans="1:2">
      <c r="A21" s="7" t="s">
        <v>1445</v>
      </c>
      <c r="B21" s="8">
        <f>COUNTIF(Deployments!BL2:BP527,"Yes")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1446</v>
      </c>
    </row>
    <row r="3" spans="1:7" ht="30" customHeight="1">
      <c r="A3" s="50" t="s">
        <v>1401</v>
      </c>
      <c r="B3" s="50" t="s">
        <v>1447</v>
      </c>
      <c r="C3" s="50" t="s">
        <v>1448</v>
      </c>
      <c r="D3" s="50" t="s">
        <v>1449</v>
      </c>
      <c r="E3" s="50" t="s">
        <v>1450</v>
      </c>
      <c r="F3" s="50" t="s">
        <v>1451</v>
      </c>
      <c r="G3" s="50" t="s">
        <v>137</v>
      </c>
    </row>
    <row r="4" spans="1:7" ht="150">
      <c r="A4" s="8" t="s">
        <v>1279</v>
      </c>
      <c r="B4" s="4" t="s">
        <v>1452</v>
      </c>
      <c r="C4" s="8" t="s">
        <v>1279</v>
      </c>
      <c r="D4" s="8" t="s">
        <v>1453</v>
      </c>
      <c r="E4" s="8"/>
      <c r="F4" s="12"/>
      <c r="G4" s="4"/>
    </row>
    <row r="5" spans="1:7" ht="30" customHeight="1">
      <c r="A5" s="8" t="s">
        <v>1279</v>
      </c>
      <c r="B5" s="4" t="s">
        <v>1454</v>
      </c>
      <c r="C5" s="8" t="s">
        <v>1279</v>
      </c>
      <c r="D5" s="8" t="s">
        <v>1453</v>
      </c>
      <c r="E5" s="8"/>
      <c r="F5" s="12"/>
      <c r="G5" s="4"/>
    </row>
    <row r="6" spans="1:7" ht="30" customHeight="1">
      <c r="A6" s="8" t="s">
        <v>1279</v>
      </c>
      <c r="B6" s="4" t="s">
        <v>1455</v>
      </c>
      <c r="C6" s="8" t="s">
        <v>1279</v>
      </c>
      <c r="D6" s="8" t="s">
        <v>1453</v>
      </c>
      <c r="E6" s="8"/>
      <c r="F6" s="12"/>
      <c r="G6" s="4"/>
    </row>
    <row r="7" spans="1:7" ht="30" customHeight="1">
      <c r="A7" s="8" t="s">
        <v>1279</v>
      </c>
      <c r="B7" s="4" t="s">
        <v>1456</v>
      </c>
      <c r="C7" s="8" t="s">
        <v>1279</v>
      </c>
      <c r="D7" s="8" t="s">
        <v>1453</v>
      </c>
      <c r="E7" s="8"/>
      <c r="F7" s="12"/>
      <c r="G7" s="4"/>
    </row>
    <row r="8" spans="1:7" ht="150">
      <c r="A8" s="8" t="s">
        <v>1279</v>
      </c>
      <c r="B8" s="4" t="s">
        <v>1457</v>
      </c>
      <c r="C8" s="8" t="s">
        <v>1279</v>
      </c>
      <c r="D8" s="8" t="s">
        <v>1453</v>
      </c>
      <c r="E8" s="8"/>
      <c r="F8" s="12"/>
      <c r="G8" s="4"/>
    </row>
    <row r="9" spans="1:7" ht="30" customHeight="1">
      <c r="A9" s="8" t="s">
        <v>1279</v>
      </c>
      <c r="B9" s="4" t="s">
        <v>1458</v>
      </c>
      <c r="C9" s="8" t="s">
        <v>1279</v>
      </c>
      <c r="D9" s="8" t="s">
        <v>1453</v>
      </c>
      <c r="E9" s="8"/>
      <c r="F9" s="12"/>
      <c r="G9" s="4"/>
    </row>
    <row r="10" spans="1:7" ht="45" customHeight="1">
      <c r="A10" s="8" t="s">
        <v>1459</v>
      </c>
      <c r="B10" s="4" t="s">
        <v>1460</v>
      </c>
      <c r="C10" s="8" t="s">
        <v>1279</v>
      </c>
      <c r="D10" s="8" t="s">
        <v>1453</v>
      </c>
      <c r="E10" s="8"/>
      <c r="F10" s="12"/>
      <c r="G10" s="4"/>
    </row>
    <row r="11" spans="1:7" ht="30" customHeight="1">
      <c r="A11" s="8" t="s">
        <v>1461</v>
      </c>
      <c r="B11" s="4" t="s">
        <v>1462</v>
      </c>
      <c r="C11" s="8" t="s">
        <v>1463</v>
      </c>
      <c r="D11" s="8" t="s">
        <v>1453</v>
      </c>
      <c r="E11" s="8"/>
      <c r="F11" s="12"/>
      <c r="G11" s="4"/>
    </row>
    <row r="12" spans="1:7" ht="30" customHeight="1">
      <c r="A12" s="8" t="s">
        <v>1464</v>
      </c>
      <c r="B12" s="4" t="s">
        <v>1465</v>
      </c>
      <c r="C12" s="8" t="s">
        <v>1279</v>
      </c>
      <c r="D12" s="8" t="s">
        <v>1453</v>
      </c>
      <c r="E12" s="8"/>
      <c r="F12" s="12"/>
      <c r="G12" s="4"/>
    </row>
    <row r="13" spans="1:7" ht="30" customHeight="1">
      <c r="A13" s="8" t="s">
        <v>1466</v>
      </c>
      <c r="B13" s="4" t="s">
        <v>1467</v>
      </c>
      <c r="C13" s="8" t="s">
        <v>1279</v>
      </c>
      <c r="D13" s="8" t="s">
        <v>1453</v>
      </c>
      <c r="E13" s="8"/>
      <c r="F13" s="12"/>
      <c r="G13" s="4"/>
    </row>
    <row r="14" spans="1:7" ht="30" customHeight="1">
      <c r="A14" s="8" t="s">
        <v>1468</v>
      </c>
      <c r="B14" s="4" t="s">
        <v>1469</v>
      </c>
      <c r="C14" s="8" t="s">
        <v>1470</v>
      </c>
      <c r="D14" s="8" t="s">
        <v>1453</v>
      </c>
      <c r="E14" s="8"/>
      <c r="F14" s="12"/>
      <c r="G14" s="4"/>
    </row>
    <row r="15" spans="1:7" ht="30" customHeight="1">
      <c r="A15" s="8" t="s">
        <v>1468</v>
      </c>
      <c r="B15" s="4" t="s">
        <v>1471</v>
      </c>
      <c r="C15" s="8" t="s">
        <v>1279</v>
      </c>
      <c r="D15" s="8" t="s">
        <v>1453</v>
      </c>
      <c r="E15" s="8"/>
      <c r="F15" s="12"/>
      <c r="G15" s="4"/>
    </row>
    <row r="16" spans="1:7" ht="30" customHeight="1">
      <c r="A16" s="8" t="s">
        <v>1468</v>
      </c>
      <c r="B16" s="4" t="s">
        <v>1472</v>
      </c>
      <c r="C16" s="8" t="s">
        <v>1363</v>
      </c>
      <c r="D16" s="8" t="s">
        <v>1453</v>
      </c>
      <c r="E16" s="8"/>
      <c r="F16" s="12"/>
      <c r="G16" s="4"/>
    </row>
    <row r="17" spans="1:7" ht="30" customHeight="1">
      <c r="A17" s="8" t="s">
        <v>1468</v>
      </c>
      <c r="B17" s="4" t="s">
        <v>1473</v>
      </c>
      <c r="C17" s="8" t="s">
        <v>1363</v>
      </c>
      <c r="D17" s="8" t="s">
        <v>1453</v>
      </c>
      <c r="E17" s="8"/>
      <c r="F17" s="12"/>
      <c r="G17" s="4"/>
    </row>
    <row r="18" spans="1:7" ht="150">
      <c r="A18" s="8" t="s">
        <v>1468</v>
      </c>
      <c r="B18" s="4" t="s">
        <v>1474</v>
      </c>
      <c r="C18" s="8" t="s">
        <v>1363</v>
      </c>
      <c r="D18" s="8" t="s">
        <v>1453</v>
      </c>
      <c r="E18" s="8"/>
      <c r="F18" s="12"/>
      <c r="G18" s="4"/>
    </row>
    <row r="19" spans="1:7" ht="30" customHeight="1">
      <c r="A19" s="8" t="s">
        <v>1475</v>
      </c>
      <c r="B19" s="4" t="s">
        <v>1476</v>
      </c>
      <c r="C19" s="8" t="s">
        <v>1363</v>
      </c>
      <c r="D19" s="8" t="s">
        <v>1453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1477</v>
      </c>
    </row>
    <row r="3" spans="1:8" ht="30" customHeight="1">
      <c r="A3" s="50" t="s">
        <v>1374</v>
      </c>
      <c r="B3" s="50" t="s">
        <v>1478</v>
      </c>
      <c r="C3" s="50" t="s">
        <v>1479</v>
      </c>
      <c r="D3" s="50" t="s">
        <v>1480</v>
      </c>
      <c r="E3" s="50" t="s">
        <v>1481</v>
      </c>
      <c r="F3" s="50" t="s">
        <v>1482</v>
      </c>
      <c r="G3" s="50" t="s">
        <v>1483</v>
      </c>
      <c r="H3" s="50" t="s">
        <v>137</v>
      </c>
    </row>
    <row r="4" spans="1:8" ht="75">
      <c r="A4" s="8" t="s">
        <v>1382</v>
      </c>
      <c r="B4" s="8" t="s">
        <v>1484</v>
      </c>
      <c r="C4" s="8" t="s">
        <v>1484</v>
      </c>
      <c r="D4" s="8" t="s">
        <v>1484</v>
      </c>
      <c r="E4" s="8" t="s">
        <v>1484</v>
      </c>
      <c r="F4" s="8" t="s">
        <v>1484</v>
      </c>
      <c r="G4" s="8" t="s">
        <v>1484</v>
      </c>
      <c r="H4" s="4"/>
    </row>
    <row r="5" spans="1:8" ht="75">
      <c r="A5" s="8" t="s">
        <v>1383</v>
      </c>
      <c r="B5" s="8" t="s">
        <v>1484</v>
      </c>
      <c r="C5" s="8" t="s">
        <v>1484</v>
      </c>
      <c r="D5" s="8" t="s">
        <v>1484</v>
      </c>
      <c r="E5" s="8" t="s">
        <v>1484</v>
      </c>
      <c r="F5" s="8" t="s">
        <v>1484</v>
      </c>
      <c r="G5" s="8" t="s">
        <v>1484</v>
      </c>
      <c r="H5" s="4"/>
    </row>
    <row r="6" spans="1:8" ht="75">
      <c r="A6" s="8" t="s">
        <v>1384</v>
      </c>
      <c r="B6" s="8" t="s">
        <v>1484</v>
      </c>
      <c r="C6" s="8" t="s">
        <v>1484</v>
      </c>
      <c r="D6" s="8" t="s">
        <v>1484</v>
      </c>
      <c r="E6" s="8" t="s">
        <v>1484</v>
      </c>
      <c r="F6" s="8" t="s">
        <v>1484</v>
      </c>
      <c r="G6" s="8" t="s">
        <v>1484</v>
      </c>
      <c r="H6" s="4"/>
    </row>
    <row r="7" spans="1:8" ht="75">
      <c r="A7" s="8" t="s">
        <v>1385</v>
      </c>
      <c r="B7" s="8" t="s">
        <v>1484</v>
      </c>
      <c r="C7" s="8" t="s">
        <v>1484</v>
      </c>
      <c r="D7" s="8" t="s">
        <v>1484</v>
      </c>
      <c r="E7" s="8" t="s">
        <v>1484</v>
      </c>
      <c r="F7" s="8" t="s">
        <v>1484</v>
      </c>
      <c r="G7" s="8" t="s">
        <v>1484</v>
      </c>
      <c r="H7" s="4"/>
    </row>
    <row r="8" spans="1:8" ht="75">
      <c r="A8" s="8" t="s">
        <v>1386</v>
      </c>
      <c r="B8" s="8" t="s">
        <v>1484</v>
      </c>
      <c r="C8" s="8" t="s">
        <v>1484</v>
      </c>
      <c r="D8" s="8" t="s">
        <v>1484</v>
      </c>
      <c r="E8" s="8" t="s">
        <v>1484</v>
      </c>
      <c r="F8" s="8" t="s">
        <v>1484</v>
      </c>
      <c r="G8" s="8" t="s">
        <v>1484</v>
      </c>
      <c r="H8" s="4"/>
    </row>
    <row r="9" spans="1:8" ht="75">
      <c r="A9" s="8" t="s">
        <v>1387</v>
      </c>
      <c r="B9" s="8" t="s">
        <v>1484</v>
      </c>
      <c r="C9" s="8" t="s">
        <v>1484</v>
      </c>
      <c r="D9" s="8" t="s">
        <v>1484</v>
      </c>
      <c r="E9" s="8" t="s">
        <v>1484</v>
      </c>
      <c r="F9" s="8" t="s">
        <v>1484</v>
      </c>
      <c r="G9" s="8" t="s">
        <v>1484</v>
      </c>
      <c r="H9" s="4"/>
    </row>
    <row r="10" spans="1:8" ht="75">
      <c r="A10" s="8" t="s">
        <v>1388</v>
      </c>
      <c r="B10" s="8" t="s">
        <v>1484</v>
      </c>
      <c r="C10" s="8" t="s">
        <v>1484</v>
      </c>
      <c r="D10" s="8" t="s">
        <v>1484</v>
      </c>
      <c r="E10" s="8" t="s">
        <v>1484</v>
      </c>
      <c r="F10" s="8" t="s">
        <v>1484</v>
      </c>
      <c r="G10" s="8" t="s">
        <v>1484</v>
      </c>
      <c r="H10" s="4"/>
    </row>
    <row r="11" spans="1:8" ht="75">
      <c r="A11" s="8" t="s">
        <v>1389</v>
      </c>
      <c r="B11" s="8" t="s">
        <v>1484</v>
      </c>
      <c r="C11" s="8" t="s">
        <v>1484</v>
      </c>
      <c r="D11" s="8" t="s">
        <v>1484</v>
      </c>
      <c r="E11" s="8" t="s">
        <v>1484</v>
      </c>
      <c r="F11" s="8" t="s">
        <v>1484</v>
      </c>
      <c r="G11" s="8" t="s">
        <v>1484</v>
      </c>
      <c r="H11" s="4"/>
    </row>
    <row r="12" spans="1:8" ht="75">
      <c r="A12" s="8" t="s">
        <v>1390</v>
      </c>
      <c r="B12" s="8" t="s">
        <v>1484</v>
      </c>
      <c r="C12" s="8" t="s">
        <v>1484</v>
      </c>
      <c r="D12" s="8" t="s">
        <v>1484</v>
      </c>
      <c r="E12" s="8" t="s">
        <v>1484</v>
      </c>
      <c r="F12" s="8" t="s">
        <v>1484</v>
      </c>
      <c r="G12" s="8" t="s">
        <v>1484</v>
      </c>
      <c r="H12" s="4"/>
    </row>
    <row r="13" spans="1:8" ht="75">
      <c r="A13" s="8" t="s">
        <v>1391</v>
      </c>
      <c r="B13" s="8" t="s">
        <v>1484</v>
      </c>
      <c r="C13" s="8" t="s">
        <v>1484</v>
      </c>
      <c r="D13" s="8" t="s">
        <v>1484</v>
      </c>
      <c r="E13" s="8" t="s">
        <v>1484</v>
      </c>
      <c r="F13" s="8" t="s">
        <v>1484</v>
      </c>
      <c r="G13" s="8" t="s">
        <v>1484</v>
      </c>
      <c r="H13" s="4"/>
    </row>
    <row r="14" spans="1:8" ht="75">
      <c r="A14" s="8" t="s">
        <v>1392</v>
      </c>
      <c r="B14" s="8" t="s">
        <v>1484</v>
      </c>
      <c r="C14" s="8" t="s">
        <v>1484</v>
      </c>
      <c r="D14" s="8" t="s">
        <v>1484</v>
      </c>
      <c r="E14" s="8" t="s">
        <v>1484</v>
      </c>
      <c r="F14" s="8" t="s">
        <v>1484</v>
      </c>
      <c r="G14" s="8" t="s">
        <v>1484</v>
      </c>
      <c r="H14" s="4"/>
    </row>
    <row r="15" spans="1:8" ht="75">
      <c r="A15" s="8" t="s">
        <v>1393</v>
      </c>
      <c r="B15" s="8" t="s">
        <v>1484</v>
      </c>
      <c r="C15" s="8" t="s">
        <v>1484</v>
      </c>
      <c r="D15" s="8" t="s">
        <v>1484</v>
      </c>
      <c r="E15" s="8" t="s">
        <v>1484</v>
      </c>
      <c r="F15" s="8" t="s">
        <v>1484</v>
      </c>
      <c r="G15" s="8" t="s">
        <v>1484</v>
      </c>
      <c r="H15" s="4"/>
    </row>
    <row r="16" spans="1:8" ht="75">
      <c r="A16" s="8" t="s">
        <v>1394</v>
      </c>
      <c r="B16" s="8" t="s">
        <v>1484</v>
      </c>
      <c r="C16" s="8" t="s">
        <v>1484</v>
      </c>
      <c r="D16" s="8" t="s">
        <v>1484</v>
      </c>
      <c r="E16" s="8" t="s">
        <v>1484</v>
      </c>
      <c r="F16" s="8" t="s">
        <v>1484</v>
      </c>
      <c r="G16" s="8" t="s">
        <v>1484</v>
      </c>
      <c r="H16" s="4"/>
    </row>
    <row r="17" spans="1:8" ht="75">
      <c r="A17" s="8" t="s">
        <v>1395</v>
      </c>
      <c r="B17" s="8" t="s">
        <v>1484</v>
      </c>
      <c r="C17" s="8" t="s">
        <v>1484</v>
      </c>
      <c r="D17" s="8" t="s">
        <v>1484</v>
      </c>
      <c r="E17" s="8" t="s">
        <v>1484</v>
      </c>
      <c r="F17" s="8" t="s">
        <v>1484</v>
      </c>
      <c r="G17" s="8" t="s">
        <v>1484</v>
      </c>
      <c r="H17" s="4"/>
    </row>
    <row r="18" spans="1:8" ht="75">
      <c r="A18" s="8" t="s">
        <v>1396</v>
      </c>
      <c r="B18" s="8" t="s">
        <v>1484</v>
      </c>
      <c r="C18" s="8" t="s">
        <v>1484</v>
      </c>
      <c r="D18" s="8" t="s">
        <v>1484</v>
      </c>
      <c r="E18" s="8" t="s">
        <v>1484</v>
      </c>
      <c r="F18" s="8" t="s">
        <v>1484</v>
      </c>
      <c r="G18" s="8" t="s">
        <v>1484</v>
      </c>
      <c r="H18" s="4"/>
    </row>
    <row r="19" spans="1:8" ht="75">
      <c r="A19" s="8" t="s">
        <v>1397</v>
      </c>
      <c r="B19" s="8" t="s">
        <v>1484</v>
      </c>
      <c r="C19" s="8" t="s">
        <v>1484</v>
      </c>
      <c r="D19" s="8" t="s">
        <v>1484</v>
      </c>
      <c r="E19" s="8" t="s">
        <v>1484</v>
      </c>
      <c r="F19" s="8" t="s">
        <v>1484</v>
      </c>
      <c r="G19" s="8" t="s">
        <v>1484</v>
      </c>
      <c r="H19" s="4"/>
    </row>
    <row r="20" spans="1:8" ht="75">
      <c r="A20" s="8" t="s">
        <v>1398</v>
      </c>
      <c r="B20" s="8" t="s">
        <v>1484</v>
      </c>
      <c r="C20" s="8" t="s">
        <v>1484</v>
      </c>
      <c r="D20" s="8" t="s">
        <v>1484</v>
      </c>
      <c r="E20" s="8" t="s">
        <v>1484</v>
      </c>
      <c r="F20" s="8" t="s">
        <v>1484</v>
      </c>
      <c r="G20" s="8" t="s">
        <v>1484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1485</v>
      </c>
    </row>
    <row r="3" spans="1:5" ht="90">
      <c r="A3" s="50" t="s">
        <v>1486</v>
      </c>
      <c r="B3" s="50" t="s">
        <v>1487</v>
      </c>
      <c r="C3" s="50" t="s">
        <v>1488</v>
      </c>
      <c r="D3" s="50" t="s">
        <v>1489</v>
      </c>
      <c r="E3" s="50" t="s">
        <v>1490</v>
      </c>
    </row>
    <row r="4" spans="1:5" ht="60" customHeight="1">
      <c r="A4" s="4">
        <f>374</f>
        <v>374</v>
      </c>
      <c r="B4" s="4" t="s">
        <v>1491</v>
      </c>
      <c r="C4" s="4"/>
      <c r="D4" s="4"/>
      <c r="E4" s="4"/>
    </row>
    <row r="5" spans="1:5" ht="60" customHeight="1">
      <c r="A5" s="4">
        <f>4/4</f>
        <v>1</v>
      </c>
      <c r="B5" s="4" t="s">
        <v>1492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1493</v>
      </c>
      <c r="C6" s="4"/>
      <c r="D6" s="4"/>
      <c r="E6" s="4"/>
    </row>
    <row r="7" spans="1:5" ht="30" customHeight="1">
      <c r="A7" s="4">
        <f>D22/38</f>
        <v>0</v>
      </c>
      <c r="B7" s="4" t="s">
        <v>1494</v>
      </c>
      <c r="C7" s="4"/>
      <c r="D7" s="4"/>
      <c r="E7" s="4"/>
    </row>
    <row r="8" spans="1:5" ht="30" customHeight="1">
      <c r="A8" s="4">
        <f>D23/38</f>
        <v>0</v>
      </c>
      <c r="B8" s="4" t="s">
        <v>1495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1496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1497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1498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1499</v>
      </c>
      <c r="C12" s="4"/>
      <c r="D12" s="4"/>
      <c r="E12" s="4"/>
    </row>
    <row r="13" spans="1:5" ht="30" customHeight="1">
      <c r="A13" s="4">
        <f>389/389</f>
        <v>1</v>
      </c>
      <c r="B13" s="4" t="s">
        <v>1500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1501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1502</v>
      </c>
      <c r="C15" s="4"/>
      <c r="D15" s="4"/>
      <c r="E15" s="4"/>
    </row>
    <row r="16" spans="1:5" ht="60" customHeight="1">
      <c r="A16" s="4">
        <f>COUNTA(#REF!)</f>
        <v>1</v>
      </c>
      <c r="B16" s="4" t="s">
        <v>1503</v>
      </c>
      <c r="C16" s="4"/>
      <c r="D16" s="4"/>
      <c r="E16" s="4"/>
    </row>
    <row r="17" spans="1:5" ht="30" customHeight="1">
      <c r="A17" s="4">
        <f>SUM(AY3:AY10)</f>
        <v>0</v>
      </c>
      <c r="B17" s="4" t="s">
        <v>1504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1505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1506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1507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1508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1509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1510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1511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1512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1513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1514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1515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1516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1517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1518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1519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1520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1521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1522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1523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1524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1525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1526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1527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1528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1529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1530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1531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1532</v>
      </c>
      <c r="C45" s="4"/>
      <c r="D45" s="4"/>
      <c r="E45" s="4"/>
    </row>
    <row r="46" spans="1:5" ht="30.75" customHeight="1">
      <c r="A46" s="4" t="e">
        <v>#VALUE!</v>
      </c>
      <c r="B46" s="4" t="s">
        <v>1533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1534</v>
      </c>
      <c r="C47" s="4"/>
      <c r="D47" s="4"/>
      <c r="E47" s="4"/>
    </row>
    <row r="48" spans="1:5" ht="30.75" customHeight="1">
      <c r="A48" s="4" t="e">
        <v>#VALUE!</v>
      </c>
      <c r="B48" s="4" t="s">
        <v>1535</v>
      </c>
      <c r="C48" s="4"/>
      <c r="D48" s="4"/>
      <c r="E48" s="4"/>
    </row>
    <row r="49" spans="1:5" ht="30.75" customHeight="1">
      <c r="A49" s="4" t="e">
        <v>#VALUE!</v>
      </c>
      <c r="B49" s="4" t="s">
        <v>1536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1537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1538</v>
      </c>
      <c r="C51" s="4"/>
      <c r="D51" s="4"/>
      <c r="E51" s="4"/>
    </row>
    <row r="52" spans="1:5" ht="30.75" customHeight="1">
      <c r="A52" s="4" t="e">
        <v>#VALUE!</v>
      </c>
      <c r="B52" s="4" t="s">
        <v>1539</v>
      </c>
      <c r="C52" s="4"/>
      <c r="D52" s="4"/>
      <c r="E52" s="4"/>
    </row>
    <row r="53" spans="1:5" ht="30.75" customHeight="1">
      <c r="A53" s="4" t="e">
        <v>#VALUE!</v>
      </c>
      <c r="B53" s="4" t="s">
        <v>1540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1541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1542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1543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1544</v>
      </c>
      <c r="C57" s="4"/>
      <c r="D57" s="4"/>
      <c r="E57" s="4"/>
    </row>
    <row r="58" spans="1:5" ht="30" customHeight="1">
      <c r="A58" s="4"/>
      <c r="B58" s="4" t="s">
        <v>1545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1546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1547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1548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1549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1550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1551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1552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1553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1554</v>
      </c>
    </row>
    <row r="3" spans="1:7">
      <c r="A3" t="s">
        <v>1555</v>
      </c>
      <c r="C3" t="s">
        <v>1556</v>
      </c>
      <c r="E3" t="s">
        <v>1557</v>
      </c>
      <c r="G3" t="s">
        <v>1558</v>
      </c>
    </row>
    <row r="4" spans="1:7" ht="195" customHeight="1">
      <c r="A4" s="2" t="s">
        <v>1559</v>
      </c>
      <c r="C4" s="2" t="s">
        <v>1560</v>
      </c>
      <c r="E4" s="2" t="s">
        <v>1561</v>
      </c>
      <c r="G4" s="2" t="s">
        <v>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2026-03-02T19:36:12Z</dcterms:modified>
  <cp:category/>
  <cp:contentStatus/>
</cp:coreProperties>
</file>