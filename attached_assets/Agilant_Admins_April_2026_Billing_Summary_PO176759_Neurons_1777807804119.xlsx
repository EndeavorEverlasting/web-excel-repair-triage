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 showInkAnnotation="0" autoCompressPictures="0"/>
  <xr:revisionPtr revIDLastSave="11" documentId="11_3385598C3398B1F6A3CBD73F147F25C77C79F320" xr6:coauthVersionLast="47" xr6:coauthVersionMax="47" xr10:uidLastSave="{C4DD18F8-C49E-498A-B6DC-93667FA8162E}"/>
  <bookViews>
    <workbookView xWindow="0" yWindow="0" windowWidth="0" windowHeight="0" activeTab="2" xr2:uid="{00000000-000D-0000-FFFF-FFFF00000000}"/>
  </bookViews>
  <sheets>
    <sheet name="April 2026 Updated Candidate" sheetId="2" r:id="rId1"/>
    <sheet name="Billing Summary - April 2026" sheetId="1" r:id="rId2"/>
    <sheet name="Invoice Pivots - Candidate" sheetId="3" r:id="rId3"/>
  </sheets>
  <externalReferences>
    <externalReference r:id="rId4"/>
  </externalReferenc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" i="2" l="1"/>
  <c r="E38" i="2"/>
  <c r="D38" i="2"/>
  <c r="C38" i="2"/>
  <c r="B16" i="2"/>
  <c r="E16" i="2" s="1"/>
  <c r="E15" i="2"/>
  <c r="E17" i="2" s="1"/>
  <c r="E18" i="2" s="1"/>
  <c r="B10" i="2"/>
  <c r="B9" i="2"/>
  <c r="B8" i="2"/>
  <c r="B7" i="2"/>
  <c r="B6" i="2"/>
</calcChain>
</file>

<file path=xl/sharedStrings.xml><?xml version="1.0" encoding="utf-8"?>
<sst xmlns="http://schemas.openxmlformats.org/spreadsheetml/2006/main" count="1007" uniqueCount="146">
  <si>
    <t>April 2026 Billing Summary - Candidate</t>
  </si>
  <si>
    <t>Separating Logistics from Device Integration; Including Lunch Deductions</t>
  </si>
  <si>
    <t>Monthly Rollup</t>
  </si>
  <si>
    <t>Pivot by Team / Project Bucket</t>
  </si>
  <si>
    <t>Metric</t>
  </si>
  <si>
    <t>Value</t>
  </si>
  <si>
    <t>Basis</t>
  </si>
  <si>
    <t>Notes</t>
  </si>
  <si>
    <t>Team / Project Bucket</t>
  </si>
  <si>
    <t>Tech Count</t>
  </si>
  <si>
    <t>Daily Rows</t>
  </si>
  <si>
    <t>Gross Hours</t>
  </si>
  <si>
    <t>Lunch Deducted</t>
  </si>
  <si>
    <t>Net Billable Hours</t>
  </si>
  <si>
    <t>Gross hours</t>
  </si>
  <si>
    <t>Live April + Apr 12 logistics only</t>
  </si>
  <si>
    <t>Before lunch deduction</t>
  </si>
  <si>
    <t>Delivery / Transport / Disposal</t>
  </si>
  <si>
    <t>Lunch deducted</t>
  </si>
  <si>
    <t>Policy / user instruction</t>
  </si>
  <si>
    <t>AAA lunch: 1h per 8-5 shift</t>
  </si>
  <si>
    <t>Neuron Deployments</t>
  </si>
  <si>
    <t>Net billable hours</t>
  </si>
  <si>
    <t>Gross - lunch</t>
  </si>
  <si>
    <t>Use unless company billing policy overrides</t>
  </si>
  <si>
    <t>Projects Team</t>
  </si>
  <si>
    <t>Tracked staff</t>
  </si>
  <si>
    <t>Distinct staff</t>
  </si>
  <si>
    <t>Includes Apr 12 AAA logistics crew</t>
  </si>
  <si>
    <t>Unassigned / Review</t>
  </si>
  <si>
    <t>Daily work rows</t>
  </si>
  <si>
    <t>Daily detail rows</t>
  </si>
  <si>
    <t>Original tracker rows + 3 Apr 12 logistics rows</t>
  </si>
  <si>
    <t>iPhone Support</t>
  </si>
  <si>
    <t>TOTAL</t>
  </si>
  <si>
    <t>AAA Invoice-Ready Calculation - April 12 Only</t>
  </si>
  <si>
    <t>Line Item</t>
  </si>
  <si>
    <t>Qty</t>
  </si>
  <si>
    <t>Unit</t>
  </si>
  <si>
    <t>Rate</t>
  </si>
  <si>
    <t>Amount</t>
  </si>
  <si>
    <t>Truck + logistics support</t>
  </si>
  <si>
    <t>day</t>
  </si>
  <si>
    <t>Single-day logistics / disposal support on Apr 12</t>
  </si>
  <si>
    <t>Labor: 3-person logistics team</t>
  </si>
  <si>
    <t>crew-hours</t>
  </si>
  <si>
    <t>3 staff x 8 net billable hours</t>
  </si>
  <si>
    <t>Subtotal</t>
  </si>
  <si>
    <t>Total Due</t>
  </si>
  <si>
    <t>PO 176759 | Net 30 | USD</t>
  </si>
  <si>
    <t>Staff Rollup</t>
  </si>
  <si>
    <t>Val Weekly Hours</t>
  </si>
  <si>
    <t>Staff Name</t>
  </si>
  <si>
    <t>Team / Project Bucket(s)</t>
  </si>
  <si>
    <t>Source</t>
  </si>
  <si>
    <t>Week</t>
  </si>
  <si>
    <t>Date Range</t>
  </si>
  <si>
    <t>Projects</t>
  </si>
  <si>
    <t>Days Worked</t>
  </si>
  <si>
    <t>Aamir Ali</t>
  </si>
  <si>
    <t>AAA Logistics</t>
  </si>
  <si>
    <t>Apr 1–5</t>
  </si>
  <si>
    <t>Aatif Ali</t>
  </si>
  <si>
    <t>Apr 6–12</t>
  </si>
  <si>
    <t>Abdul Gopang</t>
  </si>
  <si>
    <t>Apr 13–19</t>
  </si>
  <si>
    <t>Alejandro Perales</t>
  </si>
  <si>
    <t>Tracker</t>
  </si>
  <si>
    <t>Apr 20–26</t>
  </si>
  <si>
    <t>Asher Ali</t>
  </si>
  <si>
    <t>April-to-date</t>
  </si>
  <si>
    <t>Christopher Cummings</t>
  </si>
  <si>
    <t>Cyen Heyliger</t>
  </si>
  <si>
    <t>Neuron Deployments, Projects Team</t>
  </si>
  <si>
    <t>Delroy Harris</t>
  </si>
  <si>
    <t>Emmanuel Sanchez</t>
  </si>
  <si>
    <t>Geoff Gerber</t>
  </si>
  <si>
    <t>Khadejah Harrison</t>
  </si>
  <si>
    <t>Md Suhan Newaz</t>
  </si>
  <si>
    <t>Patricia Marrero</t>
  </si>
  <si>
    <t>Rich Perez</t>
  </si>
  <si>
    <t>Valentyn Nykoliuk</t>
  </si>
  <si>
    <t>All</t>
  </si>
  <si>
    <t>All tracked staff</t>
  </si>
  <si>
    <t>Daily Billing Detail with Lunch Deduction</t>
  </si>
  <si>
    <t>Date</t>
  </si>
  <si>
    <t>Clock In</t>
  </si>
  <si>
    <t>Clock Out</t>
  </si>
  <si>
    <t>Lunch Deduction</t>
  </si>
  <si>
    <t>Source / Rule</t>
  </si>
  <si>
    <t>Live April + Worked Projects; lunch rule applied</t>
  </si>
  <si>
    <t>Apr 6-12</t>
  </si>
  <si>
    <t>Corrected: April 12 invoice only; 8-5 shift; 1h lunch deducted</t>
  </si>
  <si>
    <t>Hours by Project</t>
  </si>
  <si>
    <t>Project</t>
  </si>
  <si>
    <t>Live - April 2026</t>
  </si>
  <si>
    <t>Policy rule</t>
  </si>
  <si>
    <t>0 under 6h; 0.5 from 6 to &lt;8h; 1.0 at 8h+</t>
  </si>
  <si>
    <t>Use this for billing unless company policy says otherwise</t>
  </si>
  <si>
    <t>Techs with April hours</t>
  </si>
  <si>
    <t>Val Daily Detail</t>
  </si>
  <si>
    <t>Trucking / Logistics Invoice Cost Placeholder</t>
  </si>
  <si>
    <t>Invoice / Cost Item</t>
  </si>
  <si>
    <t>Vendor</t>
  </si>
  <si>
    <t>Date / Range</t>
  </si>
  <si>
    <t>Project Bucket</t>
  </si>
  <si>
    <t>Amount ($)</t>
  </si>
  <si>
    <t>Status</t>
  </si>
  <si>
    <t>April 12, 2026 Work Market Hours -AAA</t>
  </si>
  <si>
    <t>Completed Invoice on 4/27/2026</t>
  </si>
  <si>
    <t xml:space="preserve">Represents the total for hours. </t>
  </si>
  <si>
    <t>April 12, 2026 logistics invoice</t>
  </si>
  <si>
    <t xml:space="preserve">Represents the cost of trucking. </t>
  </si>
  <si>
    <t>Invoice Pivot Summary - Candidate</t>
  </si>
  <si>
    <t>Monthly invoice aggregation from the invoice ledger. This is pivot-style and formula-driven so new rows can be added to the ledger.</t>
  </si>
  <si>
    <t>Monthly Invoice Totals</t>
  </si>
  <si>
    <t>Totals by Category</t>
  </si>
  <si>
    <t>Service Month</t>
  </si>
  <si>
    <t>Invoice Count</t>
  </si>
  <si>
    <t>Trucking</t>
  </si>
  <si>
    <t>Labor</t>
  </si>
  <si>
    <t>Courier</t>
  </si>
  <si>
    <t>Other</t>
  </si>
  <si>
    <t>Total</t>
  </si>
  <si>
    <t>PO Count</t>
  </si>
  <si>
    <t>Invoice Category</t>
  </si>
  <si>
    <t>AAA Disposal / Logistics</t>
  </si>
  <si>
    <t>Agilant Weekday Logistics</t>
  </si>
  <si>
    <t>Cybernet Logistics / Mixed Courier</t>
  </si>
  <si>
    <t>New York Minute Courier</t>
  </si>
  <si>
    <t>Totals by PO Number</t>
  </si>
  <si>
    <t>Totals by Project</t>
  </si>
  <si>
    <t>Totals by Vendor / Crew</t>
  </si>
  <si>
    <t>PO Number</t>
  </si>
  <si>
    <t>Vendor / Crew</t>
  </si>
  <si>
    <t>1427182</t>
  </si>
  <si>
    <t>Epic Hospital Device Integration</t>
  </si>
  <si>
    <t>AAA Logistics Crew</t>
  </si>
  <si>
    <t>176759</t>
  </si>
  <si>
    <t>Corrected April PO</t>
  </si>
  <si>
    <t>LIJ Epic Hospital Device Integration</t>
  </si>
  <si>
    <t>Mixed / Cybernet Logistics</t>
  </si>
  <si>
    <t>New York Minute Messenger</t>
  </si>
  <si>
    <t>Audit Notes</t>
  </si>
  <si>
    <t>1</t>
  </si>
  <si>
    <t>April 12 AAA logistics uses corrected PO 176759, truck $150, labor 24 hours at $29, total $846.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</si>
</sst>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"/>
    <numFmt numFmtId="165" formatCode="mmm\ yyyy"/>
    <numFmt numFmtId="166" formatCode="\$#,##0.00"/>
  </numFmts>
  <fonts count="16">
    <font>
      <sz val="11"/>
      <name val="Carlito"/>
    </font>
    <font>
      <b/>
      <sz val="16"/>
      <color rgb="FF1F2937"/>
      <name val="Carlito"/>
    </font>
    <font>
      <sz val="10"/>
      <color rgb="FF374151"/>
      <name val="Carlito"/>
    </font>
    <font>
      <b/>
      <sz val="12"/>
      <color rgb="FF111827"/>
      <name val="Carlito"/>
    </font>
    <font>
      <b/>
      <sz val="11"/>
      <color rgb="FF111827"/>
      <name val="Carlito"/>
    </font>
    <font>
      <sz val="10"/>
      <color rgb="FF111827"/>
      <name val="Carlito"/>
    </font>
    <font>
      <b/>
      <sz val="10"/>
      <color rgb="FF111827"/>
      <name val="Carlito"/>
    </font>
    <font>
      <b/>
      <sz val="10"/>
      <color rgb="FFFFFFFF"/>
      <name val="Aptos"/>
    </font>
    <font>
      <sz val="10"/>
      <name val="Aptos"/>
    </font>
    <font>
      <i/>
      <sz val="10"/>
      <color rgb="FF1F365C"/>
      <name val="Aptos"/>
    </font>
    <font>
      <b/>
      <sz val="10"/>
      <color rgb="FF1F365C"/>
      <name val="Aptos"/>
    </font>
    <font>
      <b/>
      <sz val="16"/>
      <color rgb="FFFFFFFF"/>
      <name val="Aptos"/>
    </font>
    <font>
      <b/>
      <sz val="16"/>
      <color rgb="FFFFFFFF"/>
      <name val="Carlito"/>
    </font>
    <font>
      <i/>
      <sz val="11"/>
      <color rgb="FF111827"/>
      <name val="Carlito"/>
    </font>
    <font>
      <b/>
      <sz val="11"/>
      <color rgb="FFFFFFFF"/>
      <name val="Carlito"/>
    </font>
    <font>
      <b/>
      <sz val="11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1F365C"/>
      </patternFill>
    </fill>
    <fill>
      <patternFill patternType="solid">
        <fgColor rgb="FFEAF1F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1F2937"/>
      </patternFill>
    </fill>
    <fill>
      <patternFill patternType="solid">
        <fgColor rgb="FFDBEAFE"/>
      </patternFill>
    </fill>
    <fill>
      <patternFill patternType="solid">
        <fgColor rgb="FF0F766E"/>
      </patternFill>
    </fill>
    <fill>
      <patternFill patternType="solid">
        <fgColor rgb="FF374151"/>
      </patternFill>
    </fill>
    <fill>
      <patternFill patternType="solid">
        <fgColor rgb="FFDCFCE7"/>
      </patternFill>
    </fill>
  </fills>
  <borders count="4">
    <border>
      <left/>
      <right/>
      <top/>
      <bottom/>
      <diagonal/>
    </border>
    <border>
      <left/>
      <right/>
      <top/>
      <bottom style="thin">
        <color rgb="FF9CA3AF"/>
      </bottom>
      <diagonal/>
    </border>
    <border>
      <left/>
      <right/>
      <top/>
      <bottom style="thin">
        <color rgb="FFE5E7EB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2" fontId="5" fillId="0" borderId="0" xfId="0" applyNumberFormat="1" applyFont="1"/>
    <xf numFmtId="2" fontId="0" fillId="0" borderId="0" xfId="0" applyNumberFormat="1"/>
    <xf numFmtId="14" fontId="5" fillId="0" borderId="0" xfId="0" applyNumberFormat="1" applyFont="1"/>
    <xf numFmtId="14" fontId="0" fillId="0" borderId="0" xfId="0" applyNumberFormat="1"/>
    <xf numFmtId="18" fontId="5" fillId="0" borderId="0" xfId="0" applyNumberFormat="1" applyFont="1"/>
    <xf numFmtId="18" fontId="0" fillId="0" borderId="0" xfId="0" applyNumberFormat="1"/>
    <xf numFmtId="0" fontId="4" fillId="0" borderId="1" xfId="0" applyFont="1" applyBorder="1"/>
    <xf numFmtId="0" fontId="5" fillId="0" borderId="2" xfId="0" applyFont="1" applyBorder="1"/>
    <xf numFmtId="2" fontId="5" fillId="0" borderId="2" xfId="0" applyNumberFormat="1" applyFont="1" applyBorder="1"/>
    <xf numFmtId="14" fontId="5" fillId="0" borderId="2" xfId="0" applyNumberFormat="1" applyFont="1" applyBorder="1"/>
    <xf numFmtId="18" fontId="5" fillId="0" borderId="2" xfId="0" applyNumberFormat="1" applyFont="1" applyBorder="1"/>
    <xf numFmtId="14" fontId="6" fillId="0" borderId="2" xfId="0" applyNumberFormat="1" applyFont="1" applyBorder="1"/>
    <xf numFmtId="0" fontId="6" fillId="0" borderId="2" xfId="0" applyFont="1" applyBorder="1"/>
    <xf numFmtId="2" fontId="6" fillId="0" borderId="2" xfId="0" applyNumberFormat="1" applyFont="1" applyBorder="1"/>
    <xf numFmtId="0" fontId="8" fillId="0" borderId="0" xfId="0" applyFont="1" applyAlignment="1">
      <alignment wrapText="1"/>
    </xf>
    <xf numFmtId="0" fontId="10" fillId="4" borderId="3" xfId="0" applyFont="1" applyFill="1" applyBorder="1" applyAlignment="1">
      <alignment horizontal="center" wrapText="1"/>
    </xf>
    <xf numFmtId="0" fontId="8" fillId="0" borderId="3" xfId="0" applyFont="1" applyBorder="1" applyAlignment="1">
      <alignment wrapText="1"/>
    </xf>
    <xf numFmtId="2" fontId="8" fillId="0" borderId="3" xfId="0" applyNumberFormat="1" applyFont="1" applyBorder="1" applyAlignment="1">
      <alignment wrapText="1"/>
    </xf>
    <xf numFmtId="0" fontId="10" fillId="5" borderId="3" xfId="0" applyFont="1" applyFill="1" applyBorder="1" applyAlignment="1">
      <alignment wrapText="1"/>
    </xf>
    <xf numFmtId="2" fontId="10" fillId="5" borderId="3" xfId="0" applyNumberFormat="1" applyFont="1" applyFill="1" applyBorder="1" applyAlignment="1">
      <alignment wrapText="1"/>
    </xf>
    <xf numFmtId="164" fontId="8" fillId="0" borderId="3" xfId="0" applyNumberFormat="1" applyFont="1" applyBorder="1" applyAlignment="1">
      <alignment wrapText="1"/>
    </xf>
    <xf numFmtId="164" fontId="10" fillId="5" borderId="3" xfId="0" applyNumberFormat="1" applyFont="1" applyFill="1" applyBorder="1" applyAlignment="1">
      <alignment wrapText="1"/>
    </xf>
    <xf numFmtId="14" fontId="8" fillId="0" borderId="3" xfId="0" applyNumberFormat="1" applyFont="1" applyBorder="1" applyAlignment="1">
      <alignment wrapText="1"/>
    </xf>
    <xf numFmtId="18" fontId="8" fillId="0" borderId="3" xfId="0" applyNumberFormat="1" applyFont="1" applyBorder="1" applyAlignment="1">
      <alignment wrapText="1"/>
    </xf>
    <xf numFmtId="0" fontId="7" fillId="2" borderId="3" xfId="0" applyFont="1" applyFill="1" applyBorder="1" applyAlignment="1">
      <alignment horizontal="center" wrapText="1"/>
    </xf>
    <xf numFmtId="0" fontId="11" fillId="2" borderId="0" xfId="0" applyFont="1" applyFill="1" applyAlignment="1">
      <alignment horizontal="center" wrapText="1"/>
    </xf>
    <xf numFmtId="0" fontId="9" fillId="3" borderId="0" xfId="0" applyFont="1" applyFill="1" applyAlignment="1">
      <alignment wrapText="1"/>
    </xf>
    <xf numFmtId="0" fontId="12" fillId="6" borderId="0" xfId="0" applyFont="1" applyFill="1" applyAlignment="1">
      <alignment horizontal="center" vertical="center"/>
    </xf>
    <xf numFmtId="0" fontId="13" fillId="7" borderId="0" xfId="0" applyFont="1" applyFill="1" applyAlignment="1">
      <alignment wrapText="1"/>
    </xf>
    <xf numFmtId="0" fontId="14" fillId="8" borderId="0" xfId="0" applyFont="1" applyFill="1" applyAlignment="1">
      <alignment horizontal="center"/>
    </xf>
    <xf numFmtId="0" fontId="14" fillId="9" borderId="0" xfId="0" applyFont="1" applyFill="1" applyAlignment="1">
      <alignment horizontal="center"/>
    </xf>
    <xf numFmtId="165" fontId="0" fillId="0" borderId="0" xfId="0" applyNumberFormat="1"/>
    <xf numFmtId="166" fontId="0" fillId="0" borderId="0" xfId="0" applyNumberFormat="1"/>
    <xf numFmtId="0" fontId="15" fillId="10" borderId="0" xfId="0" applyFont="1" applyFill="1"/>
    <xf numFmtId="166" fontId="15" fillId="10" borderId="0" xfId="0" applyNumberFormat="1" applyFont="1" applyFill="1"/>
    <xf numFmtId="0" fontId="14" fillId="6" borderId="0" xfId="0" applyFont="1" applyFill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CANDIDATE_April_2026_Billing_Summary_PO176759_with_Invoice_Aggregates_Cyen_Neurons_Corrected.xlsx?8EFE44B7" TargetMode="External"/><Relationship Id="rId1" Type="http://schemas.openxmlformats.org/officeDocument/2006/relationships/externalLinkPath" Target="file:///\\8EFE44B7\CANDIDATE_April_2026_Billing_Summary_PO176759_with_Invoice_Aggregates_Cyen_Neurons_Correc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oice Ledger - Candidate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89999084444715716"/>
  </sheetPr>
  <dimension ref="A1:O132"/>
  <sheetViews>
    <sheetView zoomScaleNormal="100" zoomScaleSheetLayoutView="100" workbookViewId="0">
      <selection activeCell="J8" sqref="J8"/>
    </sheetView>
  </sheetViews>
  <sheetFormatPr defaultRowHeight="15"/>
  <cols>
    <col min="1" max="1" width="22.125" customWidth="1"/>
    <col min="2" max="2" width="17.875" customWidth="1"/>
    <col min="3" max="3" width="16.375" customWidth="1"/>
    <col min="4" max="4" width="25.75" customWidth="1"/>
    <col min="5" max="5" width="12.875" customWidth="1"/>
    <col min="6" max="6" width="25" customWidth="1"/>
    <col min="7" max="8" width="13.625" customWidth="1"/>
    <col min="9" max="9" width="17.875" customWidth="1"/>
    <col min="10" max="10" width="22.125" customWidth="1"/>
    <col min="11" max="15" width="16.375" customWidth="1"/>
  </cols>
  <sheetData>
    <row r="1" spans="1:1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19"/>
      <c r="M1" s="19"/>
      <c r="N1" s="19"/>
      <c r="O1" s="19"/>
    </row>
    <row r="2" spans="1:15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19"/>
      <c r="M2" s="19"/>
      <c r="N2" s="19"/>
      <c r="O2" s="19"/>
    </row>
    <row r="3" spans="1:15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>
      <c r="A4" s="29" t="s">
        <v>2</v>
      </c>
      <c r="B4" s="29"/>
      <c r="C4" s="29"/>
      <c r="D4" s="29"/>
      <c r="E4" s="19"/>
      <c r="F4" s="29" t="s">
        <v>3</v>
      </c>
      <c r="G4" s="29"/>
      <c r="H4" s="29"/>
      <c r="I4" s="29"/>
      <c r="J4" s="29"/>
      <c r="K4" s="29"/>
      <c r="L4" s="19"/>
      <c r="M4" s="19"/>
      <c r="N4" s="19"/>
      <c r="O4" s="19"/>
    </row>
    <row r="5" spans="1:15">
      <c r="A5" s="20" t="s">
        <v>4</v>
      </c>
      <c r="B5" s="20" t="s">
        <v>5</v>
      </c>
      <c r="C5" s="20" t="s">
        <v>6</v>
      </c>
      <c r="D5" s="20" t="s">
        <v>7</v>
      </c>
      <c r="E5" s="19"/>
      <c r="F5" s="20" t="s">
        <v>8</v>
      </c>
      <c r="G5" s="20" t="s">
        <v>9</v>
      </c>
      <c r="H5" s="20" t="s">
        <v>10</v>
      </c>
      <c r="I5" s="20" t="s">
        <v>11</v>
      </c>
      <c r="J5" s="20" t="s">
        <v>12</v>
      </c>
      <c r="K5" s="20" t="s">
        <v>13</v>
      </c>
      <c r="L5" s="19"/>
      <c r="M5" s="19"/>
      <c r="N5" s="19"/>
      <c r="O5" s="19"/>
    </row>
    <row r="6" spans="1:15">
      <c r="A6" s="21" t="s">
        <v>14</v>
      </c>
      <c r="B6" s="22">
        <f>SUM($G$41:$G$132)</f>
        <v>749.92000000000007</v>
      </c>
      <c r="C6" s="21" t="s">
        <v>15</v>
      </c>
      <c r="D6" s="21" t="s">
        <v>16</v>
      </c>
      <c r="E6" s="19"/>
      <c r="F6" s="21" t="s">
        <v>17</v>
      </c>
      <c r="G6" s="21">
        <v>3</v>
      </c>
      <c r="H6" s="21">
        <v>3</v>
      </c>
      <c r="I6" s="22">
        <v>27</v>
      </c>
      <c r="J6" s="22">
        <v>3</v>
      </c>
      <c r="K6" s="22">
        <v>24</v>
      </c>
      <c r="L6" s="19"/>
      <c r="M6" s="19"/>
      <c r="N6" s="19"/>
      <c r="O6" s="19"/>
    </row>
    <row r="7" spans="1:15">
      <c r="A7" s="21" t="s">
        <v>18</v>
      </c>
      <c r="B7" s="22">
        <f>SUM($H$41:$H$132)</f>
        <v>71</v>
      </c>
      <c r="C7" s="21" t="s">
        <v>19</v>
      </c>
      <c r="D7" s="21" t="s">
        <v>20</v>
      </c>
      <c r="E7" s="19"/>
      <c r="F7" s="21" t="s">
        <v>21</v>
      </c>
      <c r="G7" s="21">
        <v>10</v>
      </c>
      <c r="H7" s="21">
        <v>84</v>
      </c>
      <c r="I7" s="22">
        <v>688.67</v>
      </c>
      <c r="J7" s="22">
        <v>66</v>
      </c>
      <c r="K7" s="22">
        <v>622.66999999999996</v>
      </c>
      <c r="L7" s="19"/>
      <c r="M7" s="19"/>
      <c r="N7" s="19"/>
      <c r="O7" s="19"/>
    </row>
    <row r="8" spans="1:15">
      <c r="A8" s="21" t="s">
        <v>22</v>
      </c>
      <c r="B8" s="22">
        <f>SUM($I$41:$I$132)</f>
        <v>678.92000000000007</v>
      </c>
      <c r="C8" s="21" t="s">
        <v>23</v>
      </c>
      <c r="D8" s="21" t="s">
        <v>24</v>
      </c>
      <c r="E8" s="19"/>
      <c r="F8" s="21" t="s">
        <v>25</v>
      </c>
      <c r="G8" s="21">
        <v>2</v>
      </c>
      <c r="H8" s="21">
        <v>2</v>
      </c>
      <c r="I8" s="22">
        <v>20</v>
      </c>
      <c r="J8" s="22">
        <v>2</v>
      </c>
      <c r="K8" s="22">
        <v>18</v>
      </c>
      <c r="L8" s="19"/>
      <c r="M8" s="19"/>
      <c r="N8" s="19"/>
      <c r="O8" s="19"/>
    </row>
    <row r="9" spans="1:15">
      <c r="A9" s="21" t="s">
        <v>26</v>
      </c>
      <c r="B9" s="22">
        <f>ROWS($A$22:$A$36)</f>
        <v>15</v>
      </c>
      <c r="C9" s="21" t="s">
        <v>27</v>
      </c>
      <c r="D9" s="21" t="s">
        <v>28</v>
      </c>
      <c r="E9" s="19"/>
      <c r="F9" s="21" t="s">
        <v>29</v>
      </c>
      <c r="G9" s="21">
        <v>1</v>
      </c>
      <c r="H9" s="21">
        <v>3</v>
      </c>
      <c r="I9" s="22">
        <v>14.25</v>
      </c>
      <c r="J9" s="22">
        <v>0</v>
      </c>
      <c r="K9" s="22">
        <v>14.25</v>
      </c>
      <c r="L9" s="19"/>
      <c r="M9" s="19"/>
      <c r="N9" s="19"/>
      <c r="O9" s="19"/>
    </row>
    <row r="10" spans="1:15">
      <c r="A10" s="21" t="s">
        <v>30</v>
      </c>
      <c r="B10" s="22">
        <f>COUNTA($A$41:$A$132)</f>
        <v>92</v>
      </c>
      <c r="C10" s="21" t="s">
        <v>31</v>
      </c>
      <c r="D10" s="21" t="s">
        <v>32</v>
      </c>
      <c r="E10" s="19"/>
      <c r="F10" s="21" t="s">
        <v>33</v>
      </c>
      <c r="G10" s="21">
        <v>0</v>
      </c>
      <c r="H10" s="21">
        <v>0</v>
      </c>
      <c r="I10" s="22">
        <v>0</v>
      </c>
      <c r="J10" s="22">
        <v>0</v>
      </c>
      <c r="K10" s="22">
        <v>0</v>
      </c>
      <c r="L10" s="19"/>
      <c r="M10" s="19"/>
      <c r="N10" s="19"/>
      <c r="O10" s="19"/>
    </row>
    <row r="11" spans="1:15">
      <c r="A11" s="19"/>
      <c r="B11" s="19"/>
      <c r="C11" s="19"/>
      <c r="D11" s="19"/>
      <c r="E11" s="19"/>
      <c r="F11" s="23" t="s">
        <v>34</v>
      </c>
      <c r="G11" s="23">
        <v>15</v>
      </c>
      <c r="H11" s="23">
        <v>92</v>
      </c>
      <c r="I11" s="24">
        <v>749.92</v>
      </c>
      <c r="J11" s="24">
        <v>71</v>
      </c>
      <c r="K11" s="24">
        <v>678.92</v>
      </c>
      <c r="L11" s="19"/>
      <c r="M11" s="19"/>
      <c r="N11" s="19"/>
      <c r="O11" s="19"/>
    </row>
    <row r="12" spans="1:15">
      <c r="A12" s="19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</row>
    <row r="13" spans="1:15">
      <c r="A13" s="29" t="s">
        <v>35</v>
      </c>
      <c r="B13" s="29"/>
      <c r="C13" s="29"/>
      <c r="D13" s="29"/>
      <c r="E13" s="29"/>
      <c r="F13" s="29"/>
      <c r="G13" s="19"/>
      <c r="H13" s="19"/>
      <c r="I13" s="19"/>
      <c r="J13" s="19"/>
      <c r="K13" s="19"/>
      <c r="L13" s="19"/>
      <c r="M13" s="19"/>
      <c r="N13" s="19"/>
      <c r="O13" s="19"/>
    </row>
    <row r="14" spans="1:15">
      <c r="A14" s="20" t="s">
        <v>36</v>
      </c>
      <c r="B14" s="20" t="s">
        <v>37</v>
      </c>
      <c r="C14" s="20" t="s">
        <v>38</v>
      </c>
      <c r="D14" s="20" t="s">
        <v>39</v>
      </c>
      <c r="E14" s="20" t="s">
        <v>40</v>
      </c>
      <c r="F14" s="20" t="s">
        <v>7</v>
      </c>
      <c r="G14" s="19"/>
      <c r="H14" s="19"/>
      <c r="I14" s="19"/>
      <c r="J14" s="19"/>
      <c r="K14" s="19"/>
      <c r="L14" s="19"/>
      <c r="M14" s="19"/>
      <c r="N14" s="19"/>
      <c r="O14" s="19"/>
    </row>
    <row r="15" spans="1:15" ht="25.5">
      <c r="A15" s="21" t="s">
        <v>41</v>
      </c>
      <c r="B15" s="21">
        <v>1</v>
      </c>
      <c r="C15" s="21" t="s">
        <v>42</v>
      </c>
      <c r="D15" s="25">
        <v>150</v>
      </c>
      <c r="E15" s="25">
        <f>B15*D15</f>
        <v>150</v>
      </c>
      <c r="F15" s="21" t="s">
        <v>43</v>
      </c>
      <c r="G15" s="19"/>
      <c r="H15" s="19"/>
      <c r="I15" s="19"/>
      <c r="J15" s="19"/>
      <c r="K15" s="19"/>
      <c r="L15" s="19"/>
      <c r="M15" s="19"/>
      <c r="N15" s="19"/>
      <c r="O15" s="19"/>
    </row>
    <row r="16" spans="1:15">
      <c r="A16" s="21" t="s">
        <v>44</v>
      </c>
      <c r="B16" s="21">
        <f>SUMIFS($I$41:$I$132,$D$41:$D$132,"Delivery / Transport / Disposal",$B$41:$B$132,46124)</f>
        <v>24</v>
      </c>
      <c r="C16" s="21" t="s">
        <v>45</v>
      </c>
      <c r="D16" s="25">
        <v>29</v>
      </c>
      <c r="E16" s="25">
        <f>B16*D16</f>
        <v>696</v>
      </c>
      <c r="F16" s="21" t="s">
        <v>46</v>
      </c>
      <c r="G16" s="19"/>
      <c r="H16" s="19"/>
      <c r="I16" s="19"/>
      <c r="J16" s="19"/>
      <c r="K16" s="19"/>
      <c r="L16" s="19"/>
      <c r="M16" s="19"/>
      <c r="N16" s="19"/>
      <c r="O16" s="19"/>
    </row>
    <row r="17" spans="1:15">
      <c r="A17" s="21" t="s">
        <v>47</v>
      </c>
      <c r="B17" s="21"/>
      <c r="C17" s="21"/>
      <c r="D17" s="25"/>
      <c r="E17" s="25">
        <f>SUM(E15:E16)</f>
        <v>846</v>
      </c>
      <c r="F17" s="21"/>
      <c r="G17" s="19"/>
      <c r="H17" s="19"/>
      <c r="I17" s="19"/>
      <c r="J17" s="19"/>
      <c r="K17" s="19"/>
      <c r="L17" s="19"/>
      <c r="M17" s="19"/>
      <c r="N17" s="19"/>
      <c r="O17" s="19"/>
    </row>
    <row r="18" spans="1:15">
      <c r="A18" s="23" t="s">
        <v>48</v>
      </c>
      <c r="B18" s="23"/>
      <c r="C18" s="23"/>
      <c r="D18" s="26"/>
      <c r="E18" s="26">
        <f>E17</f>
        <v>846</v>
      </c>
      <c r="F18" s="23" t="s">
        <v>49</v>
      </c>
      <c r="G18" s="19"/>
      <c r="H18" s="19"/>
      <c r="I18" s="19"/>
      <c r="J18" s="19"/>
      <c r="K18" s="19"/>
      <c r="L18" s="19"/>
      <c r="M18" s="19"/>
      <c r="N18" s="19"/>
      <c r="O18" s="19"/>
    </row>
    <row r="19" spans="1:15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</row>
    <row r="20" spans="1:15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</row>
    <row r="21" spans="1:15">
      <c r="A21" s="29" t="s">
        <v>50</v>
      </c>
      <c r="B21" s="29"/>
      <c r="C21" s="29"/>
      <c r="D21" s="29"/>
      <c r="E21" s="29"/>
      <c r="F21" s="29"/>
      <c r="G21" s="29"/>
      <c r="H21" s="19"/>
      <c r="I21" s="29" t="s">
        <v>51</v>
      </c>
      <c r="J21" s="29"/>
      <c r="K21" s="29"/>
      <c r="L21" s="29"/>
      <c r="M21" s="29"/>
      <c r="N21" s="29"/>
      <c r="O21" s="29"/>
    </row>
    <row r="22" spans="1:15">
      <c r="A22" s="20" t="s">
        <v>52</v>
      </c>
      <c r="B22" s="20" t="s">
        <v>53</v>
      </c>
      <c r="C22" s="20" t="s">
        <v>10</v>
      </c>
      <c r="D22" s="20" t="s">
        <v>11</v>
      </c>
      <c r="E22" s="20" t="s">
        <v>12</v>
      </c>
      <c r="F22" s="20" t="s">
        <v>13</v>
      </c>
      <c r="G22" s="20" t="s">
        <v>54</v>
      </c>
      <c r="H22" s="19"/>
      <c r="I22" s="20" t="s">
        <v>55</v>
      </c>
      <c r="J22" s="20" t="s">
        <v>56</v>
      </c>
      <c r="K22" s="20" t="s">
        <v>57</v>
      </c>
      <c r="L22" s="20" t="s">
        <v>58</v>
      </c>
      <c r="M22" s="20" t="s">
        <v>11</v>
      </c>
      <c r="N22" s="20" t="s">
        <v>12</v>
      </c>
      <c r="O22" s="20" t="s">
        <v>13</v>
      </c>
    </row>
    <row r="23" spans="1:15">
      <c r="A23" s="21" t="s">
        <v>59</v>
      </c>
      <c r="B23" s="21" t="s">
        <v>17</v>
      </c>
      <c r="C23" s="21">
        <v>1</v>
      </c>
      <c r="D23" s="22">
        <v>9</v>
      </c>
      <c r="E23" s="22">
        <v>1</v>
      </c>
      <c r="F23" s="22">
        <v>8</v>
      </c>
      <c r="G23" s="21" t="s">
        <v>60</v>
      </c>
      <c r="H23" s="19"/>
      <c r="I23" s="27">
        <v>46111</v>
      </c>
      <c r="J23" s="22" t="s">
        <v>61</v>
      </c>
      <c r="K23" s="22" t="s">
        <v>21</v>
      </c>
      <c r="L23" s="22">
        <v>1</v>
      </c>
      <c r="M23" s="22">
        <v>5.5</v>
      </c>
      <c r="N23" s="22">
        <v>0</v>
      </c>
      <c r="O23" s="22">
        <v>5.5</v>
      </c>
    </row>
    <row r="24" spans="1:15">
      <c r="A24" s="21" t="s">
        <v>62</v>
      </c>
      <c r="B24" s="21" t="s">
        <v>17</v>
      </c>
      <c r="C24" s="21">
        <v>1</v>
      </c>
      <c r="D24" s="22">
        <v>9</v>
      </c>
      <c r="E24" s="22">
        <v>1</v>
      </c>
      <c r="F24" s="22">
        <v>8</v>
      </c>
      <c r="G24" s="21" t="s">
        <v>60</v>
      </c>
      <c r="H24" s="19"/>
      <c r="I24" s="27">
        <v>46118</v>
      </c>
      <c r="J24" s="22" t="s">
        <v>63</v>
      </c>
      <c r="K24" s="22" t="s">
        <v>21</v>
      </c>
      <c r="L24" s="22">
        <v>1</v>
      </c>
      <c r="M24" s="22">
        <v>10</v>
      </c>
      <c r="N24" s="22">
        <v>1</v>
      </c>
      <c r="O24" s="22">
        <v>9</v>
      </c>
    </row>
    <row r="25" spans="1:15">
      <c r="A25" s="21" t="s">
        <v>64</v>
      </c>
      <c r="B25" s="21" t="s">
        <v>17</v>
      </c>
      <c r="C25" s="21">
        <v>1</v>
      </c>
      <c r="D25" s="22">
        <v>9</v>
      </c>
      <c r="E25" s="22">
        <v>1</v>
      </c>
      <c r="F25" s="22">
        <v>8</v>
      </c>
      <c r="G25" s="21" t="s">
        <v>60</v>
      </c>
      <c r="H25" s="19"/>
      <c r="I25" s="27">
        <v>46125</v>
      </c>
      <c r="J25" s="22" t="s">
        <v>65</v>
      </c>
      <c r="K25" s="22" t="s">
        <v>21</v>
      </c>
      <c r="L25" s="22">
        <v>3</v>
      </c>
      <c r="M25" s="22">
        <v>30</v>
      </c>
      <c r="N25" s="22">
        <v>3</v>
      </c>
      <c r="O25" s="22">
        <v>27</v>
      </c>
    </row>
    <row r="26" spans="1:15">
      <c r="A26" s="21" t="s">
        <v>66</v>
      </c>
      <c r="B26" s="21" t="s">
        <v>21</v>
      </c>
      <c r="C26" s="21">
        <v>13</v>
      </c>
      <c r="D26" s="22">
        <v>66.48</v>
      </c>
      <c r="E26" s="22">
        <v>2</v>
      </c>
      <c r="F26" s="22">
        <v>64.48</v>
      </c>
      <c r="G26" s="21" t="s">
        <v>67</v>
      </c>
      <c r="H26" s="19"/>
      <c r="I26" s="27">
        <v>46132</v>
      </c>
      <c r="J26" s="22" t="s">
        <v>68</v>
      </c>
      <c r="K26" s="22" t="s">
        <v>21</v>
      </c>
      <c r="L26" s="22">
        <v>3</v>
      </c>
      <c r="M26" s="22">
        <v>19.75</v>
      </c>
      <c r="N26" s="22">
        <v>1.5</v>
      </c>
      <c r="O26" s="22">
        <v>18.25</v>
      </c>
    </row>
    <row r="27" spans="1:15">
      <c r="A27" s="21" t="s">
        <v>69</v>
      </c>
      <c r="B27" s="21" t="s">
        <v>21</v>
      </c>
      <c r="C27" s="21">
        <v>2</v>
      </c>
      <c r="D27" s="22">
        <v>17</v>
      </c>
      <c r="E27" s="22">
        <v>1</v>
      </c>
      <c r="F27" s="22">
        <v>16</v>
      </c>
      <c r="G27" s="21" t="s">
        <v>67</v>
      </c>
      <c r="H27" s="19"/>
      <c r="I27" s="27" t="s">
        <v>34</v>
      </c>
      <c r="J27" s="22" t="s">
        <v>70</v>
      </c>
      <c r="K27" s="22" t="s">
        <v>21</v>
      </c>
      <c r="L27" s="22">
        <v>8</v>
      </c>
      <c r="M27" s="22">
        <v>65.25</v>
      </c>
      <c r="N27" s="22">
        <v>5.5</v>
      </c>
      <c r="O27" s="22">
        <v>59.75</v>
      </c>
    </row>
    <row r="28" spans="1:15">
      <c r="A28" s="21" t="s">
        <v>71</v>
      </c>
      <c r="B28" s="21" t="s">
        <v>21</v>
      </c>
      <c r="C28" s="21">
        <v>1</v>
      </c>
      <c r="D28" s="22">
        <v>7.02</v>
      </c>
      <c r="E28" s="22">
        <v>0.5</v>
      </c>
      <c r="F28" s="22">
        <v>6.52</v>
      </c>
      <c r="G28" s="21" t="s">
        <v>67</v>
      </c>
      <c r="H28" s="19"/>
      <c r="I28" s="19"/>
      <c r="J28" s="19"/>
      <c r="K28" s="19"/>
      <c r="L28" s="19"/>
      <c r="M28" s="19"/>
      <c r="N28" s="19"/>
      <c r="O28" s="19"/>
    </row>
    <row r="29" spans="1:15">
      <c r="A29" s="21" t="s">
        <v>72</v>
      </c>
      <c r="B29" s="21" t="s">
        <v>73</v>
      </c>
      <c r="C29" s="21">
        <v>18</v>
      </c>
      <c r="D29" s="22">
        <v>163</v>
      </c>
      <c r="E29" s="22">
        <v>18</v>
      </c>
      <c r="F29" s="22">
        <v>145</v>
      </c>
      <c r="G29" s="21" t="s">
        <v>67</v>
      </c>
      <c r="H29" s="19"/>
      <c r="I29" s="19"/>
      <c r="J29" s="19"/>
      <c r="K29" s="19"/>
      <c r="L29" s="19"/>
      <c r="M29" s="19"/>
      <c r="N29" s="19"/>
      <c r="O29" s="19"/>
    </row>
    <row r="30" spans="1:15">
      <c r="A30" s="21" t="s">
        <v>74</v>
      </c>
      <c r="B30" s="21" t="s">
        <v>25</v>
      </c>
      <c r="C30" s="21">
        <v>1</v>
      </c>
      <c r="D30" s="22">
        <v>11.5</v>
      </c>
      <c r="E30" s="22">
        <v>1</v>
      </c>
      <c r="F30" s="22">
        <v>10.5</v>
      </c>
      <c r="G30" s="21" t="s">
        <v>67</v>
      </c>
      <c r="H30" s="19"/>
      <c r="I30" s="19"/>
      <c r="J30" s="19"/>
      <c r="K30" s="19"/>
      <c r="L30" s="19"/>
      <c r="M30" s="19"/>
      <c r="N30" s="19"/>
      <c r="O30" s="19"/>
    </row>
    <row r="31" spans="1:15">
      <c r="A31" s="21" t="s">
        <v>75</v>
      </c>
      <c r="B31" s="21" t="s">
        <v>21</v>
      </c>
      <c r="C31" s="21">
        <v>1</v>
      </c>
      <c r="D31" s="22">
        <v>3</v>
      </c>
      <c r="E31" s="22">
        <v>0</v>
      </c>
      <c r="F31" s="22">
        <v>3</v>
      </c>
      <c r="G31" s="21" t="s">
        <v>67</v>
      </c>
      <c r="H31" s="19"/>
      <c r="I31" s="19"/>
      <c r="J31" s="19"/>
      <c r="K31" s="19"/>
      <c r="L31" s="19"/>
      <c r="M31" s="19"/>
      <c r="N31" s="19"/>
      <c r="O31" s="19"/>
    </row>
    <row r="32" spans="1:15">
      <c r="A32" s="21" t="s">
        <v>76</v>
      </c>
      <c r="B32" s="21" t="s">
        <v>21</v>
      </c>
      <c r="C32" s="21">
        <v>17</v>
      </c>
      <c r="D32" s="22">
        <v>153</v>
      </c>
      <c r="E32" s="22">
        <v>17</v>
      </c>
      <c r="F32" s="22">
        <v>136</v>
      </c>
      <c r="G32" s="21" t="s">
        <v>67</v>
      </c>
      <c r="H32" s="19"/>
      <c r="I32" s="19"/>
      <c r="J32" s="19"/>
      <c r="K32" s="19"/>
      <c r="L32" s="19"/>
      <c r="M32" s="19"/>
      <c r="N32" s="19"/>
      <c r="O32" s="19"/>
    </row>
    <row r="33" spans="1:15">
      <c r="A33" s="21" t="s">
        <v>77</v>
      </c>
      <c r="B33" s="21" t="s">
        <v>21</v>
      </c>
      <c r="C33" s="21">
        <v>16</v>
      </c>
      <c r="D33" s="22">
        <v>144.91999999999999</v>
      </c>
      <c r="E33" s="22">
        <v>15.5</v>
      </c>
      <c r="F33" s="22">
        <v>129.41999999999999</v>
      </c>
      <c r="G33" s="21" t="s">
        <v>67</v>
      </c>
      <c r="H33" s="19"/>
      <c r="I33" s="19"/>
      <c r="J33" s="19"/>
      <c r="K33" s="19"/>
      <c r="L33" s="19"/>
      <c r="M33" s="19"/>
      <c r="N33" s="19"/>
      <c r="O33" s="19"/>
    </row>
    <row r="34" spans="1:15">
      <c r="A34" s="21" t="s">
        <v>78</v>
      </c>
      <c r="B34" s="21" t="s">
        <v>29</v>
      </c>
      <c r="C34" s="21">
        <v>3</v>
      </c>
      <c r="D34" s="22">
        <v>14.25</v>
      </c>
      <c r="E34" s="22">
        <v>0</v>
      </c>
      <c r="F34" s="22">
        <v>14.25</v>
      </c>
      <c r="G34" s="21" t="s">
        <v>67</v>
      </c>
      <c r="H34" s="19"/>
      <c r="I34" s="19"/>
      <c r="J34" s="19"/>
      <c r="K34" s="19"/>
      <c r="L34" s="19"/>
      <c r="M34" s="19"/>
      <c r="N34" s="19"/>
      <c r="O34" s="19"/>
    </row>
    <row r="35" spans="1:15">
      <c r="A35" s="21" t="s">
        <v>79</v>
      </c>
      <c r="B35" s="21" t="s">
        <v>21</v>
      </c>
      <c r="C35" s="21">
        <v>3</v>
      </c>
      <c r="D35" s="22">
        <v>21</v>
      </c>
      <c r="E35" s="22">
        <v>1.5</v>
      </c>
      <c r="F35" s="22">
        <v>19.5</v>
      </c>
      <c r="G35" s="21" t="s">
        <v>67</v>
      </c>
      <c r="H35" s="19"/>
      <c r="I35" s="19"/>
      <c r="J35" s="19"/>
      <c r="K35" s="19"/>
      <c r="L35" s="19"/>
      <c r="M35" s="19"/>
      <c r="N35" s="19"/>
      <c r="O35" s="19"/>
    </row>
    <row r="36" spans="1:15">
      <c r="A36" s="21" t="s">
        <v>80</v>
      </c>
      <c r="B36" s="21" t="s">
        <v>21</v>
      </c>
      <c r="C36" s="21">
        <v>6</v>
      </c>
      <c r="D36" s="22">
        <v>56.5</v>
      </c>
      <c r="E36" s="22">
        <v>6</v>
      </c>
      <c r="F36" s="22">
        <v>50.5</v>
      </c>
      <c r="G36" s="21" t="s">
        <v>67</v>
      </c>
      <c r="H36" s="19"/>
      <c r="I36" s="19"/>
      <c r="J36" s="19"/>
      <c r="K36" s="19"/>
      <c r="L36" s="19"/>
      <c r="M36" s="19"/>
      <c r="N36" s="19"/>
      <c r="O36" s="19"/>
    </row>
    <row r="37" spans="1:15">
      <c r="A37" s="21" t="s">
        <v>81</v>
      </c>
      <c r="B37" s="21" t="s">
        <v>21</v>
      </c>
      <c r="C37" s="21">
        <v>8</v>
      </c>
      <c r="D37" s="22">
        <v>65.25</v>
      </c>
      <c r="E37" s="22">
        <v>5.5</v>
      </c>
      <c r="F37" s="22">
        <v>59.75</v>
      </c>
      <c r="G37" s="21" t="s">
        <v>67</v>
      </c>
      <c r="H37" s="19"/>
      <c r="I37" s="19"/>
      <c r="J37" s="19"/>
      <c r="K37" s="19"/>
      <c r="L37" s="19"/>
      <c r="M37" s="19"/>
      <c r="N37" s="19"/>
      <c r="O37" s="19"/>
    </row>
    <row r="38" spans="1:15">
      <c r="A38" s="23" t="s">
        <v>34</v>
      </c>
      <c r="B38" s="23" t="s">
        <v>82</v>
      </c>
      <c r="C38" s="23">
        <f>SUM(C23:C37)</f>
        <v>92</v>
      </c>
      <c r="D38" s="24">
        <f>SUM(D23:D37)</f>
        <v>749.92</v>
      </c>
      <c r="E38" s="24">
        <f>SUM(E23:E37)</f>
        <v>71</v>
      </c>
      <c r="F38" s="24">
        <f>SUM(F23:F37)</f>
        <v>678.92</v>
      </c>
      <c r="G38" s="23" t="s">
        <v>83</v>
      </c>
      <c r="H38" s="19"/>
      <c r="I38" s="19"/>
      <c r="J38" s="19"/>
      <c r="K38" s="19"/>
      <c r="L38" s="19"/>
      <c r="M38" s="19"/>
      <c r="N38" s="19"/>
      <c r="O38" s="19"/>
    </row>
    <row r="39" spans="1:15">
      <c r="A39" s="29" t="s">
        <v>84</v>
      </c>
      <c r="B39" s="29"/>
      <c r="C39" s="29"/>
      <c r="D39" s="29"/>
      <c r="E39" s="29"/>
      <c r="F39" s="29"/>
      <c r="G39" s="29"/>
      <c r="H39" s="29"/>
      <c r="I39" s="29"/>
      <c r="J39" s="29"/>
      <c r="K39" s="19"/>
      <c r="L39" s="19"/>
      <c r="M39" s="19"/>
      <c r="N39" s="19"/>
      <c r="O39" s="19"/>
    </row>
    <row r="40" spans="1:15">
      <c r="A40" s="20" t="s">
        <v>52</v>
      </c>
      <c r="B40" s="20" t="s">
        <v>85</v>
      </c>
      <c r="C40" s="20" t="s">
        <v>55</v>
      </c>
      <c r="D40" s="20" t="s">
        <v>8</v>
      </c>
      <c r="E40" s="20" t="s">
        <v>86</v>
      </c>
      <c r="F40" s="20" t="s">
        <v>87</v>
      </c>
      <c r="G40" s="20" t="s">
        <v>11</v>
      </c>
      <c r="H40" s="20" t="s">
        <v>88</v>
      </c>
      <c r="I40" s="20" t="s">
        <v>13</v>
      </c>
      <c r="J40" s="20" t="s">
        <v>89</v>
      </c>
      <c r="K40" s="19"/>
      <c r="L40" s="19"/>
      <c r="M40" s="19"/>
      <c r="N40" s="19"/>
      <c r="O40" s="19"/>
    </row>
    <row r="41" spans="1:15">
      <c r="A41" s="21" t="s">
        <v>69</v>
      </c>
      <c r="B41" s="27">
        <v>46113</v>
      </c>
      <c r="C41" s="21" t="s">
        <v>61</v>
      </c>
      <c r="D41" s="21" t="s">
        <v>21</v>
      </c>
      <c r="E41" s="28">
        <v>0.6875</v>
      </c>
      <c r="F41" s="28">
        <v>0.91666666666666663</v>
      </c>
      <c r="G41" s="22">
        <v>5.5</v>
      </c>
      <c r="H41" s="22">
        <v>0</v>
      </c>
      <c r="I41" s="22">
        <v>5.5</v>
      </c>
      <c r="J41" s="21" t="s">
        <v>90</v>
      </c>
      <c r="K41" s="19"/>
      <c r="L41" s="19"/>
      <c r="M41" s="19"/>
      <c r="N41" s="19"/>
      <c r="O41" s="19"/>
    </row>
    <row r="42" spans="1:15">
      <c r="A42" s="21" t="s">
        <v>72</v>
      </c>
      <c r="B42" s="27">
        <v>46113</v>
      </c>
      <c r="C42" s="21" t="s">
        <v>61</v>
      </c>
      <c r="D42" s="21" t="s">
        <v>21</v>
      </c>
      <c r="E42" s="28">
        <v>0.39583333333333331</v>
      </c>
      <c r="F42" s="28">
        <v>0.75</v>
      </c>
      <c r="G42" s="22">
        <v>8.5</v>
      </c>
      <c r="H42" s="22">
        <v>1</v>
      </c>
      <c r="I42" s="22">
        <v>7.5</v>
      </c>
      <c r="J42" s="21" t="s">
        <v>90</v>
      </c>
      <c r="K42" s="19"/>
      <c r="L42" s="19"/>
      <c r="M42" s="19"/>
      <c r="N42" s="19"/>
      <c r="O42" s="19"/>
    </row>
    <row r="43" spans="1:15">
      <c r="A43" s="21" t="s">
        <v>75</v>
      </c>
      <c r="B43" s="27">
        <v>46113</v>
      </c>
      <c r="C43" s="21" t="s">
        <v>61</v>
      </c>
      <c r="D43" s="21" t="s">
        <v>21</v>
      </c>
      <c r="E43" s="28">
        <v>0.79166666666666663</v>
      </c>
      <c r="F43" s="28">
        <v>0.91666666666666663</v>
      </c>
      <c r="G43" s="22">
        <v>3</v>
      </c>
      <c r="H43" s="22">
        <v>0</v>
      </c>
      <c r="I43" s="22">
        <v>3</v>
      </c>
      <c r="J43" s="21" t="s">
        <v>90</v>
      </c>
      <c r="K43" s="19"/>
      <c r="L43" s="19"/>
      <c r="M43" s="19"/>
      <c r="N43" s="19"/>
      <c r="O43" s="19"/>
    </row>
    <row r="44" spans="1:15">
      <c r="A44" s="21" t="s">
        <v>76</v>
      </c>
      <c r="B44" s="27">
        <v>46113</v>
      </c>
      <c r="C44" s="21" t="s">
        <v>61</v>
      </c>
      <c r="D44" s="21" t="s">
        <v>21</v>
      </c>
      <c r="E44" s="28">
        <v>0.375</v>
      </c>
      <c r="F44" s="28">
        <v>0.75</v>
      </c>
      <c r="G44" s="22">
        <v>9</v>
      </c>
      <c r="H44" s="22">
        <v>1</v>
      </c>
      <c r="I44" s="22">
        <v>8</v>
      </c>
      <c r="J44" s="21" t="s">
        <v>90</v>
      </c>
      <c r="K44" s="19"/>
      <c r="L44" s="19"/>
      <c r="M44" s="19"/>
      <c r="N44" s="19"/>
      <c r="O44" s="19"/>
    </row>
    <row r="45" spans="1:15">
      <c r="A45" s="21" t="s">
        <v>81</v>
      </c>
      <c r="B45" s="27">
        <v>46113</v>
      </c>
      <c r="C45" s="21" t="s">
        <v>61</v>
      </c>
      <c r="D45" s="21" t="s">
        <v>21</v>
      </c>
      <c r="E45" s="28">
        <v>0.6875</v>
      </c>
      <c r="F45" s="28">
        <v>0.91666666666666663</v>
      </c>
      <c r="G45" s="22">
        <v>5.5</v>
      </c>
      <c r="H45" s="22">
        <v>0</v>
      </c>
      <c r="I45" s="22">
        <v>5.5</v>
      </c>
      <c r="J45" s="21" t="s">
        <v>90</v>
      </c>
      <c r="K45" s="19"/>
      <c r="L45" s="19"/>
      <c r="M45" s="19"/>
      <c r="N45" s="19"/>
      <c r="O45" s="19"/>
    </row>
    <row r="46" spans="1:15">
      <c r="A46" s="21" t="s">
        <v>72</v>
      </c>
      <c r="B46" s="27">
        <v>46114</v>
      </c>
      <c r="C46" s="21" t="s">
        <v>61</v>
      </c>
      <c r="D46" s="21" t="s">
        <v>21</v>
      </c>
      <c r="E46" s="28">
        <v>0.39583333333333331</v>
      </c>
      <c r="F46" s="28">
        <v>0.25</v>
      </c>
      <c r="G46" s="22">
        <v>20.5</v>
      </c>
      <c r="H46" s="22">
        <v>1</v>
      </c>
      <c r="I46" s="22">
        <v>19.5</v>
      </c>
      <c r="J46" s="21" t="s">
        <v>90</v>
      </c>
      <c r="K46" s="19"/>
      <c r="L46" s="19"/>
      <c r="M46" s="19"/>
      <c r="N46" s="19"/>
      <c r="O46" s="19"/>
    </row>
    <row r="47" spans="1:15">
      <c r="A47" s="21" t="s">
        <v>76</v>
      </c>
      <c r="B47" s="27">
        <v>46114</v>
      </c>
      <c r="C47" s="21" t="s">
        <v>61</v>
      </c>
      <c r="D47" s="21" t="s">
        <v>21</v>
      </c>
      <c r="E47" s="28">
        <v>0.375</v>
      </c>
      <c r="F47" s="28">
        <v>0.75</v>
      </c>
      <c r="G47" s="22">
        <v>9</v>
      </c>
      <c r="H47" s="22">
        <v>1</v>
      </c>
      <c r="I47" s="22">
        <v>8</v>
      </c>
      <c r="J47" s="21" t="s">
        <v>90</v>
      </c>
      <c r="K47" s="19"/>
      <c r="L47" s="19"/>
      <c r="M47" s="19"/>
      <c r="N47" s="19"/>
      <c r="O47" s="19"/>
    </row>
    <row r="48" spans="1:15">
      <c r="A48" s="21" t="s">
        <v>66</v>
      </c>
      <c r="B48" s="27">
        <v>46115</v>
      </c>
      <c r="C48" s="21" t="s">
        <v>61</v>
      </c>
      <c r="D48" s="21" t="s">
        <v>21</v>
      </c>
      <c r="E48" s="28">
        <v>0.3611111111111111</v>
      </c>
      <c r="F48" s="28">
        <v>0.44444444444444442</v>
      </c>
      <c r="G48" s="22">
        <v>2</v>
      </c>
      <c r="H48" s="22">
        <v>0</v>
      </c>
      <c r="I48" s="22">
        <v>2</v>
      </c>
      <c r="J48" s="21" t="s">
        <v>90</v>
      </c>
      <c r="K48" s="19"/>
      <c r="L48" s="19"/>
      <c r="M48" s="19"/>
      <c r="N48" s="19"/>
      <c r="O48" s="19"/>
    </row>
    <row r="49" spans="1:15">
      <c r="A49" s="21" t="s">
        <v>72</v>
      </c>
      <c r="B49" s="27">
        <v>46115</v>
      </c>
      <c r="C49" s="21" t="s">
        <v>61</v>
      </c>
      <c r="D49" s="21" t="s">
        <v>21</v>
      </c>
      <c r="E49" s="28">
        <v>0.39583333333333331</v>
      </c>
      <c r="F49" s="28">
        <v>0.75</v>
      </c>
      <c r="G49" s="22">
        <v>8.5</v>
      </c>
      <c r="H49" s="22">
        <v>1</v>
      </c>
      <c r="I49" s="22">
        <v>7.5</v>
      </c>
      <c r="J49" s="21" t="s">
        <v>90</v>
      </c>
      <c r="K49" s="19"/>
      <c r="L49" s="19"/>
      <c r="M49" s="19"/>
      <c r="N49" s="19"/>
      <c r="O49" s="19"/>
    </row>
    <row r="50" spans="1:15">
      <c r="A50" s="21" t="s">
        <v>76</v>
      </c>
      <c r="B50" s="27">
        <v>46115</v>
      </c>
      <c r="C50" s="21" t="s">
        <v>61</v>
      </c>
      <c r="D50" s="21" t="s">
        <v>21</v>
      </c>
      <c r="E50" s="28">
        <v>0.375</v>
      </c>
      <c r="F50" s="28">
        <v>0.75</v>
      </c>
      <c r="G50" s="22">
        <v>9</v>
      </c>
      <c r="H50" s="22">
        <v>1</v>
      </c>
      <c r="I50" s="22">
        <v>8</v>
      </c>
      <c r="J50" s="21" t="s">
        <v>90</v>
      </c>
      <c r="K50" s="19"/>
      <c r="L50" s="19"/>
      <c r="M50" s="19"/>
      <c r="N50" s="19"/>
      <c r="O50" s="19"/>
    </row>
    <row r="51" spans="1:15">
      <c r="A51" s="21" t="s">
        <v>77</v>
      </c>
      <c r="B51" s="27">
        <v>46115</v>
      </c>
      <c r="C51" s="21" t="s">
        <v>61</v>
      </c>
      <c r="D51" s="21" t="s">
        <v>21</v>
      </c>
      <c r="E51" s="28">
        <v>0.39583333333333331</v>
      </c>
      <c r="F51" s="28">
        <v>0.75</v>
      </c>
      <c r="G51" s="22">
        <v>8.5</v>
      </c>
      <c r="H51" s="22">
        <v>1</v>
      </c>
      <c r="I51" s="22">
        <v>7.5</v>
      </c>
      <c r="J51" s="21" t="s">
        <v>90</v>
      </c>
      <c r="K51" s="19"/>
      <c r="L51" s="19"/>
      <c r="M51" s="19"/>
      <c r="N51" s="19"/>
      <c r="O51" s="19"/>
    </row>
    <row r="52" spans="1:15">
      <c r="A52" s="21" t="s">
        <v>66</v>
      </c>
      <c r="B52" s="27">
        <v>46116</v>
      </c>
      <c r="C52" s="21" t="s">
        <v>61</v>
      </c>
      <c r="D52" s="21" t="s">
        <v>21</v>
      </c>
      <c r="E52" s="28">
        <v>0.31944444444444442</v>
      </c>
      <c r="F52" s="28">
        <v>0.8125</v>
      </c>
      <c r="G52" s="22">
        <v>11.83</v>
      </c>
      <c r="H52" s="22">
        <v>1</v>
      </c>
      <c r="I52" s="22">
        <v>10.83</v>
      </c>
      <c r="J52" s="21" t="s">
        <v>90</v>
      </c>
      <c r="K52" s="19"/>
      <c r="L52" s="19"/>
      <c r="M52" s="19"/>
      <c r="N52" s="19"/>
      <c r="O52" s="19"/>
    </row>
    <row r="53" spans="1:15">
      <c r="A53" s="21" t="s">
        <v>69</v>
      </c>
      <c r="B53" s="27">
        <v>46116</v>
      </c>
      <c r="C53" s="21" t="s">
        <v>61</v>
      </c>
      <c r="D53" s="21" t="s">
        <v>21</v>
      </c>
      <c r="E53" s="28">
        <v>0.33333333333333331</v>
      </c>
      <c r="F53" s="28">
        <v>0.8125</v>
      </c>
      <c r="G53" s="22">
        <v>11.5</v>
      </c>
      <c r="H53" s="22">
        <v>1</v>
      </c>
      <c r="I53" s="22">
        <v>10.5</v>
      </c>
      <c r="J53" s="21" t="s">
        <v>90</v>
      </c>
      <c r="K53" s="19"/>
      <c r="L53" s="19"/>
      <c r="M53" s="19"/>
      <c r="N53" s="19"/>
      <c r="O53" s="19"/>
    </row>
    <row r="54" spans="1:15">
      <c r="A54" s="21" t="s">
        <v>74</v>
      </c>
      <c r="B54" s="27">
        <v>46116</v>
      </c>
      <c r="C54" s="21" t="s">
        <v>61</v>
      </c>
      <c r="D54" s="21" t="s">
        <v>25</v>
      </c>
      <c r="E54" s="28">
        <v>0.33333333333333331</v>
      </c>
      <c r="F54" s="28">
        <v>0.8125</v>
      </c>
      <c r="G54" s="22">
        <v>11.5</v>
      </c>
      <c r="H54" s="22">
        <v>1</v>
      </c>
      <c r="I54" s="22">
        <v>10.5</v>
      </c>
      <c r="J54" s="21" t="s">
        <v>90</v>
      </c>
      <c r="K54" s="19"/>
      <c r="L54" s="19"/>
      <c r="M54" s="19"/>
      <c r="N54" s="19"/>
      <c r="O54" s="19"/>
    </row>
    <row r="55" spans="1:15">
      <c r="A55" s="21" t="s">
        <v>80</v>
      </c>
      <c r="B55" s="27">
        <v>46116</v>
      </c>
      <c r="C55" s="21" t="s">
        <v>61</v>
      </c>
      <c r="D55" s="21" t="s">
        <v>21</v>
      </c>
      <c r="E55" s="28">
        <v>0.33333333333333331</v>
      </c>
      <c r="F55" s="28">
        <v>0.8125</v>
      </c>
      <c r="G55" s="22">
        <v>11.5</v>
      </c>
      <c r="H55" s="22">
        <v>1</v>
      </c>
      <c r="I55" s="22">
        <v>10.5</v>
      </c>
      <c r="J55" s="21" t="s">
        <v>90</v>
      </c>
      <c r="K55" s="19"/>
      <c r="L55" s="19"/>
      <c r="M55" s="19"/>
      <c r="N55" s="19"/>
      <c r="O55" s="19"/>
    </row>
    <row r="56" spans="1:15">
      <c r="A56" s="21" t="s">
        <v>72</v>
      </c>
      <c r="B56" s="27">
        <v>46118</v>
      </c>
      <c r="C56" s="21" t="s">
        <v>63</v>
      </c>
      <c r="D56" s="21" t="s">
        <v>25</v>
      </c>
      <c r="E56" s="28">
        <v>0.375</v>
      </c>
      <c r="F56" s="28">
        <v>0.72916666666666663</v>
      </c>
      <c r="G56" s="22">
        <v>8.5</v>
      </c>
      <c r="H56" s="22">
        <v>1</v>
      </c>
      <c r="I56" s="22">
        <v>7.5</v>
      </c>
      <c r="J56" s="21" t="s">
        <v>90</v>
      </c>
      <c r="K56" s="19"/>
      <c r="L56" s="19"/>
      <c r="M56" s="19"/>
      <c r="N56" s="19"/>
      <c r="O56" s="19"/>
    </row>
    <row r="57" spans="1:15">
      <c r="A57" s="21" t="s">
        <v>76</v>
      </c>
      <c r="B57" s="27">
        <v>46118</v>
      </c>
      <c r="C57" s="21" t="s">
        <v>63</v>
      </c>
      <c r="D57" s="21" t="s">
        <v>21</v>
      </c>
      <c r="E57" s="28">
        <v>0.375</v>
      </c>
      <c r="F57" s="28">
        <v>0.75</v>
      </c>
      <c r="G57" s="22">
        <v>9</v>
      </c>
      <c r="H57" s="22">
        <v>1</v>
      </c>
      <c r="I57" s="22">
        <v>8</v>
      </c>
      <c r="J57" s="21" t="s">
        <v>90</v>
      </c>
      <c r="K57" s="19"/>
      <c r="L57" s="19"/>
      <c r="M57" s="19"/>
      <c r="N57" s="19"/>
      <c r="O57" s="19"/>
    </row>
    <row r="58" spans="1:15">
      <c r="A58" s="21" t="s">
        <v>77</v>
      </c>
      <c r="B58" s="27">
        <v>46118</v>
      </c>
      <c r="C58" s="21" t="s">
        <v>63</v>
      </c>
      <c r="D58" s="21" t="s">
        <v>21</v>
      </c>
      <c r="E58" s="28">
        <v>0.375</v>
      </c>
      <c r="F58" s="28">
        <v>0.75</v>
      </c>
      <c r="G58" s="22">
        <v>9</v>
      </c>
      <c r="H58" s="22">
        <v>1</v>
      </c>
      <c r="I58" s="22">
        <v>8</v>
      </c>
      <c r="J58" s="21" t="s">
        <v>90</v>
      </c>
      <c r="K58" s="19"/>
      <c r="L58" s="19"/>
      <c r="M58" s="19"/>
      <c r="N58" s="19"/>
      <c r="O58" s="19"/>
    </row>
    <row r="59" spans="1:15">
      <c r="A59" s="21" t="s">
        <v>72</v>
      </c>
      <c r="B59" s="27">
        <v>46119</v>
      </c>
      <c r="C59" s="21" t="s">
        <v>63</v>
      </c>
      <c r="D59" s="21" t="s">
        <v>21</v>
      </c>
      <c r="E59" s="28">
        <v>0.39583333333333331</v>
      </c>
      <c r="F59" s="28">
        <v>0.75</v>
      </c>
      <c r="G59" s="22">
        <v>8.5</v>
      </c>
      <c r="H59" s="22">
        <v>1</v>
      </c>
      <c r="I59" s="22">
        <v>7.5</v>
      </c>
      <c r="J59" s="21" t="s">
        <v>90</v>
      </c>
      <c r="K59" s="19"/>
      <c r="L59" s="19"/>
      <c r="M59" s="19"/>
      <c r="N59" s="19"/>
      <c r="O59" s="19"/>
    </row>
    <row r="60" spans="1:15">
      <c r="A60" s="21" t="s">
        <v>76</v>
      </c>
      <c r="B60" s="27">
        <v>46119</v>
      </c>
      <c r="C60" s="21" t="s">
        <v>63</v>
      </c>
      <c r="D60" s="21" t="s">
        <v>21</v>
      </c>
      <c r="E60" s="28">
        <v>0.375</v>
      </c>
      <c r="F60" s="28">
        <v>0.75</v>
      </c>
      <c r="G60" s="22">
        <v>9</v>
      </c>
      <c r="H60" s="22">
        <v>1</v>
      </c>
      <c r="I60" s="22">
        <v>8</v>
      </c>
      <c r="J60" s="21" t="s">
        <v>90</v>
      </c>
      <c r="K60" s="19"/>
      <c r="L60" s="19"/>
      <c r="M60" s="19"/>
      <c r="N60" s="19"/>
      <c r="O60" s="19"/>
    </row>
    <row r="61" spans="1:15">
      <c r="A61" s="21" t="s">
        <v>77</v>
      </c>
      <c r="B61" s="27">
        <v>46119</v>
      </c>
      <c r="C61" s="21" t="s">
        <v>63</v>
      </c>
      <c r="D61" s="21" t="s">
        <v>21</v>
      </c>
      <c r="E61" s="28">
        <v>0.38541666666666669</v>
      </c>
      <c r="F61" s="28">
        <v>0.63541666666666663</v>
      </c>
      <c r="G61" s="22">
        <v>6</v>
      </c>
      <c r="H61" s="22">
        <v>0.5</v>
      </c>
      <c r="I61" s="22">
        <v>5.5</v>
      </c>
      <c r="J61" s="21" t="s">
        <v>90</v>
      </c>
      <c r="K61" s="19"/>
      <c r="L61" s="19"/>
      <c r="M61" s="19"/>
      <c r="N61" s="19"/>
      <c r="O61" s="19"/>
    </row>
    <row r="62" spans="1:15">
      <c r="A62" s="21" t="s">
        <v>72</v>
      </c>
      <c r="B62" s="27">
        <v>46120</v>
      </c>
      <c r="C62" s="21" t="s">
        <v>63</v>
      </c>
      <c r="D62" s="21" t="s">
        <v>21</v>
      </c>
      <c r="E62" s="28">
        <v>0.39583333333333331</v>
      </c>
      <c r="F62" s="28">
        <v>0.75</v>
      </c>
      <c r="G62" s="22">
        <v>8.5</v>
      </c>
      <c r="H62" s="22">
        <v>1</v>
      </c>
      <c r="I62" s="22">
        <v>7.5</v>
      </c>
      <c r="J62" s="21" t="s">
        <v>90</v>
      </c>
      <c r="K62" s="19"/>
      <c r="L62" s="19"/>
      <c r="M62" s="19"/>
      <c r="N62" s="19"/>
      <c r="O62" s="19"/>
    </row>
    <row r="63" spans="1:15">
      <c r="A63" s="21" t="s">
        <v>76</v>
      </c>
      <c r="B63" s="27">
        <v>46120</v>
      </c>
      <c r="C63" s="21" t="s">
        <v>63</v>
      </c>
      <c r="D63" s="21" t="s">
        <v>21</v>
      </c>
      <c r="E63" s="28">
        <v>0.375</v>
      </c>
      <c r="F63" s="28">
        <v>0.75</v>
      </c>
      <c r="G63" s="22">
        <v>9</v>
      </c>
      <c r="H63" s="22">
        <v>1</v>
      </c>
      <c r="I63" s="22">
        <v>8</v>
      </c>
      <c r="J63" s="21" t="s">
        <v>90</v>
      </c>
      <c r="K63" s="19"/>
      <c r="L63" s="19"/>
      <c r="M63" s="19"/>
      <c r="N63" s="19"/>
      <c r="O63" s="19"/>
    </row>
    <row r="64" spans="1:15">
      <c r="A64" s="21" t="s">
        <v>77</v>
      </c>
      <c r="B64" s="27">
        <v>46120</v>
      </c>
      <c r="C64" s="21" t="s">
        <v>63</v>
      </c>
      <c r="D64" s="21" t="s">
        <v>21</v>
      </c>
      <c r="E64" s="28">
        <v>0.375</v>
      </c>
      <c r="F64" s="28">
        <v>0.77083333333333337</v>
      </c>
      <c r="G64" s="22">
        <v>9.5</v>
      </c>
      <c r="H64" s="22">
        <v>1</v>
      </c>
      <c r="I64" s="22">
        <v>8.5</v>
      </c>
      <c r="J64" s="21" t="s">
        <v>90</v>
      </c>
      <c r="K64" s="19"/>
      <c r="L64" s="19"/>
      <c r="M64" s="19"/>
      <c r="N64" s="19"/>
      <c r="O64" s="19"/>
    </row>
    <row r="65" spans="1:15">
      <c r="A65" s="21" t="s">
        <v>72</v>
      </c>
      <c r="B65" s="27">
        <v>46121</v>
      </c>
      <c r="C65" s="21" t="s">
        <v>63</v>
      </c>
      <c r="D65" s="21" t="s">
        <v>21</v>
      </c>
      <c r="E65" s="28">
        <v>0.39583333333333331</v>
      </c>
      <c r="F65" s="28">
        <v>0.75</v>
      </c>
      <c r="G65" s="22">
        <v>8.5</v>
      </c>
      <c r="H65" s="22">
        <v>1</v>
      </c>
      <c r="I65" s="22">
        <v>7.5</v>
      </c>
      <c r="J65" s="21" t="s">
        <v>90</v>
      </c>
      <c r="K65" s="19"/>
      <c r="L65" s="19"/>
      <c r="M65" s="19"/>
      <c r="N65" s="19"/>
      <c r="O65" s="19"/>
    </row>
    <row r="66" spans="1:15">
      <c r="A66" s="21" t="s">
        <v>76</v>
      </c>
      <c r="B66" s="27">
        <v>46121</v>
      </c>
      <c r="C66" s="21" t="s">
        <v>63</v>
      </c>
      <c r="D66" s="21" t="s">
        <v>21</v>
      </c>
      <c r="E66" s="28">
        <v>0.375</v>
      </c>
      <c r="F66" s="28">
        <v>0.75</v>
      </c>
      <c r="G66" s="22">
        <v>9</v>
      </c>
      <c r="H66" s="22">
        <v>1</v>
      </c>
      <c r="I66" s="22">
        <v>8</v>
      </c>
      <c r="J66" s="21" t="s">
        <v>90</v>
      </c>
      <c r="K66" s="19"/>
      <c r="L66" s="19"/>
      <c r="M66" s="19"/>
      <c r="N66" s="19"/>
      <c r="O66" s="19"/>
    </row>
    <row r="67" spans="1:15">
      <c r="A67" s="21" t="s">
        <v>77</v>
      </c>
      <c r="B67" s="27">
        <v>46121</v>
      </c>
      <c r="C67" s="21" t="s">
        <v>63</v>
      </c>
      <c r="D67" s="21" t="s">
        <v>21</v>
      </c>
      <c r="E67" s="28">
        <v>0.375</v>
      </c>
      <c r="F67" s="28">
        <v>0.75</v>
      </c>
      <c r="G67" s="22">
        <v>9</v>
      </c>
      <c r="H67" s="22">
        <v>1</v>
      </c>
      <c r="I67" s="22">
        <v>8</v>
      </c>
      <c r="J67" s="21" t="s">
        <v>90</v>
      </c>
      <c r="K67" s="19"/>
      <c r="L67" s="19"/>
      <c r="M67" s="19"/>
      <c r="N67" s="19"/>
      <c r="O67" s="19"/>
    </row>
    <row r="68" spans="1:15">
      <c r="A68" s="21" t="s">
        <v>72</v>
      </c>
      <c r="B68" s="27">
        <v>46122</v>
      </c>
      <c r="C68" s="21" t="s">
        <v>63</v>
      </c>
      <c r="D68" s="21" t="s">
        <v>21</v>
      </c>
      <c r="E68" s="28">
        <v>0.39583333333333331</v>
      </c>
      <c r="F68" s="28">
        <v>0.75</v>
      </c>
      <c r="G68" s="22">
        <v>8.5</v>
      </c>
      <c r="H68" s="22">
        <v>1</v>
      </c>
      <c r="I68" s="22">
        <v>7.5</v>
      </c>
      <c r="J68" s="21" t="s">
        <v>90</v>
      </c>
      <c r="K68" s="19"/>
      <c r="L68" s="19"/>
      <c r="M68" s="19"/>
      <c r="N68" s="19"/>
      <c r="O68" s="19"/>
    </row>
    <row r="69" spans="1:15">
      <c r="A69" s="21" t="s">
        <v>76</v>
      </c>
      <c r="B69" s="27">
        <v>46122</v>
      </c>
      <c r="C69" s="21" t="s">
        <v>63</v>
      </c>
      <c r="D69" s="21" t="s">
        <v>21</v>
      </c>
      <c r="E69" s="28">
        <v>0.375</v>
      </c>
      <c r="F69" s="28">
        <v>0.75</v>
      </c>
      <c r="G69" s="22">
        <v>9</v>
      </c>
      <c r="H69" s="22">
        <v>1</v>
      </c>
      <c r="I69" s="22">
        <v>8</v>
      </c>
      <c r="J69" s="21" t="s">
        <v>90</v>
      </c>
      <c r="K69" s="19"/>
      <c r="L69" s="19"/>
      <c r="M69" s="19"/>
      <c r="N69" s="19"/>
      <c r="O69" s="19"/>
    </row>
    <row r="70" spans="1:15">
      <c r="A70" s="21" t="s">
        <v>77</v>
      </c>
      <c r="B70" s="27">
        <v>46122</v>
      </c>
      <c r="C70" s="21" t="s">
        <v>63</v>
      </c>
      <c r="D70" s="21" t="s">
        <v>21</v>
      </c>
      <c r="E70" s="28">
        <v>0.375</v>
      </c>
      <c r="F70" s="28">
        <v>0.75</v>
      </c>
      <c r="G70" s="22">
        <v>9</v>
      </c>
      <c r="H70" s="22">
        <v>1</v>
      </c>
      <c r="I70" s="22">
        <v>8</v>
      </c>
      <c r="J70" s="21" t="s">
        <v>90</v>
      </c>
      <c r="K70" s="19"/>
      <c r="L70" s="19"/>
      <c r="M70" s="19"/>
      <c r="N70" s="19"/>
      <c r="O70" s="19"/>
    </row>
    <row r="71" spans="1:15">
      <c r="A71" s="21" t="s">
        <v>66</v>
      </c>
      <c r="B71" s="27">
        <v>46123</v>
      </c>
      <c r="C71" s="21" t="s">
        <v>63</v>
      </c>
      <c r="D71" s="21" t="s">
        <v>21</v>
      </c>
      <c r="E71" s="28">
        <v>0.3125</v>
      </c>
      <c r="F71" s="28">
        <v>0.75</v>
      </c>
      <c r="G71" s="22">
        <v>10.5</v>
      </c>
      <c r="H71" s="22">
        <v>1</v>
      </c>
      <c r="I71" s="22">
        <v>9.5</v>
      </c>
      <c r="J71" s="21" t="s">
        <v>90</v>
      </c>
      <c r="K71" s="19"/>
      <c r="L71" s="19"/>
      <c r="M71" s="19"/>
      <c r="N71" s="19"/>
      <c r="O71" s="19"/>
    </row>
    <row r="72" spans="1:15">
      <c r="A72" s="21" t="s">
        <v>71</v>
      </c>
      <c r="B72" s="27">
        <v>46123</v>
      </c>
      <c r="C72" s="21" t="s">
        <v>63</v>
      </c>
      <c r="D72" s="21" t="s">
        <v>21</v>
      </c>
      <c r="E72" s="28">
        <v>0.37430555555555556</v>
      </c>
      <c r="F72" s="28">
        <v>0.66666666666666663</v>
      </c>
      <c r="G72" s="22">
        <v>7.02</v>
      </c>
      <c r="H72" s="22">
        <v>0.5</v>
      </c>
      <c r="I72" s="22">
        <v>6.52</v>
      </c>
      <c r="J72" s="21" t="s">
        <v>90</v>
      </c>
      <c r="K72" s="19"/>
      <c r="L72" s="19"/>
      <c r="M72" s="19"/>
      <c r="N72" s="19"/>
      <c r="O72" s="19"/>
    </row>
    <row r="73" spans="1:15">
      <c r="A73" s="21" t="s">
        <v>81</v>
      </c>
      <c r="B73" s="27">
        <v>46123</v>
      </c>
      <c r="C73" s="21" t="s">
        <v>63</v>
      </c>
      <c r="D73" s="21" t="s">
        <v>21</v>
      </c>
      <c r="E73" s="28">
        <v>0.3125</v>
      </c>
      <c r="F73" s="28">
        <v>0.72916666666666663</v>
      </c>
      <c r="G73" s="22">
        <v>10</v>
      </c>
      <c r="H73" s="22">
        <v>1</v>
      </c>
      <c r="I73" s="22">
        <v>9</v>
      </c>
      <c r="J73" s="21" t="s">
        <v>90</v>
      </c>
      <c r="K73" s="19"/>
      <c r="L73" s="19"/>
      <c r="M73" s="19"/>
      <c r="N73" s="19"/>
      <c r="O73" s="19"/>
    </row>
    <row r="74" spans="1:15">
      <c r="A74" s="21" t="s">
        <v>66</v>
      </c>
      <c r="B74" s="27">
        <v>46124</v>
      </c>
      <c r="C74" s="21" t="s">
        <v>63</v>
      </c>
      <c r="D74" s="21" t="s">
        <v>21</v>
      </c>
      <c r="E74" s="28">
        <v>0.47916666666666669</v>
      </c>
      <c r="F74" s="28">
        <v>0.60416666666666663</v>
      </c>
      <c r="G74" s="22">
        <v>3</v>
      </c>
      <c r="H74" s="22">
        <v>0</v>
      </c>
      <c r="I74" s="22">
        <v>3</v>
      </c>
      <c r="J74" s="21" t="s">
        <v>90</v>
      </c>
      <c r="K74" s="19"/>
      <c r="L74" s="19"/>
      <c r="M74" s="19"/>
      <c r="N74" s="19"/>
      <c r="O74" s="19"/>
    </row>
    <row r="75" spans="1:15">
      <c r="A75" s="21" t="s">
        <v>66</v>
      </c>
      <c r="B75" s="27">
        <v>46125</v>
      </c>
      <c r="C75" s="21" t="s">
        <v>65</v>
      </c>
      <c r="D75" s="21" t="s">
        <v>21</v>
      </c>
      <c r="E75" s="28">
        <v>0.98958333333333337</v>
      </c>
      <c r="F75" s="28">
        <v>0.10416666666666667</v>
      </c>
      <c r="G75" s="22">
        <v>2.75</v>
      </c>
      <c r="H75" s="22">
        <v>0</v>
      </c>
      <c r="I75" s="22">
        <v>2.75</v>
      </c>
      <c r="J75" s="21" t="s">
        <v>90</v>
      </c>
      <c r="K75" s="19"/>
      <c r="L75" s="19"/>
      <c r="M75" s="19"/>
      <c r="N75" s="19"/>
      <c r="O75" s="19"/>
    </row>
    <row r="76" spans="1:15">
      <c r="A76" s="21" t="s">
        <v>72</v>
      </c>
      <c r="B76" s="27">
        <v>46125</v>
      </c>
      <c r="C76" s="21" t="s">
        <v>65</v>
      </c>
      <c r="D76" s="21" t="s">
        <v>21</v>
      </c>
      <c r="E76" s="28">
        <v>0.375</v>
      </c>
      <c r="F76" s="28">
        <v>0.75</v>
      </c>
      <c r="G76" s="22">
        <v>9</v>
      </c>
      <c r="H76" s="22">
        <v>1</v>
      </c>
      <c r="I76" s="22">
        <v>8</v>
      </c>
      <c r="J76" s="21" t="s">
        <v>90</v>
      </c>
      <c r="K76" s="19"/>
      <c r="L76" s="19"/>
      <c r="M76" s="19"/>
      <c r="N76" s="19"/>
      <c r="O76" s="19"/>
    </row>
    <row r="77" spans="1:15">
      <c r="A77" s="21" t="s">
        <v>76</v>
      </c>
      <c r="B77" s="27">
        <v>46125</v>
      </c>
      <c r="C77" s="21" t="s">
        <v>65</v>
      </c>
      <c r="D77" s="21" t="s">
        <v>21</v>
      </c>
      <c r="E77" s="28">
        <v>0.375</v>
      </c>
      <c r="F77" s="28">
        <v>0.75</v>
      </c>
      <c r="G77" s="22">
        <v>9</v>
      </c>
      <c r="H77" s="22">
        <v>1</v>
      </c>
      <c r="I77" s="22">
        <v>8</v>
      </c>
      <c r="J77" s="21" t="s">
        <v>90</v>
      </c>
      <c r="K77" s="19"/>
      <c r="L77" s="19"/>
      <c r="M77" s="19"/>
      <c r="N77" s="19"/>
      <c r="O77" s="19"/>
    </row>
    <row r="78" spans="1:15">
      <c r="A78" s="21" t="s">
        <v>77</v>
      </c>
      <c r="B78" s="27">
        <v>46125</v>
      </c>
      <c r="C78" s="21" t="s">
        <v>65</v>
      </c>
      <c r="D78" s="21" t="s">
        <v>21</v>
      </c>
      <c r="E78" s="28">
        <v>0.375</v>
      </c>
      <c r="F78" s="28">
        <v>0.75</v>
      </c>
      <c r="G78" s="22">
        <v>9</v>
      </c>
      <c r="H78" s="22">
        <v>1</v>
      </c>
      <c r="I78" s="22">
        <v>8</v>
      </c>
      <c r="J78" s="21" t="s">
        <v>90</v>
      </c>
      <c r="K78" s="19"/>
      <c r="L78" s="19"/>
      <c r="M78" s="19"/>
      <c r="N78" s="19"/>
      <c r="O78" s="19"/>
    </row>
    <row r="79" spans="1:15">
      <c r="A79" s="21" t="s">
        <v>72</v>
      </c>
      <c r="B79" s="27">
        <v>46126</v>
      </c>
      <c r="C79" s="21" t="s">
        <v>65</v>
      </c>
      <c r="D79" s="21" t="s">
        <v>21</v>
      </c>
      <c r="E79" s="28">
        <v>0.39583333333333331</v>
      </c>
      <c r="F79" s="28">
        <v>0.75</v>
      </c>
      <c r="G79" s="22">
        <v>8.5</v>
      </c>
      <c r="H79" s="22">
        <v>1</v>
      </c>
      <c r="I79" s="22">
        <v>7.5</v>
      </c>
      <c r="J79" s="21" t="s">
        <v>90</v>
      </c>
      <c r="K79" s="19"/>
      <c r="L79" s="19"/>
      <c r="M79" s="19"/>
      <c r="N79" s="19"/>
      <c r="O79" s="19"/>
    </row>
    <row r="80" spans="1:15">
      <c r="A80" s="21" t="s">
        <v>76</v>
      </c>
      <c r="B80" s="27">
        <v>46126</v>
      </c>
      <c r="C80" s="21" t="s">
        <v>65</v>
      </c>
      <c r="D80" s="21" t="s">
        <v>21</v>
      </c>
      <c r="E80" s="28">
        <v>0.375</v>
      </c>
      <c r="F80" s="28">
        <v>0.75</v>
      </c>
      <c r="G80" s="22">
        <v>9</v>
      </c>
      <c r="H80" s="22">
        <v>1</v>
      </c>
      <c r="I80" s="22">
        <v>8</v>
      </c>
      <c r="J80" s="21" t="s">
        <v>90</v>
      </c>
      <c r="K80" s="19"/>
      <c r="L80" s="19"/>
      <c r="M80" s="19"/>
      <c r="N80" s="19"/>
      <c r="O80" s="19"/>
    </row>
    <row r="81" spans="1:15">
      <c r="A81" s="21" t="s">
        <v>77</v>
      </c>
      <c r="B81" s="27">
        <v>46126</v>
      </c>
      <c r="C81" s="21" t="s">
        <v>65</v>
      </c>
      <c r="D81" s="21" t="s">
        <v>21</v>
      </c>
      <c r="E81" s="28">
        <v>0.375</v>
      </c>
      <c r="F81" s="28">
        <v>0.77083333333333337</v>
      </c>
      <c r="G81" s="22">
        <v>9.5</v>
      </c>
      <c r="H81" s="22">
        <v>1</v>
      </c>
      <c r="I81" s="22">
        <v>8.5</v>
      </c>
      <c r="J81" s="21" t="s">
        <v>90</v>
      </c>
      <c r="K81" s="19"/>
      <c r="L81" s="19"/>
      <c r="M81" s="19"/>
      <c r="N81" s="19"/>
      <c r="O81" s="19"/>
    </row>
    <row r="82" spans="1:15">
      <c r="A82" s="21" t="s">
        <v>79</v>
      </c>
      <c r="B82" s="27">
        <v>46126</v>
      </c>
      <c r="C82" s="21" t="s">
        <v>65</v>
      </c>
      <c r="D82" s="21" t="s">
        <v>21</v>
      </c>
      <c r="E82" s="28">
        <v>0.41666666666666669</v>
      </c>
      <c r="F82" s="28">
        <v>0.70833333333333337</v>
      </c>
      <c r="G82" s="22">
        <v>7</v>
      </c>
      <c r="H82" s="22">
        <v>0.5</v>
      </c>
      <c r="I82" s="22">
        <v>6.5</v>
      </c>
      <c r="J82" s="21" t="s">
        <v>90</v>
      </c>
      <c r="K82" s="19"/>
      <c r="L82" s="19"/>
      <c r="M82" s="19"/>
      <c r="N82" s="19"/>
      <c r="O82" s="19"/>
    </row>
    <row r="83" spans="1:15">
      <c r="A83" s="21" t="s">
        <v>81</v>
      </c>
      <c r="B83" s="27">
        <v>46126</v>
      </c>
      <c r="C83" s="21" t="s">
        <v>65</v>
      </c>
      <c r="D83" s="21" t="s">
        <v>21</v>
      </c>
      <c r="E83" s="28">
        <v>0.5</v>
      </c>
      <c r="F83" s="28">
        <v>0.83333333333333337</v>
      </c>
      <c r="G83" s="22">
        <v>8</v>
      </c>
      <c r="H83" s="22">
        <v>1</v>
      </c>
      <c r="I83" s="22">
        <v>7</v>
      </c>
      <c r="J83" s="21" t="s">
        <v>90</v>
      </c>
      <c r="K83" s="19"/>
      <c r="L83" s="19"/>
      <c r="M83" s="19"/>
      <c r="N83" s="19"/>
      <c r="O83" s="19"/>
    </row>
    <row r="84" spans="1:15">
      <c r="A84" s="21" t="s">
        <v>66</v>
      </c>
      <c r="B84" s="27">
        <v>46127</v>
      </c>
      <c r="C84" s="21" t="s">
        <v>65</v>
      </c>
      <c r="D84" s="21" t="s">
        <v>21</v>
      </c>
      <c r="E84" s="28">
        <v>0.5</v>
      </c>
      <c r="F84" s="28">
        <v>0.61805555555555558</v>
      </c>
      <c r="G84" s="22">
        <v>2.83</v>
      </c>
      <c r="H84" s="22">
        <v>0</v>
      </c>
      <c r="I84" s="22">
        <v>2.83</v>
      </c>
      <c r="J84" s="21" t="s">
        <v>90</v>
      </c>
      <c r="K84" s="19"/>
      <c r="L84" s="19"/>
      <c r="M84" s="19"/>
      <c r="N84" s="19"/>
      <c r="O84" s="19"/>
    </row>
    <row r="85" spans="1:15">
      <c r="A85" s="21" t="s">
        <v>72</v>
      </c>
      <c r="B85" s="27">
        <v>46127</v>
      </c>
      <c r="C85" s="21" t="s">
        <v>65</v>
      </c>
      <c r="D85" s="21" t="s">
        <v>21</v>
      </c>
      <c r="E85" s="28">
        <v>0.39583333333333331</v>
      </c>
      <c r="F85" s="28">
        <v>0.75</v>
      </c>
      <c r="G85" s="22">
        <v>8.5</v>
      </c>
      <c r="H85" s="22">
        <v>1</v>
      </c>
      <c r="I85" s="22">
        <v>7.5</v>
      </c>
      <c r="J85" s="21" t="s">
        <v>90</v>
      </c>
      <c r="K85" s="19"/>
      <c r="L85" s="19"/>
      <c r="M85" s="19"/>
      <c r="N85" s="19"/>
      <c r="O85" s="19"/>
    </row>
    <row r="86" spans="1:15">
      <c r="A86" s="21" t="s">
        <v>76</v>
      </c>
      <c r="B86" s="27">
        <v>46127</v>
      </c>
      <c r="C86" s="21" t="s">
        <v>65</v>
      </c>
      <c r="D86" s="21" t="s">
        <v>21</v>
      </c>
      <c r="E86" s="28">
        <v>0.375</v>
      </c>
      <c r="F86" s="28">
        <v>0.75</v>
      </c>
      <c r="G86" s="22">
        <v>9</v>
      </c>
      <c r="H86" s="22">
        <v>1</v>
      </c>
      <c r="I86" s="22">
        <v>8</v>
      </c>
      <c r="J86" s="21" t="s">
        <v>90</v>
      </c>
      <c r="K86" s="19"/>
      <c r="L86" s="19"/>
      <c r="M86" s="19"/>
      <c r="N86" s="19"/>
      <c r="O86" s="19"/>
    </row>
    <row r="87" spans="1:15">
      <c r="A87" s="21" t="s">
        <v>77</v>
      </c>
      <c r="B87" s="27">
        <v>46127</v>
      </c>
      <c r="C87" s="21" t="s">
        <v>65</v>
      </c>
      <c r="D87" s="21" t="s">
        <v>21</v>
      </c>
      <c r="E87" s="28">
        <v>0.375</v>
      </c>
      <c r="F87" s="28">
        <v>0.79652777777777772</v>
      </c>
      <c r="G87" s="22">
        <v>10.119999999999999</v>
      </c>
      <c r="H87" s="22">
        <v>1</v>
      </c>
      <c r="I87" s="22">
        <v>9.1199999999999992</v>
      </c>
      <c r="J87" s="21" t="s">
        <v>90</v>
      </c>
      <c r="K87" s="19"/>
      <c r="L87" s="19"/>
      <c r="M87" s="19"/>
      <c r="N87" s="19"/>
      <c r="O87" s="19"/>
    </row>
    <row r="88" spans="1:15">
      <c r="A88" s="21" t="s">
        <v>81</v>
      </c>
      <c r="B88" s="27">
        <v>46127</v>
      </c>
      <c r="C88" s="21" t="s">
        <v>65</v>
      </c>
      <c r="D88" s="21" t="s">
        <v>21</v>
      </c>
      <c r="E88" s="28">
        <v>0.58333333333333337</v>
      </c>
      <c r="F88" s="28">
        <v>0</v>
      </c>
      <c r="G88" s="22">
        <v>10</v>
      </c>
      <c r="H88" s="22">
        <v>1</v>
      </c>
      <c r="I88" s="22">
        <v>9</v>
      </c>
      <c r="J88" s="21" t="s">
        <v>90</v>
      </c>
      <c r="K88" s="19"/>
      <c r="L88" s="19"/>
      <c r="M88" s="19"/>
      <c r="N88" s="19"/>
      <c r="O88" s="19"/>
    </row>
    <row r="89" spans="1:15">
      <c r="A89" s="21" t="s">
        <v>66</v>
      </c>
      <c r="B89" s="27">
        <v>46128</v>
      </c>
      <c r="C89" s="21" t="s">
        <v>65</v>
      </c>
      <c r="D89" s="21" t="s">
        <v>21</v>
      </c>
      <c r="E89" s="28">
        <v>0.47916666666666669</v>
      </c>
      <c r="F89" s="28">
        <v>0.61805555555555558</v>
      </c>
      <c r="G89" s="22">
        <v>3.33</v>
      </c>
      <c r="H89" s="22">
        <v>0</v>
      </c>
      <c r="I89" s="22">
        <v>3.33</v>
      </c>
      <c r="J89" s="21" t="s">
        <v>90</v>
      </c>
      <c r="K89" s="19"/>
      <c r="L89" s="19"/>
      <c r="M89" s="19"/>
      <c r="N89" s="19"/>
      <c r="O89" s="19"/>
    </row>
    <row r="90" spans="1:15">
      <c r="A90" s="21" t="s">
        <v>72</v>
      </c>
      <c r="B90" s="27">
        <v>46128</v>
      </c>
      <c r="C90" s="21" t="s">
        <v>65</v>
      </c>
      <c r="D90" s="21" t="s">
        <v>21</v>
      </c>
      <c r="E90" s="28">
        <v>0.39583333333333331</v>
      </c>
      <c r="F90" s="28">
        <v>0.75</v>
      </c>
      <c r="G90" s="22">
        <v>8.5</v>
      </c>
      <c r="H90" s="22">
        <v>1</v>
      </c>
      <c r="I90" s="22">
        <v>7.5</v>
      </c>
      <c r="J90" s="21" t="s">
        <v>90</v>
      </c>
      <c r="K90" s="19"/>
      <c r="L90" s="19"/>
      <c r="M90" s="19"/>
      <c r="N90" s="19"/>
      <c r="O90" s="19"/>
    </row>
    <row r="91" spans="1:15">
      <c r="A91" s="21" t="s">
        <v>76</v>
      </c>
      <c r="B91" s="27">
        <v>46128</v>
      </c>
      <c r="C91" s="21" t="s">
        <v>65</v>
      </c>
      <c r="D91" s="21" t="s">
        <v>21</v>
      </c>
      <c r="E91" s="28">
        <v>0.375</v>
      </c>
      <c r="F91" s="28">
        <v>0.75</v>
      </c>
      <c r="G91" s="22">
        <v>9</v>
      </c>
      <c r="H91" s="22">
        <v>1</v>
      </c>
      <c r="I91" s="22">
        <v>8</v>
      </c>
      <c r="J91" s="21" t="s">
        <v>90</v>
      </c>
      <c r="K91" s="19"/>
      <c r="L91" s="19"/>
      <c r="M91" s="19"/>
      <c r="N91" s="19"/>
      <c r="O91" s="19"/>
    </row>
    <row r="92" spans="1:15">
      <c r="A92" s="21" t="s">
        <v>77</v>
      </c>
      <c r="B92" s="27">
        <v>46128</v>
      </c>
      <c r="C92" s="21" t="s">
        <v>65</v>
      </c>
      <c r="D92" s="21" t="s">
        <v>21</v>
      </c>
      <c r="E92" s="28">
        <v>0.375</v>
      </c>
      <c r="F92" s="28">
        <v>0.80208333333333337</v>
      </c>
      <c r="G92" s="22">
        <v>10.25</v>
      </c>
      <c r="H92" s="22">
        <v>1</v>
      </c>
      <c r="I92" s="22">
        <v>9.25</v>
      </c>
      <c r="J92" s="21" t="s">
        <v>90</v>
      </c>
      <c r="K92" s="19"/>
      <c r="L92" s="19"/>
      <c r="M92" s="19"/>
      <c r="N92" s="19"/>
      <c r="O92" s="19"/>
    </row>
    <row r="93" spans="1:15">
      <c r="A93" s="21" t="s">
        <v>79</v>
      </c>
      <c r="B93" s="27">
        <v>46128</v>
      </c>
      <c r="C93" s="21" t="s">
        <v>65</v>
      </c>
      <c r="D93" s="21" t="s">
        <v>21</v>
      </c>
      <c r="E93" s="28">
        <v>0.41666666666666669</v>
      </c>
      <c r="F93" s="28">
        <v>0.70833333333333337</v>
      </c>
      <c r="G93" s="22">
        <v>7</v>
      </c>
      <c r="H93" s="22">
        <v>0.5</v>
      </c>
      <c r="I93" s="22">
        <v>6.5</v>
      </c>
      <c r="J93" s="21" t="s">
        <v>90</v>
      </c>
      <c r="K93" s="19"/>
      <c r="L93" s="19"/>
      <c r="M93" s="19"/>
      <c r="N93" s="19"/>
      <c r="O93" s="19"/>
    </row>
    <row r="94" spans="1:15">
      <c r="A94" s="21" t="s">
        <v>66</v>
      </c>
      <c r="B94" s="27">
        <v>46129</v>
      </c>
      <c r="C94" s="21" t="s">
        <v>65</v>
      </c>
      <c r="D94" s="21" t="s">
        <v>21</v>
      </c>
      <c r="E94" s="28">
        <v>0.53125</v>
      </c>
      <c r="F94" s="28">
        <v>0.61458333333333337</v>
      </c>
      <c r="G94" s="22">
        <v>2</v>
      </c>
      <c r="H94" s="22">
        <v>0</v>
      </c>
      <c r="I94" s="22">
        <v>2</v>
      </c>
      <c r="J94" s="21" t="s">
        <v>90</v>
      </c>
      <c r="K94" s="19"/>
      <c r="L94" s="19"/>
      <c r="M94" s="19"/>
      <c r="N94" s="19"/>
      <c r="O94" s="19"/>
    </row>
    <row r="95" spans="1:15">
      <c r="A95" s="21" t="s">
        <v>72</v>
      </c>
      <c r="B95" s="27">
        <v>46129</v>
      </c>
      <c r="C95" s="21" t="s">
        <v>65</v>
      </c>
      <c r="D95" s="21" t="s">
        <v>21</v>
      </c>
      <c r="E95" s="28">
        <v>0.39583333333333331</v>
      </c>
      <c r="F95" s="28">
        <v>0.75</v>
      </c>
      <c r="G95" s="22">
        <v>8.5</v>
      </c>
      <c r="H95" s="22">
        <v>1</v>
      </c>
      <c r="I95" s="22">
        <v>7.5</v>
      </c>
      <c r="J95" s="21" t="s">
        <v>90</v>
      </c>
      <c r="K95" s="19"/>
      <c r="L95" s="19"/>
      <c r="M95" s="19"/>
      <c r="N95" s="19"/>
      <c r="O95" s="19"/>
    </row>
    <row r="96" spans="1:15">
      <c r="A96" s="21" t="s">
        <v>76</v>
      </c>
      <c r="B96" s="27">
        <v>46129</v>
      </c>
      <c r="C96" s="21" t="s">
        <v>65</v>
      </c>
      <c r="D96" s="21" t="s">
        <v>21</v>
      </c>
      <c r="E96" s="28">
        <v>0.375</v>
      </c>
      <c r="F96" s="28">
        <v>0.75</v>
      </c>
      <c r="G96" s="22">
        <v>9</v>
      </c>
      <c r="H96" s="22">
        <v>1</v>
      </c>
      <c r="I96" s="22">
        <v>8</v>
      </c>
      <c r="J96" s="21" t="s">
        <v>90</v>
      </c>
      <c r="K96" s="19"/>
      <c r="L96" s="19"/>
      <c r="M96" s="19"/>
      <c r="N96" s="19"/>
      <c r="O96" s="19"/>
    </row>
    <row r="97" spans="1:15">
      <c r="A97" s="21" t="s">
        <v>77</v>
      </c>
      <c r="B97" s="27">
        <v>46129</v>
      </c>
      <c r="C97" s="21" t="s">
        <v>65</v>
      </c>
      <c r="D97" s="21" t="s">
        <v>21</v>
      </c>
      <c r="E97" s="28">
        <v>0.37430555555555556</v>
      </c>
      <c r="F97" s="28">
        <v>0.75</v>
      </c>
      <c r="G97" s="22">
        <v>9.02</v>
      </c>
      <c r="H97" s="22">
        <v>1</v>
      </c>
      <c r="I97" s="22">
        <v>8.02</v>
      </c>
      <c r="J97" s="21" t="s">
        <v>90</v>
      </c>
      <c r="K97" s="19"/>
      <c r="L97" s="19"/>
      <c r="M97" s="19"/>
      <c r="N97" s="19"/>
      <c r="O97" s="19"/>
    </row>
    <row r="98" spans="1:15">
      <c r="A98" s="21" t="s">
        <v>78</v>
      </c>
      <c r="B98" s="27">
        <v>46129</v>
      </c>
      <c r="C98" s="21" t="s">
        <v>65</v>
      </c>
      <c r="D98" s="21" t="s">
        <v>29</v>
      </c>
      <c r="E98" s="28">
        <v>0.75</v>
      </c>
      <c r="F98" s="28">
        <v>0.875</v>
      </c>
      <c r="G98" s="22">
        <v>3</v>
      </c>
      <c r="H98" s="22">
        <v>0</v>
      </c>
      <c r="I98" s="22">
        <v>3</v>
      </c>
      <c r="J98" s="21" t="s">
        <v>90</v>
      </c>
      <c r="K98" s="19"/>
      <c r="L98" s="19"/>
      <c r="M98" s="19"/>
      <c r="N98" s="19"/>
      <c r="O98" s="19"/>
    </row>
    <row r="99" spans="1:15">
      <c r="A99" s="21" t="s">
        <v>79</v>
      </c>
      <c r="B99" s="27">
        <v>46129</v>
      </c>
      <c r="C99" s="21" t="s">
        <v>65</v>
      </c>
      <c r="D99" s="21" t="s">
        <v>21</v>
      </c>
      <c r="E99" s="28">
        <v>0.41666666666666669</v>
      </c>
      <c r="F99" s="28">
        <v>0.70833333333333337</v>
      </c>
      <c r="G99" s="22">
        <v>7</v>
      </c>
      <c r="H99" s="22">
        <v>0.5</v>
      </c>
      <c r="I99" s="22">
        <v>6.5</v>
      </c>
      <c r="J99" s="21" t="s">
        <v>90</v>
      </c>
      <c r="K99" s="19"/>
      <c r="L99" s="19"/>
      <c r="M99" s="19"/>
      <c r="N99" s="19"/>
      <c r="O99" s="19"/>
    </row>
    <row r="100" spans="1:15">
      <c r="A100" s="21" t="s">
        <v>81</v>
      </c>
      <c r="B100" s="27">
        <v>46129</v>
      </c>
      <c r="C100" s="21" t="s">
        <v>65</v>
      </c>
      <c r="D100" s="21" t="s">
        <v>21</v>
      </c>
      <c r="E100" s="28">
        <v>0.5</v>
      </c>
      <c r="F100" s="28">
        <v>0</v>
      </c>
      <c r="G100" s="22">
        <v>12</v>
      </c>
      <c r="H100" s="22">
        <v>1</v>
      </c>
      <c r="I100" s="22">
        <v>11</v>
      </c>
      <c r="J100" s="21" t="s">
        <v>90</v>
      </c>
      <c r="K100" s="19"/>
      <c r="L100" s="19"/>
      <c r="M100" s="19"/>
      <c r="N100" s="19"/>
      <c r="O100" s="19"/>
    </row>
    <row r="101" spans="1:15">
      <c r="A101" s="21" t="s">
        <v>66</v>
      </c>
      <c r="B101" s="27">
        <v>46132</v>
      </c>
      <c r="C101" s="21" t="s">
        <v>68</v>
      </c>
      <c r="D101" s="21" t="s">
        <v>21</v>
      </c>
      <c r="E101" s="28">
        <v>0.375</v>
      </c>
      <c r="F101" s="28">
        <v>0.61111111111111116</v>
      </c>
      <c r="G101" s="22">
        <v>5.67</v>
      </c>
      <c r="H101" s="22">
        <v>0</v>
      </c>
      <c r="I101" s="22">
        <v>5.67</v>
      </c>
      <c r="J101" s="21" t="s">
        <v>90</v>
      </c>
      <c r="K101" s="19"/>
      <c r="L101" s="19"/>
      <c r="M101" s="19"/>
      <c r="N101" s="19"/>
      <c r="O101" s="19"/>
    </row>
    <row r="102" spans="1:15">
      <c r="A102" s="21" t="s">
        <v>72</v>
      </c>
      <c r="B102" s="27">
        <v>46132</v>
      </c>
      <c r="C102" s="21" t="s">
        <v>68</v>
      </c>
      <c r="D102" s="21" t="s">
        <v>21</v>
      </c>
      <c r="E102" s="28">
        <v>0.375</v>
      </c>
      <c r="F102" s="28">
        <v>0.70833333333333337</v>
      </c>
      <c r="G102" s="22">
        <v>8</v>
      </c>
      <c r="H102" s="22">
        <v>1</v>
      </c>
      <c r="I102" s="22">
        <v>7</v>
      </c>
      <c r="J102" s="21" t="s">
        <v>90</v>
      </c>
      <c r="K102" s="19"/>
      <c r="L102" s="19"/>
      <c r="M102" s="19"/>
      <c r="N102" s="19"/>
      <c r="O102" s="19"/>
    </row>
    <row r="103" spans="1:15">
      <c r="A103" s="21" t="s">
        <v>76</v>
      </c>
      <c r="B103" s="27">
        <v>46132</v>
      </c>
      <c r="C103" s="21" t="s">
        <v>68</v>
      </c>
      <c r="D103" s="21" t="s">
        <v>21</v>
      </c>
      <c r="E103" s="28">
        <v>0.375</v>
      </c>
      <c r="F103" s="28">
        <v>0.75</v>
      </c>
      <c r="G103" s="22">
        <v>9</v>
      </c>
      <c r="H103" s="22">
        <v>1</v>
      </c>
      <c r="I103" s="22">
        <v>8</v>
      </c>
      <c r="J103" s="21" t="s">
        <v>90</v>
      </c>
      <c r="K103" s="19"/>
      <c r="L103" s="19"/>
      <c r="M103" s="19"/>
      <c r="N103" s="19"/>
      <c r="O103" s="19"/>
    </row>
    <row r="104" spans="1:15">
      <c r="A104" s="21" t="s">
        <v>77</v>
      </c>
      <c r="B104" s="27">
        <v>46132</v>
      </c>
      <c r="C104" s="21" t="s">
        <v>68</v>
      </c>
      <c r="D104" s="21" t="s">
        <v>21</v>
      </c>
      <c r="E104" s="28">
        <v>0.375</v>
      </c>
      <c r="F104" s="28">
        <v>0.79166666666666663</v>
      </c>
      <c r="G104" s="22">
        <v>10</v>
      </c>
      <c r="H104" s="22">
        <v>1</v>
      </c>
      <c r="I104" s="22">
        <v>9</v>
      </c>
      <c r="J104" s="21" t="s">
        <v>90</v>
      </c>
      <c r="K104" s="19"/>
      <c r="L104" s="19"/>
      <c r="M104" s="19"/>
      <c r="N104" s="19"/>
      <c r="O104" s="19"/>
    </row>
    <row r="105" spans="1:15">
      <c r="A105" s="21" t="s">
        <v>78</v>
      </c>
      <c r="B105" s="27">
        <v>46132</v>
      </c>
      <c r="C105" s="21" t="s">
        <v>68</v>
      </c>
      <c r="D105" s="21" t="s">
        <v>29</v>
      </c>
      <c r="E105" s="28">
        <v>0.72222222222222221</v>
      </c>
      <c r="F105" s="28">
        <v>0.95833333333333337</v>
      </c>
      <c r="G105" s="22">
        <v>5.67</v>
      </c>
      <c r="H105" s="22">
        <v>0</v>
      </c>
      <c r="I105" s="22">
        <v>5.67</v>
      </c>
      <c r="J105" s="21" t="s">
        <v>90</v>
      </c>
      <c r="K105" s="19"/>
      <c r="L105" s="19"/>
      <c r="M105" s="19"/>
      <c r="N105" s="19"/>
      <c r="O105" s="19"/>
    </row>
    <row r="106" spans="1:15">
      <c r="A106" s="21" t="s">
        <v>80</v>
      </c>
      <c r="B106" s="27">
        <v>46132</v>
      </c>
      <c r="C106" s="21" t="s">
        <v>68</v>
      </c>
      <c r="D106" s="21" t="s">
        <v>21</v>
      </c>
      <c r="E106" s="28">
        <v>0.375</v>
      </c>
      <c r="F106" s="28">
        <v>0.75</v>
      </c>
      <c r="G106" s="22">
        <v>9</v>
      </c>
      <c r="H106" s="22">
        <v>1</v>
      </c>
      <c r="I106" s="22">
        <v>8</v>
      </c>
      <c r="J106" s="21" t="s">
        <v>90</v>
      </c>
      <c r="K106" s="19"/>
      <c r="L106" s="19"/>
      <c r="M106" s="19"/>
      <c r="N106" s="19"/>
      <c r="O106" s="19"/>
    </row>
    <row r="107" spans="1:15">
      <c r="A107" s="21" t="s">
        <v>66</v>
      </c>
      <c r="B107" s="27">
        <v>46133</v>
      </c>
      <c r="C107" s="21" t="s">
        <v>68</v>
      </c>
      <c r="D107" s="21" t="s">
        <v>21</v>
      </c>
      <c r="E107" s="28">
        <v>0.375</v>
      </c>
      <c r="F107" s="28">
        <v>0.61805555555555558</v>
      </c>
      <c r="G107" s="22">
        <v>5.83</v>
      </c>
      <c r="H107" s="22">
        <v>0</v>
      </c>
      <c r="I107" s="22">
        <v>5.83</v>
      </c>
      <c r="J107" s="21" t="s">
        <v>90</v>
      </c>
      <c r="K107" s="19"/>
      <c r="L107" s="19"/>
      <c r="M107" s="19"/>
      <c r="N107" s="19"/>
      <c r="O107" s="19"/>
    </row>
    <row r="108" spans="1:15">
      <c r="A108" s="21" t="s">
        <v>72</v>
      </c>
      <c r="B108" s="27">
        <v>46133</v>
      </c>
      <c r="C108" s="21" t="s">
        <v>68</v>
      </c>
      <c r="D108" s="21" t="s">
        <v>21</v>
      </c>
      <c r="E108" s="28">
        <v>0.375</v>
      </c>
      <c r="F108" s="28">
        <v>0.70833333333333337</v>
      </c>
      <c r="G108" s="22">
        <v>8</v>
      </c>
      <c r="H108" s="22">
        <v>1</v>
      </c>
      <c r="I108" s="22">
        <v>7</v>
      </c>
      <c r="J108" s="21" t="s">
        <v>90</v>
      </c>
      <c r="K108" s="19"/>
      <c r="L108" s="19"/>
      <c r="M108" s="19"/>
      <c r="N108" s="19"/>
      <c r="O108" s="19"/>
    </row>
    <row r="109" spans="1:15">
      <c r="A109" s="21" t="s">
        <v>77</v>
      </c>
      <c r="B109" s="27">
        <v>46133</v>
      </c>
      <c r="C109" s="21" t="s">
        <v>68</v>
      </c>
      <c r="D109" s="21" t="s">
        <v>21</v>
      </c>
      <c r="E109" s="28">
        <v>0.375</v>
      </c>
      <c r="F109" s="28">
        <v>0.75</v>
      </c>
      <c r="G109" s="22">
        <v>9</v>
      </c>
      <c r="H109" s="22">
        <v>1</v>
      </c>
      <c r="I109" s="22">
        <v>8</v>
      </c>
      <c r="J109" s="21" t="s">
        <v>90</v>
      </c>
      <c r="K109" s="19"/>
      <c r="L109" s="19"/>
      <c r="M109" s="19"/>
      <c r="N109" s="19"/>
      <c r="O109" s="19"/>
    </row>
    <row r="110" spans="1:15">
      <c r="A110" s="21" t="s">
        <v>78</v>
      </c>
      <c r="B110" s="27">
        <v>46133</v>
      </c>
      <c r="C110" s="21" t="s">
        <v>68</v>
      </c>
      <c r="D110" s="21" t="s">
        <v>29</v>
      </c>
      <c r="E110" s="28">
        <v>0.72569444444444442</v>
      </c>
      <c r="F110" s="28">
        <v>0.95833333333333337</v>
      </c>
      <c r="G110" s="22">
        <v>5.58</v>
      </c>
      <c r="H110" s="22">
        <v>0</v>
      </c>
      <c r="I110" s="22">
        <v>5.58</v>
      </c>
      <c r="J110" s="21" t="s">
        <v>90</v>
      </c>
      <c r="K110" s="19"/>
      <c r="L110" s="19"/>
      <c r="M110" s="19"/>
      <c r="N110" s="19"/>
      <c r="O110" s="19"/>
    </row>
    <row r="111" spans="1:15">
      <c r="A111" s="21" t="s">
        <v>80</v>
      </c>
      <c r="B111" s="27">
        <v>46133</v>
      </c>
      <c r="C111" s="21" t="s">
        <v>68</v>
      </c>
      <c r="D111" s="21" t="s">
        <v>21</v>
      </c>
      <c r="E111" s="28">
        <v>0.375</v>
      </c>
      <c r="F111" s="28">
        <v>0.75</v>
      </c>
      <c r="G111" s="22">
        <v>9</v>
      </c>
      <c r="H111" s="22">
        <v>1</v>
      </c>
      <c r="I111" s="22">
        <v>8</v>
      </c>
      <c r="J111" s="21" t="s">
        <v>90</v>
      </c>
      <c r="K111" s="19"/>
      <c r="L111" s="19"/>
      <c r="M111" s="19"/>
      <c r="N111" s="19"/>
      <c r="O111" s="19"/>
    </row>
    <row r="112" spans="1:15">
      <c r="A112" s="21" t="s">
        <v>81</v>
      </c>
      <c r="B112" s="27">
        <v>46133</v>
      </c>
      <c r="C112" s="21" t="s">
        <v>68</v>
      </c>
      <c r="D112" s="21" t="s">
        <v>21</v>
      </c>
      <c r="E112" s="28">
        <v>0.625</v>
      </c>
      <c r="F112" s="28">
        <v>0.95833333333333337</v>
      </c>
      <c r="G112" s="22">
        <v>8</v>
      </c>
      <c r="H112" s="22">
        <v>1</v>
      </c>
      <c r="I112" s="22">
        <v>7</v>
      </c>
      <c r="J112" s="21" t="s">
        <v>90</v>
      </c>
      <c r="K112" s="19"/>
      <c r="L112" s="19"/>
      <c r="M112" s="19"/>
      <c r="N112" s="19"/>
      <c r="O112" s="19"/>
    </row>
    <row r="113" spans="1:15">
      <c r="A113" s="21" t="s">
        <v>66</v>
      </c>
      <c r="B113" s="27">
        <v>46134</v>
      </c>
      <c r="C113" s="21" t="s">
        <v>68</v>
      </c>
      <c r="D113" s="21" t="s">
        <v>21</v>
      </c>
      <c r="E113" s="28">
        <v>0.38541666666666669</v>
      </c>
      <c r="F113" s="28">
        <v>0.61805555555555558</v>
      </c>
      <c r="G113" s="22">
        <v>5.58</v>
      </c>
      <c r="H113" s="22">
        <v>0</v>
      </c>
      <c r="I113" s="22">
        <v>5.58</v>
      </c>
      <c r="J113" s="21" t="s">
        <v>90</v>
      </c>
      <c r="K113" s="19"/>
      <c r="L113" s="19"/>
      <c r="M113" s="19"/>
      <c r="N113" s="19"/>
      <c r="O113" s="19"/>
    </row>
    <row r="114" spans="1:15">
      <c r="A114" s="21" t="s">
        <v>72</v>
      </c>
      <c r="B114" s="27">
        <v>46134</v>
      </c>
      <c r="C114" s="21" t="s">
        <v>68</v>
      </c>
      <c r="D114" s="21" t="s">
        <v>21</v>
      </c>
      <c r="E114" s="28">
        <v>0.375</v>
      </c>
      <c r="F114" s="28">
        <v>0.70833333333333337</v>
      </c>
      <c r="G114" s="22">
        <v>8</v>
      </c>
      <c r="H114" s="22">
        <v>1</v>
      </c>
      <c r="I114" s="22">
        <v>7</v>
      </c>
      <c r="J114" s="21" t="s">
        <v>90</v>
      </c>
      <c r="K114" s="19"/>
      <c r="L114" s="19"/>
      <c r="M114" s="19"/>
      <c r="N114" s="19"/>
      <c r="O114" s="19"/>
    </row>
    <row r="115" spans="1:15">
      <c r="A115" s="21" t="s">
        <v>76</v>
      </c>
      <c r="B115" s="27">
        <v>46134</v>
      </c>
      <c r="C115" s="21" t="s">
        <v>68</v>
      </c>
      <c r="D115" s="21" t="s">
        <v>21</v>
      </c>
      <c r="E115" s="28">
        <v>0.375</v>
      </c>
      <c r="F115" s="28">
        <v>0.75</v>
      </c>
      <c r="G115" s="22">
        <v>9</v>
      </c>
      <c r="H115" s="22">
        <v>1</v>
      </c>
      <c r="I115" s="22">
        <v>8</v>
      </c>
      <c r="J115" s="21" t="s">
        <v>90</v>
      </c>
      <c r="K115" s="19"/>
      <c r="L115" s="19"/>
      <c r="M115" s="19"/>
      <c r="N115" s="19"/>
      <c r="O115" s="19"/>
    </row>
    <row r="116" spans="1:15">
      <c r="A116" s="21" t="s">
        <v>77</v>
      </c>
      <c r="B116" s="27">
        <v>46134</v>
      </c>
      <c r="C116" s="21" t="s">
        <v>68</v>
      </c>
      <c r="D116" s="21" t="s">
        <v>21</v>
      </c>
      <c r="E116" s="28">
        <v>0.375</v>
      </c>
      <c r="F116" s="28">
        <v>0.75</v>
      </c>
      <c r="G116" s="22">
        <v>9</v>
      </c>
      <c r="H116" s="22">
        <v>1</v>
      </c>
      <c r="I116" s="22">
        <v>8</v>
      </c>
      <c r="J116" s="21" t="s">
        <v>90</v>
      </c>
      <c r="K116" s="19"/>
      <c r="L116" s="19"/>
      <c r="M116" s="19"/>
      <c r="N116" s="19"/>
      <c r="O116" s="19"/>
    </row>
    <row r="117" spans="1:15">
      <c r="A117" s="21" t="s">
        <v>80</v>
      </c>
      <c r="B117" s="27">
        <v>46134</v>
      </c>
      <c r="C117" s="21" t="s">
        <v>68</v>
      </c>
      <c r="D117" s="21" t="s">
        <v>21</v>
      </c>
      <c r="E117" s="28">
        <v>0.375</v>
      </c>
      <c r="F117" s="28">
        <v>0.75</v>
      </c>
      <c r="G117" s="22">
        <v>9</v>
      </c>
      <c r="H117" s="22">
        <v>1</v>
      </c>
      <c r="I117" s="22">
        <v>8</v>
      </c>
      <c r="J117" s="21" t="s">
        <v>90</v>
      </c>
      <c r="K117" s="19"/>
      <c r="L117" s="19"/>
      <c r="M117" s="19"/>
      <c r="N117" s="19"/>
      <c r="O117" s="19"/>
    </row>
    <row r="118" spans="1:15">
      <c r="A118" s="21" t="s">
        <v>66</v>
      </c>
      <c r="B118" s="27">
        <v>46135</v>
      </c>
      <c r="C118" s="21" t="s">
        <v>68</v>
      </c>
      <c r="D118" s="21" t="s">
        <v>21</v>
      </c>
      <c r="E118" s="28">
        <v>0.38541666666666669</v>
      </c>
      <c r="F118" s="28">
        <v>0.61805555555555558</v>
      </c>
      <c r="G118" s="22">
        <v>5.58</v>
      </c>
      <c r="H118" s="22">
        <v>0</v>
      </c>
      <c r="I118" s="22">
        <v>5.58</v>
      </c>
      <c r="J118" s="21" t="s">
        <v>90</v>
      </c>
      <c r="K118" s="19"/>
      <c r="L118" s="19"/>
      <c r="M118" s="19"/>
      <c r="N118" s="19"/>
      <c r="O118" s="19"/>
    </row>
    <row r="119" spans="1:15">
      <c r="A119" s="21" t="s">
        <v>72</v>
      </c>
      <c r="B119" s="27">
        <v>46135</v>
      </c>
      <c r="C119" s="21" t="s">
        <v>68</v>
      </c>
      <c r="D119" s="21" t="s">
        <v>21</v>
      </c>
      <c r="E119" s="28">
        <v>0.375</v>
      </c>
      <c r="F119" s="28">
        <v>0.70833333333333337</v>
      </c>
      <c r="G119" s="22">
        <v>8</v>
      </c>
      <c r="H119" s="22">
        <v>1</v>
      </c>
      <c r="I119" s="22">
        <v>7</v>
      </c>
      <c r="J119" s="21" t="s">
        <v>90</v>
      </c>
      <c r="K119" s="19"/>
      <c r="L119" s="19"/>
      <c r="M119" s="19"/>
      <c r="N119" s="19"/>
      <c r="O119" s="19"/>
    </row>
    <row r="120" spans="1:15">
      <c r="A120" s="21" t="s">
        <v>76</v>
      </c>
      <c r="B120" s="27">
        <v>46135</v>
      </c>
      <c r="C120" s="21" t="s">
        <v>68</v>
      </c>
      <c r="D120" s="21" t="s">
        <v>21</v>
      </c>
      <c r="E120" s="28">
        <v>0.375</v>
      </c>
      <c r="F120" s="28">
        <v>0.75</v>
      </c>
      <c r="G120" s="22">
        <v>9</v>
      </c>
      <c r="H120" s="22">
        <v>1</v>
      </c>
      <c r="I120" s="22">
        <v>8</v>
      </c>
      <c r="J120" s="21" t="s">
        <v>90</v>
      </c>
      <c r="K120" s="19"/>
      <c r="L120" s="19"/>
      <c r="M120" s="19"/>
      <c r="N120" s="19"/>
      <c r="O120" s="19"/>
    </row>
    <row r="121" spans="1:15">
      <c r="A121" s="21" t="s">
        <v>77</v>
      </c>
      <c r="B121" s="27">
        <v>46135</v>
      </c>
      <c r="C121" s="21" t="s">
        <v>68</v>
      </c>
      <c r="D121" s="21" t="s">
        <v>21</v>
      </c>
      <c r="E121" s="28">
        <v>0.37361111111111112</v>
      </c>
      <c r="F121" s="28">
        <v>0.75</v>
      </c>
      <c r="G121" s="22">
        <v>9.0299999999999994</v>
      </c>
      <c r="H121" s="22">
        <v>1</v>
      </c>
      <c r="I121" s="22">
        <v>8.0299999999999994</v>
      </c>
      <c r="J121" s="21" t="s">
        <v>90</v>
      </c>
      <c r="K121" s="19"/>
      <c r="L121" s="19"/>
      <c r="M121" s="19"/>
      <c r="N121" s="19"/>
      <c r="O121" s="19"/>
    </row>
    <row r="122" spans="1:15">
      <c r="A122" s="21" t="s">
        <v>80</v>
      </c>
      <c r="B122" s="27">
        <v>46135</v>
      </c>
      <c r="C122" s="21" t="s">
        <v>68</v>
      </c>
      <c r="D122" s="21" t="s">
        <v>21</v>
      </c>
      <c r="E122" s="28">
        <v>0.375</v>
      </c>
      <c r="F122" s="28">
        <v>0.75</v>
      </c>
      <c r="G122" s="22">
        <v>9</v>
      </c>
      <c r="H122" s="22">
        <v>1</v>
      </c>
      <c r="I122" s="22">
        <v>8</v>
      </c>
      <c r="J122" s="21" t="s">
        <v>90</v>
      </c>
      <c r="K122" s="19"/>
      <c r="L122" s="19"/>
      <c r="M122" s="19"/>
      <c r="N122" s="19"/>
      <c r="O122" s="19"/>
    </row>
    <row r="123" spans="1:15">
      <c r="A123" s="21" t="s">
        <v>81</v>
      </c>
      <c r="B123" s="27">
        <v>46135</v>
      </c>
      <c r="C123" s="21" t="s">
        <v>68</v>
      </c>
      <c r="D123" s="21" t="s">
        <v>21</v>
      </c>
      <c r="E123" s="28">
        <v>0.29166666666666669</v>
      </c>
      <c r="F123" s="28">
        <v>0.54166666666666663</v>
      </c>
      <c r="G123" s="22">
        <v>6</v>
      </c>
      <c r="H123" s="22">
        <v>0.5</v>
      </c>
      <c r="I123" s="22">
        <v>5.5</v>
      </c>
      <c r="J123" s="21" t="s">
        <v>90</v>
      </c>
      <c r="K123" s="19"/>
      <c r="L123" s="19"/>
      <c r="M123" s="19"/>
      <c r="N123" s="19"/>
      <c r="O123" s="19"/>
    </row>
    <row r="124" spans="1:15">
      <c r="A124" s="21" t="s">
        <v>66</v>
      </c>
      <c r="B124" s="27">
        <v>46136</v>
      </c>
      <c r="C124" s="21" t="s">
        <v>68</v>
      </c>
      <c r="D124" s="21" t="s">
        <v>21</v>
      </c>
      <c r="E124" s="28">
        <v>0.38541666666666669</v>
      </c>
      <c r="F124" s="28">
        <v>0.61805555555555558</v>
      </c>
      <c r="G124" s="22">
        <v>5.58</v>
      </c>
      <c r="H124" s="22">
        <v>0</v>
      </c>
      <c r="I124" s="22">
        <v>5.58</v>
      </c>
      <c r="J124" s="21" t="s">
        <v>90</v>
      </c>
      <c r="K124" s="19"/>
      <c r="L124" s="19"/>
      <c r="M124" s="19"/>
      <c r="N124" s="19"/>
      <c r="O124" s="19"/>
    </row>
    <row r="125" spans="1:15">
      <c r="A125" s="21" t="s">
        <v>72</v>
      </c>
      <c r="B125" s="27">
        <v>46136</v>
      </c>
      <c r="C125" s="21" t="s">
        <v>68</v>
      </c>
      <c r="D125" s="21" t="s">
        <v>21</v>
      </c>
      <c r="E125" s="28">
        <v>0.375</v>
      </c>
      <c r="F125" s="28">
        <v>0.70833333333333337</v>
      </c>
      <c r="G125" s="22">
        <v>8</v>
      </c>
      <c r="H125" s="22">
        <v>1</v>
      </c>
      <c r="I125" s="22">
        <v>7</v>
      </c>
      <c r="J125" s="21" t="s">
        <v>90</v>
      </c>
      <c r="K125" s="19"/>
      <c r="L125" s="19"/>
      <c r="M125" s="19"/>
      <c r="N125" s="19"/>
      <c r="O125" s="19"/>
    </row>
    <row r="126" spans="1:15">
      <c r="A126" s="21" t="s">
        <v>76</v>
      </c>
      <c r="B126" s="27">
        <v>46136</v>
      </c>
      <c r="C126" s="21" t="s">
        <v>68</v>
      </c>
      <c r="D126" s="21" t="s">
        <v>21</v>
      </c>
      <c r="E126" s="28">
        <v>0.375</v>
      </c>
      <c r="F126" s="28">
        <v>0.75</v>
      </c>
      <c r="G126" s="22">
        <v>9</v>
      </c>
      <c r="H126" s="22">
        <v>1</v>
      </c>
      <c r="I126" s="22">
        <v>8</v>
      </c>
      <c r="J126" s="21" t="s">
        <v>90</v>
      </c>
      <c r="K126" s="19"/>
      <c r="L126" s="19"/>
      <c r="M126" s="19"/>
      <c r="N126" s="19"/>
      <c r="O126" s="19"/>
    </row>
    <row r="127" spans="1:15">
      <c r="A127" s="21" t="s">
        <v>77</v>
      </c>
      <c r="B127" s="27">
        <v>46136</v>
      </c>
      <c r="C127" s="21" t="s">
        <v>68</v>
      </c>
      <c r="D127" s="21" t="s">
        <v>21</v>
      </c>
      <c r="E127" s="28">
        <v>0.375</v>
      </c>
      <c r="F127" s="28">
        <v>0.75</v>
      </c>
      <c r="G127" s="22">
        <v>9</v>
      </c>
      <c r="H127" s="22">
        <v>1</v>
      </c>
      <c r="I127" s="22">
        <v>8</v>
      </c>
      <c r="J127" s="21" t="s">
        <v>90</v>
      </c>
      <c r="K127" s="19"/>
      <c r="L127" s="19"/>
      <c r="M127" s="19"/>
      <c r="N127" s="19"/>
      <c r="O127" s="19"/>
    </row>
    <row r="128" spans="1:15">
      <c r="A128" s="21" t="s">
        <v>80</v>
      </c>
      <c r="B128" s="27">
        <v>46136</v>
      </c>
      <c r="C128" s="21" t="s">
        <v>68</v>
      </c>
      <c r="D128" s="21" t="s">
        <v>21</v>
      </c>
      <c r="E128" s="28">
        <v>0.375</v>
      </c>
      <c r="F128" s="28">
        <v>0.75</v>
      </c>
      <c r="G128" s="22">
        <v>9</v>
      </c>
      <c r="H128" s="22">
        <v>1</v>
      </c>
      <c r="I128" s="22">
        <v>8</v>
      </c>
      <c r="J128" s="21" t="s">
        <v>90</v>
      </c>
      <c r="K128" s="19"/>
      <c r="L128" s="19"/>
      <c r="M128" s="19"/>
      <c r="N128" s="19"/>
      <c r="O128" s="19"/>
    </row>
    <row r="129" spans="1:15">
      <c r="A129" s="21" t="s">
        <v>81</v>
      </c>
      <c r="B129" s="27">
        <v>46136</v>
      </c>
      <c r="C129" s="21" t="s">
        <v>68</v>
      </c>
      <c r="D129" s="21" t="s">
        <v>21</v>
      </c>
      <c r="E129" s="28">
        <v>0.375</v>
      </c>
      <c r="F129" s="28">
        <v>0.61458333333333337</v>
      </c>
      <c r="G129" s="22">
        <v>5.75</v>
      </c>
      <c r="H129" s="22">
        <v>0</v>
      </c>
      <c r="I129" s="22">
        <v>5.75</v>
      </c>
      <c r="J129" s="21" t="s">
        <v>90</v>
      </c>
      <c r="K129" s="19"/>
      <c r="L129" s="19"/>
      <c r="M129" s="19"/>
      <c r="N129" s="19"/>
      <c r="O129" s="19"/>
    </row>
    <row r="130" spans="1:15">
      <c r="A130" s="21" t="s">
        <v>64</v>
      </c>
      <c r="B130" s="27">
        <v>46124</v>
      </c>
      <c r="C130" s="21" t="s">
        <v>91</v>
      </c>
      <c r="D130" s="21" t="s">
        <v>17</v>
      </c>
      <c r="E130" s="28">
        <v>0.33333333333333331</v>
      </c>
      <c r="F130" s="28">
        <v>0.70833333333333337</v>
      </c>
      <c r="G130" s="22">
        <v>9</v>
      </c>
      <c r="H130" s="22">
        <v>1</v>
      </c>
      <c r="I130" s="22">
        <v>8</v>
      </c>
      <c r="J130" s="21" t="s">
        <v>92</v>
      </c>
      <c r="K130" s="19"/>
      <c r="L130" s="19"/>
      <c r="M130" s="19"/>
      <c r="N130" s="19"/>
      <c r="O130" s="19"/>
    </row>
    <row r="131" spans="1:15">
      <c r="A131" s="21" t="s">
        <v>59</v>
      </c>
      <c r="B131" s="27">
        <v>46124</v>
      </c>
      <c r="C131" s="21" t="s">
        <v>91</v>
      </c>
      <c r="D131" s="21" t="s">
        <v>17</v>
      </c>
      <c r="E131" s="28">
        <v>0.33333333333333331</v>
      </c>
      <c r="F131" s="28">
        <v>0.70833333333333337</v>
      </c>
      <c r="G131" s="22">
        <v>9</v>
      </c>
      <c r="H131" s="22">
        <v>1</v>
      </c>
      <c r="I131" s="22">
        <v>8</v>
      </c>
      <c r="J131" s="21" t="s">
        <v>92</v>
      </c>
      <c r="K131" s="19"/>
      <c r="L131" s="19"/>
      <c r="M131" s="19"/>
      <c r="N131" s="19"/>
      <c r="O131" s="19"/>
    </row>
    <row r="132" spans="1:15">
      <c r="A132" s="21" t="s">
        <v>62</v>
      </c>
      <c r="B132" s="27">
        <v>46124</v>
      </c>
      <c r="C132" s="21" t="s">
        <v>91</v>
      </c>
      <c r="D132" s="21" t="s">
        <v>17</v>
      </c>
      <c r="E132" s="28">
        <v>0.33333333333333331</v>
      </c>
      <c r="F132" s="28">
        <v>0.70833333333333337</v>
      </c>
      <c r="G132" s="22">
        <v>9</v>
      </c>
      <c r="H132" s="22">
        <v>1</v>
      </c>
      <c r="I132" s="22">
        <v>8</v>
      </c>
      <c r="J132" s="21" t="s">
        <v>92</v>
      </c>
      <c r="K132" s="19"/>
      <c r="L132" s="19"/>
      <c r="M132" s="19"/>
      <c r="N132" s="19"/>
      <c r="O132" s="19"/>
    </row>
  </sheetData>
  <mergeCells count="8">
    <mergeCell ref="A21:G21"/>
    <mergeCell ref="I21:O21"/>
    <mergeCell ref="A39:J39"/>
    <mergeCell ref="A1:K1"/>
    <mergeCell ref="A2:K2"/>
    <mergeCell ref="A4:D4"/>
    <mergeCell ref="F4:K4"/>
    <mergeCell ref="A13:F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14999847407452621"/>
  </sheetPr>
  <dimension ref="A1:O118"/>
  <sheetViews>
    <sheetView zoomScaleNormal="100" zoomScaleSheetLayoutView="100" workbookViewId="0"/>
  </sheetViews>
  <sheetFormatPr defaultRowHeight="15"/>
  <cols>
    <col min="1" max="1" width="23" customWidth="1"/>
    <col min="2" max="2" width="16" customWidth="1"/>
    <col min="3" max="4" width="18" customWidth="1"/>
    <col min="5" max="5" width="14" customWidth="1"/>
    <col min="6" max="6" width="24" customWidth="1"/>
    <col min="7" max="7" width="16" customWidth="1"/>
    <col min="8" max="8" width="14" customWidth="1"/>
    <col min="9" max="9" width="18" customWidth="1"/>
    <col min="10" max="10" width="36" customWidth="1"/>
    <col min="11" max="14" width="13" customWidth="1"/>
    <col min="15" max="15" width="16" customWidth="1"/>
  </cols>
  <sheetData>
    <row r="1" spans="1:15" ht="26.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5" ht="33.950000000000003" customHeight="1">
      <c r="A2" s="2"/>
      <c r="B2" s="2"/>
      <c r="C2" s="2"/>
      <c r="D2" s="2"/>
      <c r="E2" s="2"/>
      <c r="F2" s="2"/>
      <c r="G2" s="2"/>
      <c r="H2" s="2"/>
      <c r="I2" s="2"/>
      <c r="J2" s="2"/>
    </row>
    <row r="3" spans="1:15" ht="33.950000000000003" customHeight="1">
      <c r="A3" s="2"/>
      <c r="B3" s="2"/>
      <c r="C3" s="2"/>
      <c r="D3" s="2"/>
      <c r="E3" s="2"/>
      <c r="F3" s="2"/>
      <c r="G3" s="2"/>
      <c r="H3" s="2"/>
      <c r="I3" s="2"/>
      <c r="J3" s="2"/>
    </row>
    <row r="4" spans="1:15" ht="21.95" customHeight="1">
      <c r="A4" s="3" t="s">
        <v>2</v>
      </c>
      <c r="B4" s="3"/>
      <c r="C4" s="3"/>
      <c r="D4" s="3"/>
      <c r="F4" s="3" t="s">
        <v>93</v>
      </c>
      <c r="G4" s="3"/>
      <c r="H4" s="3"/>
      <c r="I4" s="3"/>
      <c r="J4" s="3"/>
      <c r="K4" s="3"/>
    </row>
    <row r="5" spans="1:15">
      <c r="A5" s="11" t="s">
        <v>4</v>
      </c>
      <c r="B5" s="11" t="s">
        <v>5</v>
      </c>
      <c r="C5" s="11" t="s">
        <v>6</v>
      </c>
      <c r="D5" s="11" t="s">
        <v>7</v>
      </c>
      <c r="F5" s="11" t="s">
        <v>94</v>
      </c>
      <c r="G5" s="11" t="s">
        <v>9</v>
      </c>
      <c r="H5" s="11" t="s">
        <v>10</v>
      </c>
      <c r="I5" s="11" t="s">
        <v>11</v>
      </c>
      <c r="J5" s="11" t="s">
        <v>12</v>
      </c>
      <c r="K5" s="11" t="s">
        <v>13</v>
      </c>
    </row>
    <row r="6" spans="1:15">
      <c r="A6" s="4" t="s">
        <v>14</v>
      </c>
      <c r="B6" s="5">
        <v>722.92</v>
      </c>
      <c r="C6" s="4" t="s">
        <v>95</v>
      </c>
      <c r="D6" s="4" t="s">
        <v>16</v>
      </c>
      <c r="F6" s="4" t="s">
        <v>21</v>
      </c>
      <c r="G6" s="4">
        <v>10</v>
      </c>
      <c r="H6" s="4">
        <v>84</v>
      </c>
      <c r="I6" s="5">
        <v>688.67</v>
      </c>
      <c r="J6" s="5">
        <v>66</v>
      </c>
      <c r="K6" s="5">
        <v>622.66999999999996</v>
      </c>
    </row>
    <row r="7" spans="1:15">
      <c r="A7" s="4" t="s">
        <v>18</v>
      </c>
      <c r="B7" s="5">
        <v>68</v>
      </c>
      <c r="C7" s="4" t="s">
        <v>96</v>
      </c>
      <c r="D7" s="4" t="s">
        <v>97</v>
      </c>
      <c r="F7" s="4" t="s">
        <v>25</v>
      </c>
      <c r="G7" s="4">
        <v>2</v>
      </c>
      <c r="H7" s="4">
        <v>2</v>
      </c>
      <c r="I7" s="5">
        <v>20</v>
      </c>
      <c r="J7" s="5">
        <v>2</v>
      </c>
      <c r="K7" s="5">
        <v>18</v>
      </c>
    </row>
    <row r="8" spans="1:15">
      <c r="A8" s="4" t="s">
        <v>22</v>
      </c>
      <c r="B8" s="5">
        <v>654.91999999999996</v>
      </c>
      <c r="C8" s="4" t="s">
        <v>23</v>
      </c>
      <c r="D8" s="4" t="s">
        <v>98</v>
      </c>
      <c r="F8" s="4" t="s">
        <v>29</v>
      </c>
      <c r="G8" s="4">
        <v>1</v>
      </c>
      <c r="H8" s="4">
        <v>3</v>
      </c>
      <c r="I8" s="5">
        <v>14.25</v>
      </c>
      <c r="J8" s="5">
        <v>0</v>
      </c>
      <c r="K8" s="5">
        <v>14.25</v>
      </c>
    </row>
    <row r="9" spans="1:15">
      <c r="A9" s="4" t="s">
        <v>99</v>
      </c>
      <c r="B9" s="5">
        <v>12</v>
      </c>
      <c r="C9" s="4" t="s">
        <v>95</v>
      </c>
      <c r="D9" s="4"/>
      <c r="F9" s="4" t="s">
        <v>33</v>
      </c>
      <c r="G9" s="4">
        <v>0</v>
      </c>
      <c r="H9" s="4">
        <v>0</v>
      </c>
      <c r="I9" s="5">
        <v>0</v>
      </c>
      <c r="J9" s="5">
        <v>0</v>
      </c>
      <c r="K9" s="5">
        <v>0</v>
      </c>
    </row>
    <row r="10" spans="1:15">
      <c r="A10" s="12" t="s">
        <v>30</v>
      </c>
      <c r="B10" s="13">
        <v>89</v>
      </c>
      <c r="C10" s="12" t="s">
        <v>95</v>
      </c>
      <c r="D10" s="12"/>
      <c r="F10" s="17" t="s">
        <v>34</v>
      </c>
      <c r="G10" s="17">
        <v>12</v>
      </c>
      <c r="H10" s="17">
        <v>89</v>
      </c>
      <c r="I10" s="18">
        <v>722.92</v>
      </c>
      <c r="J10" s="18">
        <v>68</v>
      </c>
      <c r="K10" s="18">
        <v>654.91999999999996</v>
      </c>
    </row>
    <row r="11" spans="1:15" ht="21.95" customHeight="1">
      <c r="A11" s="3" t="s">
        <v>51</v>
      </c>
      <c r="B11" s="3"/>
      <c r="C11" s="3"/>
      <c r="D11" s="3"/>
      <c r="E11" s="3"/>
      <c r="F11" s="3"/>
      <c r="G11" s="3"/>
      <c r="I11" s="3" t="s">
        <v>100</v>
      </c>
      <c r="J11" s="3"/>
      <c r="K11" s="3"/>
      <c r="L11" s="3"/>
      <c r="M11" s="3"/>
      <c r="N11" s="3"/>
      <c r="O11" s="3"/>
    </row>
    <row r="12" spans="1:15">
      <c r="A12" s="11" t="s">
        <v>55</v>
      </c>
      <c r="B12" s="11" t="s">
        <v>56</v>
      </c>
      <c r="C12" s="11" t="s">
        <v>57</v>
      </c>
      <c r="D12" s="11" t="s">
        <v>58</v>
      </c>
      <c r="E12" s="11" t="s">
        <v>11</v>
      </c>
      <c r="F12" s="11" t="s">
        <v>12</v>
      </c>
      <c r="G12" s="11" t="s">
        <v>13</v>
      </c>
      <c r="I12" s="11" t="s">
        <v>85</v>
      </c>
      <c r="J12" s="11" t="s">
        <v>94</v>
      </c>
      <c r="K12" s="11" t="s">
        <v>86</v>
      </c>
      <c r="L12" s="11" t="s">
        <v>87</v>
      </c>
      <c r="M12" s="11" t="s">
        <v>11</v>
      </c>
      <c r="N12" s="11" t="s">
        <v>12</v>
      </c>
      <c r="O12" s="11" t="s">
        <v>13</v>
      </c>
    </row>
    <row r="13" spans="1:15">
      <c r="A13" s="7">
        <v>46111</v>
      </c>
      <c r="B13" s="4" t="s">
        <v>61</v>
      </c>
      <c r="C13" s="4" t="s">
        <v>21</v>
      </c>
      <c r="D13" s="5">
        <v>1</v>
      </c>
      <c r="E13" s="5">
        <v>5.5</v>
      </c>
      <c r="F13" s="5">
        <v>0</v>
      </c>
      <c r="G13" s="5">
        <v>5.5</v>
      </c>
      <c r="I13" s="7">
        <v>46113</v>
      </c>
      <c r="J13" s="4" t="s">
        <v>21</v>
      </c>
      <c r="K13" s="9">
        <v>0.6875</v>
      </c>
      <c r="L13" s="9">
        <v>0.91666666666666663</v>
      </c>
      <c r="M13" s="5">
        <v>5.5</v>
      </c>
      <c r="N13" s="5">
        <v>0</v>
      </c>
      <c r="O13" s="5">
        <v>5.5</v>
      </c>
    </row>
    <row r="14" spans="1:15">
      <c r="A14" s="7">
        <v>46118</v>
      </c>
      <c r="B14" s="4" t="s">
        <v>63</v>
      </c>
      <c r="C14" s="4" t="s">
        <v>21</v>
      </c>
      <c r="D14" s="5">
        <v>1</v>
      </c>
      <c r="E14" s="5">
        <v>10</v>
      </c>
      <c r="F14" s="5">
        <v>1</v>
      </c>
      <c r="G14" s="5">
        <v>9</v>
      </c>
      <c r="I14" s="7">
        <v>46123</v>
      </c>
      <c r="J14" s="4" t="s">
        <v>21</v>
      </c>
      <c r="K14" s="9">
        <v>0.3125</v>
      </c>
      <c r="L14" s="9">
        <v>0.72916666666666663</v>
      </c>
      <c r="M14" s="5">
        <v>10</v>
      </c>
      <c r="N14" s="5">
        <v>1</v>
      </c>
      <c r="O14" s="5">
        <v>9</v>
      </c>
    </row>
    <row r="15" spans="1:15">
      <c r="A15" s="7">
        <v>46125</v>
      </c>
      <c r="B15" s="4" t="s">
        <v>65</v>
      </c>
      <c r="C15" s="4" t="s">
        <v>21</v>
      </c>
      <c r="D15" s="5">
        <v>3</v>
      </c>
      <c r="E15" s="5">
        <v>30</v>
      </c>
      <c r="F15" s="5">
        <v>3</v>
      </c>
      <c r="G15" s="5">
        <v>27</v>
      </c>
      <c r="I15" s="7">
        <v>46126</v>
      </c>
      <c r="J15" s="4" t="s">
        <v>21</v>
      </c>
      <c r="K15" s="9">
        <v>0.5</v>
      </c>
      <c r="L15" s="9">
        <v>0.83333333333333337</v>
      </c>
      <c r="M15" s="5">
        <v>8</v>
      </c>
      <c r="N15" s="5">
        <v>1</v>
      </c>
      <c r="O15" s="5">
        <v>7</v>
      </c>
    </row>
    <row r="16" spans="1:15">
      <c r="A16" s="7">
        <v>46132</v>
      </c>
      <c r="B16" s="4" t="s">
        <v>68</v>
      </c>
      <c r="C16" s="4" t="s">
        <v>21</v>
      </c>
      <c r="D16" s="5">
        <v>3</v>
      </c>
      <c r="E16" s="5">
        <v>19.75</v>
      </c>
      <c r="F16" s="5">
        <v>1.5</v>
      </c>
      <c r="G16" s="5">
        <v>18.25</v>
      </c>
      <c r="I16" s="7">
        <v>46127</v>
      </c>
      <c r="J16" s="4" t="s">
        <v>21</v>
      </c>
      <c r="K16" s="9">
        <v>0.58333333333333337</v>
      </c>
      <c r="L16" s="9">
        <v>0</v>
      </c>
      <c r="M16" s="5">
        <v>10</v>
      </c>
      <c r="N16" s="5">
        <v>1</v>
      </c>
      <c r="O16" s="5">
        <v>9</v>
      </c>
    </row>
    <row r="17" spans="1:15">
      <c r="A17" s="16" t="s">
        <v>34</v>
      </c>
      <c r="B17" s="17" t="s">
        <v>70</v>
      </c>
      <c r="C17" s="17" t="s">
        <v>21</v>
      </c>
      <c r="D17" s="18">
        <v>8</v>
      </c>
      <c r="E17" s="18">
        <v>65.25</v>
      </c>
      <c r="F17" s="18">
        <v>5.5</v>
      </c>
      <c r="G17" s="18">
        <v>59.75</v>
      </c>
      <c r="I17" s="7">
        <v>46129</v>
      </c>
      <c r="J17" s="4" t="s">
        <v>21</v>
      </c>
      <c r="K17" s="9">
        <v>0.5</v>
      </c>
      <c r="L17" s="9">
        <v>0</v>
      </c>
      <c r="M17" s="5">
        <v>12</v>
      </c>
      <c r="N17" s="5">
        <v>1</v>
      </c>
      <c r="O17" s="5">
        <v>11</v>
      </c>
    </row>
    <row r="18" spans="1:15">
      <c r="A18" s="8"/>
      <c r="D18" s="6"/>
      <c r="E18" s="6"/>
      <c r="F18" s="6"/>
      <c r="G18" s="6"/>
      <c r="I18" s="7">
        <v>46133</v>
      </c>
      <c r="J18" s="4" t="s">
        <v>21</v>
      </c>
      <c r="K18" s="9">
        <v>0.625</v>
      </c>
      <c r="L18" s="9">
        <v>0.95833333333333337</v>
      </c>
      <c r="M18" s="5">
        <v>8</v>
      </c>
      <c r="N18" s="5">
        <v>1</v>
      </c>
      <c r="O18" s="5">
        <v>7</v>
      </c>
    </row>
    <row r="19" spans="1:15">
      <c r="I19" s="7">
        <v>46135</v>
      </c>
      <c r="J19" s="4" t="s">
        <v>21</v>
      </c>
      <c r="K19" s="9">
        <v>0.29166666666666669</v>
      </c>
      <c r="L19" s="9">
        <v>0.54166666666666663</v>
      </c>
      <c r="M19" s="5">
        <v>6</v>
      </c>
      <c r="N19" s="5">
        <v>0.5</v>
      </c>
      <c r="O19" s="5">
        <v>5.5</v>
      </c>
    </row>
    <row r="20" spans="1:15">
      <c r="I20" s="14">
        <v>46136</v>
      </c>
      <c r="J20" s="12" t="s">
        <v>21</v>
      </c>
      <c r="K20" s="15">
        <v>0.375</v>
      </c>
      <c r="L20" s="15">
        <v>0.61458333333333337</v>
      </c>
      <c r="M20" s="13">
        <v>5.75</v>
      </c>
      <c r="N20" s="13">
        <v>0</v>
      </c>
      <c r="O20" s="13">
        <v>5.75</v>
      </c>
    </row>
    <row r="21" spans="1:15">
      <c r="I21" s="8"/>
      <c r="K21" s="10"/>
      <c r="L21" s="10"/>
      <c r="M21" s="6"/>
      <c r="N21" s="6"/>
      <c r="O21" s="6"/>
    </row>
    <row r="22" spans="1:15" ht="21.95" customHeight="1">
      <c r="A22" s="3" t="s">
        <v>101</v>
      </c>
      <c r="B22" s="3"/>
      <c r="C22" s="3"/>
      <c r="D22" s="3"/>
      <c r="E22" s="3"/>
      <c r="F22" s="3"/>
      <c r="G22" s="3"/>
    </row>
    <row r="23" spans="1:15">
      <c r="A23" s="11" t="s">
        <v>102</v>
      </c>
      <c r="B23" s="11" t="s">
        <v>103</v>
      </c>
      <c r="C23" s="11" t="s">
        <v>104</v>
      </c>
      <c r="D23" s="11" t="s">
        <v>105</v>
      </c>
      <c r="E23" s="11" t="s">
        <v>11</v>
      </c>
      <c r="F23" s="11" t="s">
        <v>12</v>
      </c>
      <c r="G23" s="11" t="s">
        <v>106</v>
      </c>
      <c r="H23" s="11" t="s">
        <v>107</v>
      </c>
      <c r="I23" s="11" t="s">
        <v>7</v>
      </c>
    </row>
    <row r="24" spans="1:15">
      <c r="A24" s="4" t="s">
        <v>108</v>
      </c>
      <c r="B24" s="4"/>
      <c r="C24" s="14">
        <v>46124</v>
      </c>
      <c r="D24" s="4" t="s">
        <v>17</v>
      </c>
      <c r="E24" s="4">
        <v>24</v>
      </c>
      <c r="F24" s="4" t="s">
        <v>109</v>
      </c>
      <c r="G24" s="4">
        <v>696</v>
      </c>
      <c r="H24" t="s">
        <v>109</v>
      </c>
      <c r="I24" t="s">
        <v>110</v>
      </c>
    </row>
    <row r="25" spans="1:15">
      <c r="A25" s="12" t="s">
        <v>111</v>
      </c>
      <c r="B25" s="12"/>
      <c r="C25" s="14">
        <v>46124</v>
      </c>
      <c r="D25" s="12" t="s">
        <v>17</v>
      </c>
      <c r="E25" s="12">
        <v>8</v>
      </c>
      <c r="F25" s="12" t="s">
        <v>109</v>
      </c>
      <c r="G25" s="12">
        <v>150</v>
      </c>
      <c r="H25" t="s">
        <v>109</v>
      </c>
      <c r="I25" t="s">
        <v>112</v>
      </c>
    </row>
    <row r="28" spans="1:15" ht="21.95" customHeight="1">
      <c r="A28" s="3" t="s">
        <v>84</v>
      </c>
      <c r="B28" s="3"/>
      <c r="C28" s="3"/>
      <c r="D28" s="3"/>
      <c r="E28" s="3"/>
      <c r="F28" s="3"/>
      <c r="G28" s="3"/>
      <c r="H28" s="3"/>
      <c r="I28" s="3"/>
      <c r="J28" s="3"/>
    </row>
    <row r="29" spans="1:15">
      <c r="A29" s="11" t="s">
        <v>52</v>
      </c>
      <c r="B29" s="11" t="s">
        <v>85</v>
      </c>
      <c r="C29" s="11" t="s">
        <v>55</v>
      </c>
      <c r="D29" s="11" t="s">
        <v>94</v>
      </c>
      <c r="E29" s="11" t="s">
        <v>86</v>
      </c>
      <c r="F29" s="11" t="s">
        <v>87</v>
      </c>
      <c r="G29" s="11" t="s">
        <v>11</v>
      </c>
      <c r="H29" s="11" t="s">
        <v>88</v>
      </c>
      <c r="I29" s="11" t="s">
        <v>13</v>
      </c>
      <c r="J29" s="11" t="s">
        <v>89</v>
      </c>
    </row>
    <row r="30" spans="1:15">
      <c r="A30" s="4" t="s">
        <v>69</v>
      </c>
      <c r="B30" s="7">
        <v>46113</v>
      </c>
      <c r="C30" s="4" t="s">
        <v>61</v>
      </c>
      <c r="D30" s="4" t="s">
        <v>21</v>
      </c>
      <c r="E30" s="9">
        <v>0.6875</v>
      </c>
      <c r="F30" s="9">
        <v>0.91666666666666663</v>
      </c>
      <c r="G30" s="5">
        <v>5.5</v>
      </c>
      <c r="H30" s="5">
        <v>0</v>
      </c>
      <c r="I30" s="5">
        <v>5.5</v>
      </c>
      <c r="J30" s="4" t="s">
        <v>90</v>
      </c>
    </row>
    <row r="31" spans="1:15">
      <c r="A31" s="4" t="s">
        <v>72</v>
      </c>
      <c r="B31" s="7">
        <v>46113</v>
      </c>
      <c r="C31" s="4" t="s">
        <v>61</v>
      </c>
      <c r="D31" s="4" t="s">
        <v>21</v>
      </c>
      <c r="E31" s="9">
        <v>0.39583333333333331</v>
      </c>
      <c r="F31" s="9">
        <v>0.75</v>
      </c>
      <c r="G31" s="5">
        <v>8.5</v>
      </c>
      <c r="H31" s="5">
        <v>1</v>
      </c>
      <c r="I31" s="5">
        <v>7.5</v>
      </c>
      <c r="J31" s="4" t="s">
        <v>90</v>
      </c>
    </row>
    <row r="32" spans="1:15">
      <c r="A32" s="4" t="s">
        <v>75</v>
      </c>
      <c r="B32" s="7">
        <v>46113</v>
      </c>
      <c r="C32" s="4" t="s">
        <v>61</v>
      </c>
      <c r="D32" s="4" t="s">
        <v>21</v>
      </c>
      <c r="E32" s="9">
        <v>0.79166666666666663</v>
      </c>
      <c r="F32" s="9">
        <v>0.91666666666666663</v>
      </c>
      <c r="G32" s="5">
        <v>3</v>
      </c>
      <c r="H32" s="5">
        <v>0</v>
      </c>
      <c r="I32" s="5">
        <v>3</v>
      </c>
      <c r="J32" s="4" t="s">
        <v>90</v>
      </c>
    </row>
    <row r="33" spans="1:10">
      <c r="A33" s="4" t="s">
        <v>76</v>
      </c>
      <c r="B33" s="7">
        <v>46113</v>
      </c>
      <c r="C33" s="4" t="s">
        <v>61</v>
      </c>
      <c r="D33" s="4" t="s">
        <v>21</v>
      </c>
      <c r="E33" s="9">
        <v>0.375</v>
      </c>
      <c r="F33" s="9">
        <v>0.75</v>
      </c>
      <c r="G33" s="5">
        <v>9</v>
      </c>
      <c r="H33" s="5">
        <v>1</v>
      </c>
      <c r="I33" s="5">
        <v>8</v>
      </c>
      <c r="J33" s="4" t="s">
        <v>90</v>
      </c>
    </row>
    <row r="34" spans="1:10">
      <c r="A34" s="4" t="s">
        <v>81</v>
      </c>
      <c r="B34" s="7">
        <v>46113</v>
      </c>
      <c r="C34" s="4" t="s">
        <v>61</v>
      </c>
      <c r="D34" s="4" t="s">
        <v>21</v>
      </c>
      <c r="E34" s="9">
        <v>0.6875</v>
      </c>
      <c r="F34" s="9">
        <v>0.91666666666666663</v>
      </c>
      <c r="G34" s="5">
        <v>5.5</v>
      </c>
      <c r="H34" s="5">
        <v>0</v>
      </c>
      <c r="I34" s="5">
        <v>5.5</v>
      </c>
      <c r="J34" s="4" t="s">
        <v>90</v>
      </c>
    </row>
    <row r="35" spans="1:10">
      <c r="A35" s="4" t="s">
        <v>72</v>
      </c>
      <c r="B35" s="7">
        <v>46114</v>
      </c>
      <c r="C35" s="4" t="s">
        <v>61</v>
      </c>
      <c r="D35" s="4" t="s">
        <v>21</v>
      </c>
      <c r="E35" s="9">
        <v>0.39583333333333331</v>
      </c>
      <c r="F35" s="9">
        <v>0.25</v>
      </c>
      <c r="G35" s="5">
        <v>20.5</v>
      </c>
      <c r="H35" s="5">
        <v>1</v>
      </c>
      <c r="I35" s="5">
        <v>19.5</v>
      </c>
      <c r="J35" s="4" t="s">
        <v>90</v>
      </c>
    </row>
    <row r="36" spans="1:10">
      <c r="A36" s="4" t="s">
        <v>76</v>
      </c>
      <c r="B36" s="7">
        <v>46114</v>
      </c>
      <c r="C36" s="4" t="s">
        <v>61</v>
      </c>
      <c r="D36" s="4" t="s">
        <v>21</v>
      </c>
      <c r="E36" s="9">
        <v>0.375</v>
      </c>
      <c r="F36" s="9">
        <v>0.75</v>
      </c>
      <c r="G36" s="5">
        <v>9</v>
      </c>
      <c r="H36" s="5">
        <v>1</v>
      </c>
      <c r="I36" s="5">
        <v>8</v>
      </c>
      <c r="J36" s="4" t="s">
        <v>90</v>
      </c>
    </row>
    <row r="37" spans="1:10">
      <c r="A37" s="4" t="s">
        <v>66</v>
      </c>
      <c r="B37" s="7">
        <v>46115</v>
      </c>
      <c r="C37" s="4" t="s">
        <v>61</v>
      </c>
      <c r="D37" s="4" t="s">
        <v>21</v>
      </c>
      <c r="E37" s="9">
        <v>0.3611111111111111</v>
      </c>
      <c r="F37" s="9">
        <v>0.44444444444444442</v>
      </c>
      <c r="G37" s="5">
        <v>2</v>
      </c>
      <c r="H37" s="5">
        <v>0</v>
      </c>
      <c r="I37" s="5">
        <v>2</v>
      </c>
      <c r="J37" s="4" t="s">
        <v>90</v>
      </c>
    </row>
    <row r="38" spans="1:10">
      <c r="A38" s="4" t="s">
        <v>72</v>
      </c>
      <c r="B38" s="7">
        <v>46115</v>
      </c>
      <c r="C38" s="4" t="s">
        <v>61</v>
      </c>
      <c r="D38" s="4" t="s">
        <v>21</v>
      </c>
      <c r="E38" s="9">
        <v>0.39583333333333331</v>
      </c>
      <c r="F38" s="9">
        <v>0.75</v>
      </c>
      <c r="G38" s="5">
        <v>8.5</v>
      </c>
      <c r="H38" s="5">
        <v>1</v>
      </c>
      <c r="I38" s="5">
        <v>7.5</v>
      </c>
      <c r="J38" s="4" t="s">
        <v>90</v>
      </c>
    </row>
    <row r="39" spans="1:10">
      <c r="A39" s="4" t="s">
        <v>76</v>
      </c>
      <c r="B39" s="7">
        <v>46115</v>
      </c>
      <c r="C39" s="4" t="s">
        <v>61</v>
      </c>
      <c r="D39" s="4" t="s">
        <v>21</v>
      </c>
      <c r="E39" s="9">
        <v>0.375</v>
      </c>
      <c r="F39" s="9">
        <v>0.75</v>
      </c>
      <c r="G39" s="5">
        <v>9</v>
      </c>
      <c r="H39" s="5">
        <v>1</v>
      </c>
      <c r="I39" s="5">
        <v>8</v>
      </c>
      <c r="J39" s="4" t="s">
        <v>90</v>
      </c>
    </row>
    <row r="40" spans="1:10">
      <c r="A40" s="4" t="s">
        <v>77</v>
      </c>
      <c r="B40" s="7">
        <v>46115</v>
      </c>
      <c r="C40" s="4" t="s">
        <v>61</v>
      </c>
      <c r="D40" s="4" t="s">
        <v>21</v>
      </c>
      <c r="E40" s="9">
        <v>0.39583333333333331</v>
      </c>
      <c r="F40" s="9">
        <v>0.75</v>
      </c>
      <c r="G40" s="5">
        <v>8.5</v>
      </c>
      <c r="H40" s="5">
        <v>1</v>
      </c>
      <c r="I40" s="5">
        <v>7.5</v>
      </c>
      <c r="J40" s="4" t="s">
        <v>90</v>
      </c>
    </row>
    <row r="41" spans="1:10">
      <c r="A41" s="4" t="s">
        <v>66</v>
      </c>
      <c r="B41" s="7">
        <v>46116</v>
      </c>
      <c r="C41" s="4" t="s">
        <v>61</v>
      </c>
      <c r="D41" s="4" t="s">
        <v>21</v>
      </c>
      <c r="E41" s="9">
        <v>0.31944444444444442</v>
      </c>
      <c r="F41" s="9">
        <v>0.8125</v>
      </c>
      <c r="G41" s="5">
        <v>11.83</v>
      </c>
      <c r="H41" s="5">
        <v>1</v>
      </c>
      <c r="I41" s="5">
        <v>10.83</v>
      </c>
      <c r="J41" s="4" t="s">
        <v>90</v>
      </c>
    </row>
    <row r="42" spans="1:10">
      <c r="A42" s="4" t="s">
        <v>69</v>
      </c>
      <c r="B42" s="7">
        <v>46116</v>
      </c>
      <c r="C42" s="4" t="s">
        <v>61</v>
      </c>
      <c r="D42" s="4" t="s">
        <v>21</v>
      </c>
      <c r="E42" s="9">
        <v>0.33333333333333331</v>
      </c>
      <c r="F42" s="9">
        <v>0.8125</v>
      </c>
      <c r="G42" s="5">
        <v>11.5</v>
      </c>
      <c r="H42" s="5">
        <v>1</v>
      </c>
      <c r="I42" s="5">
        <v>10.5</v>
      </c>
      <c r="J42" s="4" t="s">
        <v>90</v>
      </c>
    </row>
    <row r="43" spans="1:10">
      <c r="A43" s="4" t="s">
        <v>74</v>
      </c>
      <c r="B43" s="7">
        <v>46116</v>
      </c>
      <c r="C43" s="4" t="s">
        <v>61</v>
      </c>
      <c r="D43" s="4" t="s">
        <v>25</v>
      </c>
      <c r="E43" s="9">
        <v>0.33333333333333331</v>
      </c>
      <c r="F43" s="9">
        <v>0.8125</v>
      </c>
      <c r="G43" s="5">
        <v>11.5</v>
      </c>
      <c r="H43" s="5">
        <v>1</v>
      </c>
      <c r="I43" s="5">
        <v>10.5</v>
      </c>
      <c r="J43" s="4" t="s">
        <v>90</v>
      </c>
    </row>
    <row r="44" spans="1:10">
      <c r="A44" s="4" t="s">
        <v>80</v>
      </c>
      <c r="B44" s="7">
        <v>46116</v>
      </c>
      <c r="C44" s="4" t="s">
        <v>61</v>
      </c>
      <c r="D44" s="4" t="s">
        <v>21</v>
      </c>
      <c r="E44" s="9">
        <v>0.33333333333333331</v>
      </c>
      <c r="F44" s="9">
        <v>0.8125</v>
      </c>
      <c r="G44" s="5">
        <v>11.5</v>
      </c>
      <c r="H44" s="5">
        <v>1</v>
      </c>
      <c r="I44" s="5">
        <v>10.5</v>
      </c>
      <c r="J44" s="4" t="s">
        <v>90</v>
      </c>
    </row>
    <row r="45" spans="1:10">
      <c r="A45" s="4" t="s">
        <v>72</v>
      </c>
      <c r="B45" s="7">
        <v>46118</v>
      </c>
      <c r="C45" s="4" t="s">
        <v>63</v>
      </c>
      <c r="D45" s="4" t="s">
        <v>25</v>
      </c>
      <c r="E45" s="9">
        <v>0.375</v>
      </c>
      <c r="F45" s="9">
        <v>0.72916666666666663</v>
      </c>
      <c r="G45" s="5">
        <v>8.5</v>
      </c>
      <c r="H45" s="5">
        <v>1</v>
      </c>
      <c r="I45" s="5">
        <v>7.5</v>
      </c>
      <c r="J45" s="4" t="s">
        <v>90</v>
      </c>
    </row>
    <row r="46" spans="1:10">
      <c r="A46" s="4" t="s">
        <v>76</v>
      </c>
      <c r="B46" s="7">
        <v>46118</v>
      </c>
      <c r="C46" s="4" t="s">
        <v>63</v>
      </c>
      <c r="D46" s="4" t="s">
        <v>21</v>
      </c>
      <c r="E46" s="9">
        <v>0.375</v>
      </c>
      <c r="F46" s="9">
        <v>0.75</v>
      </c>
      <c r="G46" s="5">
        <v>9</v>
      </c>
      <c r="H46" s="5">
        <v>1</v>
      </c>
      <c r="I46" s="5">
        <v>8</v>
      </c>
      <c r="J46" s="4" t="s">
        <v>90</v>
      </c>
    </row>
    <row r="47" spans="1:10">
      <c r="A47" s="4" t="s">
        <v>77</v>
      </c>
      <c r="B47" s="7">
        <v>46118</v>
      </c>
      <c r="C47" s="4" t="s">
        <v>63</v>
      </c>
      <c r="D47" s="4" t="s">
        <v>21</v>
      </c>
      <c r="E47" s="9">
        <v>0.375</v>
      </c>
      <c r="F47" s="9">
        <v>0.75</v>
      </c>
      <c r="G47" s="5">
        <v>9</v>
      </c>
      <c r="H47" s="5">
        <v>1</v>
      </c>
      <c r="I47" s="5">
        <v>8</v>
      </c>
      <c r="J47" s="4" t="s">
        <v>90</v>
      </c>
    </row>
    <row r="48" spans="1:10">
      <c r="A48" s="4" t="s">
        <v>72</v>
      </c>
      <c r="B48" s="7">
        <v>46119</v>
      </c>
      <c r="C48" s="4" t="s">
        <v>63</v>
      </c>
      <c r="D48" s="4" t="s">
        <v>21</v>
      </c>
      <c r="E48" s="9">
        <v>0.39583333333333331</v>
      </c>
      <c r="F48" s="9">
        <v>0.75</v>
      </c>
      <c r="G48" s="5">
        <v>8.5</v>
      </c>
      <c r="H48" s="5">
        <v>1</v>
      </c>
      <c r="I48" s="5">
        <v>7.5</v>
      </c>
      <c r="J48" s="4" t="s">
        <v>90</v>
      </c>
    </row>
    <row r="49" spans="1:10">
      <c r="A49" s="4" t="s">
        <v>76</v>
      </c>
      <c r="B49" s="7">
        <v>46119</v>
      </c>
      <c r="C49" s="4" t="s">
        <v>63</v>
      </c>
      <c r="D49" s="4" t="s">
        <v>21</v>
      </c>
      <c r="E49" s="9">
        <v>0.375</v>
      </c>
      <c r="F49" s="9">
        <v>0.75</v>
      </c>
      <c r="G49" s="5">
        <v>9</v>
      </c>
      <c r="H49" s="5">
        <v>1</v>
      </c>
      <c r="I49" s="5">
        <v>8</v>
      </c>
      <c r="J49" s="4" t="s">
        <v>90</v>
      </c>
    </row>
    <row r="50" spans="1:10">
      <c r="A50" s="4" t="s">
        <v>77</v>
      </c>
      <c r="B50" s="7">
        <v>46119</v>
      </c>
      <c r="C50" s="4" t="s">
        <v>63</v>
      </c>
      <c r="D50" s="4" t="s">
        <v>21</v>
      </c>
      <c r="E50" s="9">
        <v>0.38541666666666669</v>
      </c>
      <c r="F50" s="9">
        <v>0.63541666666666663</v>
      </c>
      <c r="G50" s="5">
        <v>6</v>
      </c>
      <c r="H50" s="5">
        <v>0.5</v>
      </c>
      <c r="I50" s="5">
        <v>5.5</v>
      </c>
      <c r="J50" s="4" t="s">
        <v>90</v>
      </c>
    </row>
    <row r="51" spans="1:10">
      <c r="A51" s="4" t="s">
        <v>72</v>
      </c>
      <c r="B51" s="7">
        <v>46120</v>
      </c>
      <c r="C51" s="4" t="s">
        <v>63</v>
      </c>
      <c r="D51" s="4" t="s">
        <v>21</v>
      </c>
      <c r="E51" s="9">
        <v>0.39583333333333331</v>
      </c>
      <c r="F51" s="9">
        <v>0.75</v>
      </c>
      <c r="G51" s="5">
        <v>8.5</v>
      </c>
      <c r="H51" s="5">
        <v>1</v>
      </c>
      <c r="I51" s="5">
        <v>7.5</v>
      </c>
      <c r="J51" s="4" t="s">
        <v>90</v>
      </c>
    </row>
    <row r="52" spans="1:10">
      <c r="A52" s="4" t="s">
        <v>76</v>
      </c>
      <c r="B52" s="7">
        <v>46120</v>
      </c>
      <c r="C52" s="4" t="s">
        <v>63</v>
      </c>
      <c r="D52" s="4" t="s">
        <v>21</v>
      </c>
      <c r="E52" s="9">
        <v>0.375</v>
      </c>
      <c r="F52" s="9">
        <v>0.75</v>
      </c>
      <c r="G52" s="5">
        <v>9</v>
      </c>
      <c r="H52" s="5">
        <v>1</v>
      </c>
      <c r="I52" s="5">
        <v>8</v>
      </c>
      <c r="J52" s="4" t="s">
        <v>90</v>
      </c>
    </row>
    <row r="53" spans="1:10">
      <c r="A53" s="4" t="s">
        <v>77</v>
      </c>
      <c r="B53" s="7">
        <v>46120</v>
      </c>
      <c r="C53" s="4" t="s">
        <v>63</v>
      </c>
      <c r="D53" s="4" t="s">
        <v>21</v>
      </c>
      <c r="E53" s="9">
        <v>0.375</v>
      </c>
      <c r="F53" s="9">
        <v>0.77083333333333337</v>
      </c>
      <c r="G53" s="5">
        <v>9.5</v>
      </c>
      <c r="H53" s="5">
        <v>1</v>
      </c>
      <c r="I53" s="5">
        <v>8.5</v>
      </c>
      <c r="J53" s="4" t="s">
        <v>90</v>
      </c>
    </row>
    <row r="54" spans="1:10">
      <c r="A54" s="4" t="s">
        <v>72</v>
      </c>
      <c r="B54" s="7">
        <v>46121</v>
      </c>
      <c r="C54" s="4" t="s">
        <v>63</v>
      </c>
      <c r="D54" s="4" t="s">
        <v>21</v>
      </c>
      <c r="E54" s="9">
        <v>0.39583333333333331</v>
      </c>
      <c r="F54" s="9">
        <v>0.75</v>
      </c>
      <c r="G54" s="5">
        <v>8.5</v>
      </c>
      <c r="H54" s="5">
        <v>1</v>
      </c>
      <c r="I54" s="5">
        <v>7.5</v>
      </c>
      <c r="J54" s="4" t="s">
        <v>90</v>
      </c>
    </row>
    <row r="55" spans="1:10">
      <c r="A55" s="4" t="s">
        <v>76</v>
      </c>
      <c r="B55" s="7">
        <v>46121</v>
      </c>
      <c r="C55" s="4" t="s">
        <v>63</v>
      </c>
      <c r="D55" s="4" t="s">
        <v>21</v>
      </c>
      <c r="E55" s="9">
        <v>0.375</v>
      </c>
      <c r="F55" s="9">
        <v>0.75</v>
      </c>
      <c r="G55" s="5">
        <v>9</v>
      </c>
      <c r="H55" s="5">
        <v>1</v>
      </c>
      <c r="I55" s="5">
        <v>8</v>
      </c>
      <c r="J55" s="4" t="s">
        <v>90</v>
      </c>
    </row>
    <row r="56" spans="1:10">
      <c r="A56" s="4" t="s">
        <v>77</v>
      </c>
      <c r="B56" s="7">
        <v>46121</v>
      </c>
      <c r="C56" s="4" t="s">
        <v>63</v>
      </c>
      <c r="D56" s="4" t="s">
        <v>21</v>
      </c>
      <c r="E56" s="9">
        <v>0.375</v>
      </c>
      <c r="F56" s="9">
        <v>0.75</v>
      </c>
      <c r="G56" s="5">
        <v>9</v>
      </c>
      <c r="H56" s="5">
        <v>1</v>
      </c>
      <c r="I56" s="5">
        <v>8</v>
      </c>
      <c r="J56" s="4" t="s">
        <v>90</v>
      </c>
    </row>
    <row r="57" spans="1:10">
      <c r="A57" s="4" t="s">
        <v>72</v>
      </c>
      <c r="B57" s="7">
        <v>46122</v>
      </c>
      <c r="C57" s="4" t="s">
        <v>63</v>
      </c>
      <c r="D57" s="4" t="s">
        <v>21</v>
      </c>
      <c r="E57" s="9">
        <v>0.39583333333333331</v>
      </c>
      <c r="F57" s="9">
        <v>0.75</v>
      </c>
      <c r="G57" s="5">
        <v>8.5</v>
      </c>
      <c r="H57" s="5">
        <v>1</v>
      </c>
      <c r="I57" s="5">
        <v>7.5</v>
      </c>
      <c r="J57" s="4" t="s">
        <v>90</v>
      </c>
    </row>
    <row r="58" spans="1:10">
      <c r="A58" s="4" t="s">
        <v>76</v>
      </c>
      <c r="B58" s="7">
        <v>46122</v>
      </c>
      <c r="C58" s="4" t="s">
        <v>63</v>
      </c>
      <c r="D58" s="4" t="s">
        <v>21</v>
      </c>
      <c r="E58" s="9">
        <v>0.375</v>
      </c>
      <c r="F58" s="9">
        <v>0.75</v>
      </c>
      <c r="G58" s="5">
        <v>9</v>
      </c>
      <c r="H58" s="5">
        <v>1</v>
      </c>
      <c r="I58" s="5">
        <v>8</v>
      </c>
      <c r="J58" s="4" t="s">
        <v>90</v>
      </c>
    </row>
    <row r="59" spans="1:10">
      <c r="A59" s="4" t="s">
        <v>77</v>
      </c>
      <c r="B59" s="7">
        <v>46122</v>
      </c>
      <c r="C59" s="4" t="s">
        <v>63</v>
      </c>
      <c r="D59" s="4" t="s">
        <v>21</v>
      </c>
      <c r="E59" s="9">
        <v>0.375</v>
      </c>
      <c r="F59" s="9">
        <v>0.75</v>
      </c>
      <c r="G59" s="5">
        <v>9</v>
      </c>
      <c r="H59" s="5">
        <v>1</v>
      </c>
      <c r="I59" s="5">
        <v>8</v>
      </c>
      <c r="J59" s="4" t="s">
        <v>90</v>
      </c>
    </row>
    <row r="60" spans="1:10">
      <c r="A60" s="4" t="s">
        <v>66</v>
      </c>
      <c r="B60" s="7">
        <v>46123</v>
      </c>
      <c r="C60" s="4" t="s">
        <v>63</v>
      </c>
      <c r="D60" s="4" t="s">
        <v>21</v>
      </c>
      <c r="E60" s="9">
        <v>0.3125</v>
      </c>
      <c r="F60" s="9">
        <v>0.75</v>
      </c>
      <c r="G60" s="5">
        <v>10.5</v>
      </c>
      <c r="H60" s="5">
        <v>1</v>
      </c>
      <c r="I60" s="5">
        <v>9.5</v>
      </c>
      <c r="J60" s="4" t="s">
        <v>90</v>
      </c>
    </row>
    <row r="61" spans="1:10">
      <c r="A61" s="4" t="s">
        <v>71</v>
      </c>
      <c r="B61" s="7">
        <v>46123</v>
      </c>
      <c r="C61" s="4" t="s">
        <v>63</v>
      </c>
      <c r="D61" s="4" t="s">
        <v>21</v>
      </c>
      <c r="E61" s="9">
        <v>0.37430555555555556</v>
      </c>
      <c r="F61" s="9">
        <v>0.66666666666666663</v>
      </c>
      <c r="G61" s="5">
        <v>7.02</v>
      </c>
      <c r="H61" s="5">
        <v>0.5</v>
      </c>
      <c r="I61" s="5">
        <v>6.52</v>
      </c>
      <c r="J61" s="4" t="s">
        <v>90</v>
      </c>
    </row>
    <row r="62" spans="1:10">
      <c r="A62" s="4" t="s">
        <v>81</v>
      </c>
      <c r="B62" s="7">
        <v>46123</v>
      </c>
      <c r="C62" s="4" t="s">
        <v>63</v>
      </c>
      <c r="D62" s="4" t="s">
        <v>21</v>
      </c>
      <c r="E62" s="9">
        <v>0.3125</v>
      </c>
      <c r="F62" s="9">
        <v>0.72916666666666663</v>
      </c>
      <c r="G62" s="5">
        <v>10</v>
      </c>
      <c r="H62" s="5">
        <v>1</v>
      </c>
      <c r="I62" s="5">
        <v>9</v>
      </c>
      <c r="J62" s="4" t="s">
        <v>90</v>
      </c>
    </row>
    <row r="63" spans="1:10">
      <c r="A63" s="4" t="s">
        <v>66</v>
      </c>
      <c r="B63" s="7">
        <v>46124</v>
      </c>
      <c r="C63" s="4" t="s">
        <v>63</v>
      </c>
      <c r="D63" s="4" t="s">
        <v>21</v>
      </c>
      <c r="E63" s="9">
        <v>0.47916666666666669</v>
      </c>
      <c r="F63" s="9">
        <v>0.60416666666666663</v>
      </c>
      <c r="G63" s="5">
        <v>3</v>
      </c>
      <c r="H63" s="5">
        <v>0</v>
      </c>
      <c r="I63" s="5">
        <v>3</v>
      </c>
      <c r="J63" s="4" t="s">
        <v>90</v>
      </c>
    </row>
    <row r="64" spans="1:10">
      <c r="A64" s="4" t="s">
        <v>66</v>
      </c>
      <c r="B64" s="7">
        <v>46125</v>
      </c>
      <c r="C64" s="4" t="s">
        <v>65</v>
      </c>
      <c r="D64" s="4" t="s">
        <v>21</v>
      </c>
      <c r="E64" s="9">
        <v>0.98958333333333337</v>
      </c>
      <c r="F64" s="9">
        <v>0.10416666666666667</v>
      </c>
      <c r="G64" s="5">
        <v>2.75</v>
      </c>
      <c r="H64" s="5">
        <v>0</v>
      </c>
      <c r="I64" s="5">
        <v>2.75</v>
      </c>
      <c r="J64" s="4" t="s">
        <v>90</v>
      </c>
    </row>
    <row r="65" spans="1:10">
      <c r="A65" s="4" t="s">
        <v>72</v>
      </c>
      <c r="B65" s="7">
        <v>46125</v>
      </c>
      <c r="C65" s="4" t="s">
        <v>65</v>
      </c>
      <c r="D65" s="4" t="s">
        <v>21</v>
      </c>
      <c r="E65" s="9">
        <v>0.375</v>
      </c>
      <c r="F65" s="9">
        <v>0.75</v>
      </c>
      <c r="G65" s="5">
        <v>9</v>
      </c>
      <c r="H65" s="5">
        <v>1</v>
      </c>
      <c r="I65" s="5">
        <v>8</v>
      </c>
      <c r="J65" s="4" t="s">
        <v>90</v>
      </c>
    </row>
    <row r="66" spans="1:10">
      <c r="A66" s="4" t="s">
        <v>76</v>
      </c>
      <c r="B66" s="7">
        <v>46125</v>
      </c>
      <c r="C66" s="4" t="s">
        <v>65</v>
      </c>
      <c r="D66" s="4" t="s">
        <v>21</v>
      </c>
      <c r="E66" s="9">
        <v>0.375</v>
      </c>
      <c r="F66" s="9">
        <v>0.75</v>
      </c>
      <c r="G66" s="5">
        <v>9</v>
      </c>
      <c r="H66" s="5">
        <v>1</v>
      </c>
      <c r="I66" s="5">
        <v>8</v>
      </c>
      <c r="J66" s="4" t="s">
        <v>90</v>
      </c>
    </row>
    <row r="67" spans="1:10">
      <c r="A67" s="4" t="s">
        <v>77</v>
      </c>
      <c r="B67" s="7">
        <v>46125</v>
      </c>
      <c r="C67" s="4" t="s">
        <v>65</v>
      </c>
      <c r="D67" s="4" t="s">
        <v>21</v>
      </c>
      <c r="E67" s="9">
        <v>0.375</v>
      </c>
      <c r="F67" s="9">
        <v>0.75</v>
      </c>
      <c r="G67" s="5">
        <v>9</v>
      </c>
      <c r="H67" s="5">
        <v>1</v>
      </c>
      <c r="I67" s="5">
        <v>8</v>
      </c>
      <c r="J67" s="4" t="s">
        <v>90</v>
      </c>
    </row>
    <row r="68" spans="1:10">
      <c r="A68" s="4" t="s">
        <v>72</v>
      </c>
      <c r="B68" s="7">
        <v>46126</v>
      </c>
      <c r="C68" s="4" t="s">
        <v>65</v>
      </c>
      <c r="D68" s="4" t="s">
        <v>21</v>
      </c>
      <c r="E68" s="9">
        <v>0.39583333333333331</v>
      </c>
      <c r="F68" s="9">
        <v>0.75</v>
      </c>
      <c r="G68" s="5">
        <v>8.5</v>
      </c>
      <c r="H68" s="5">
        <v>1</v>
      </c>
      <c r="I68" s="5">
        <v>7.5</v>
      </c>
      <c r="J68" s="4" t="s">
        <v>90</v>
      </c>
    </row>
    <row r="69" spans="1:10">
      <c r="A69" s="4" t="s">
        <v>76</v>
      </c>
      <c r="B69" s="7">
        <v>46126</v>
      </c>
      <c r="C69" s="4" t="s">
        <v>65</v>
      </c>
      <c r="D69" s="4" t="s">
        <v>21</v>
      </c>
      <c r="E69" s="9">
        <v>0.375</v>
      </c>
      <c r="F69" s="9">
        <v>0.75</v>
      </c>
      <c r="G69" s="5">
        <v>9</v>
      </c>
      <c r="H69" s="5">
        <v>1</v>
      </c>
      <c r="I69" s="5">
        <v>8</v>
      </c>
      <c r="J69" s="4" t="s">
        <v>90</v>
      </c>
    </row>
    <row r="70" spans="1:10">
      <c r="A70" s="4" t="s">
        <v>77</v>
      </c>
      <c r="B70" s="7">
        <v>46126</v>
      </c>
      <c r="C70" s="4" t="s">
        <v>65</v>
      </c>
      <c r="D70" s="4" t="s">
        <v>21</v>
      </c>
      <c r="E70" s="9">
        <v>0.375</v>
      </c>
      <c r="F70" s="9">
        <v>0.77083333333333337</v>
      </c>
      <c r="G70" s="5">
        <v>9.5</v>
      </c>
      <c r="H70" s="5">
        <v>1</v>
      </c>
      <c r="I70" s="5">
        <v>8.5</v>
      </c>
      <c r="J70" s="4" t="s">
        <v>90</v>
      </c>
    </row>
    <row r="71" spans="1:10">
      <c r="A71" s="4" t="s">
        <v>79</v>
      </c>
      <c r="B71" s="7">
        <v>46126</v>
      </c>
      <c r="C71" s="4" t="s">
        <v>65</v>
      </c>
      <c r="D71" s="4" t="s">
        <v>21</v>
      </c>
      <c r="E71" s="9">
        <v>0.41666666666666669</v>
      </c>
      <c r="F71" s="9">
        <v>0.70833333333333337</v>
      </c>
      <c r="G71" s="5">
        <v>7</v>
      </c>
      <c r="H71" s="5">
        <v>0.5</v>
      </c>
      <c r="I71" s="5">
        <v>6.5</v>
      </c>
      <c r="J71" s="4" t="s">
        <v>90</v>
      </c>
    </row>
    <row r="72" spans="1:10">
      <c r="A72" s="4" t="s">
        <v>81</v>
      </c>
      <c r="B72" s="7">
        <v>46126</v>
      </c>
      <c r="C72" s="4" t="s">
        <v>65</v>
      </c>
      <c r="D72" s="4" t="s">
        <v>21</v>
      </c>
      <c r="E72" s="9">
        <v>0.5</v>
      </c>
      <c r="F72" s="9">
        <v>0.83333333333333337</v>
      </c>
      <c r="G72" s="5">
        <v>8</v>
      </c>
      <c r="H72" s="5">
        <v>1</v>
      </c>
      <c r="I72" s="5">
        <v>7</v>
      </c>
      <c r="J72" s="4" t="s">
        <v>90</v>
      </c>
    </row>
    <row r="73" spans="1:10">
      <c r="A73" s="4" t="s">
        <v>66</v>
      </c>
      <c r="B73" s="7">
        <v>46127</v>
      </c>
      <c r="C73" s="4" t="s">
        <v>65</v>
      </c>
      <c r="D73" s="4" t="s">
        <v>21</v>
      </c>
      <c r="E73" s="9">
        <v>0.5</v>
      </c>
      <c r="F73" s="9">
        <v>0.61805555555555558</v>
      </c>
      <c r="G73" s="5">
        <v>2.83</v>
      </c>
      <c r="H73" s="5">
        <v>0</v>
      </c>
      <c r="I73" s="5">
        <v>2.83</v>
      </c>
      <c r="J73" s="4" t="s">
        <v>90</v>
      </c>
    </row>
    <row r="74" spans="1:10">
      <c r="A74" s="4" t="s">
        <v>72</v>
      </c>
      <c r="B74" s="7">
        <v>46127</v>
      </c>
      <c r="C74" s="4" t="s">
        <v>65</v>
      </c>
      <c r="D74" s="4" t="s">
        <v>21</v>
      </c>
      <c r="E74" s="9">
        <v>0.39583333333333331</v>
      </c>
      <c r="F74" s="9">
        <v>0.75</v>
      </c>
      <c r="G74" s="5">
        <v>8.5</v>
      </c>
      <c r="H74" s="5">
        <v>1</v>
      </c>
      <c r="I74" s="5">
        <v>7.5</v>
      </c>
      <c r="J74" s="4" t="s">
        <v>90</v>
      </c>
    </row>
    <row r="75" spans="1:10">
      <c r="A75" s="4" t="s">
        <v>76</v>
      </c>
      <c r="B75" s="7">
        <v>46127</v>
      </c>
      <c r="C75" s="4" t="s">
        <v>65</v>
      </c>
      <c r="D75" s="4" t="s">
        <v>21</v>
      </c>
      <c r="E75" s="9">
        <v>0.375</v>
      </c>
      <c r="F75" s="9">
        <v>0.75</v>
      </c>
      <c r="G75" s="5">
        <v>9</v>
      </c>
      <c r="H75" s="5">
        <v>1</v>
      </c>
      <c r="I75" s="5">
        <v>8</v>
      </c>
      <c r="J75" s="4" t="s">
        <v>90</v>
      </c>
    </row>
    <row r="76" spans="1:10">
      <c r="A76" s="4" t="s">
        <v>77</v>
      </c>
      <c r="B76" s="7">
        <v>46127</v>
      </c>
      <c r="C76" s="4" t="s">
        <v>65</v>
      </c>
      <c r="D76" s="4" t="s">
        <v>21</v>
      </c>
      <c r="E76" s="9">
        <v>0.375</v>
      </c>
      <c r="F76" s="9">
        <v>0.79652777777777772</v>
      </c>
      <c r="G76" s="5">
        <v>10.119999999999999</v>
      </c>
      <c r="H76" s="5">
        <v>1</v>
      </c>
      <c r="I76" s="5">
        <v>9.1199999999999992</v>
      </c>
      <c r="J76" s="4" t="s">
        <v>90</v>
      </c>
    </row>
    <row r="77" spans="1:10">
      <c r="A77" s="4" t="s">
        <v>81</v>
      </c>
      <c r="B77" s="7">
        <v>46127</v>
      </c>
      <c r="C77" s="4" t="s">
        <v>65</v>
      </c>
      <c r="D77" s="4" t="s">
        <v>21</v>
      </c>
      <c r="E77" s="9">
        <v>0.58333333333333337</v>
      </c>
      <c r="F77" s="9">
        <v>0</v>
      </c>
      <c r="G77" s="5">
        <v>10</v>
      </c>
      <c r="H77" s="5">
        <v>1</v>
      </c>
      <c r="I77" s="5">
        <v>9</v>
      </c>
      <c r="J77" s="4" t="s">
        <v>90</v>
      </c>
    </row>
    <row r="78" spans="1:10">
      <c r="A78" s="4" t="s">
        <v>66</v>
      </c>
      <c r="B78" s="7">
        <v>46128</v>
      </c>
      <c r="C78" s="4" t="s">
        <v>65</v>
      </c>
      <c r="D78" s="4" t="s">
        <v>21</v>
      </c>
      <c r="E78" s="9">
        <v>0.47916666666666669</v>
      </c>
      <c r="F78" s="9">
        <v>0.61805555555555558</v>
      </c>
      <c r="G78" s="5">
        <v>3.33</v>
      </c>
      <c r="H78" s="5">
        <v>0</v>
      </c>
      <c r="I78" s="5">
        <v>3.33</v>
      </c>
      <c r="J78" s="4" t="s">
        <v>90</v>
      </c>
    </row>
    <row r="79" spans="1:10">
      <c r="A79" s="4" t="s">
        <v>72</v>
      </c>
      <c r="B79" s="7">
        <v>46128</v>
      </c>
      <c r="C79" s="4" t="s">
        <v>65</v>
      </c>
      <c r="D79" s="4" t="s">
        <v>21</v>
      </c>
      <c r="E79" s="9">
        <v>0.39583333333333331</v>
      </c>
      <c r="F79" s="9">
        <v>0.75</v>
      </c>
      <c r="G79" s="5">
        <v>8.5</v>
      </c>
      <c r="H79" s="5">
        <v>1</v>
      </c>
      <c r="I79" s="5">
        <v>7.5</v>
      </c>
      <c r="J79" s="4" t="s">
        <v>90</v>
      </c>
    </row>
    <row r="80" spans="1:10">
      <c r="A80" s="4" t="s">
        <v>76</v>
      </c>
      <c r="B80" s="7">
        <v>46128</v>
      </c>
      <c r="C80" s="4" t="s">
        <v>65</v>
      </c>
      <c r="D80" s="4" t="s">
        <v>21</v>
      </c>
      <c r="E80" s="9">
        <v>0.375</v>
      </c>
      <c r="F80" s="9">
        <v>0.75</v>
      </c>
      <c r="G80" s="5">
        <v>9</v>
      </c>
      <c r="H80" s="5">
        <v>1</v>
      </c>
      <c r="I80" s="5">
        <v>8</v>
      </c>
      <c r="J80" s="4" t="s">
        <v>90</v>
      </c>
    </row>
    <row r="81" spans="1:10">
      <c r="A81" s="4" t="s">
        <v>77</v>
      </c>
      <c r="B81" s="7">
        <v>46128</v>
      </c>
      <c r="C81" s="4" t="s">
        <v>65</v>
      </c>
      <c r="D81" s="4" t="s">
        <v>21</v>
      </c>
      <c r="E81" s="9">
        <v>0.375</v>
      </c>
      <c r="F81" s="9">
        <v>0.80208333333333337</v>
      </c>
      <c r="G81" s="5">
        <v>10.25</v>
      </c>
      <c r="H81" s="5">
        <v>1</v>
      </c>
      <c r="I81" s="5">
        <v>9.25</v>
      </c>
      <c r="J81" s="4" t="s">
        <v>90</v>
      </c>
    </row>
    <row r="82" spans="1:10">
      <c r="A82" s="4" t="s">
        <v>79</v>
      </c>
      <c r="B82" s="7">
        <v>46128</v>
      </c>
      <c r="C82" s="4" t="s">
        <v>65</v>
      </c>
      <c r="D82" s="4" t="s">
        <v>21</v>
      </c>
      <c r="E82" s="9">
        <v>0.41666666666666669</v>
      </c>
      <c r="F82" s="9">
        <v>0.70833333333333337</v>
      </c>
      <c r="G82" s="5">
        <v>7</v>
      </c>
      <c r="H82" s="5">
        <v>0.5</v>
      </c>
      <c r="I82" s="5">
        <v>6.5</v>
      </c>
      <c r="J82" s="4" t="s">
        <v>90</v>
      </c>
    </row>
    <row r="83" spans="1:10">
      <c r="A83" s="4" t="s">
        <v>66</v>
      </c>
      <c r="B83" s="7">
        <v>46129</v>
      </c>
      <c r="C83" s="4" t="s">
        <v>65</v>
      </c>
      <c r="D83" s="4" t="s">
        <v>21</v>
      </c>
      <c r="E83" s="9">
        <v>0.53125</v>
      </c>
      <c r="F83" s="9">
        <v>0.61458333333333337</v>
      </c>
      <c r="G83" s="5">
        <v>2</v>
      </c>
      <c r="H83" s="5">
        <v>0</v>
      </c>
      <c r="I83" s="5">
        <v>2</v>
      </c>
      <c r="J83" s="4" t="s">
        <v>90</v>
      </c>
    </row>
    <row r="84" spans="1:10">
      <c r="A84" s="4" t="s">
        <v>72</v>
      </c>
      <c r="B84" s="7">
        <v>46129</v>
      </c>
      <c r="C84" s="4" t="s">
        <v>65</v>
      </c>
      <c r="D84" s="4" t="s">
        <v>21</v>
      </c>
      <c r="E84" s="9">
        <v>0.39583333333333331</v>
      </c>
      <c r="F84" s="9">
        <v>0.75</v>
      </c>
      <c r="G84" s="5">
        <v>8.5</v>
      </c>
      <c r="H84" s="5">
        <v>1</v>
      </c>
      <c r="I84" s="5">
        <v>7.5</v>
      </c>
      <c r="J84" s="4" t="s">
        <v>90</v>
      </c>
    </row>
    <row r="85" spans="1:10">
      <c r="A85" s="4" t="s">
        <v>76</v>
      </c>
      <c r="B85" s="7">
        <v>46129</v>
      </c>
      <c r="C85" s="4" t="s">
        <v>65</v>
      </c>
      <c r="D85" s="4" t="s">
        <v>21</v>
      </c>
      <c r="E85" s="9">
        <v>0.375</v>
      </c>
      <c r="F85" s="9">
        <v>0.75</v>
      </c>
      <c r="G85" s="5">
        <v>9</v>
      </c>
      <c r="H85" s="5">
        <v>1</v>
      </c>
      <c r="I85" s="5">
        <v>8</v>
      </c>
      <c r="J85" s="4" t="s">
        <v>90</v>
      </c>
    </row>
    <row r="86" spans="1:10">
      <c r="A86" s="4" t="s">
        <v>77</v>
      </c>
      <c r="B86" s="7">
        <v>46129</v>
      </c>
      <c r="C86" s="4" t="s">
        <v>65</v>
      </c>
      <c r="D86" s="4" t="s">
        <v>21</v>
      </c>
      <c r="E86" s="9">
        <v>0.37430555555555556</v>
      </c>
      <c r="F86" s="9">
        <v>0.75</v>
      </c>
      <c r="G86" s="5">
        <v>9.02</v>
      </c>
      <c r="H86" s="5">
        <v>1</v>
      </c>
      <c r="I86" s="5">
        <v>8.02</v>
      </c>
      <c r="J86" s="4" t="s">
        <v>90</v>
      </c>
    </row>
    <row r="87" spans="1:10">
      <c r="A87" s="4" t="s">
        <v>78</v>
      </c>
      <c r="B87" s="7">
        <v>46129</v>
      </c>
      <c r="C87" s="4" t="s">
        <v>65</v>
      </c>
      <c r="D87" s="4" t="s">
        <v>29</v>
      </c>
      <c r="E87" s="9">
        <v>0.75</v>
      </c>
      <c r="F87" s="9">
        <v>0.875</v>
      </c>
      <c r="G87" s="5">
        <v>3</v>
      </c>
      <c r="H87" s="5">
        <v>0</v>
      </c>
      <c r="I87" s="5">
        <v>3</v>
      </c>
      <c r="J87" s="4" t="s">
        <v>90</v>
      </c>
    </row>
    <row r="88" spans="1:10">
      <c r="A88" s="4" t="s">
        <v>79</v>
      </c>
      <c r="B88" s="7">
        <v>46129</v>
      </c>
      <c r="C88" s="4" t="s">
        <v>65</v>
      </c>
      <c r="D88" s="4" t="s">
        <v>21</v>
      </c>
      <c r="E88" s="9">
        <v>0.41666666666666669</v>
      </c>
      <c r="F88" s="9">
        <v>0.70833333333333337</v>
      </c>
      <c r="G88" s="5">
        <v>7</v>
      </c>
      <c r="H88" s="5">
        <v>0.5</v>
      </c>
      <c r="I88" s="5">
        <v>6.5</v>
      </c>
      <c r="J88" s="4" t="s">
        <v>90</v>
      </c>
    </row>
    <row r="89" spans="1:10">
      <c r="A89" s="4" t="s">
        <v>81</v>
      </c>
      <c r="B89" s="7">
        <v>46129</v>
      </c>
      <c r="C89" s="4" t="s">
        <v>65</v>
      </c>
      <c r="D89" s="4" t="s">
        <v>21</v>
      </c>
      <c r="E89" s="9">
        <v>0.5</v>
      </c>
      <c r="F89" s="9">
        <v>0</v>
      </c>
      <c r="G89" s="5">
        <v>12</v>
      </c>
      <c r="H89" s="5">
        <v>1</v>
      </c>
      <c r="I89" s="5">
        <v>11</v>
      </c>
      <c r="J89" s="4" t="s">
        <v>90</v>
      </c>
    </row>
    <row r="90" spans="1:10">
      <c r="A90" s="4" t="s">
        <v>66</v>
      </c>
      <c r="B90" s="7">
        <v>46132</v>
      </c>
      <c r="C90" s="4" t="s">
        <v>68</v>
      </c>
      <c r="D90" s="4" t="s">
        <v>21</v>
      </c>
      <c r="E90" s="9">
        <v>0.375</v>
      </c>
      <c r="F90" s="9">
        <v>0.61111111111111116</v>
      </c>
      <c r="G90" s="5">
        <v>5.67</v>
      </c>
      <c r="H90" s="5">
        <v>0</v>
      </c>
      <c r="I90" s="5">
        <v>5.67</v>
      </c>
      <c r="J90" s="4" t="s">
        <v>90</v>
      </c>
    </row>
    <row r="91" spans="1:10">
      <c r="A91" s="4" t="s">
        <v>72</v>
      </c>
      <c r="B91" s="7">
        <v>46132</v>
      </c>
      <c r="C91" s="4" t="s">
        <v>68</v>
      </c>
      <c r="D91" s="4" t="s">
        <v>21</v>
      </c>
      <c r="E91" s="9">
        <v>0.375</v>
      </c>
      <c r="F91" s="9">
        <v>0.70833333333333337</v>
      </c>
      <c r="G91" s="5">
        <v>8</v>
      </c>
      <c r="H91" s="5">
        <v>1</v>
      </c>
      <c r="I91" s="5">
        <v>7</v>
      </c>
      <c r="J91" s="4" t="s">
        <v>90</v>
      </c>
    </row>
    <row r="92" spans="1:10">
      <c r="A92" s="4" t="s">
        <v>76</v>
      </c>
      <c r="B92" s="7">
        <v>46132</v>
      </c>
      <c r="C92" s="4" t="s">
        <v>68</v>
      </c>
      <c r="D92" s="4" t="s">
        <v>21</v>
      </c>
      <c r="E92" s="9">
        <v>0.375</v>
      </c>
      <c r="F92" s="9">
        <v>0.75</v>
      </c>
      <c r="G92" s="5">
        <v>9</v>
      </c>
      <c r="H92" s="5">
        <v>1</v>
      </c>
      <c r="I92" s="5">
        <v>8</v>
      </c>
      <c r="J92" s="4" t="s">
        <v>90</v>
      </c>
    </row>
    <row r="93" spans="1:10">
      <c r="A93" s="4" t="s">
        <v>77</v>
      </c>
      <c r="B93" s="7">
        <v>46132</v>
      </c>
      <c r="C93" s="4" t="s">
        <v>68</v>
      </c>
      <c r="D93" s="4" t="s">
        <v>21</v>
      </c>
      <c r="E93" s="9">
        <v>0.375</v>
      </c>
      <c r="F93" s="9">
        <v>0.79166666666666663</v>
      </c>
      <c r="G93" s="5">
        <v>10</v>
      </c>
      <c r="H93" s="5">
        <v>1</v>
      </c>
      <c r="I93" s="5">
        <v>9</v>
      </c>
      <c r="J93" s="4" t="s">
        <v>90</v>
      </c>
    </row>
    <row r="94" spans="1:10">
      <c r="A94" s="4" t="s">
        <v>78</v>
      </c>
      <c r="B94" s="7">
        <v>46132</v>
      </c>
      <c r="C94" s="4" t="s">
        <v>68</v>
      </c>
      <c r="D94" s="4" t="s">
        <v>29</v>
      </c>
      <c r="E94" s="9">
        <v>0.72222222222222221</v>
      </c>
      <c r="F94" s="9">
        <v>0.95833333333333337</v>
      </c>
      <c r="G94" s="5">
        <v>5.67</v>
      </c>
      <c r="H94" s="5">
        <v>0</v>
      </c>
      <c r="I94" s="5">
        <v>5.67</v>
      </c>
      <c r="J94" s="4" t="s">
        <v>90</v>
      </c>
    </row>
    <row r="95" spans="1:10">
      <c r="A95" s="4" t="s">
        <v>80</v>
      </c>
      <c r="B95" s="7">
        <v>46132</v>
      </c>
      <c r="C95" s="4" t="s">
        <v>68</v>
      </c>
      <c r="D95" s="4" t="s">
        <v>21</v>
      </c>
      <c r="E95" s="9">
        <v>0.375</v>
      </c>
      <c r="F95" s="9">
        <v>0.75</v>
      </c>
      <c r="G95" s="5">
        <v>9</v>
      </c>
      <c r="H95" s="5">
        <v>1</v>
      </c>
      <c r="I95" s="5">
        <v>8</v>
      </c>
      <c r="J95" s="4" t="s">
        <v>90</v>
      </c>
    </row>
    <row r="96" spans="1:10">
      <c r="A96" s="4" t="s">
        <v>66</v>
      </c>
      <c r="B96" s="7">
        <v>46133</v>
      </c>
      <c r="C96" s="4" t="s">
        <v>68</v>
      </c>
      <c r="D96" s="4" t="s">
        <v>21</v>
      </c>
      <c r="E96" s="9">
        <v>0.375</v>
      </c>
      <c r="F96" s="9">
        <v>0.61805555555555558</v>
      </c>
      <c r="G96" s="5">
        <v>5.83</v>
      </c>
      <c r="H96" s="5">
        <v>0</v>
      </c>
      <c r="I96" s="5">
        <v>5.83</v>
      </c>
      <c r="J96" s="4" t="s">
        <v>90</v>
      </c>
    </row>
    <row r="97" spans="1:10">
      <c r="A97" s="4" t="s">
        <v>72</v>
      </c>
      <c r="B97" s="7">
        <v>46133</v>
      </c>
      <c r="C97" s="4" t="s">
        <v>68</v>
      </c>
      <c r="D97" s="4" t="s">
        <v>21</v>
      </c>
      <c r="E97" s="9">
        <v>0.375</v>
      </c>
      <c r="F97" s="9">
        <v>0.70833333333333337</v>
      </c>
      <c r="G97" s="5">
        <v>8</v>
      </c>
      <c r="H97" s="5">
        <v>1</v>
      </c>
      <c r="I97" s="5">
        <v>7</v>
      </c>
      <c r="J97" s="4" t="s">
        <v>90</v>
      </c>
    </row>
    <row r="98" spans="1:10">
      <c r="A98" s="4" t="s">
        <v>77</v>
      </c>
      <c r="B98" s="7">
        <v>46133</v>
      </c>
      <c r="C98" s="4" t="s">
        <v>68</v>
      </c>
      <c r="D98" s="4" t="s">
        <v>21</v>
      </c>
      <c r="E98" s="9">
        <v>0.375</v>
      </c>
      <c r="F98" s="9">
        <v>0.75</v>
      </c>
      <c r="G98" s="5">
        <v>9</v>
      </c>
      <c r="H98" s="5">
        <v>1</v>
      </c>
      <c r="I98" s="5">
        <v>8</v>
      </c>
      <c r="J98" s="4" t="s">
        <v>90</v>
      </c>
    </row>
    <row r="99" spans="1:10">
      <c r="A99" s="4" t="s">
        <v>78</v>
      </c>
      <c r="B99" s="7">
        <v>46133</v>
      </c>
      <c r="C99" s="4" t="s">
        <v>68</v>
      </c>
      <c r="D99" s="4" t="s">
        <v>29</v>
      </c>
      <c r="E99" s="9">
        <v>0.72569444444444442</v>
      </c>
      <c r="F99" s="9">
        <v>0.95833333333333337</v>
      </c>
      <c r="G99" s="5">
        <v>5.58</v>
      </c>
      <c r="H99" s="5">
        <v>0</v>
      </c>
      <c r="I99" s="5">
        <v>5.58</v>
      </c>
      <c r="J99" s="4" t="s">
        <v>90</v>
      </c>
    </row>
    <row r="100" spans="1:10">
      <c r="A100" s="4" t="s">
        <v>80</v>
      </c>
      <c r="B100" s="7">
        <v>46133</v>
      </c>
      <c r="C100" s="4" t="s">
        <v>68</v>
      </c>
      <c r="D100" s="4" t="s">
        <v>21</v>
      </c>
      <c r="E100" s="9">
        <v>0.375</v>
      </c>
      <c r="F100" s="9">
        <v>0.75</v>
      </c>
      <c r="G100" s="5">
        <v>9</v>
      </c>
      <c r="H100" s="5">
        <v>1</v>
      </c>
      <c r="I100" s="5">
        <v>8</v>
      </c>
      <c r="J100" s="4" t="s">
        <v>90</v>
      </c>
    </row>
    <row r="101" spans="1:10">
      <c r="A101" s="4" t="s">
        <v>81</v>
      </c>
      <c r="B101" s="7">
        <v>46133</v>
      </c>
      <c r="C101" s="4" t="s">
        <v>68</v>
      </c>
      <c r="D101" s="4" t="s">
        <v>21</v>
      </c>
      <c r="E101" s="9">
        <v>0.625</v>
      </c>
      <c r="F101" s="9">
        <v>0.95833333333333337</v>
      </c>
      <c r="G101" s="5">
        <v>8</v>
      </c>
      <c r="H101" s="5">
        <v>1</v>
      </c>
      <c r="I101" s="5">
        <v>7</v>
      </c>
      <c r="J101" s="4" t="s">
        <v>90</v>
      </c>
    </row>
    <row r="102" spans="1:10">
      <c r="A102" s="4" t="s">
        <v>66</v>
      </c>
      <c r="B102" s="7">
        <v>46134</v>
      </c>
      <c r="C102" s="4" t="s">
        <v>68</v>
      </c>
      <c r="D102" s="4" t="s">
        <v>21</v>
      </c>
      <c r="E102" s="9">
        <v>0.38541666666666669</v>
      </c>
      <c r="F102" s="9">
        <v>0.61805555555555558</v>
      </c>
      <c r="G102" s="5">
        <v>5.58</v>
      </c>
      <c r="H102" s="5">
        <v>0</v>
      </c>
      <c r="I102" s="5">
        <v>5.58</v>
      </c>
      <c r="J102" s="4" t="s">
        <v>90</v>
      </c>
    </row>
    <row r="103" spans="1:10">
      <c r="A103" s="4" t="s">
        <v>72</v>
      </c>
      <c r="B103" s="7">
        <v>46134</v>
      </c>
      <c r="C103" s="4" t="s">
        <v>68</v>
      </c>
      <c r="D103" s="4" t="s">
        <v>21</v>
      </c>
      <c r="E103" s="9">
        <v>0.375</v>
      </c>
      <c r="F103" s="9">
        <v>0.70833333333333337</v>
      </c>
      <c r="G103" s="5">
        <v>8</v>
      </c>
      <c r="H103" s="5">
        <v>1</v>
      </c>
      <c r="I103" s="5">
        <v>7</v>
      </c>
      <c r="J103" s="4" t="s">
        <v>90</v>
      </c>
    </row>
    <row r="104" spans="1:10">
      <c r="A104" s="4" t="s">
        <v>76</v>
      </c>
      <c r="B104" s="7">
        <v>46134</v>
      </c>
      <c r="C104" s="4" t="s">
        <v>68</v>
      </c>
      <c r="D104" s="4" t="s">
        <v>21</v>
      </c>
      <c r="E104" s="9">
        <v>0.375</v>
      </c>
      <c r="F104" s="9">
        <v>0.75</v>
      </c>
      <c r="G104" s="5">
        <v>9</v>
      </c>
      <c r="H104" s="5">
        <v>1</v>
      </c>
      <c r="I104" s="5">
        <v>8</v>
      </c>
      <c r="J104" s="4" t="s">
        <v>90</v>
      </c>
    </row>
    <row r="105" spans="1:10">
      <c r="A105" s="4" t="s">
        <v>77</v>
      </c>
      <c r="B105" s="7">
        <v>46134</v>
      </c>
      <c r="C105" s="4" t="s">
        <v>68</v>
      </c>
      <c r="D105" s="4" t="s">
        <v>21</v>
      </c>
      <c r="E105" s="9">
        <v>0.375</v>
      </c>
      <c r="F105" s="9">
        <v>0.75</v>
      </c>
      <c r="G105" s="5">
        <v>9</v>
      </c>
      <c r="H105" s="5">
        <v>1</v>
      </c>
      <c r="I105" s="5">
        <v>8</v>
      </c>
      <c r="J105" s="4" t="s">
        <v>90</v>
      </c>
    </row>
    <row r="106" spans="1:10">
      <c r="A106" s="4" t="s">
        <v>80</v>
      </c>
      <c r="B106" s="7">
        <v>46134</v>
      </c>
      <c r="C106" s="4" t="s">
        <v>68</v>
      </c>
      <c r="D106" s="4" t="s">
        <v>21</v>
      </c>
      <c r="E106" s="9">
        <v>0.375</v>
      </c>
      <c r="F106" s="9">
        <v>0.75</v>
      </c>
      <c r="G106" s="5">
        <v>9</v>
      </c>
      <c r="H106" s="5">
        <v>1</v>
      </c>
      <c r="I106" s="5">
        <v>8</v>
      </c>
      <c r="J106" s="4" t="s">
        <v>90</v>
      </c>
    </row>
    <row r="107" spans="1:10">
      <c r="A107" s="4" t="s">
        <v>66</v>
      </c>
      <c r="B107" s="7">
        <v>46135</v>
      </c>
      <c r="C107" s="4" t="s">
        <v>68</v>
      </c>
      <c r="D107" s="4" t="s">
        <v>21</v>
      </c>
      <c r="E107" s="9">
        <v>0.38541666666666669</v>
      </c>
      <c r="F107" s="9">
        <v>0.61805555555555558</v>
      </c>
      <c r="G107" s="5">
        <v>5.58</v>
      </c>
      <c r="H107" s="5">
        <v>0</v>
      </c>
      <c r="I107" s="5">
        <v>5.58</v>
      </c>
      <c r="J107" s="4" t="s">
        <v>90</v>
      </c>
    </row>
    <row r="108" spans="1:10">
      <c r="A108" s="4" t="s">
        <v>72</v>
      </c>
      <c r="B108" s="7">
        <v>46135</v>
      </c>
      <c r="C108" s="4" t="s">
        <v>68</v>
      </c>
      <c r="D108" s="4" t="s">
        <v>21</v>
      </c>
      <c r="E108" s="9">
        <v>0.375</v>
      </c>
      <c r="F108" s="9">
        <v>0.70833333333333337</v>
      </c>
      <c r="G108" s="5">
        <v>8</v>
      </c>
      <c r="H108" s="5">
        <v>1</v>
      </c>
      <c r="I108" s="5">
        <v>7</v>
      </c>
      <c r="J108" s="4" t="s">
        <v>90</v>
      </c>
    </row>
    <row r="109" spans="1:10">
      <c r="A109" s="4" t="s">
        <v>76</v>
      </c>
      <c r="B109" s="7">
        <v>46135</v>
      </c>
      <c r="C109" s="4" t="s">
        <v>68</v>
      </c>
      <c r="D109" s="4" t="s">
        <v>21</v>
      </c>
      <c r="E109" s="9">
        <v>0.375</v>
      </c>
      <c r="F109" s="9">
        <v>0.75</v>
      </c>
      <c r="G109" s="5">
        <v>9</v>
      </c>
      <c r="H109" s="5">
        <v>1</v>
      </c>
      <c r="I109" s="5">
        <v>8</v>
      </c>
      <c r="J109" s="4" t="s">
        <v>90</v>
      </c>
    </row>
    <row r="110" spans="1:10">
      <c r="A110" s="4" t="s">
        <v>77</v>
      </c>
      <c r="B110" s="7">
        <v>46135</v>
      </c>
      <c r="C110" s="4" t="s">
        <v>68</v>
      </c>
      <c r="D110" s="4" t="s">
        <v>21</v>
      </c>
      <c r="E110" s="9">
        <v>0.37361111111111112</v>
      </c>
      <c r="F110" s="9">
        <v>0.75</v>
      </c>
      <c r="G110" s="5">
        <v>9.0299999999999994</v>
      </c>
      <c r="H110" s="5">
        <v>1</v>
      </c>
      <c r="I110" s="5">
        <v>8.0299999999999994</v>
      </c>
      <c r="J110" s="4" t="s">
        <v>90</v>
      </c>
    </row>
    <row r="111" spans="1:10">
      <c r="A111" s="4" t="s">
        <v>80</v>
      </c>
      <c r="B111" s="7">
        <v>46135</v>
      </c>
      <c r="C111" s="4" t="s">
        <v>68</v>
      </c>
      <c r="D111" s="4" t="s">
        <v>21</v>
      </c>
      <c r="E111" s="9">
        <v>0.375</v>
      </c>
      <c r="F111" s="9">
        <v>0.75</v>
      </c>
      <c r="G111" s="5">
        <v>9</v>
      </c>
      <c r="H111" s="5">
        <v>1</v>
      </c>
      <c r="I111" s="5">
        <v>8</v>
      </c>
      <c r="J111" s="4" t="s">
        <v>90</v>
      </c>
    </row>
    <row r="112" spans="1:10">
      <c r="A112" s="4" t="s">
        <v>81</v>
      </c>
      <c r="B112" s="7">
        <v>46135</v>
      </c>
      <c r="C112" s="4" t="s">
        <v>68</v>
      </c>
      <c r="D112" s="4" t="s">
        <v>21</v>
      </c>
      <c r="E112" s="9">
        <v>0.29166666666666669</v>
      </c>
      <c r="F112" s="9">
        <v>0.54166666666666663</v>
      </c>
      <c r="G112" s="5">
        <v>6</v>
      </c>
      <c r="H112" s="5">
        <v>0.5</v>
      </c>
      <c r="I112" s="5">
        <v>5.5</v>
      </c>
      <c r="J112" s="4" t="s">
        <v>90</v>
      </c>
    </row>
    <row r="113" spans="1:10">
      <c r="A113" s="4" t="s">
        <v>66</v>
      </c>
      <c r="B113" s="7">
        <v>46136</v>
      </c>
      <c r="C113" s="4" t="s">
        <v>68</v>
      </c>
      <c r="D113" s="4" t="s">
        <v>21</v>
      </c>
      <c r="E113" s="9">
        <v>0.38541666666666669</v>
      </c>
      <c r="F113" s="9">
        <v>0.61805555555555558</v>
      </c>
      <c r="G113" s="5">
        <v>5.58</v>
      </c>
      <c r="H113" s="5">
        <v>0</v>
      </c>
      <c r="I113" s="5">
        <v>5.58</v>
      </c>
      <c r="J113" s="4" t="s">
        <v>90</v>
      </c>
    </row>
    <row r="114" spans="1:10">
      <c r="A114" s="4" t="s">
        <v>72</v>
      </c>
      <c r="B114" s="7">
        <v>46136</v>
      </c>
      <c r="C114" s="4" t="s">
        <v>68</v>
      </c>
      <c r="D114" s="4" t="s">
        <v>21</v>
      </c>
      <c r="E114" s="9">
        <v>0.375</v>
      </c>
      <c r="F114" s="9">
        <v>0.70833333333333337</v>
      </c>
      <c r="G114" s="5">
        <v>8</v>
      </c>
      <c r="H114" s="5">
        <v>1</v>
      </c>
      <c r="I114" s="5">
        <v>7</v>
      </c>
      <c r="J114" s="4" t="s">
        <v>90</v>
      </c>
    </row>
    <row r="115" spans="1:10">
      <c r="A115" s="4" t="s">
        <v>76</v>
      </c>
      <c r="B115" s="7">
        <v>46136</v>
      </c>
      <c r="C115" s="4" t="s">
        <v>68</v>
      </c>
      <c r="D115" s="4" t="s">
        <v>21</v>
      </c>
      <c r="E115" s="9">
        <v>0.375</v>
      </c>
      <c r="F115" s="9">
        <v>0.75</v>
      </c>
      <c r="G115" s="5">
        <v>9</v>
      </c>
      <c r="H115" s="5">
        <v>1</v>
      </c>
      <c r="I115" s="5">
        <v>8</v>
      </c>
      <c r="J115" s="4" t="s">
        <v>90</v>
      </c>
    </row>
    <row r="116" spans="1:10">
      <c r="A116" s="4" t="s">
        <v>77</v>
      </c>
      <c r="B116" s="7">
        <v>46136</v>
      </c>
      <c r="C116" s="4" t="s">
        <v>68</v>
      </c>
      <c r="D116" s="4" t="s">
        <v>21</v>
      </c>
      <c r="E116" s="9">
        <v>0.375</v>
      </c>
      <c r="F116" s="9">
        <v>0.75</v>
      </c>
      <c r="G116" s="5">
        <v>9</v>
      </c>
      <c r="H116" s="5">
        <v>1</v>
      </c>
      <c r="I116" s="5">
        <v>8</v>
      </c>
      <c r="J116" s="4" t="s">
        <v>90</v>
      </c>
    </row>
    <row r="117" spans="1:10">
      <c r="A117" s="4" t="s">
        <v>80</v>
      </c>
      <c r="B117" s="7">
        <v>46136</v>
      </c>
      <c r="C117" s="4" t="s">
        <v>68</v>
      </c>
      <c r="D117" s="4" t="s">
        <v>21</v>
      </c>
      <c r="E117" s="9">
        <v>0.375</v>
      </c>
      <c r="F117" s="9">
        <v>0.75</v>
      </c>
      <c r="G117" s="5">
        <v>9</v>
      </c>
      <c r="H117" s="5">
        <v>1</v>
      </c>
      <c r="I117" s="5">
        <v>8</v>
      </c>
      <c r="J117" s="4" t="s">
        <v>90</v>
      </c>
    </row>
    <row r="118" spans="1:10">
      <c r="A118" s="12" t="s">
        <v>81</v>
      </c>
      <c r="B118" s="14">
        <v>46136</v>
      </c>
      <c r="C118" s="12" t="s">
        <v>68</v>
      </c>
      <c r="D118" s="12" t="s">
        <v>21</v>
      </c>
      <c r="E118" s="15">
        <v>0.375</v>
      </c>
      <c r="F118" s="15">
        <v>0.61458333333333337</v>
      </c>
      <c r="G118" s="13">
        <v>5.75</v>
      </c>
      <c r="H118" s="13">
        <v>0</v>
      </c>
      <c r="I118" s="13">
        <v>5.75</v>
      </c>
      <c r="J118" s="12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E99B2-8547-4180-ABC7-7CDD93535E41}">
  <sheetPr>
    <tabColor theme="3" tint="0.89999084444715716"/>
  </sheetPr>
  <dimension ref="A1:N27"/>
  <sheetViews>
    <sheetView tabSelected="1" zoomScaleNormal="100" zoomScaleSheetLayoutView="100" workbookViewId="0">
      <selection activeCell="N19" sqref="N19"/>
    </sheetView>
  </sheetViews>
  <sheetFormatPr defaultRowHeight="14.25"/>
  <cols>
    <col min="1" max="1" width="15" customWidth="1"/>
    <col min="2" max="5" width="13" customWidth="1"/>
    <col min="6" max="6" width="32" customWidth="1"/>
    <col min="7" max="7" width="13" customWidth="1"/>
    <col min="8" max="8" width="15" customWidth="1"/>
    <col min="9" max="9" width="3" customWidth="1"/>
    <col min="10" max="10" width="31" customWidth="1"/>
    <col min="11" max="13" width="13" customWidth="1"/>
    <col min="14" max="14" width="15" customWidth="1"/>
  </cols>
  <sheetData>
    <row r="1" spans="1:14" ht="27.95" customHeight="1">
      <c r="A1" s="32" t="s">
        <v>113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</row>
    <row r="2" spans="1:14">
      <c r="A2" s="33" t="s">
        <v>114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</row>
    <row r="4" spans="1:14" ht="15">
      <c r="A4" s="34" t="s">
        <v>115</v>
      </c>
      <c r="B4" s="43"/>
      <c r="C4" s="43"/>
      <c r="D4" s="43"/>
      <c r="E4" s="43"/>
      <c r="F4" s="43"/>
      <c r="G4" s="43"/>
      <c r="H4" s="43"/>
      <c r="J4" s="34" t="s">
        <v>116</v>
      </c>
      <c r="K4" s="43"/>
      <c r="L4" s="43"/>
      <c r="M4" s="43"/>
      <c r="N4" s="43"/>
    </row>
    <row r="5" spans="1:14" ht="15">
      <c r="A5" s="35" t="s">
        <v>117</v>
      </c>
      <c r="B5" s="35" t="s">
        <v>118</v>
      </c>
      <c r="C5" s="35" t="s">
        <v>119</v>
      </c>
      <c r="D5" s="35" t="s">
        <v>120</v>
      </c>
      <c r="E5" s="35" t="s">
        <v>121</v>
      </c>
      <c r="F5" s="35" t="s">
        <v>122</v>
      </c>
      <c r="G5" s="35" t="s">
        <v>123</v>
      </c>
      <c r="H5" s="35" t="s">
        <v>124</v>
      </c>
      <c r="J5" s="35" t="s">
        <v>125</v>
      </c>
      <c r="K5" s="35" t="s">
        <v>118</v>
      </c>
      <c r="L5" s="35" t="s">
        <v>119</v>
      </c>
      <c r="M5" s="35" t="s">
        <v>120</v>
      </c>
      <c r="N5" s="35" t="s">
        <v>123</v>
      </c>
    </row>
    <row r="6" spans="1:14">
      <c r="A6" s="36">
        <v>46054</v>
      </c>
      <c r="B6">
        <v>4</v>
      </c>
      <c r="C6" s="37">
        <v>2100</v>
      </c>
      <c r="D6" s="37">
        <v>4872</v>
      </c>
      <c r="E6" s="37">
        <v>0</v>
      </c>
      <c r="F6" s="37">
        <v>0</v>
      </c>
      <c r="G6" s="37">
        <v>6972</v>
      </c>
      <c r="H6">
        <v>4</v>
      </c>
      <c r="J6" t="s">
        <v>126</v>
      </c>
      <c r="K6">
        <v>7</v>
      </c>
      <c r="L6" s="37">
        <v>3150</v>
      </c>
      <c r="M6" s="37">
        <v>7656</v>
      </c>
      <c r="N6" s="37">
        <v>10806</v>
      </c>
    </row>
    <row r="7" spans="1:14">
      <c r="A7" s="36">
        <v>46082</v>
      </c>
      <c r="B7">
        <v>6</v>
      </c>
      <c r="C7" s="37">
        <v>900</v>
      </c>
      <c r="D7" s="37">
        <v>2088</v>
      </c>
      <c r="E7" s="37">
        <v>1281</v>
      </c>
      <c r="F7" s="37">
        <v>4275.5</v>
      </c>
      <c r="G7" s="37">
        <v>8544.5</v>
      </c>
      <c r="H7">
        <v>1</v>
      </c>
      <c r="J7" t="s">
        <v>127</v>
      </c>
      <c r="K7">
        <v>1</v>
      </c>
      <c r="L7" s="37">
        <v>0</v>
      </c>
      <c r="M7" s="37">
        <v>0</v>
      </c>
      <c r="N7" s="37">
        <v>1093.5</v>
      </c>
    </row>
    <row r="8" spans="1:14">
      <c r="A8" s="36">
        <v>46113</v>
      </c>
      <c r="B8">
        <v>1</v>
      </c>
      <c r="C8" s="37">
        <v>150</v>
      </c>
      <c r="D8" s="37">
        <v>696</v>
      </c>
      <c r="E8" s="37">
        <v>0</v>
      </c>
      <c r="F8" s="37">
        <v>0</v>
      </c>
      <c r="G8" s="37">
        <v>846</v>
      </c>
      <c r="H8">
        <v>1</v>
      </c>
      <c r="J8" t="s">
        <v>128</v>
      </c>
      <c r="K8">
        <v>1</v>
      </c>
      <c r="L8" s="37">
        <v>0</v>
      </c>
      <c r="M8" s="37">
        <v>0</v>
      </c>
      <c r="N8" s="37">
        <v>3182</v>
      </c>
    </row>
    <row r="9" spans="1:14" ht="15">
      <c r="A9" s="38" t="s">
        <v>34</v>
      </c>
      <c r="B9" s="38">
        <v>11</v>
      </c>
      <c r="C9" s="39">
        <v>3150</v>
      </c>
      <c r="D9" s="39">
        <v>7656</v>
      </c>
      <c r="E9" s="39">
        <v>1281</v>
      </c>
      <c r="F9" s="39">
        <v>4275.5</v>
      </c>
      <c r="G9" s="39">
        <v>16362.5</v>
      </c>
      <c r="H9" s="38"/>
      <c r="J9" t="s">
        <v>129</v>
      </c>
      <c r="K9">
        <v>2</v>
      </c>
      <c r="L9" s="37">
        <v>0</v>
      </c>
      <c r="M9" s="37">
        <v>0</v>
      </c>
      <c r="N9" s="37">
        <v>1281</v>
      </c>
    </row>
    <row r="13" spans="1:14" ht="15">
      <c r="A13" s="34" t="s">
        <v>130</v>
      </c>
      <c r="B13" s="43"/>
      <c r="C13" s="43"/>
      <c r="D13" s="43"/>
      <c r="F13" s="34" t="s">
        <v>131</v>
      </c>
      <c r="G13" s="43"/>
      <c r="H13" s="43"/>
      <c r="J13" s="34" t="s">
        <v>132</v>
      </c>
      <c r="K13" s="43"/>
      <c r="L13" s="43"/>
      <c r="M13" s="43"/>
      <c r="N13" s="43"/>
    </row>
    <row r="14" spans="1:14" ht="15">
      <c r="A14" s="35" t="s">
        <v>133</v>
      </c>
      <c r="B14" s="35" t="s">
        <v>118</v>
      </c>
      <c r="C14" s="35" t="s">
        <v>123</v>
      </c>
      <c r="D14" s="35" t="s">
        <v>7</v>
      </c>
      <c r="F14" s="35" t="s">
        <v>94</v>
      </c>
      <c r="G14" s="35" t="s">
        <v>118</v>
      </c>
      <c r="H14" s="35" t="s">
        <v>123</v>
      </c>
      <c r="J14" s="35" t="s">
        <v>134</v>
      </c>
      <c r="K14" s="35" t="s">
        <v>118</v>
      </c>
      <c r="L14" s="35" t="s">
        <v>119</v>
      </c>
      <c r="M14" s="35" t="s">
        <v>120</v>
      </c>
      <c r="N14" s="35" t="s">
        <v>123</v>
      </c>
    </row>
    <row r="15" spans="1:14">
      <c r="A15" t="s">
        <v>135</v>
      </c>
      <c r="B15">
        <v>10</v>
      </c>
      <c r="C15" s="37">
        <v>15516.5</v>
      </c>
      <c r="F15" t="s">
        <v>136</v>
      </c>
      <c r="G15">
        <v>8</v>
      </c>
      <c r="H15" s="37">
        <v>13988</v>
      </c>
      <c r="J15" t="s">
        <v>137</v>
      </c>
      <c r="K15">
        <v>7</v>
      </c>
      <c r="L15" s="37">
        <v>3150</v>
      </c>
      <c r="M15" s="37">
        <v>7656</v>
      </c>
      <c r="N15" s="37">
        <v>10806</v>
      </c>
    </row>
    <row r="16" spans="1:14">
      <c r="A16" t="s">
        <v>138</v>
      </c>
      <c r="B16">
        <v>1</v>
      </c>
      <c r="C16" s="37">
        <v>846</v>
      </c>
      <c r="D16" t="s">
        <v>139</v>
      </c>
      <c r="F16" t="s">
        <v>140</v>
      </c>
      <c r="G16">
        <v>3</v>
      </c>
      <c r="H16" s="37">
        <v>2374.5</v>
      </c>
      <c r="J16" t="s">
        <v>127</v>
      </c>
      <c r="K16">
        <v>1</v>
      </c>
      <c r="L16" s="37">
        <v>0</v>
      </c>
      <c r="M16" s="37">
        <v>0</v>
      </c>
      <c r="N16" s="37">
        <v>1093.5</v>
      </c>
    </row>
    <row r="17" spans="1:14">
      <c r="J17" t="s">
        <v>141</v>
      </c>
      <c r="K17">
        <v>1</v>
      </c>
      <c r="L17" s="37">
        <v>0</v>
      </c>
      <c r="M17" s="37">
        <v>0</v>
      </c>
      <c r="N17" s="37">
        <v>3182</v>
      </c>
    </row>
    <row r="18" spans="1:14">
      <c r="J18" t="s">
        <v>142</v>
      </c>
      <c r="K18">
        <v>2</v>
      </c>
      <c r="L18" s="37">
        <v>0</v>
      </c>
      <c r="M18" s="37">
        <v>0</v>
      </c>
      <c r="N18" s="37">
        <v>1281</v>
      </c>
    </row>
    <row r="24" spans="1:14" ht="15">
      <c r="A24" s="40" t="s">
        <v>143</v>
      </c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</row>
    <row r="25" spans="1:14" ht="42" customHeight="1">
      <c r="A25" s="41" t="s">
        <v>144</v>
      </c>
      <c r="B25" s="42" t="s">
        <v>145</v>
      </c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</row>
    <row r="26" spans="1:14" ht="42" customHeight="1">
      <c r="A26" s="41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</row>
    <row r="27" spans="1:14" ht="42" customHeight="1">
      <c r="A27" s="41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</row>
  </sheetData>
  <mergeCells count="11">
    <mergeCell ref="A24:N24"/>
    <mergeCell ref="B25:N25"/>
    <mergeCell ref="B26:N26"/>
    <mergeCell ref="B27:N27"/>
    <mergeCell ref="A1:N1"/>
    <mergeCell ref="A2:N2"/>
    <mergeCell ref="A4:H4"/>
    <mergeCell ref="J4:N4"/>
    <mergeCell ref="A13:D13"/>
    <mergeCell ref="F13:H13"/>
    <mergeCell ref="J13:N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Perez, Rich</cp:lastModifiedBy>
  <cp:revision/>
  <dcterms:created xsi:type="dcterms:W3CDTF">2026-04-27T16:28:15Z</dcterms:created>
  <dcterms:modified xsi:type="dcterms:W3CDTF">2026-04-27T16:28:15Z</dcterms:modified>
  <cp:category/>
  <cp:contentStatus/>
</cp:coreProperties>
</file>