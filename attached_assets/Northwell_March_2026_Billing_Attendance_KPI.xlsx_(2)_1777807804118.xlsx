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66925"/>
  <xr:revisionPtr revIDLastSave="24" documentId="11_E60897F41BE170836B02CE998F75CCDC64E183C8" xr6:coauthVersionLast="47" xr6:coauthVersionMax="47" xr10:uidLastSave="{41943078-3520-4A3C-BFA5-CCEFAB03B3DD}"/>
  <bookViews>
    <workbookView xWindow="240" yWindow="105" windowWidth="14805" windowHeight="8010" activeTab="2" xr2:uid="{00000000-000D-0000-FFFF-FFFF00000000}"/>
  </bookViews>
  <sheets>
    <sheet name="Contributions &amp; Wins" sheetId="8" r:id="rId1"/>
    <sheet name="Billing Summary - Mar 2026" sheetId="5" r:id="rId2"/>
    <sheet name="Exec KPI - 2026-04-04" sheetId="7" r:id="rId3"/>
    <sheet name="Live - Mar 2026" sheetId="6" r:id="rId4"/>
    <sheet name="Event Log" sheetId="2" r:id="rId5"/>
    <sheet name="Daily Narrative Log" sheetId="3" r:id="rId6"/>
  </sheets>
  <externalReferences>
    <externalReference r:id="rId7"/>
    <externalReference r:id="rId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5" i="2" l="1"/>
  <c r="U55" i="2"/>
  <c r="P55" i="2"/>
  <c r="N55" i="2"/>
  <c r="M55" i="2"/>
  <c r="R55" i="2" s="1"/>
  <c r="S55" i="2" s="1"/>
  <c r="L55" i="2"/>
  <c r="K55" i="2"/>
  <c r="G55" i="2"/>
  <c r="B55" i="2"/>
  <c r="V54" i="2"/>
  <c r="U54" i="2"/>
  <c r="P54" i="2"/>
  <c r="N54" i="2"/>
  <c r="M54" i="2"/>
  <c r="R54" i="2" s="1"/>
  <c r="S54" i="2" s="1"/>
  <c r="L54" i="2"/>
  <c r="K54" i="2"/>
  <c r="G54" i="2"/>
  <c r="B54" i="2"/>
  <c r="V53" i="2"/>
  <c r="U53" i="2"/>
  <c r="P53" i="2"/>
  <c r="N53" i="2"/>
  <c r="M53" i="2"/>
  <c r="R53" i="2" s="1"/>
  <c r="S53" i="2" s="1"/>
  <c r="L53" i="2"/>
  <c r="K53" i="2"/>
  <c r="G53" i="2"/>
  <c r="B53" i="2"/>
  <c r="V52" i="2"/>
  <c r="U52" i="2"/>
  <c r="P52" i="2"/>
  <c r="N52" i="2"/>
  <c r="M52" i="2"/>
  <c r="R52" i="2" s="1"/>
  <c r="S52" i="2" s="1"/>
  <c r="L52" i="2"/>
  <c r="K52" i="2"/>
  <c r="G52" i="2"/>
  <c r="B52" i="2"/>
  <c r="V51" i="2"/>
  <c r="U51" i="2"/>
  <c r="P51" i="2"/>
  <c r="N51" i="2"/>
  <c r="M51" i="2"/>
  <c r="R51" i="2" s="1"/>
  <c r="S51" i="2" s="1"/>
  <c r="L51" i="2"/>
  <c r="K51" i="2"/>
  <c r="G51" i="2"/>
  <c r="B51" i="2"/>
  <c r="V50" i="2"/>
  <c r="U50" i="2"/>
  <c r="P50" i="2"/>
  <c r="N50" i="2"/>
  <c r="M50" i="2"/>
  <c r="R50" i="2" s="1"/>
  <c r="S50" i="2" s="1"/>
  <c r="L50" i="2"/>
  <c r="K50" i="2"/>
  <c r="G50" i="2"/>
  <c r="B50" i="2"/>
  <c r="V49" i="2"/>
  <c r="U49" i="2"/>
  <c r="P49" i="2"/>
  <c r="N49" i="2"/>
  <c r="M49" i="2"/>
  <c r="R49" i="2" s="1"/>
  <c r="S49" i="2" s="1"/>
  <c r="L49" i="2"/>
  <c r="K49" i="2"/>
  <c r="G49" i="2"/>
  <c r="B49" i="2"/>
  <c r="V48" i="2"/>
  <c r="U48" i="2"/>
  <c r="P48" i="2"/>
  <c r="N48" i="2"/>
  <c r="M48" i="2"/>
  <c r="R48" i="2" s="1"/>
  <c r="S48" i="2" s="1"/>
  <c r="L48" i="2"/>
  <c r="K48" i="2"/>
  <c r="B48" i="2"/>
  <c r="V12" i="2"/>
  <c r="U12" i="2"/>
  <c r="N12" i="2"/>
  <c r="M12" i="2"/>
  <c r="R12" i="2" s="1"/>
  <c r="S12" i="2" s="1"/>
  <c r="L12" i="2"/>
  <c r="K12" i="2"/>
  <c r="G12" i="2"/>
  <c r="B12" i="2"/>
  <c r="V11" i="2"/>
  <c r="U11" i="2"/>
  <c r="N11" i="2"/>
  <c r="M11" i="2"/>
  <c r="R11" i="2" s="1"/>
  <c r="S11" i="2" s="1"/>
  <c r="L11" i="2"/>
  <c r="K11" i="2"/>
  <c r="G11" i="2"/>
  <c r="B11" i="2"/>
  <c r="V10" i="2"/>
  <c r="U10" i="2"/>
  <c r="N10" i="2"/>
  <c r="M10" i="2"/>
  <c r="R10" i="2" s="1"/>
  <c r="S10" i="2" s="1"/>
  <c r="L10" i="2"/>
  <c r="K10" i="2"/>
  <c r="G10" i="2"/>
  <c r="B10" i="2"/>
  <c r="V9" i="2"/>
  <c r="U9" i="2"/>
  <c r="N9" i="2"/>
  <c r="M9" i="2"/>
  <c r="R9" i="2" s="1"/>
  <c r="S9" i="2" s="1"/>
  <c r="L9" i="2"/>
  <c r="K9" i="2"/>
  <c r="G9" i="2"/>
  <c r="B9" i="2"/>
  <c r="V8" i="2"/>
  <c r="U8" i="2"/>
  <c r="N8" i="2"/>
  <c r="M8" i="2"/>
  <c r="R8" i="2" s="1"/>
  <c r="S8" i="2" s="1"/>
  <c r="L8" i="2"/>
  <c r="K8" i="2"/>
  <c r="G8" i="2"/>
  <c r="B8" i="2"/>
  <c r="V7" i="2"/>
  <c r="U7" i="2"/>
  <c r="N7" i="2"/>
  <c r="M7" i="2"/>
  <c r="R7" i="2" s="1"/>
  <c r="S7" i="2" s="1"/>
  <c r="L7" i="2"/>
  <c r="K7" i="2"/>
  <c r="G7" i="2"/>
  <c r="B7" i="2"/>
  <c r="V6" i="2"/>
  <c r="U6" i="2"/>
  <c r="N6" i="2"/>
  <c r="M6" i="2"/>
  <c r="R6" i="2" s="1"/>
  <c r="S6" i="2" s="1"/>
  <c r="L6" i="2"/>
  <c r="K6" i="2"/>
  <c r="G6" i="2"/>
  <c r="B6" i="2"/>
</calcChain>
</file>

<file path=xl/sharedStrings.xml><?xml version="1.0" encoding="utf-8"?>
<sst xmlns="http://schemas.openxmlformats.org/spreadsheetml/2006/main" count="1373" uniqueCount="586">
  <si>
    <t>NSUH OR Device Integration – Contributions &amp; Wins</t>
  </si>
  <si>
    <t>Executive summary of validated operational wins, workflow improvements, and lessons learned supporting NSUH device integration.</t>
  </si>
  <si>
    <t>Operational Contributions and Workflow Advancements</t>
  </si>
  <si>
    <t>Category</t>
  </si>
  <si>
    <t>Owner</t>
  </si>
  <si>
    <t>Action</t>
  </si>
  <si>
    <t>Impact</t>
  </si>
  <si>
    <t>System Effect</t>
  </si>
  <si>
    <t>System Recovery</t>
  </si>
  <si>
    <t>Richard Perez</t>
  </si>
  <si>
    <t>Identified posting as the resolution for the COM port allocation lock in Device Manager, restoring COM port allocations on affected devices.</t>
  </si>
  <si>
    <t>Restored device usability and removed a blocker from active OR integrations.</t>
  </si>
  <si>
    <t>Prevented configuration bottlenecks and reduced repeated troubleshooting.</t>
  </si>
  <si>
    <t>Access Workaround</t>
  </si>
  <si>
    <t>Alejandro</t>
  </si>
  <si>
    <t>Developed workarounds for Epic TDR access limitations and constraints. Created and refined SOPs, guides, and tooling.</t>
  </si>
  <si>
    <t>Enabled continued survey and configuration workflow despite access gaps.</t>
  </si>
  <si>
    <t>Maintained deployment velocity without waiting on external dependencies.</t>
  </si>
  <si>
    <t>Installation Standardization</t>
  </si>
  <si>
    <t>Alejandro, Khadejah</t>
  </si>
  <si>
    <t>Refined SIS installation steps, cable management standards, adhesive feasibility decisions, application configurations, and QA expectations.</t>
  </si>
  <si>
    <t>Reduced variability across technicians and improved deployment uniformity.</t>
  </si>
  <si>
    <t>Established a more repeatable installation and quality-assurance workflow.</t>
  </si>
  <si>
    <t>Workflow Enforcement</t>
  </si>
  <si>
    <t>Khadejah</t>
  </si>
  <si>
    <t>Maintained strict adherence to configuration, deployment, ticketing, and client correspondence processes at each step.</t>
  </si>
  <si>
    <t>Prevented missed steps and rework.</t>
  </si>
  <si>
    <t>Ensured consistency and quality control across the workflow.</t>
  </si>
  <si>
    <t>Problem Resolution</t>
  </si>
  <si>
    <t>Khadejah, Geoff</t>
  </si>
  <si>
    <t xml:space="preserve">Resolved domain rejoin issues and documented the working approach. Created SOPs and file shares to facilitate workflow with pressing deadlines. Created standardized tooling to normalize naming conventions and deadline projections. </t>
  </si>
  <si>
    <t>Restored device readiness efficiently.</t>
  </si>
  <si>
    <t>Streamlined the domain rejoin process for broader team use.</t>
  </si>
  <si>
    <t>Inventory Systemization</t>
  </si>
  <si>
    <t xml:space="preserve">Converted a disorganized equipment area into a structured, categorized staging environment by separating hardware types, consolidating loose items, labeling boxes, grouping systems, and clearing workspace for continued organization readiness. </t>
  </si>
  <si>
    <t>Restored visibility, reduced search time, and improved access to deployment-critical components.</t>
  </si>
  <si>
    <t>Established a stronger foundation for inventory tracking, redeployment readiness, and scalable logistics workflow.</t>
  </si>
  <si>
    <t>Process Development</t>
  </si>
  <si>
    <t>Trained team members and developed structured reporting for leadership visibility and operational control.</t>
  </si>
  <si>
    <t>Improved team capability and visibility.</t>
  </si>
  <si>
    <t>Enabled scalable workflow and reporting clarity.</t>
  </si>
  <si>
    <t>Lesson learned: ✔️ (Valentine’s Day)</t>
  </si>
  <si>
    <t>Richard Perez, Alejandro</t>
  </si>
  <si>
    <t>Always ensure staffing includes a float while advancing deployments.</t>
  </si>
  <si>
    <t>Reduced downstream rework, late clock-outs, and avoidable OT exposure.</t>
  </si>
  <si>
    <t>Improved deployment continuity and staffing resilience during execution.</t>
  </si>
  <si>
    <t>Tooling &amp; Automation</t>
  </si>
  <si>
    <t>Geoff</t>
  </si>
  <si>
    <t>Developed Excel-based tools embedded within the team’s internal tracker. Created standardized tooling to normalize naming conventions and deadline projections.</t>
  </si>
  <si>
    <t>Improved data capture efficiency and reduced manual entry errors</t>
  </si>
  <si>
    <t>Integrated tooling into operational workflow, increasing consistency and scalability</t>
  </si>
  <si>
    <t>Mar 2026 - Northwell Billing Summary</t>
  </si>
  <si>
    <t>Manager-facing rollup for Neuron labor plus Delivery / Transport / Disposal tied to the same Northwell project.</t>
  </si>
  <si>
    <t>Billing Bucket</t>
  </si>
  <si>
    <t>Tech Count</t>
  </si>
  <si>
    <t>Worked Days</t>
  </si>
  <si>
    <t>Billable Hours</t>
  </si>
  <si>
    <t>Neurons</t>
  </si>
  <si>
    <t>Delivery / Transport / Disposal</t>
  </si>
  <si>
    <t>Combined Northwell billing</t>
  </si>
  <si>
    <t>Aamir Ali, Aatif Ali, and Abdul Gopang roll under Delivery / Transport / Disposal and should be billed to Northwell under the same project effort.</t>
  </si>
  <si>
    <t>Neuron Deployments by Tech</t>
  </si>
  <si>
    <t>Delivery / Transport / Disposal by Tech</t>
  </si>
  <si>
    <t>Staff Name</t>
  </si>
  <si>
    <t>Billing Note</t>
  </si>
  <si>
    <t>Rich Perez</t>
  </si>
  <si>
    <t>Bill to Northwell - Neurons</t>
  </si>
  <si>
    <t>Aamir Ali</t>
  </si>
  <si>
    <t>Geoff Gerber</t>
  </si>
  <si>
    <t>Aatif Ali</t>
  </si>
  <si>
    <t>Khadejah Harrison</t>
  </si>
  <si>
    <t>Abdul Gopang</t>
  </si>
  <si>
    <t>Asher Ali</t>
  </si>
  <si>
    <t>Transport Total</t>
  </si>
  <si>
    <t>Alejandro Perales</t>
  </si>
  <si>
    <t>Valentyn Nykoliuk</t>
  </si>
  <si>
    <t>Patricia Marrero</t>
  </si>
  <si>
    <t>Emmanuel Sanchez</t>
  </si>
  <si>
    <t>Christopher Cummings</t>
  </si>
  <si>
    <t>Cyen Heyliger</t>
  </si>
  <si>
    <t>Bill to Northwell - Neurons (manual March map)</t>
  </si>
  <si>
    <t>Cristian Munoz</t>
  </si>
  <si>
    <t>Julio Mojica</t>
  </si>
  <si>
    <t>Neuron Total</t>
  </si>
  <si>
    <t xml:space="preserve"> </t>
  </si>
  <si>
    <t>Audit trail: all rollups above pull from Billing Detail - Mar 2026, normalized to one row per tech per worked day, with Cyen Heyliger manually mapped into Neurons for March.</t>
  </si>
  <si>
    <t>Audit trail: Billing Detail - Mar 2026</t>
  </si>
  <si>
    <t>Exec KPI - 2026-04-04 | NSUH Deployment Summary</t>
  </si>
  <si>
    <t>Weekday work: 1 Marcus configuration + inventory count | Weekend work: NSUH deployment + QA | Tracker-driven summary with explicit 4/4 deployment ownership.</t>
  </si>
  <si>
    <t>Site Summary</t>
  </si>
  <si>
    <t>Site</t>
  </si>
  <si>
    <t>Weighted Task Hrs</t>
  </si>
  <si>
    <t>Deployment Hrs</t>
  </si>
  <si>
    <t>QA / Validation Hrs</t>
  </si>
  <si>
    <t>Incident Hrs</t>
  </si>
  <si>
    <t>Other Hrs</t>
  </si>
  <si>
    <t>Devices Deployed</t>
  </si>
  <si>
    <t>QA Devices</t>
  </si>
  <si>
    <t>Basis</t>
  </si>
  <si>
    <t>NSUH</t>
  </si>
  <si>
    <t>Weekend deployment + QA</t>
  </si>
  <si>
    <t>1 Marcus</t>
  </si>
  <si>
    <t>Weekday configuration + inventory count</t>
  </si>
  <si>
    <t>Total</t>
  </si>
  <si>
    <t>Weighted Task Hours by Technician</t>
  </si>
  <si>
    <t>Tech</t>
  </si>
  <si>
    <t>Scope</t>
  </si>
  <si>
    <t>Weekday configuration + Saturday QA</t>
  </si>
  <si>
    <t>Deployment</t>
  </si>
  <si>
    <t>Incident + field support</t>
  </si>
  <si>
    <t>Field support</t>
  </si>
  <si>
    <t>Workflow control</t>
  </si>
  <si>
    <t>Config support</t>
  </si>
  <si>
    <t>Weekday inventory count / Marcus</t>
  </si>
  <si>
    <t>Deployment Ownership - Saturday 2026-04-04</t>
  </si>
  <si>
    <t>Person</t>
  </si>
  <si>
    <t>Deployment Date</t>
  </si>
  <si>
    <t>Role</t>
  </si>
  <si>
    <t>Source</t>
  </si>
  <si>
    <t>Notes</t>
  </si>
  <si>
    <t>QA / readiness</t>
  </si>
  <si>
    <t>User-confirmed split</t>
  </si>
  <si>
    <t xml:space="preserve">Subject matter expert. </t>
  </si>
  <si>
    <t>Management / Deployment / Survey</t>
  </si>
  <si>
    <t>Delroy Harris</t>
  </si>
  <si>
    <t>Smart hands</t>
  </si>
  <si>
    <t>Deployment / Survey</t>
  </si>
  <si>
    <t>Mar 2026 - Attendance (Live)</t>
  </si>
  <si>
    <t>Project</t>
  </si>
  <si>
    <t>Mar 01 - Clock In</t>
  </si>
  <si>
    <t>Mar 01 - Clock Out</t>
  </si>
  <si>
    <t>Mar 02 - Clock In</t>
  </si>
  <si>
    <t>Mar 02 - Clock Out</t>
  </si>
  <si>
    <t>Mar 03 - Clock In</t>
  </si>
  <si>
    <t>Mar 03 - Clock Out</t>
  </si>
  <si>
    <t>Mar 04 - Clock In</t>
  </si>
  <si>
    <t>Mar 04 - Clock Out</t>
  </si>
  <si>
    <t>Mar 05 - Clock In</t>
  </si>
  <si>
    <t>Mar 05 - Clock Out</t>
  </si>
  <si>
    <t>Mar 06 - Clock In</t>
  </si>
  <si>
    <t>Mar 06 - Clock Out</t>
  </si>
  <si>
    <t>Mar 07 - Clock In</t>
  </si>
  <si>
    <t>Mar 07 - Clock Out</t>
  </si>
  <si>
    <t>Mar 08 - Clock In</t>
  </si>
  <si>
    <t>Mar 08 - Clock Out</t>
  </si>
  <si>
    <t>Mar 09 - Clock In</t>
  </si>
  <si>
    <t>Mar 09 - Clock Out</t>
  </si>
  <si>
    <t>Mar 10 - Clock In</t>
  </si>
  <si>
    <t>Mar 10 - Clock Out</t>
  </si>
  <si>
    <t>Mar 11 - Clock In</t>
  </si>
  <si>
    <t>Mar 11 - Clock Out</t>
  </si>
  <si>
    <t>Mar 12 - Clock In</t>
  </si>
  <si>
    <t>Mar 12 - Clock Out</t>
  </si>
  <si>
    <t>Mar 13 - Clock In</t>
  </si>
  <si>
    <t>Mar 13 - Clock Out</t>
  </si>
  <si>
    <t>Mar 14 - Clock In</t>
  </si>
  <si>
    <t>Mar 14 - Clock Out</t>
  </si>
  <si>
    <t>Mar 15 - Clock In</t>
  </si>
  <si>
    <t>Mar 15 - Clock Out</t>
  </si>
  <si>
    <t>Mar 16 - Clock In</t>
  </si>
  <si>
    <t>Mar 16 - Clock Out</t>
  </si>
  <si>
    <t>Mar 17 - Clock In</t>
  </si>
  <si>
    <t>Mar 17 - Clock Out</t>
  </si>
  <si>
    <t>Mar 18 - Clock In</t>
  </si>
  <si>
    <t>Mar 18 - Clock Out</t>
  </si>
  <si>
    <t>Mar 19 - Clock In</t>
  </si>
  <si>
    <t>Mar 19 - Clock Out</t>
  </si>
  <si>
    <t>Mar 20 - Clock In</t>
  </si>
  <si>
    <t>Mar 20 - Clock Out</t>
  </si>
  <si>
    <t>Mar 21 - Clock In</t>
  </si>
  <si>
    <t>Mar 21 - Clock Out</t>
  </si>
  <si>
    <t>Mar 22 - Clock In</t>
  </si>
  <si>
    <t>Mar 22 - Clock Out</t>
  </si>
  <si>
    <t>Mar 23 - Clock In</t>
  </si>
  <si>
    <t>Mar 23 - Clock Out</t>
  </si>
  <si>
    <t>Mar 24 - Clock In</t>
  </si>
  <si>
    <t>Mar 24 - Clock Out</t>
  </si>
  <si>
    <t>Mar 25 - Clock In</t>
  </si>
  <si>
    <t>Mar 25 - Clock Out</t>
  </si>
  <si>
    <t>Mar 26 - Clock In</t>
  </si>
  <si>
    <t>Mar 26 - Clock Out</t>
  </si>
  <si>
    <t>Mar 27 - Clock In</t>
  </si>
  <si>
    <t>Mar 27 - Clock Out</t>
  </si>
  <si>
    <t>Mar 28 - Clock In</t>
  </si>
  <si>
    <t>Mar 28 - Clock Out</t>
  </si>
  <si>
    <t>Mar 29 - Clock In</t>
  </si>
  <si>
    <t>Mar 29 - Clock Out</t>
  </si>
  <si>
    <t>Mar 30 - Clock In</t>
  </si>
  <si>
    <t>Mar 30 - Clock Out</t>
  </si>
  <si>
    <t>Mar 31 - Clock In</t>
  </si>
  <si>
    <t>Mar 31 - Clock Out</t>
  </si>
  <si>
    <t>Adam Pagan</t>
  </si>
  <si>
    <t>Alberto Montalvo</t>
  </si>
  <si>
    <t>Projects Team</t>
  </si>
  <si>
    <t>Neuron Deployments</t>
  </si>
  <si>
    <t>Alexander Lent</t>
  </si>
  <si>
    <t>Alexander Sanchez</t>
  </si>
  <si>
    <t>DSE</t>
  </si>
  <si>
    <t>Alfonso Falcon</t>
  </si>
  <si>
    <t>Alinx Simon</t>
  </si>
  <si>
    <t>Anthony Abijoh</t>
  </si>
  <si>
    <t>iPhone Support</t>
  </si>
  <si>
    <t>Anthony Spezio</t>
  </si>
  <si>
    <t>DoE</t>
  </si>
  <si>
    <t>Arin Budhram</t>
  </si>
  <si>
    <t>PTO</t>
  </si>
  <si>
    <t>Caesar Olivas</t>
  </si>
  <si>
    <t>Carl Romero-Salam</t>
  </si>
  <si>
    <t>Clifford Joseph</t>
  </si>
  <si>
    <t>Connor Hoffman</t>
  </si>
  <si>
    <t>Devon Schoen</t>
  </si>
  <si>
    <t>Dondre Blake</t>
  </si>
  <si>
    <t>Erik Guzman</t>
  </si>
  <si>
    <t>Faisal Hussain</t>
  </si>
  <si>
    <t>Gerian Beaubrun</t>
  </si>
  <si>
    <t>Jason Hernandez</t>
  </si>
  <si>
    <t>Kareem Mohamed</t>
  </si>
  <si>
    <t>Katina Flemming</t>
  </si>
  <si>
    <t>Khalidah Abdul-Rahim</t>
  </si>
  <si>
    <t>Logan Montalvo</t>
  </si>
  <si>
    <t>Mardoche Joseph</t>
  </si>
  <si>
    <t>Marlon Caleb</t>
  </si>
  <si>
    <t>Martin Hammett</t>
  </si>
  <si>
    <t>Marvin Tate</t>
  </si>
  <si>
    <t>Mathurin Soubeiga</t>
  </si>
  <si>
    <t>Max Thomas</t>
  </si>
  <si>
    <t>Md Suhan Newaz</t>
  </si>
  <si>
    <t>Michael Gahn</t>
  </si>
  <si>
    <t>MacOS Support</t>
  </si>
  <si>
    <t>Mohammad Umair</t>
  </si>
  <si>
    <t>24-Day</t>
  </si>
  <si>
    <t>Mohammed Gousjan</t>
  </si>
  <si>
    <t>Nasim Khan</t>
  </si>
  <si>
    <t>Nicholas Valentin</t>
  </si>
  <si>
    <t>N/A</t>
  </si>
  <si>
    <t>Rasab Ali</t>
  </si>
  <si>
    <t>Rezaul Roman</t>
  </si>
  <si>
    <t>Saliou Diallo</t>
  </si>
  <si>
    <t>Shazaib Idrees</t>
  </si>
  <si>
    <t>Sheldon Brown</t>
  </si>
  <si>
    <t>ReConnect</t>
  </si>
  <si>
    <t>Tanjim Khan</t>
  </si>
  <si>
    <t>Thomas Bordon</t>
  </si>
  <si>
    <t>Event Log | Quantity, Duration, and Case-Linked Hours</t>
  </si>
  <si>
    <t>One row = one atomic work event. Suggested Hours are formula-driven defaults. Actual Billed Hours are user-entered later. Use Case ID to tie the story together across dates.</t>
  </si>
  <si>
    <t>Atomic Event Log</t>
  </si>
  <si>
    <t>Event Date</t>
  </si>
  <si>
    <t>Week Start</t>
  </si>
  <si>
    <t>Base of Operations</t>
  </si>
  <si>
    <t>Room / Area</t>
  </si>
  <si>
    <t>Case ID</t>
  </si>
  <si>
    <t>Workstream</t>
  </si>
  <si>
    <t>Event Type</t>
  </si>
  <si>
    <t>Task Category</t>
  </si>
  <si>
    <t>Quantity</t>
  </si>
  <si>
    <t>Unit Type</t>
  </si>
  <si>
    <t>Window Code</t>
  </si>
  <si>
    <t>Std Hours / Unit</t>
  </si>
  <si>
    <t>Fixed Overhead Hrs</t>
  </si>
  <si>
    <t>Complexity Factor</t>
  </si>
  <si>
    <t>Disruption Factor</t>
  </si>
  <si>
    <t>Travel / Transit Hrs</t>
  </si>
  <si>
    <t>Modeled Hours</t>
  </si>
  <si>
    <t>Suggested Hours</t>
  </si>
  <si>
    <t>Actual Billed Hours</t>
  </si>
  <si>
    <t>Variance Hrs</t>
  </si>
  <si>
    <t>Billable Flag</t>
  </si>
  <si>
    <t>Narrative Tag</t>
  </si>
  <si>
    <t>Primary Hostname</t>
  </si>
  <si>
    <t>Related Asset / Hostname</t>
  </si>
  <si>
    <t>Evidence Source</t>
  </si>
  <si>
    <t>LIJ</t>
  </si>
  <si>
    <t>Same room / anesthesia station area</t>
  </si>
  <si>
    <t>LIJ-2026-02-21-RETURN-01</t>
  </si>
  <si>
    <t>Survey Blocked</t>
  </si>
  <si>
    <t>Survey / Validation</t>
  </si>
  <si>
    <t>Risk</t>
  </si>
  <si>
    <t>WNH270OPR432</t>
  </si>
  <si>
    <t>LIJ-MACH-D / SPARE</t>
  </si>
  <si>
    <t>User-provided tracker screenshot + chat context</t>
  </si>
  <si>
    <t>Tech could not complete the survey because the machine was abruptly displaced before completion.</t>
  </si>
  <si>
    <t>Client Follow-Up</t>
  </si>
  <si>
    <t>Client Correspondence</t>
  </si>
  <si>
    <t>Client Touch</t>
  </si>
  <si>
    <t>User-confirmed in chat (client correspondence not separately screenshot)</t>
  </si>
  <si>
    <t>Client correspondence / return-visit coordination associated with incomplete survey and room-state issue.</t>
  </si>
  <si>
    <t>Return Dispatch / Logistics Move</t>
  </si>
  <si>
    <t>Logistics</t>
  </si>
  <si>
    <t>WNH270OPR403</t>
  </si>
  <si>
    <t>LIJ-MACH-D</t>
  </si>
  <si>
    <t>User-provided chat context</t>
  </si>
  <si>
    <t>Sent resource back to LIJ to rectify the incomplete survey / displaced machine chain.</t>
  </si>
  <si>
    <t>Rectification Visit</t>
  </si>
  <si>
    <t>Revisit / Remediation</t>
  </si>
  <si>
    <t>Rework</t>
  </si>
  <si>
    <t>Subsequent visit found same room with a different anesthesia workstation present; spare present on the later visit.</t>
  </si>
  <si>
    <t>Survey Completion / Recheck</t>
  </si>
  <si>
    <t>Throughput</t>
  </si>
  <si>
    <t>Survey / validation work resumed after the return touch; tie to same case rather than counting as a clean new deployment.</t>
  </si>
  <si>
    <t>Shipment / 1 Marcus relay</t>
  </si>
  <si>
    <t>NSUH-2026-03-19-SHIP-01</t>
  </si>
  <si>
    <t>Shipment Reminder / Coordination</t>
  </si>
  <si>
    <t>Teams screenshot from user</t>
  </si>
  <si>
    <t>Friendly reminder that NSUH was expecting a shipment that day: Cybernets, Neurons, and Neuron Power Cables.</t>
  </si>
  <si>
    <t>3 pallets / 1 Marcus to NSUH</t>
  </si>
  <si>
    <t>Confirmed pickup / relay from 1 Marcus to NSUH; thread mentions 3 pallets being loaded for delivery.</t>
  </si>
  <si>
    <t>1 Marcus -&gt; NSUH</t>
  </si>
  <si>
    <t>NSUH Incident Response</t>
  </si>
  <si>
    <t>Root Cause Investigation</t>
  </si>
  <si>
    <t>Troubleshooting / Incident Response</t>
  </si>
  <si>
    <t>Events</t>
  </si>
  <si>
    <t>L</t>
  </si>
  <si>
    <t>Yes</t>
  </si>
  <si>
    <t>NSUH-Specific Requirements</t>
  </si>
  <si>
    <t>Week of 3-30 tracker</t>
  </si>
  <si>
    <t>Re-imaged 2 Cybernets to validate COM port failure theory prior to redeploy</t>
  </si>
  <si>
    <t>Incident Response &amp; Troubleshooting</t>
  </si>
  <si>
    <t>Re-Imaging / Rework</t>
  </si>
  <si>
    <t>XL</t>
  </si>
  <si>
    <t>Review</t>
  </si>
  <si>
    <t>Incident Carryover</t>
  </si>
  <si>
    <t>Bulk remediation of Cybernets following confirmed COM port issue</t>
  </si>
  <si>
    <t>Logistics &amp; Material Flow</t>
  </si>
  <si>
    <t>Inventory Reconciliation</t>
  </si>
  <si>
    <t>Inventory / Staging / Cleanup</t>
  </si>
  <si>
    <t>M</t>
  </si>
  <si>
    <t>Stock-Constrained Execution</t>
  </si>
  <si>
    <t>Inventory management to restore accurate stock counts and deployment readiness</t>
  </si>
  <si>
    <t>Shipment / Delivery Coordination</t>
  </si>
  <si>
    <t>Multi-Site Pivot</t>
  </si>
  <si>
    <t>Delivered re-imaged Cybernets and coordinated field handoff</t>
  </si>
  <si>
    <t>Reporting &amp; Documentation</t>
  </si>
  <si>
    <t>Tooling / Prep</t>
  </si>
  <si>
    <t>Reporting / Documentation</t>
  </si>
  <si>
    <t>Updated shared driver repositories to support upcoming incident responses</t>
  </si>
  <si>
    <t>Production Remediation</t>
  </si>
  <si>
    <t>Post-Deployment Remediation</t>
  </si>
  <si>
    <t>Installed validated drivers on affected deployed Cybernets</t>
  </si>
  <si>
    <t>Deployment Execution</t>
  </si>
  <si>
    <t>Deployment Coverage</t>
  </si>
  <si>
    <t>Deployment / Field Support</t>
  </si>
  <si>
    <t>Weekend / After-Hours Coverage</t>
  </si>
  <si>
    <t>Attendance Bridge + Week of 3-30</t>
  </si>
  <si>
    <t>Weekend deployment coverage</t>
  </si>
  <si>
    <t>Cleanup</t>
  </si>
  <si>
    <t>Post-deployment cleanup and workspace reset</t>
  </si>
  <si>
    <t>Training &amp; Knowledge Transfer</t>
  </si>
  <si>
    <t>Training / Coaching</t>
  </si>
  <si>
    <t>Training / Enablement</t>
  </si>
  <si>
    <t>Provided hands-on SIS installation and troubleshooting training to Julio and Christopher</t>
  </si>
  <si>
    <t>Configuration &amp; Build Operations</t>
  </si>
  <si>
    <t>Configuration Validation</t>
  </si>
  <si>
    <t>Configuration / Build</t>
  </si>
  <si>
    <t>Validated and prepared additional Cybernets to meet daily deployment quota</t>
  </si>
  <si>
    <t>Troubleshot SIS Offline Viewer issues and confirmed reliable vitals streaming</t>
  </si>
  <si>
    <t>Client Deliverable</t>
  </si>
  <si>
    <t>Completed EPIC TDR validation and OR device surveys</t>
  </si>
  <si>
    <t>QA and final prep of Cybernets to close deployment gap</t>
  </si>
  <si>
    <t>Live Issue Triage</t>
  </si>
  <si>
    <t>Handled SIS-related incidents during active deployment window</t>
  </si>
  <si>
    <t>Facilitated disposal coordination and removal of deployment packaging</t>
  </si>
  <si>
    <t>Weekend deployment coverage across multiple ORs</t>
  </si>
  <si>
    <t>Sorted and categorized deployment stock from NHP and surrounding sites to restore usable workflow</t>
  </si>
  <si>
    <t>Workflow Recovery</t>
  </si>
  <si>
    <t>Further refined equipment grouping and staging to support troubleshooting and redeployment</t>
  </si>
  <si>
    <t>Workflow Governance &amp; Process Control</t>
  </si>
  <si>
    <t>Process Correction / Standardization</t>
  </si>
  <si>
    <t>Management / Operational Control</t>
  </si>
  <si>
    <t>No</t>
  </si>
  <si>
    <t>Process Control</t>
  </si>
  <si>
    <t>Maintained organized floor layout and labeled areas to stabilize configuration and remediation flow</t>
  </si>
  <si>
    <t>Sustained floor control and equipment consolidation during ongoing incident remediation</t>
  </si>
  <si>
    <t>Attendance-Based Allocation</t>
  </si>
  <si>
    <t>Attendance Bridge</t>
  </si>
  <si>
    <t>Fallback assignment based on recorded attendance; no specific narrative logged</t>
  </si>
  <si>
    <t>Fallback weekend coverage based on attendance; narrative not separately recorded</t>
  </si>
  <si>
    <t>Configuration Push</t>
  </si>
  <si>
    <t>Configured Cybernets destined for NSUH; verified processes prior to shipping</t>
  </si>
  <si>
    <t>Continued Cybernet configuration with updated procedure including SIS Offline Viewer</t>
  </si>
  <si>
    <t>Final bench configuration pass prior to field deployment</t>
  </si>
  <si>
    <t>Field Deployment</t>
  </si>
  <si>
    <t>Field Execution</t>
  </si>
  <si>
    <t>Deployed Cybernets at NSUH; renamed systems and verified COM port assignments</t>
  </si>
  <si>
    <t>Suite 1</t>
  </si>
  <si>
    <t>Josh KPI Report / Client Correspondence / Managing Team Split</t>
  </si>
  <si>
    <t>Schwartz</t>
  </si>
  <si>
    <t>Bonita KPI Report / Go one by one through cells of my task tracker to populate her template / Logistical Support</t>
  </si>
  <si>
    <t>CCMC</t>
  </si>
  <si>
    <t>Bonita KPI Report / Invoice / Billing / Survey for roaming spare</t>
  </si>
  <si>
    <t>Val Task Tracking Confirmation / Staffing / Configurations</t>
  </si>
  <si>
    <t>Inventory / Invoicing / Client Correspondence / Logistical Support</t>
  </si>
  <si>
    <t>OR Cybernet and Neuron Task Tracker | Daily Narrative Log</t>
  </si>
  <si>
    <t>This is the detail sheet: date, site, workstream, and narrative context for each person/day.</t>
  </si>
  <si>
    <t>Manager note: include pivots, training, meetings, and rework. Those hours are project work, not noise.</t>
  </si>
  <si>
    <t>Date</t>
  </si>
  <si>
    <t>Day</t>
  </si>
  <si>
    <t>Primary Workstream</t>
  </si>
  <si>
    <t>Method / Detail</t>
  </si>
  <si>
    <t>Record State</t>
  </si>
  <si>
    <t>2026-03-12</t>
  </si>
  <si>
    <t>Thursday</t>
  </si>
  <si>
    <t>Pre-week planning / logistics / controls</t>
  </si>
  <si>
    <t>Invites, attendance, logistics, documentation</t>
  </si>
  <si>
    <t>Sent out invites for night configurations, completed logistics with Tim for NSUH PSP and confirmed Friday morning's second shipment of peripherals, shared attendance views with Bonita, pushed attendance tracker updates, and created ticket-submission documentation to support the next deployment cycle.</t>
  </si>
  <si>
    <t>Recorded</t>
  </si>
  <si>
    <t>Friday</t>
  </si>
  <si>
    <t>PSP ICU / staging</t>
  </si>
  <si>
    <t>Preparation, QA, staging</t>
  </si>
  <si>
    <t>Unpacked equipment to remove cardboard, QA'd Cybernets, staged 2 peripheral sets for that weekend's deployments, and pivoted remaining equipment staging into PSP ICU offices to stay compliant with hospital no-cardboard policy.</t>
  </si>
  <si>
    <t>2026-03-13</t>
  </si>
  <si>
    <t>Staging / prep area</t>
  </si>
  <si>
    <t>Equipment prep / unboxing</t>
  </si>
  <si>
    <t>Worked with Asher and Emmanuel to unbox all equipment for the upcoming weekend under the no-cardboard requirement after earlier Friday prep activity.</t>
  </si>
  <si>
    <t>Worked with Richard and Emmanuel to unbox all equipment for the upcoming weekend under the no-cardboard requirement after earlier Friday prep activity.</t>
  </si>
  <si>
    <t>Worked with Richard and Asher to unbox all equipment for the upcoming weekend under the no-cardboard requirement after earlier Friday prep activity.</t>
  </si>
  <si>
    <t>2026-03-14</t>
  </si>
  <si>
    <t>Saturday</t>
  </si>
  <si>
    <t>NSUH Main ORs 1-18 (excluding 13)</t>
  </si>
  <si>
    <t>PM / logistics / troubleshooting / documentation / client coordination</t>
  </si>
  <si>
    <t>Managed team flow, issue handling, tickets, client coordination, survey capture, and technical follow-up across the deployment window.</t>
  </si>
  <si>
    <t>NSUH Main ORs</t>
  </si>
  <si>
    <t>Configuration / troubleshooting / SIS workaround</t>
  </si>
  <si>
    <t>Drove configuration and remediation work, including the new SIS workaround and standardization effort across the OR environment.</t>
  </si>
  <si>
    <t>Configuration / troubleshooting</t>
  </si>
  <si>
    <t>Supported Cybernets configuration, troubleshooting, and consistency work across the active OR push.</t>
  </si>
  <si>
    <t>Khalida Abdul-Rahman</t>
  </si>
  <si>
    <t>Supported live configuration and troubleshooting while helping move the OR workstream toward a cleaner, more repeatable standard.</t>
  </si>
  <si>
    <t>Supported active Cybernets configuration, field remediation, and live issue handling across the main OR workstream.</t>
  </si>
  <si>
    <t>Troubleshooting / staging / workflow support</t>
  </si>
  <si>
    <t>Supported staging, workflow support, physical prep, and troubleshooting as the team kept the Saturday push moving.</t>
  </si>
  <si>
    <t>2026-03-15</t>
  </si>
  <si>
    <t>Sunday</t>
  </si>
  <si>
    <t>NSUH PSP</t>
  </si>
  <si>
    <t>PM / logistics / QA / documentation / training / client response</t>
  </si>
  <si>
    <t>Managed supplies, logistics, QA, survey and documentation, training, and client-response follow-up to keep the output clean and client-ready. This also included disposal logistics / protocol, survey button-up, ticket submissions based on healthcare-professional reports, physical device surveying per Tim's request, physical disposal handling, and capture of follow-up access / deployment requests for Tim.</t>
  </si>
  <si>
    <t>Windows activation / labeling</t>
  </si>
  <si>
    <t>Activated Windows and labeled devices to ensure readiness and traceable identification.</t>
  </si>
  <si>
    <t>Cable management / survey support</t>
  </si>
  <si>
    <t>Completed cable management and helped complete the survey and closeout record.</t>
  </si>
  <si>
    <t>2026-03-16</t>
  </si>
  <si>
    <t>Monday</t>
  </si>
  <si>
    <t>NSUH / PSP follow-up</t>
  </si>
  <si>
    <t>Readiness follow-up / issue handling / reporting</t>
  </si>
  <si>
    <t>Handled Monday readiness follow-up, documentation, and current requests tied to SIS, Imprivata, survey access, and workflow standardization following the weekend push.</t>
  </si>
  <si>
    <t>Overnight configuration coverage</t>
  </si>
  <si>
    <t>Configuration / domain-join remediation</t>
  </si>
  <si>
    <t>Most Cybernet units failed domain join after credential expiration at 1:00 AM; waited for post-install completion, reset units, and re-ran process. Most completed successfully; 1 device still failing after 3 reset attempts.</t>
  </si>
  <si>
    <t>Configuration support</t>
  </si>
  <si>
    <t>Supported reruns / resets during domain-join remediation event.</t>
  </si>
  <si>
    <t>Configuration staging site (exact site not captured)</t>
  </si>
  <si>
    <t>Imaging / configuration</t>
  </si>
  <si>
    <t>Helped configure and image over 10 Cybernets, likely closer to 15, for upcoming deployment readiness.</t>
  </si>
  <si>
    <t>2026-03-17</t>
  </si>
  <si>
    <t>Tuesday</t>
  </si>
  <si>
    <t>Readiness / escalation / procurement support</t>
  </si>
  <si>
    <t>Submitted SCTASK3874877 for NSUH OR Cybernet baseline review; compared WMH300OPR341 to WMH300PSP024; identified baseline / application-access misalignment with CTX_Prod_TEG_Manager as current top gap; added OU / group comparison findings to work notes; validated cable counts to support Tim's PO planning; created Friday deployment invite coverage; and tracked attendance for the active push.</t>
  </si>
  <si>
    <t>Cross-team coordination</t>
  </si>
  <si>
    <t>Directory / access follow-up</t>
  </si>
  <si>
    <t>Responded to missing computer objects for 33 workstations after security approval on Autologon / OU actions; coordinating desktop follow-up for object creation.</t>
  </si>
  <si>
    <t>On-site configuration</t>
  </si>
  <si>
    <t>OOBE / configuration / application install</t>
  </si>
  <si>
    <t>Completed OOBE and configuration on all new Cybernet units on-site; installed SIS and NSUH app stack; identified older pallet for follow-up review; set aside WMH300OPT388 for missing stylus; relocated remaining ThinkCentres and secured loose equipment.</t>
  </si>
  <si>
    <t>Configuration support / floor organization</t>
  </si>
  <si>
    <t>Remained on-site with Alejandro through OOBE / configuration completion and related equipment organization.</t>
  </si>
  <si>
    <t>One Marcus</t>
  </si>
  <si>
    <t>Inventory / procurement support</t>
  </si>
  <si>
    <t>Helped ascertain cable counts tied to NSUH-related inventory and procurement planning.</t>
  </si>
  <si>
    <t>2026-03-18</t>
  </si>
  <si>
    <t>Wednesday</t>
  </si>
  <si>
    <t>1 Marcus + 300 Community Drive / NSUH (+ possible HQ)</t>
  </si>
  <si>
    <t>Incident response / access escalation / workflow anchoring</t>
  </si>
  <si>
    <t>Led multi-site incident response after an issue first tracked as SIS not streaming vitals was narrowed into an account / Citrix access problem in the NSUH environment. Citrix had been tested and loading at deployment and afterward; the current issue surfaced after desktop-support account refresh activity aligned to prior ticket specs. Coordinated invites and attached the necessary parties, covered 1 Marcus and 300 Community Drive / NSUH by EoD, handled inventory / missing-computer-object follow-up, corresponded with Northwell account control, and pivoted Patricia from One Marcus to NSUH to relay Geoff's laptop for file-share support used in Cybernet configuration. Pushed the working next-step view that security / access teams may need to validate permissible groups and permissions spanning Imprivata, AutoLogon, Citrix, and SIS. The day also involved repeated meetings, training, and pivots to Tim's demands while anchoring the workflow.</t>
  </si>
  <si>
    <t>Post-deployment issue rectification / inventory support</t>
  </si>
  <si>
    <t>Provided post-deployment issue rectification and support and ensured accurate inventory counts.</t>
  </si>
  <si>
    <t>Configuration push</t>
  </si>
  <si>
    <t>Pushing configurations at 1 Marcus for the current workstream.</t>
  </si>
  <si>
    <t>In Progress</t>
  </si>
  <si>
    <t>One Marcus -&gt; NSUH</t>
  </si>
  <si>
    <t>Incident-response logistics / file-share support</t>
  </si>
  <si>
    <t>Relayed Geoff's laptop from One Marcus to NSUH to support current incident response. The laptop is one of the computers used for file shares that facilitate Cybernet configurations.</t>
  </si>
  <si>
    <t>NSUH / support coverage</t>
  </si>
  <si>
    <t>Configuration / incident support</t>
  </si>
  <si>
    <t>Invoked for current support coverage.</t>
  </si>
  <si>
    <t>Assigned</t>
  </si>
  <si>
    <t>One Marcus / workflow control</t>
  </si>
  <si>
    <t>Configuration push / process correction / cable logistics</t>
  </si>
  <si>
    <t>Pushed configurations while clarifying that the control being disabled was the sleep / black-screen behavior rather than a pure screensaver setting, helping reduce repeat confusion during troubleshooting. Also told Geoff additional power cables were not needed because local supply was already available.</t>
  </si>
  <si>
    <t>NSUH incident-response meeting / imaging workflow</t>
  </si>
  <si>
    <t>Imaging clarification / scope defense</t>
  </si>
  <si>
    <t>Clarified during incident-response discussion that he completed most of the images and that the team is using the exact server-based image set, helping rebut claims that the current Citrix issue stemmed from ad hoc CDW imaging misconfiguration. The comparative note that LIJ devices do not show the same Citrix behavior supports the working view that this is more likely NSUH-specific than a broad imaging defect.</t>
  </si>
  <si>
    <t>2026-03-19</t>
  </si>
  <si>
    <t>Stock collection / shipment coordination</t>
  </si>
  <si>
    <t>Collected all stock at 1 Marcus, met the shipment at NSUH, and coordinated the stock that needs to be unpacked / unboxed tomorrow.</t>
  </si>
  <si>
    <t>Multi-site / night-push coverage</t>
  </si>
  <si>
    <t>PM coordination / meetings / training / configuration push</t>
  </si>
  <si>
    <t>Balanced meetings, training, and pivots to Tim's demands while coordinating the overnight Neuron and Cybernet configuration push to meet deadline / quota. This phase also reflects the team's ongoing work to learn NSUH-specific conventions and first-time requirements; a recent example is learning to install a needed feature as a service to pass SIS streaming. Geoff handled stock collection / shipment coordination feeding the next unpack / unbox wave; tonight's configuration support crew includes Khadejah, Alejandro, and Asher. After hours, also tightened Neuron tracker controls so device / MAC visibility stayed readable during the push.</t>
  </si>
  <si>
    <t>One Marcus / configuration floor</t>
  </si>
  <si>
    <t>Validation / configuration / Imprivata follow-up</t>
  </si>
  <si>
    <t>Assisted with validation and configuration of Cybernets returned from NSUH and began working through a pallet of previously imaged / unknown Cybernet units with irregular labeling. AutoLogon was not functioning on those units, so resets were performed before proceeding through the standard workflow by hostname list. Hostnames 394 and 395 could not be located in One Marcus, so work proceeded with 396 to maintain progress. Fully configured 6 Cybernets (OOBE, SIS, and required applications completed) with 2 additional units in post-installation on the floor. Also flagged Imprivata issues on Cybernets 367, 368, and 369 in the conference room, where devices still showed the system-tray icon but no longer triggered the expected lock screen on restart. Moved 2-3 AIO ThinkCentres to the main floor, secured the hand scanner and labeler, and noted the need for labeling plus follow-up on the remaining 6 units on the pallet.</t>
  </si>
  <si>
    <t>One Marcus / returned NSUH units</t>
  </si>
  <si>
    <t>Imprivata-list validation / CIS install / configuration support</t>
  </si>
  <si>
    <t>Upon Alejandro's arrival, Asher was validating the Imprivata list for Cybernet devices returned from NSUH and installing CIS on those units. He then continued supporting the overnight configuration push.</t>
  </si>
  <si>
    <t>LI SDF -&gt; 1 Marcus / night push</t>
  </si>
  <si>
    <t>Location handoff / configuration push</t>
  </si>
  <si>
    <t>Helped push Neuron and Cybernet configurations to meet the deadline / quota while staying aligned on location handoffs, with movement planned from the current site to 1 Marcus for Neuron work once the active task was complete.</t>
  </si>
  <si>
    <t>Imprivata-list validation / CIS install</t>
  </si>
  <si>
    <t>Upon Alejandro's arrival, Emmanuel was validating the Imprivata list for Cybernet devices returned from NSUH and installing CIS on those units at the start of shift while supporting current configuration work.</t>
  </si>
  <si>
    <t>2026-03-20</t>
  </si>
  <si>
    <t>Prep / transport / delivery coverage</t>
  </si>
  <si>
    <t>QA / transport / delivery / testing coordination</t>
  </si>
  <si>
    <t>Continued the pre-deployment cycle with QA, transport &amp; delivery, and additional testing while coordinating the workstream and accounting for environment-specific requirements that were still being uncovered.</t>
  </si>
  <si>
    <t>2026-03-21</t>
  </si>
  <si>
    <t>Two deployment sites (specific pair not yet broken out in current note)</t>
  </si>
  <si>
    <t>PM / multi-site deployment orchestration</t>
  </si>
  <si>
    <t>Orchestrated two sites on Saturday while managing team flow, live pivots, and deployment readiness as the team continued working through NSUH-specific conventions and newly learned requirements.</t>
  </si>
  <si>
    <t>Saturday deployment coverage (site not yet separately broken out)</t>
  </si>
  <si>
    <t>Deployment support</t>
  </si>
  <si>
    <t>Part of the Saturday deployment team with Richard, Cristian, and Alejandro. Current note does not separately break out her site/task beyond active deployment support.</t>
  </si>
  <si>
    <t>Part of the Saturday deployment team with Richard, Patricia, and Cristian. Current note does not separately break out site/task beyond active deployment support.</t>
  </si>
  <si>
    <t>Cristian</t>
  </si>
  <si>
    <t>Part of the Saturday deployment team with Richard, Patricia, and Alejandro.</t>
  </si>
  <si>
    <t>2026-03-22</t>
  </si>
  <si>
    <t>Deployment + shipment / disposal coverage</t>
  </si>
  <si>
    <t>PM / deployment / logistics orchestration</t>
  </si>
  <si>
    <t>Orchestrated shipment and disposal on Sunday in addition to deployment, keeping field execution and material flow aligned across the day.</t>
  </si>
  <si>
    <t>Sunday deployment coverage (site not yet separately broken out)</t>
  </si>
  <si>
    <t>Part of the Sunday deployment team with Delroy, Alejandro, Geoff, and Chris Cummings.</t>
  </si>
  <si>
    <t>Delroy</t>
  </si>
  <si>
    <t>Part of the Sunday deployment team with Asher, Alejandro, Geoff, and Chris Cummings.</t>
  </si>
  <si>
    <t>Part of the Sunday deployment team with Asher, Delroy, Geoff, and Chris Cummings.</t>
  </si>
  <si>
    <t>Part of the Sunday deployment team with Asher, Delroy, Alejandro, and Chris Cummings.</t>
  </si>
  <si>
    <t>Chris Cummings</t>
  </si>
  <si>
    <t>Part of the Sunday deployment team with Asher, Delroy, Alejandro, and Geoff.</t>
  </si>
  <si>
    <t>2026-03-23</t>
  </si>
  <si>
    <t>Neuron repurposing / configuration</t>
  </si>
  <si>
    <t>Worked with Asher and Emmanuel to repurpose and configure 22 Neuron devices for NSUH in a single shift. All 22 were labeled with machine name and MAC address, documented in the tracking spreadsheet, and left ready for NSUH use. Identified a separate 'Wave 3 Neurons' pallet and intentionally did not touch it so the designated deployment phase would not be disrupted. Remaining work toward the 45-Neuron target was dependent on additional stock.</t>
  </si>
  <si>
    <t>Worked collaboratively with Alejandro and Emmanuel to complete 22 Neuron repurposes / configurations for NSUH in one shift, including machine-name / MAC labeling and tracker documentation.</t>
  </si>
  <si>
    <t>Worked collaboratively with Alejandro and Asher to complete 22 Neuron repurposes / configurations for NSUH in one shift, including machine-name / MAC labeling and tracker documentation.</t>
  </si>
  <si>
    <t>Configuration floor / incident response coordination</t>
  </si>
  <si>
    <t>Incident response intake / ticket escalation / submissions</t>
  </si>
  <si>
    <t>Handled return-related issue intake, coordinated ticket escalation and submissions, joined workflow discussions on how to process problem Cybernets, and helped move affected units into the working area so they could be worked through in batches.</t>
  </si>
  <si>
    <t>1 Marcus / Configurations</t>
  </si>
  <si>
    <t>Configured Cybernets destined for NSUH. Verified all processes were operational before shipping.</t>
  </si>
  <si>
    <t>2026-03-24</t>
  </si>
  <si>
    <t>Stock-constrained Neuron configuration / troubleshooting / training</t>
  </si>
  <si>
    <t>Continued Neuron configuration as available stock allowed. Provided guidance and training to Asher and Emmanuel on troubleshooting the SIS Offline Viewer issue and resolved the issue on Cybernet 348 by uninstalling and reinstalling the application. Remaining progress was blocked by lack of additional stock.</t>
  </si>
  <si>
    <t>Configuration support / troubleshooting training</t>
  </si>
  <si>
    <t>Continued Neuron configuration as stock allowed and received guided troubleshooting training on resolving SIS Offline Viewer issues for future shifts.</t>
  </si>
  <si>
    <t>Configuration floor / NSUH support</t>
  </si>
  <si>
    <t>Device-status accounting / packaging / readiness control</t>
  </si>
  <si>
    <t>Documented detailed status for Cybernets 337, 340, 344, 348, 367, 368, 369, 402, 403, 404, and 405. Boxed and palletized 337, 340, and 344 after SIS / VM configuration; boxed and palletized 402 and 403 after full app installs, AutoLogon, VMware, and SIS completion; kept 367-369 plugged in and online awaiting Imprivata push; ran 404 and 405 through OOBE / postinstall as demos with Cyen and marked them ready for apps; and set aside 348 after the SIS Offline Viewer produced no visible action once PA credentials were entered.</t>
  </si>
  <si>
    <t>Workflow control / ticket coordination / escalation / submissions</t>
  </si>
  <si>
    <t>Kept the line aligned through ticket coordination, escalation, and submissions while directing the team to prioritize the Cybernets already in the area for SIS, VMware, and Imprivata validation before starting new imaging, reinforcing a more disciplined troubleshooting flow and reducing repeat questions.</t>
  </si>
  <si>
    <t>2026-03-25</t>
  </si>
  <si>
    <t>NSUH + L&amp;D OR C / configuration floor</t>
  </si>
  <si>
    <t>Counts / handoff reporting / configuration / incident response / SIS install</t>
  </si>
  <si>
    <t>Wrapped up counts, pushed configurations, tested production, and supported incident response at L&amp;D OR C while installing SIS. Also left a detailed handoff so the night crew knew where the unboxed Cybernets stood: 17 NSUH configured units, 5 NSUH mid-config units, 6 NSUH units with uncertain naming / match status, 1 IR Cybernet, 3 LIJ Cybernets, 3 additional NSUH units noted as uncertain (OPR321, OPR322, OPR330), and 57 unconfigured Wave 2 Cybernets. Within the unboxed set, 367-369 were confirmed as having received Imprivata and were packed on a pallet; 404 and 405 had apps, VMware, and SIS installed/configured and were packed in boxes; 406-408 had run OOBE / postinstall and still needed apps; 409 had run OOBE and was mid-postinstall when he left; and 348 remained set aside due to the Offline Viewer issue.</t>
  </si>
  <si>
    <t>Configuration floor / server rack</t>
  </si>
  <si>
    <t>Per-device remediation / file transfer / AutoLogon / SIS / network troubleshooting</t>
  </si>
  <si>
    <t>Reviewed the 4 Cybernets left on top of the server rack. 415 had apps except SIS and no Imprivata; copying SIS files from the Akbarinator failed because pathing between devices was rejected under PA credentials, so the files were transferred using his own laptop instead. 412 still needs post-install; both LAN ports failed across multiple cables, wall jacks, and both onboard ports, so an image stick may be needed. 416 attempts AutoLogon to the wrong hostname and likely needs the AutoLogon script re-run; it also has no Imprivata. 410 had apps except SIS and no Imprivata; the computer was named 331, so the AutoLogon script needs to be re-run there as well.</t>
  </si>
  <si>
    <t>NSUH / deployment follow-up</t>
  </si>
  <si>
    <t>Incident intake / failed deployment report</t>
  </si>
  <si>
    <t>Received report from the Metasource team lead that attempted deployment of WMH300OPR384 failed because the unit showed bad COM-port behavior, displaying comms 3, 4, 5, and 6. The device was moved to the bad pile for follow-up and exclusion from active deployment stock.</t>
  </si>
  <si>
    <t>NSUH / PM coordination</t>
  </si>
  <si>
    <t>PM continuity / stock-target oversight</t>
  </si>
  <si>
    <t>Maintained meetings, client coordination, tracker visibility, and stock / target awareness while the team repurposed available Neurons for NSUH and worked against the Wednesday target.</t>
  </si>
  <si>
    <t>NSUH / workflow control</t>
  </si>
  <si>
    <t>PM continuity / troubleshooting oversight</t>
  </si>
  <si>
    <t>Maintained workflow control and status visibility during stock-constrained configuration and coordinated around SIS Offline Viewer troubleshooting so the team could continue configuration work with fewer repeated questions.</t>
  </si>
  <si>
    <t>NSUH + PSP / L&amp;D OR C</t>
  </si>
  <si>
    <t>Counts / configuration push / incident response</t>
  </si>
  <si>
    <t>Wrapped counts, pushed configurations, supported production testing and incident response at L&amp;D OR C, coordinated around Geoff's SIS install, and provided live status accounting for PSP / NSUH / LIJ / IR Cybernets plus remaining Wave 2 stock so the team had a current readiness picture.</t>
  </si>
  <si>
    <t>NSUH / configuration floor</t>
  </si>
  <si>
    <t>Configuration push / troubleshooting support</t>
  </si>
  <si>
    <t>Supported the Wednesday configuration run and assisted with troubleshooting on the floor, helping keep device configuration moving while production-readiness and incident-response items were being worked in parallel.</t>
  </si>
  <si>
    <t>Configuration / troubleshooting continuity</t>
  </si>
  <si>
    <t>Continued configuration work and troubleshooting support on the floor as the team worked through remaining devices and blockers following the Wednesday handoff.</t>
  </si>
  <si>
    <t>Configured Cybernets destined for NSUH. Completed updated procedure including installing SIS offline viewer along with previous steps.</t>
  </si>
  <si>
    <t>Incident Response</t>
  </si>
  <si>
    <t>COM Ports:
- Cybernets rejected in select ORs
- Report of defective ports
- Incident response discerns that post-install &amp; windows arbitrarily dictate COM port numbers. 
- CDW resolves to rectify upon return</t>
  </si>
  <si>
    <t>Meeting</t>
  </si>
  <si>
    <t>Buying Cables:
- 50 x B1-CFU (Aisys CS2)
- COM Ports</t>
  </si>
  <si>
    <t>Staffing</t>
  </si>
  <si>
    <t>Saturday Shift Established
Sunday confirmed not to be scheduled according to Tim's DI Schedule / tracker
Conversations held and phone calls made throughout the day to solidify coverage</t>
  </si>
  <si>
    <t>Reporting</t>
  </si>
  <si>
    <t>Everyday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</si>
</sst>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18">
    <font>
      <sz val="11"/>
      <color theme="1"/>
      <name val="Calibri"/>
      <family val="2"/>
      <scheme val="minor"/>
    </font>
    <font>
      <b/>
      <sz val="15"/>
      <color rgb="FFFFFFFF"/>
      <name val="Calibri"/>
    </font>
    <font>
      <sz val="10"/>
      <color rgb="FF163A5F"/>
      <name val="Calibri"/>
    </font>
    <font>
      <b/>
      <sz val="11"/>
      <color rgb="FF163A5F"/>
      <name val="Calibri"/>
    </font>
    <font>
      <b/>
      <sz val="11"/>
      <color rgb="FFFFFFFF"/>
      <name val="Calibri"/>
    </font>
    <font>
      <b/>
      <sz val="11"/>
      <color rgb="FF0000FF"/>
      <name val="Calibri"/>
    </font>
    <font>
      <b/>
      <sz val="11"/>
      <color rgb="FF000000"/>
      <name val="Calibri"/>
    </font>
    <font>
      <i/>
      <sz val="11"/>
      <color rgb="FF44546A"/>
      <name val="Calibri"/>
    </font>
    <font>
      <b/>
      <sz val="11"/>
      <color rgb="FF385723"/>
      <name val="Calibri"/>
    </font>
    <font>
      <b/>
      <sz val="11"/>
      <name val="Calibri"/>
    </font>
    <font>
      <b/>
      <sz val="11"/>
      <color rgb="FFFFFFFF"/>
      <name val="Calibri"/>
      <family val="2"/>
      <charset val="1"/>
    </font>
    <font>
      <b/>
      <sz val="16"/>
      <color rgb="FFFFFFFF"/>
      <name val="Calibri"/>
      <family val="2"/>
      <charset val="1"/>
    </font>
    <font>
      <sz val="11"/>
      <name val="Calibri"/>
      <family val="2"/>
      <charset val="1"/>
    </font>
    <font>
      <b/>
      <sz val="14"/>
      <color rgb="FFFFFFFF"/>
      <name val="Calibri"/>
    </font>
    <font>
      <i/>
      <sz val="10"/>
      <color rgb="FFFFFFFF"/>
      <name val="Calibri"/>
    </font>
    <font>
      <b/>
      <sz val="10"/>
      <color rgb="FFFFFFFF"/>
      <name val="Calibri"/>
    </font>
    <font>
      <b/>
      <sz val="10"/>
      <color rgb="FF111827"/>
      <name val="Calibri"/>
    </font>
    <font>
      <sz val="10"/>
      <color rgb="FF111827"/>
      <name val="Calibri"/>
    </font>
  </fonts>
  <fills count="38">
    <fill>
      <patternFill patternType="none"/>
    </fill>
    <fill>
      <patternFill patternType="gray125"/>
    </fill>
    <fill>
      <patternFill patternType="solid">
        <fgColor rgb="FF163A5F"/>
      </patternFill>
    </fill>
    <fill>
      <patternFill patternType="solid">
        <fgColor rgb="FFF3F8FC"/>
      </patternFill>
    </fill>
    <fill>
      <patternFill patternType="solid">
        <fgColor rgb="FF1F4E78"/>
      </patternFill>
    </fill>
    <fill>
      <patternFill patternType="solid">
        <fgColor rgb="FFEAF2FF"/>
      </patternFill>
    </fill>
    <fill>
      <patternFill patternType="solid">
        <fgColor rgb="FFF7FBFF"/>
      </patternFill>
    </fill>
    <fill>
      <patternFill patternType="solid">
        <fgColor rgb="FFF7F7F7"/>
      </patternFill>
    </fill>
    <fill>
      <patternFill patternType="solid">
        <fgColor rgb="FFE2F0D9"/>
      </patternFill>
    </fill>
    <fill>
      <patternFill patternType="solid">
        <fgColor rgb="FFDDEBF7"/>
      </patternFill>
    </fill>
    <fill>
      <patternFill patternType="solid">
        <fgColor rgb="FFFFFFFF"/>
      </patternFill>
    </fill>
    <fill>
      <patternFill patternType="solid">
        <fgColor rgb="FFFFF2CC"/>
      </patternFill>
    </fill>
    <fill>
      <patternFill patternType="solid">
        <fgColor rgb="FF1F4E79"/>
      </patternFill>
    </fill>
    <fill>
      <patternFill patternType="solid">
        <fgColor rgb="FF4F81BD"/>
        <bgColor rgb="FF2F75B5"/>
      </patternFill>
    </fill>
    <fill>
      <patternFill patternType="solid">
        <fgColor rgb="FFEAF3FF"/>
      </patternFill>
    </fill>
    <fill>
      <patternFill patternType="solid">
        <fgColor rgb="FFFFF4E8"/>
      </patternFill>
    </fill>
    <fill>
      <patternFill patternType="solid">
        <fgColor rgb="FFD9EAF7"/>
      </patternFill>
    </fill>
    <fill>
      <patternFill patternType="solid">
        <fgColor rgb="FFFCE4D6"/>
      </patternFill>
    </fill>
    <fill>
      <patternFill patternType="solid">
        <fgColor rgb="FF7F6000"/>
      </patternFill>
    </fill>
    <fill>
      <patternFill patternType="solid">
        <fgColor rgb="FFEDEDED"/>
      </patternFill>
    </fill>
    <fill>
      <patternFill patternType="solid">
        <fgColor rgb="FF1F4E79"/>
        <bgColor rgb="FF254061"/>
      </patternFill>
    </fill>
    <fill>
      <patternFill patternType="solid">
        <fgColor rgb="FF1F7A8C"/>
      </patternFill>
    </fill>
    <fill>
      <patternFill patternType="solid">
        <fgColor rgb="FF203864"/>
      </patternFill>
    </fill>
    <fill>
      <patternFill patternType="solid">
        <fgColor rgb="FFF3F4F6"/>
      </patternFill>
    </fill>
    <fill>
      <patternFill patternType="solid">
        <fgColor rgb="FFDCE6F1"/>
      </patternFill>
    </fill>
    <fill>
      <patternFill patternType="solid">
        <fgColor rgb="FF0F172A"/>
      </patternFill>
    </fill>
    <fill>
      <patternFill patternType="solid">
        <fgColor rgb="FF334155"/>
      </patternFill>
    </fill>
    <fill>
      <patternFill patternType="solid">
        <fgColor rgb="FF1E3A8A"/>
      </patternFill>
    </fill>
    <fill>
      <patternFill patternType="solid">
        <fgColor rgb="FF1F2937"/>
      </patternFill>
    </fill>
    <fill>
      <patternFill patternType="solid">
        <fgColor rgb="FFDCEBFF"/>
      </patternFill>
    </fill>
    <fill>
      <patternFill patternType="solid">
        <fgColor rgb="FFF8FAFC"/>
      </patternFill>
    </fill>
    <fill>
      <patternFill patternType="solid">
        <fgColor rgb="FFE0F2FE"/>
      </patternFill>
    </fill>
    <fill>
      <patternFill patternType="solid">
        <fgColor rgb="FFEDE9FE"/>
      </patternFill>
    </fill>
    <fill>
      <patternFill patternType="solid">
        <fgColor rgb="FFDCFCE7"/>
      </patternFill>
    </fill>
    <fill>
      <patternFill patternType="solid">
        <fgColor rgb="FFFCE7F3"/>
      </patternFill>
    </fill>
    <fill>
      <patternFill patternType="solid">
        <fgColor rgb="FFE0ECFF"/>
      </patternFill>
    </fill>
    <fill>
      <patternFill patternType="solid">
        <fgColor rgb="FFECFCCB"/>
      </patternFill>
    </fill>
    <fill>
      <patternFill patternType="solid">
        <fgColor rgb="FFFEF3C7"/>
      </patternFill>
    </fill>
  </fills>
  <borders count="14">
    <border>
      <left/>
      <right/>
      <top/>
      <bottom/>
      <diagonal/>
    </border>
    <border>
      <left/>
      <right/>
      <top/>
      <bottom style="medium">
        <color rgb="FF163A5F"/>
      </bottom>
      <diagonal/>
    </border>
    <border>
      <left style="thin">
        <color rgb="FFD0D7DE"/>
      </left>
      <right style="thin">
        <color rgb="FFD0D7DE"/>
      </right>
      <top style="thin">
        <color rgb="FFD0D7DE"/>
      </top>
      <bottom style="thin">
        <color rgb="FFD0D7DE"/>
      </bottom>
      <diagonal/>
    </border>
    <border>
      <left style="thin">
        <color rgb="FFD9E2F3"/>
      </left>
      <right style="thin">
        <color rgb="FFD9E2F3"/>
      </right>
      <top style="thin">
        <color rgb="FFD9E2F3"/>
      </top>
      <bottom style="thin">
        <color rgb="FFD9E2F3"/>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right/>
      <top style="thin">
        <color rgb="FF808080"/>
      </top>
      <bottom style="thin">
        <color rgb="FF808080"/>
      </bottom>
      <diagonal/>
    </border>
    <border>
      <left style="thin">
        <color rgb="FFBFBFBF"/>
      </left>
      <right style="thin">
        <color rgb="FFBFBFBF"/>
      </right>
      <top style="thin">
        <color rgb="FFBFBFBF"/>
      </top>
      <bottom style="thin">
        <color rgb="FFBFBFBF"/>
      </bottom>
      <diagonal/>
    </border>
    <border>
      <left style="thin">
        <color rgb="FFC0C7D1"/>
      </left>
      <right style="thin">
        <color rgb="FFC0C7D1"/>
      </right>
      <top style="thin">
        <color rgb="FFC0C7D1"/>
      </top>
      <bottom style="thin">
        <color rgb="FFC0C7D1"/>
      </bottom>
      <diagonal/>
    </border>
    <border>
      <left/>
      <right/>
      <top style="thin">
        <color rgb="FFC0C7D1"/>
      </top>
      <bottom style="thin">
        <color rgb="FFC0C7D1"/>
      </bottom>
      <diagonal/>
    </border>
    <border>
      <left/>
      <right style="thin">
        <color rgb="FFC0C7D1"/>
      </right>
      <top style="thin">
        <color rgb="FFC0C7D1"/>
      </top>
      <bottom style="thin">
        <color rgb="FFC0C7D1"/>
      </bottom>
      <diagonal/>
    </border>
    <border>
      <left/>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right/>
      <top/>
      <bottom style="thin">
        <color rgb="FFBFBFBF"/>
      </bottom>
      <diagonal/>
    </border>
  </borders>
  <cellStyleXfs count="1">
    <xf numFmtId="0" fontId="0" fillId="0" borderId="0"/>
  </cellStyleXfs>
  <cellXfs count="80">
    <xf numFmtId="0" fontId="0" fillId="0" borderId="0" xfId="0"/>
    <xf numFmtId="0" fontId="4" fillId="4" borderId="2" xfId="0" applyFont="1" applyFill="1" applyBorder="1" applyAlignment="1">
      <alignment horizontal="center" vertical="center" wrapText="1"/>
    </xf>
    <xf numFmtId="14" fontId="5" fillId="5" borderId="3" xfId="0" applyNumberFormat="1" applyFont="1" applyFill="1" applyBorder="1" applyAlignment="1">
      <alignment vertical="top" wrapText="1"/>
    </xf>
    <xf numFmtId="14" fontId="6" fillId="6" borderId="3" xfId="0" applyNumberFormat="1" applyFont="1" applyFill="1" applyBorder="1" applyAlignment="1">
      <alignment vertical="top" wrapText="1"/>
    </xf>
    <xf numFmtId="0" fontId="5" fillId="5" borderId="3" xfId="0" applyFont="1" applyFill="1" applyBorder="1" applyAlignment="1">
      <alignment vertical="top" wrapText="1"/>
    </xf>
    <xf numFmtId="0" fontId="6" fillId="6" borderId="3" xfId="0" applyFont="1" applyFill="1" applyBorder="1" applyAlignment="1">
      <alignment vertical="top" wrapText="1"/>
    </xf>
    <xf numFmtId="2" fontId="5" fillId="5" borderId="3" xfId="0" applyNumberFormat="1" applyFont="1" applyFill="1" applyBorder="1" applyAlignment="1">
      <alignment vertical="top" wrapText="1"/>
    </xf>
    <xf numFmtId="2" fontId="6" fillId="6" borderId="3" xfId="0" applyNumberFormat="1" applyFont="1" applyFill="1" applyBorder="1" applyAlignment="1">
      <alignment vertical="top" wrapText="1"/>
    </xf>
    <xf numFmtId="14" fontId="4" fillId="4" borderId="2" xfId="0" applyNumberFormat="1" applyFont="1" applyFill="1" applyBorder="1" applyAlignment="1">
      <alignment horizontal="center" vertical="center" wrapText="1"/>
    </xf>
    <xf numFmtId="14" fontId="0" fillId="3" borderId="2" xfId="0" applyNumberFormat="1" applyFill="1" applyBorder="1" applyAlignment="1">
      <alignment horizontal="center" vertical="top" wrapText="1"/>
    </xf>
    <xf numFmtId="0" fontId="0" fillId="3" borderId="2" xfId="0" applyFill="1" applyBorder="1" applyAlignment="1">
      <alignment vertical="top" wrapText="1"/>
    </xf>
    <xf numFmtId="0" fontId="9" fillId="9" borderId="2" xfId="0" applyFont="1" applyFill="1" applyBorder="1" applyAlignment="1">
      <alignment vertical="top" wrapText="1"/>
    </xf>
    <xf numFmtId="0" fontId="0" fillId="10" borderId="2" xfId="0" applyFill="1" applyBorder="1" applyAlignment="1">
      <alignment vertical="top" wrapText="1"/>
    </xf>
    <xf numFmtId="0" fontId="0" fillId="8" borderId="2" xfId="0" applyFill="1" applyBorder="1" applyAlignment="1">
      <alignment vertical="top" wrapText="1"/>
    </xf>
    <xf numFmtId="0" fontId="0" fillId="11" borderId="2" xfId="0" applyFill="1" applyBorder="1" applyAlignment="1">
      <alignment vertical="top" wrapText="1"/>
    </xf>
    <xf numFmtId="14" fontId="0" fillId="0" borderId="0" xfId="0" applyNumberFormat="1" applyAlignment="1">
      <alignment horizontal="center"/>
    </xf>
    <xf numFmtId="0" fontId="10" fillId="13" borderId="6" xfId="0" applyFont="1" applyFill="1" applyBorder="1" applyAlignment="1">
      <alignment horizontal="center" vertical="center" wrapText="1"/>
    </xf>
    <xf numFmtId="0" fontId="0" fillId="14" borderId="6" xfId="0" applyFill="1" applyBorder="1"/>
    <xf numFmtId="0" fontId="0" fillId="0" borderId="6" xfId="0" applyBorder="1" applyAlignment="1">
      <alignment horizontal="center"/>
    </xf>
    <xf numFmtId="2" fontId="0" fillId="0" borderId="6" xfId="0" applyNumberFormat="1" applyBorder="1" applyAlignment="1">
      <alignment horizontal="center"/>
    </xf>
    <xf numFmtId="0" fontId="0" fillId="15" borderId="6" xfId="0" applyFill="1" applyBorder="1"/>
    <xf numFmtId="0" fontId="9" fillId="16" borderId="6" xfId="0" applyFont="1" applyFill="1" applyBorder="1"/>
    <xf numFmtId="0" fontId="9" fillId="16" borderId="6" xfId="0" applyFont="1" applyFill="1" applyBorder="1" applyAlignment="1">
      <alignment horizontal="center"/>
    </xf>
    <xf numFmtId="2" fontId="9" fillId="16" borderId="6" xfId="0" applyNumberFormat="1" applyFont="1" applyFill="1" applyBorder="1" applyAlignment="1">
      <alignment horizontal="center"/>
    </xf>
    <xf numFmtId="0" fontId="0" fillId="0" borderId="6" xfId="0" applyBorder="1"/>
    <xf numFmtId="0" fontId="0" fillId="19" borderId="0" xfId="0" applyFill="1" applyAlignment="1">
      <alignment wrapText="1"/>
    </xf>
    <xf numFmtId="0" fontId="11" fillId="20" borderId="0" xfId="0" applyFont="1" applyFill="1" applyAlignment="1">
      <alignment horizontal="center" vertical="center"/>
    </xf>
    <xf numFmtId="0" fontId="10" fillId="13" borderId="7" xfId="0" applyFont="1" applyFill="1" applyBorder="1" applyAlignment="1">
      <alignment horizontal="center" vertical="center" wrapText="1"/>
    </xf>
    <xf numFmtId="0" fontId="12" fillId="0" borderId="7" xfId="0" applyFont="1" applyBorder="1" applyAlignment="1">
      <alignment horizontal="left" vertical="center"/>
    </xf>
    <xf numFmtId="0" fontId="12" fillId="0" borderId="7" xfId="0" applyFont="1" applyBorder="1" applyAlignment="1">
      <alignment horizontal="center" vertical="center" wrapText="1"/>
    </xf>
    <xf numFmtId="18" fontId="12" fillId="0" borderId="7" xfId="0" applyNumberFormat="1" applyFont="1" applyBorder="1" applyAlignment="1">
      <alignment horizontal="center" vertical="center" wrapText="1"/>
    </xf>
    <xf numFmtId="0" fontId="15" fillId="22" borderId="8" xfId="0" applyFont="1" applyFill="1" applyBorder="1" applyAlignment="1">
      <alignment horizontal="left" vertical="center" wrapText="1"/>
    </xf>
    <xf numFmtId="0" fontId="15" fillId="22" borderId="8" xfId="0" applyFont="1" applyFill="1" applyBorder="1" applyAlignment="1">
      <alignment horizontal="center" vertical="center" wrapText="1"/>
    </xf>
    <xf numFmtId="0" fontId="9" fillId="23" borderId="8" xfId="0" applyFont="1" applyFill="1" applyBorder="1" applyAlignment="1">
      <alignment horizontal="left" vertical="center" wrapText="1"/>
    </xf>
    <xf numFmtId="164" fontId="0" fillId="8" borderId="8" xfId="0" applyNumberFormat="1" applyFill="1" applyBorder="1" applyAlignment="1">
      <alignment horizontal="center" vertical="center" wrapText="1"/>
    </xf>
    <xf numFmtId="1" fontId="0" fillId="8" borderId="8" xfId="0" applyNumberFormat="1" applyFill="1" applyBorder="1" applyAlignment="1">
      <alignment horizontal="center" vertical="center" wrapText="1"/>
    </xf>
    <xf numFmtId="164" fontId="0" fillId="8" borderId="8" xfId="0" applyNumberForma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165" fontId="0" fillId="8" borderId="8" xfId="0" applyNumberFormat="1" applyFill="1" applyBorder="1" applyAlignment="1">
      <alignment horizontal="center" vertical="center" wrapText="1"/>
    </xf>
    <xf numFmtId="0" fontId="9" fillId="23" borderId="8" xfId="0" applyFont="1" applyFill="1" applyBorder="1"/>
    <xf numFmtId="164" fontId="0" fillId="8" borderId="8" xfId="0" applyNumberFormat="1" applyFill="1" applyBorder="1" applyAlignment="1">
      <alignment vertical="top" wrapText="1"/>
    </xf>
    <xf numFmtId="164" fontId="0" fillId="24" borderId="8" xfId="0" applyNumberFormat="1" applyFill="1" applyBorder="1" applyAlignment="1">
      <alignment vertical="top" wrapText="1"/>
    </xf>
    <xf numFmtId="0" fontId="15" fillId="28" borderId="12" xfId="0" applyFont="1" applyFill="1" applyBorder="1" applyAlignment="1">
      <alignment horizontal="center" vertical="center" wrapText="1"/>
    </xf>
    <xf numFmtId="0" fontId="16" fillId="29" borderId="12" xfId="0" applyFont="1" applyFill="1" applyBorder="1" applyAlignment="1">
      <alignment horizontal="left" vertical="top" wrapText="1"/>
    </xf>
    <xf numFmtId="0" fontId="17" fillId="30" borderId="12" xfId="0" applyFont="1" applyFill="1" applyBorder="1" applyAlignment="1">
      <alignment horizontal="left" vertical="top" wrapText="1"/>
    </xf>
    <xf numFmtId="0" fontId="16" fillId="31" borderId="12" xfId="0" applyFont="1" applyFill="1" applyBorder="1" applyAlignment="1">
      <alignment horizontal="left" vertical="top" wrapText="1"/>
    </xf>
    <xf numFmtId="0" fontId="17" fillId="0" borderId="12" xfId="0" applyFont="1" applyBorder="1" applyAlignment="1">
      <alignment horizontal="left" vertical="top" wrapText="1"/>
    </xf>
    <xf numFmtId="0" fontId="16" fillId="32" borderId="12" xfId="0" applyFont="1" applyFill="1" applyBorder="1" applyAlignment="1">
      <alignment horizontal="left" vertical="top" wrapText="1"/>
    </xf>
    <xf numFmtId="0" fontId="16" fillId="33" borderId="12" xfId="0" applyFont="1" applyFill="1" applyBorder="1" applyAlignment="1">
      <alignment horizontal="left" vertical="top" wrapText="1"/>
    </xf>
    <xf numFmtId="0" fontId="16" fillId="34" borderId="12" xfId="0" applyFont="1" applyFill="1" applyBorder="1" applyAlignment="1">
      <alignment horizontal="left" vertical="top" wrapText="1"/>
    </xf>
    <xf numFmtId="0" fontId="16" fillId="35" borderId="12" xfId="0" applyFont="1" applyFill="1" applyBorder="1" applyAlignment="1">
      <alignment horizontal="left" vertical="top" wrapText="1"/>
    </xf>
    <xf numFmtId="0" fontId="17" fillId="35" borderId="12" xfId="0" applyFont="1" applyFill="1" applyBorder="1" applyAlignment="1">
      <alignment horizontal="left" vertical="top" wrapText="1"/>
    </xf>
    <xf numFmtId="0" fontId="16" fillId="36" borderId="12" xfId="0" applyFont="1" applyFill="1" applyBorder="1" applyAlignment="1">
      <alignment horizontal="left" vertical="top" wrapText="1"/>
    </xf>
    <xf numFmtId="0" fontId="16" fillId="37" borderId="12" xfId="0" applyFont="1" applyFill="1" applyBorder="1" applyAlignment="1">
      <alignment horizontal="left" vertical="top" wrapText="1"/>
    </xf>
    <xf numFmtId="0" fontId="17" fillId="37" borderId="12" xfId="0" applyFont="1" applyFill="1" applyBorder="1" applyAlignment="1">
      <alignment horizontal="left" vertical="top" wrapText="1"/>
    </xf>
    <xf numFmtId="0" fontId="1" fillId="25" borderId="0" xfId="0" applyFont="1" applyFill="1" applyAlignment="1">
      <alignment horizontal="center" vertical="center"/>
    </xf>
    <xf numFmtId="0" fontId="14" fillId="26" borderId="0" xfId="0" applyFont="1" applyFill="1" applyAlignment="1">
      <alignment horizontal="center" vertical="center" wrapText="1"/>
    </xf>
    <xf numFmtId="0" fontId="4" fillId="27" borderId="11" xfId="0" applyFont="1" applyFill="1" applyBorder="1" applyAlignment="1">
      <alignment horizontal="left" vertical="center"/>
    </xf>
    <xf numFmtId="0" fontId="4" fillId="12" borderId="0" xfId="0" applyFont="1" applyFill="1" applyAlignment="1">
      <alignment horizontal="left"/>
    </xf>
    <xf numFmtId="0" fontId="0" fillId="11" borderId="0" xfId="0" applyFill="1" applyAlignment="1">
      <alignment wrapText="1"/>
    </xf>
    <xf numFmtId="0" fontId="9" fillId="17" borderId="0" xfId="0" applyFont="1" applyFill="1" applyAlignment="1">
      <alignment wrapText="1"/>
    </xf>
    <xf numFmtId="0" fontId="4" fillId="18" borderId="0" xfId="0" applyFont="1" applyFill="1" applyAlignment="1">
      <alignment horizontal="left"/>
    </xf>
    <xf numFmtId="0" fontId="0" fillId="17" borderId="8" xfId="0" applyFill="1" applyBorder="1" applyAlignment="1">
      <alignment horizontal="left" vertical="center" wrapText="1"/>
    </xf>
    <xf numFmtId="0" fontId="13" fillId="4" borderId="8" xfId="0" applyFont="1" applyFill="1" applyBorder="1" applyAlignment="1">
      <alignment horizontal="left" vertical="center"/>
    </xf>
    <xf numFmtId="0" fontId="14" fillId="21" borderId="8" xfId="0" applyFont="1" applyFill="1" applyBorder="1" applyAlignment="1">
      <alignment horizontal="left" vertical="center" wrapText="1"/>
    </xf>
    <xf numFmtId="0" fontId="13" fillId="4" borderId="8" xfId="0" applyFont="1" applyFill="1" applyBorder="1" applyAlignment="1">
      <alignment horizontal="left" vertical="center" wrapText="1"/>
    </xf>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3" fillId="3" borderId="1" xfId="0" applyFont="1" applyFill="1" applyBorder="1" applyAlignment="1">
      <alignment horizontal="left" vertical="center" wrapText="1"/>
    </xf>
    <xf numFmtId="0" fontId="7" fillId="7" borderId="0" xfId="0" applyFont="1" applyFill="1" applyAlignment="1">
      <alignment horizontal="left" vertical="center" wrapText="1"/>
    </xf>
    <xf numFmtId="0" fontId="8" fillId="8" borderId="2" xfId="0" applyFont="1" applyFill="1" applyBorder="1" applyAlignment="1">
      <alignment horizontal="left" vertical="center" wrapText="1"/>
    </xf>
    <xf numFmtId="0" fontId="11" fillId="20" borderId="13" xfId="0" applyFont="1" applyFill="1" applyBorder="1" applyAlignment="1">
      <alignment horizontal="center" vertical="center"/>
    </xf>
    <xf numFmtId="0" fontId="0" fillId="0" borderId="0" xfId="0" applyAlignment="1"/>
    <xf numFmtId="0" fontId="0" fillId="0" borderId="11" xfId="0" applyBorder="1" applyAlignment="1"/>
    <xf numFmtId="0" fontId="0" fillId="0" borderId="9" xfId="0" applyBorder="1" applyAlignment="1"/>
    <xf numFmtId="0" fontId="0" fillId="0" borderId="10" xfId="0" applyBorder="1" applyAlignment="1"/>
    <xf numFmtId="0" fontId="0" fillId="0" borderId="1" xfId="0" applyBorder="1" applyAlignment="1"/>
    <xf numFmtId="0" fontId="0" fillId="0" borderId="4" xfId="0" applyBorder="1" applyAlignment="1"/>
    <xf numFmtId="0" fontId="0" fillId="0" borderId="5" xfId="0" applyBorder="1" applyAlignment="1"/>
  </cellXfs>
  <cellStyles count="1">
    <cellStyle name="Normal" xfId="0" builtinId="0"/>
  </cellStyles>
  <dxfs count="83">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EDEDED"/>
        </patternFill>
      </fill>
    </dxf>
    <dxf>
      <fill>
        <patternFill>
          <bgColor rgb="FFFFF2CC"/>
        </patternFill>
      </fill>
    </dxf>
    <dxf>
      <fill>
        <patternFill>
          <bgColor rgb="FFFFF2CC"/>
        </patternFill>
      </fill>
    </dxf>
    <dxf>
      <fill>
        <patternFill>
          <bgColor rgb="FFEDEDED"/>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EDEDED"/>
        </patternFill>
      </fill>
    </dxf>
    <dxf>
      <fill>
        <patternFill>
          <bgColor rgb="FFFFF2CC"/>
        </patternFill>
      </fill>
    </dxf>
    <dxf>
      <fill>
        <patternFill>
          <bgColor rgb="FFFFF2CC"/>
        </patternFill>
      </fill>
    </dxf>
    <dxf>
      <fill>
        <patternFill>
          <bgColor rgb="FFEDEDED"/>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EDEDED"/>
        </patternFill>
      </fill>
    </dxf>
    <dxf>
      <fill>
        <patternFill>
          <bgColor rgb="FFFFF2CC"/>
        </patternFill>
      </fill>
    </dxf>
    <dxf>
      <fill>
        <patternFill>
          <bgColor rgb="FFFFF2CC"/>
        </patternFill>
      </fill>
    </dxf>
    <dxf>
      <fill>
        <patternFill>
          <bgColor rgb="FFEDEDED"/>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EDEDED"/>
        </patternFill>
      </fill>
    </dxf>
    <dxf>
      <fill>
        <patternFill>
          <bgColor rgb="FFFFF2CC"/>
        </patternFill>
      </fill>
    </dxf>
    <dxf>
      <fill>
        <patternFill>
          <bgColor rgb="FFFFF2CC"/>
        </patternFill>
      </fill>
    </dxf>
    <dxf>
      <fill>
        <patternFill>
          <bgColor rgb="FFEDEDED"/>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EDEDED"/>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128295;Attendance/CANDIDATE_Active_Roster_Log_4_9_2026_Billing_April_Pack.xlsx" TargetMode="External"/><Relationship Id="rId1" Type="http://schemas.openxmlformats.org/officeDocument/2006/relationships/externalLinkPath" Target="/personal/rperez26_northwell_edu/Documents/&#10084;&#65039;&#8205;&#128293;Projects/PM%20Work/Public%20Shared%20Repo/Tools/Documentation/&#128295;Attendance/CANDIDATE_Active_Roster_Log_4_9_2026_Billing_April_Pack.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Josh%20&#128293;/active_CANDIDATE_OR_Task_Tracker_exec_wins_with_geoff.xlsx" TargetMode="External"/><Relationship Id="rId2" Type="http://schemas.microsoft.com/office/2019/04/relationships/externalLinkLongPath" Target="/personal/rperez26_northwell_edu/Documents/&#10084;&#65039;&#8205;&#128293;Projects/PM%20Work/Public%20Shared%20Repo/Tools/Documentation/&#128295;%20Neurons/&#128221;%20Documentation%20Compendium/Correspondence%20Notes/Josh%20&#128293;/active_CANDIDATE_OR_Task_Tracker_exec_wins_with_geoff.xlsx?FB9915F4" TargetMode="External"/><Relationship Id="rId1" Type="http://schemas.openxmlformats.org/officeDocument/2006/relationships/externalLinkPath" Target="file:///\\FB9915F4\active_CANDIDATE_OR_Task_Tracker_exec_wins_with_geof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oster"/>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Task Catalog"/>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58711-B68F-45B7-A250-737635357D71}">
  <sheetPr>
    <tabColor theme="2" tint="-9.9978637043366805E-2"/>
  </sheetPr>
  <dimension ref="A1:E14"/>
  <sheetViews>
    <sheetView showGridLines="0" workbookViewId="0">
      <pane ySplit="5" topLeftCell="A6" activePane="bottomLeft" state="frozen"/>
      <selection pane="bottomLeft" activeCell="A6" sqref="A6:E14"/>
    </sheetView>
  </sheetViews>
  <sheetFormatPr defaultRowHeight="15"/>
  <cols>
    <col min="1" max="1" width="28" customWidth="1"/>
    <col min="2" max="2" width="24" customWidth="1"/>
    <col min="3" max="3" width="64" customWidth="1"/>
    <col min="4" max="4" width="42" customWidth="1"/>
    <col min="5" max="5" width="54" customWidth="1"/>
  </cols>
  <sheetData>
    <row r="1" spans="1:5" ht="26.1" customHeight="1">
      <c r="A1" s="56" t="s">
        <v>0</v>
      </c>
      <c r="B1" s="73"/>
      <c r="C1" s="73"/>
      <c r="D1" s="73"/>
      <c r="E1" s="73"/>
    </row>
    <row r="2" spans="1:5" ht="30" customHeight="1">
      <c r="A2" s="57" t="s">
        <v>1</v>
      </c>
      <c r="B2" s="73"/>
      <c r="C2" s="73"/>
      <c r="D2" s="73"/>
      <c r="E2" s="73"/>
    </row>
    <row r="4" spans="1:5" ht="21.95" customHeight="1">
      <c r="A4" s="58" t="s">
        <v>2</v>
      </c>
      <c r="B4" s="74"/>
      <c r="C4" s="74"/>
      <c r="D4" s="74"/>
      <c r="E4" s="74"/>
    </row>
    <row r="5" spans="1:5">
      <c r="A5" s="43" t="s">
        <v>3</v>
      </c>
      <c r="B5" s="43" t="s">
        <v>4</v>
      </c>
      <c r="C5" s="43" t="s">
        <v>5</v>
      </c>
      <c r="D5" s="43" t="s">
        <v>6</v>
      </c>
      <c r="E5" s="43" t="s">
        <v>7</v>
      </c>
    </row>
    <row r="6" spans="1:5" ht="27">
      <c r="A6" s="44" t="s">
        <v>8</v>
      </c>
      <c r="B6" s="45" t="s">
        <v>9</v>
      </c>
      <c r="C6" s="45" t="s">
        <v>10</v>
      </c>
      <c r="D6" s="45" t="s">
        <v>11</v>
      </c>
      <c r="E6" s="45" t="s">
        <v>12</v>
      </c>
    </row>
    <row r="7" spans="1:5" ht="27">
      <c r="A7" s="46" t="s">
        <v>13</v>
      </c>
      <c r="B7" s="47" t="s">
        <v>14</v>
      </c>
      <c r="C7" s="47" t="s">
        <v>15</v>
      </c>
      <c r="D7" s="47" t="s">
        <v>16</v>
      </c>
      <c r="E7" s="47" t="s">
        <v>17</v>
      </c>
    </row>
    <row r="8" spans="1:5" ht="27">
      <c r="A8" s="48" t="s">
        <v>18</v>
      </c>
      <c r="B8" s="45" t="s">
        <v>19</v>
      </c>
      <c r="C8" s="45" t="s">
        <v>20</v>
      </c>
      <c r="D8" s="45" t="s">
        <v>21</v>
      </c>
      <c r="E8" s="45" t="s">
        <v>22</v>
      </c>
    </row>
    <row r="9" spans="1:5" ht="27">
      <c r="A9" s="49" t="s">
        <v>23</v>
      </c>
      <c r="B9" s="47" t="s">
        <v>24</v>
      </c>
      <c r="C9" s="47" t="s">
        <v>25</v>
      </c>
      <c r="D9" s="47" t="s">
        <v>26</v>
      </c>
      <c r="E9" s="47" t="s">
        <v>27</v>
      </c>
    </row>
    <row r="10" spans="1:5" ht="40.5">
      <c r="A10" s="50" t="s">
        <v>28</v>
      </c>
      <c r="B10" s="45" t="s">
        <v>29</v>
      </c>
      <c r="C10" s="45" t="s">
        <v>30</v>
      </c>
      <c r="D10" s="45" t="s">
        <v>31</v>
      </c>
      <c r="E10" s="45" t="s">
        <v>32</v>
      </c>
    </row>
    <row r="11" spans="1:5" ht="53.25">
      <c r="A11" s="51" t="s">
        <v>33</v>
      </c>
      <c r="B11" s="52" t="s">
        <v>24</v>
      </c>
      <c r="C11" s="52" t="s">
        <v>34</v>
      </c>
      <c r="D11" s="52" t="s">
        <v>35</v>
      </c>
      <c r="E11" s="52" t="s">
        <v>36</v>
      </c>
    </row>
    <row r="12" spans="1:5" ht="27">
      <c r="A12" s="53" t="s">
        <v>37</v>
      </c>
      <c r="B12" s="45" t="s">
        <v>9</v>
      </c>
      <c r="C12" s="45" t="s">
        <v>38</v>
      </c>
      <c r="D12" s="45" t="s">
        <v>39</v>
      </c>
      <c r="E12" s="45" t="s">
        <v>40</v>
      </c>
    </row>
    <row r="13" spans="1:5" ht="27.75">
      <c r="A13" s="54" t="s">
        <v>41</v>
      </c>
      <c r="B13" s="55" t="s">
        <v>42</v>
      </c>
      <c r="C13" s="55" t="s">
        <v>43</v>
      </c>
      <c r="D13" s="55" t="s">
        <v>44</v>
      </c>
      <c r="E13" s="55" t="s">
        <v>45</v>
      </c>
    </row>
    <row r="14" spans="1:5" ht="27">
      <c r="A14" s="50" t="s">
        <v>46</v>
      </c>
      <c r="B14" s="45" t="s">
        <v>47</v>
      </c>
      <c r="C14" s="45" t="s">
        <v>48</v>
      </c>
      <c r="D14" s="45" t="s">
        <v>49</v>
      </c>
      <c r="E14" s="45" t="s">
        <v>50</v>
      </c>
    </row>
  </sheetData>
  <mergeCells count="3">
    <mergeCell ref="A1:E1"/>
    <mergeCell ref="A2:E2"/>
    <mergeCell ref="A4:E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B9403-8F21-4CD2-A5F7-25A6FF3E8FDF}">
  <sheetPr>
    <tabColor rgb="FF1F4E79"/>
  </sheetPr>
  <dimension ref="A1:H27"/>
  <sheetViews>
    <sheetView workbookViewId="0">
      <pane ySplit="4" topLeftCell="A11" activePane="bottomLeft" state="frozen"/>
      <selection pane="bottomLeft" activeCell="A28" sqref="A28"/>
    </sheetView>
  </sheetViews>
  <sheetFormatPr defaultRowHeight="15"/>
  <cols>
    <col min="1" max="1" width="24" customWidth="1"/>
    <col min="2" max="2" width="12" customWidth="1"/>
    <col min="3" max="3" width="14" customWidth="1"/>
    <col min="4" max="4" width="28" customWidth="1"/>
    <col min="5" max="5" width="4" customWidth="1"/>
    <col min="6" max="6" width="24" customWidth="1"/>
    <col min="7" max="7" width="12" customWidth="1"/>
    <col min="8" max="8" width="14" customWidth="1"/>
  </cols>
  <sheetData>
    <row r="1" spans="1:8" ht="24" customHeight="1">
      <c r="A1" s="59" t="s">
        <v>51</v>
      </c>
      <c r="B1" s="73"/>
      <c r="C1" s="73"/>
      <c r="D1" s="73"/>
      <c r="E1" s="73"/>
      <c r="F1" s="73"/>
      <c r="G1" s="73"/>
      <c r="H1" s="73"/>
    </row>
    <row r="2" spans="1:8" ht="24" customHeight="1">
      <c r="A2" s="60" t="s">
        <v>52</v>
      </c>
      <c r="B2" s="73"/>
      <c r="C2" s="73"/>
      <c r="D2" s="73"/>
      <c r="E2" s="73"/>
      <c r="F2" s="73"/>
      <c r="G2" s="73"/>
      <c r="H2" s="73"/>
    </row>
    <row r="4" spans="1:8">
      <c r="A4" s="16" t="s">
        <v>53</v>
      </c>
      <c r="B4" s="16" t="s">
        <v>54</v>
      </c>
      <c r="C4" s="16" t="s">
        <v>55</v>
      </c>
      <c r="D4" s="16" t="s">
        <v>56</v>
      </c>
    </row>
    <row r="5" spans="1:8">
      <c r="A5" s="17" t="s">
        <v>57</v>
      </c>
      <c r="B5" s="18">
        <v>12</v>
      </c>
      <c r="C5" s="18">
        <v>167</v>
      </c>
      <c r="D5" s="19">
        <v>1463.75</v>
      </c>
    </row>
    <row r="6" spans="1:8">
      <c r="A6" s="20" t="s">
        <v>58</v>
      </c>
      <c r="B6" s="18">
        <v>3</v>
      </c>
      <c r="C6" s="18">
        <v>12</v>
      </c>
      <c r="D6" s="19">
        <v>108</v>
      </c>
    </row>
    <row r="7" spans="1:8">
      <c r="A7" s="21" t="s">
        <v>59</v>
      </c>
      <c r="B7" s="22">
        <v>15</v>
      </c>
      <c r="C7" s="22">
        <v>179</v>
      </c>
      <c r="D7" s="23">
        <v>1571.75</v>
      </c>
    </row>
    <row r="9" spans="1:8" ht="24" customHeight="1">
      <c r="A9" s="61" t="s">
        <v>60</v>
      </c>
      <c r="B9" s="73"/>
      <c r="C9" s="73"/>
      <c r="D9" s="73"/>
      <c r="E9" s="73"/>
      <c r="F9" s="73"/>
      <c r="G9" s="73"/>
      <c r="H9" s="73"/>
    </row>
    <row r="10" spans="1:8" ht="24" customHeight="1">
      <c r="A10" s="59" t="s">
        <v>61</v>
      </c>
      <c r="B10" s="73"/>
      <c r="C10" s="73"/>
      <c r="D10" s="73"/>
      <c r="F10" s="62" t="s">
        <v>62</v>
      </c>
      <c r="G10" s="73"/>
      <c r="H10" s="73"/>
    </row>
    <row r="11" spans="1:8" ht="30.75">
      <c r="A11" s="16" t="s">
        <v>63</v>
      </c>
      <c r="B11" s="16" t="s">
        <v>55</v>
      </c>
      <c r="C11" s="16" t="s">
        <v>56</v>
      </c>
      <c r="D11" s="16" t="s">
        <v>64</v>
      </c>
      <c r="F11" s="16" t="s">
        <v>63</v>
      </c>
      <c r="G11" s="16" t="s">
        <v>55</v>
      </c>
      <c r="H11" s="16" t="s">
        <v>56</v>
      </c>
    </row>
    <row r="12" spans="1:8">
      <c r="A12" s="24" t="s">
        <v>65</v>
      </c>
      <c r="B12" s="18">
        <v>30</v>
      </c>
      <c r="C12" s="19">
        <v>376.27</v>
      </c>
      <c r="D12" s="24" t="s">
        <v>66</v>
      </c>
      <c r="F12" s="24" t="s">
        <v>67</v>
      </c>
      <c r="G12" s="18">
        <v>4</v>
      </c>
      <c r="H12" s="19">
        <v>36</v>
      </c>
    </row>
    <row r="13" spans="1:8">
      <c r="A13" s="24" t="s">
        <v>68</v>
      </c>
      <c r="B13" s="18">
        <v>24</v>
      </c>
      <c r="C13" s="19">
        <v>222.17</v>
      </c>
      <c r="D13" s="24" t="s">
        <v>66</v>
      </c>
      <c r="F13" s="24" t="s">
        <v>69</v>
      </c>
      <c r="G13" s="18">
        <v>4</v>
      </c>
      <c r="H13" s="19">
        <v>36</v>
      </c>
    </row>
    <row r="14" spans="1:8">
      <c r="A14" s="24" t="s">
        <v>70</v>
      </c>
      <c r="B14" s="18">
        <v>17</v>
      </c>
      <c r="C14" s="19">
        <v>212.53</v>
      </c>
      <c r="D14" s="24" t="s">
        <v>66</v>
      </c>
      <c r="F14" s="24" t="s">
        <v>71</v>
      </c>
      <c r="G14" s="18">
        <v>4</v>
      </c>
      <c r="H14" s="19">
        <v>36</v>
      </c>
    </row>
    <row r="15" spans="1:8">
      <c r="A15" s="24" t="s">
        <v>72</v>
      </c>
      <c r="B15" s="18">
        <v>20</v>
      </c>
      <c r="C15" s="19">
        <v>163.15</v>
      </c>
      <c r="D15" s="24" t="s">
        <v>66</v>
      </c>
      <c r="F15" s="21" t="s">
        <v>73</v>
      </c>
      <c r="G15" s="22">
        <v>12</v>
      </c>
      <c r="H15" s="23">
        <v>108</v>
      </c>
    </row>
    <row r="16" spans="1:8">
      <c r="A16" s="24" t="s">
        <v>74</v>
      </c>
      <c r="B16" s="18">
        <v>25</v>
      </c>
      <c r="C16" s="19">
        <v>141.32</v>
      </c>
      <c r="D16" s="24" t="s">
        <v>66</v>
      </c>
    </row>
    <row r="17" spans="1:8">
      <c r="A17" s="24" t="s">
        <v>75</v>
      </c>
      <c r="B17" s="18">
        <v>9</v>
      </c>
      <c r="C17" s="19">
        <v>87</v>
      </c>
      <c r="D17" s="24" t="s">
        <v>66</v>
      </c>
    </row>
    <row r="18" spans="1:8">
      <c r="A18" s="24" t="s">
        <v>76</v>
      </c>
      <c r="B18" s="18">
        <v>11</v>
      </c>
      <c r="C18" s="19">
        <v>84.9</v>
      </c>
      <c r="D18" s="24" t="s">
        <v>66</v>
      </c>
    </row>
    <row r="19" spans="1:8">
      <c r="A19" s="24" t="s">
        <v>77</v>
      </c>
      <c r="B19" s="18">
        <v>9</v>
      </c>
      <c r="C19" s="19">
        <v>58.67</v>
      </c>
      <c r="D19" s="24" t="s">
        <v>66</v>
      </c>
    </row>
    <row r="20" spans="1:8">
      <c r="A20" s="24" t="s">
        <v>78</v>
      </c>
      <c r="B20" s="18">
        <v>14</v>
      </c>
      <c r="C20" s="19">
        <v>42.75</v>
      </c>
      <c r="D20" s="24" t="s">
        <v>66</v>
      </c>
    </row>
    <row r="21" spans="1:8">
      <c r="A21" s="24" t="s">
        <v>79</v>
      </c>
      <c r="B21" s="18">
        <v>6</v>
      </c>
      <c r="C21" s="19">
        <v>50.5</v>
      </c>
      <c r="D21" s="24" t="s">
        <v>80</v>
      </c>
    </row>
    <row r="22" spans="1:8">
      <c r="A22" s="24" t="s">
        <v>81</v>
      </c>
      <c r="B22" s="18">
        <v>1</v>
      </c>
      <c r="C22" s="19">
        <v>15.5</v>
      </c>
      <c r="D22" s="24" t="s">
        <v>66</v>
      </c>
    </row>
    <row r="23" spans="1:8">
      <c r="A23" s="24" t="s">
        <v>82</v>
      </c>
      <c r="B23" s="18">
        <v>1</v>
      </c>
      <c r="C23" s="19">
        <v>9</v>
      </c>
      <c r="D23" s="24" t="s">
        <v>66</v>
      </c>
    </row>
    <row r="24" spans="1:8">
      <c r="A24" s="21" t="s">
        <v>83</v>
      </c>
      <c r="B24" s="22">
        <v>167</v>
      </c>
      <c r="C24" s="23">
        <v>1463.75</v>
      </c>
      <c r="D24" s="21" t="s">
        <v>84</v>
      </c>
    </row>
    <row r="26" spans="1:8">
      <c r="A26" s="73" t="s">
        <v>85</v>
      </c>
      <c r="B26" s="73"/>
      <c r="C26" s="73"/>
      <c r="D26" s="73"/>
      <c r="E26" s="73"/>
      <c r="F26" s="73"/>
      <c r="G26" s="73"/>
      <c r="H26" s="73"/>
    </row>
    <row r="27" spans="1:8" ht="30.75">
      <c r="A27" s="25" t="s">
        <v>86</v>
      </c>
    </row>
  </sheetData>
  <mergeCells count="6">
    <mergeCell ref="A26:H26"/>
    <mergeCell ref="A1:H1"/>
    <mergeCell ref="A2:H2"/>
    <mergeCell ref="A9:H9"/>
    <mergeCell ref="A10:D10"/>
    <mergeCell ref="F10:H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0639-1442-4E0B-8E6F-9948B9B5635B}">
  <sheetPr>
    <tabColor theme="8" tint="0.79998168889431442"/>
  </sheetPr>
  <dimension ref="A1:I59"/>
  <sheetViews>
    <sheetView tabSelected="1" topLeftCell="A16" workbookViewId="0">
      <selection activeCell="B25" sqref="B25"/>
    </sheetView>
  </sheetViews>
  <sheetFormatPr defaultRowHeight="15"/>
  <cols>
    <col min="1" max="1" width="24" customWidth="1"/>
    <col min="2" max="2" width="36" customWidth="1"/>
    <col min="3" max="3" width="46" customWidth="1"/>
    <col min="4" max="4" width="16" customWidth="1"/>
    <col min="5" max="5" width="20" customWidth="1"/>
    <col min="6" max="6" width="13" customWidth="1"/>
    <col min="7" max="7" width="18" customWidth="1"/>
    <col min="8" max="8" width="16" customWidth="1"/>
    <col min="9" max="9" width="18" customWidth="1"/>
  </cols>
  <sheetData>
    <row r="1" spans="1:9" ht="24" customHeight="1">
      <c r="A1" s="64" t="s">
        <v>87</v>
      </c>
      <c r="B1" s="75"/>
      <c r="C1" s="75"/>
      <c r="D1" s="75"/>
      <c r="E1" s="75"/>
      <c r="F1" s="75"/>
      <c r="G1" s="75"/>
      <c r="H1" s="75"/>
      <c r="I1" s="76"/>
    </row>
    <row r="2" spans="1:9" ht="36" customHeight="1">
      <c r="A2" s="65" t="s">
        <v>88</v>
      </c>
      <c r="B2" s="75"/>
      <c r="C2" s="75"/>
      <c r="D2" s="75"/>
      <c r="E2" s="75"/>
      <c r="F2" s="75"/>
      <c r="G2" s="75"/>
      <c r="H2" s="75"/>
      <c r="I2" s="76"/>
    </row>
    <row r="4" spans="1:9" ht="21.95" customHeight="1">
      <c r="A4" s="64" t="s">
        <v>89</v>
      </c>
      <c r="B4" s="75"/>
      <c r="C4" s="75"/>
      <c r="D4" s="75"/>
      <c r="E4" s="75"/>
      <c r="F4" s="75"/>
      <c r="G4" s="75"/>
      <c r="H4" s="75"/>
      <c r="I4" s="76"/>
    </row>
    <row r="5" spans="1:9">
      <c r="A5" s="31" t="s">
        <v>90</v>
      </c>
      <c r="B5" s="32" t="s">
        <v>91</v>
      </c>
      <c r="C5" s="32" t="s">
        <v>92</v>
      </c>
      <c r="D5" s="32" t="s">
        <v>93</v>
      </c>
      <c r="E5" s="32" t="s">
        <v>94</v>
      </c>
      <c r="F5" s="32" t="s">
        <v>95</v>
      </c>
      <c r="G5" s="32" t="s">
        <v>96</v>
      </c>
      <c r="H5" s="32" t="s">
        <v>97</v>
      </c>
      <c r="I5" s="32" t="s">
        <v>98</v>
      </c>
    </row>
    <row r="6" spans="1:9" ht="30.75">
      <c r="A6" s="33" t="s">
        <v>99</v>
      </c>
      <c r="B6" s="34">
        <v>74.7</v>
      </c>
      <c r="C6" s="34">
        <v>28</v>
      </c>
      <c r="D6" s="34">
        <v>11.7</v>
      </c>
      <c r="E6" s="34">
        <v>10.1</v>
      </c>
      <c r="F6" s="34">
        <v>7.4</v>
      </c>
      <c r="G6" s="35">
        <v>15</v>
      </c>
      <c r="H6" s="35">
        <v>15</v>
      </c>
      <c r="I6" s="36" t="s">
        <v>100</v>
      </c>
    </row>
    <row r="7" spans="1:9" ht="45.75">
      <c r="A7" s="33" t="s">
        <v>101</v>
      </c>
      <c r="B7" s="34">
        <v>45.5</v>
      </c>
      <c r="C7" s="34">
        <v>0</v>
      </c>
      <c r="D7" s="34">
        <v>23</v>
      </c>
      <c r="E7" s="34">
        <v>0</v>
      </c>
      <c r="F7" s="34">
        <v>22.5</v>
      </c>
      <c r="G7" s="35">
        <v>0</v>
      </c>
      <c r="H7" s="35">
        <v>0</v>
      </c>
      <c r="I7" s="36" t="s">
        <v>102</v>
      </c>
    </row>
    <row r="8" spans="1:9">
      <c r="A8" s="33"/>
      <c r="B8" s="34"/>
      <c r="C8" s="34"/>
      <c r="D8" s="34"/>
      <c r="E8" s="34"/>
      <c r="F8" s="34"/>
      <c r="G8" s="35"/>
      <c r="H8" s="35"/>
      <c r="I8" s="36"/>
    </row>
    <row r="9" spans="1:9">
      <c r="A9" s="31" t="s">
        <v>103</v>
      </c>
      <c r="B9" s="34">
        <v>120.2</v>
      </c>
      <c r="C9" s="34">
        <v>28</v>
      </c>
      <c r="D9" s="34">
        <v>34.700000000000003</v>
      </c>
      <c r="E9" s="34">
        <v>10.1</v>
      </c>
      <c r="F9" s="34">
        <v>29.9</v>
      </c>
      <c r="G9" s="34">
        <v>15</v>
      </c>
      <c r="H9" s="34">
        <v>15</v>
      </c>
      <c r="I9" s="36"/>
    </row>
    <row r="10" spans="1:9">
      <c r="A10" s="37"/>
      <c r="B10" s="38"/>
      <c r="C10" s="38"/>
      <c r="D10" s="38"/>
      <c r="E10" s="38"/>
      <c r="F10" s="38"/>
      <c r="G10" s="38"/>
      <c r="H10" s="38"/>
      <c r="I10" s="37"/>
    </row>
    <row r="11" spans="1:9">
      <c r="A11" s="37"/>
      <c r="B11" s="38"/>
      <c r="C11" s="38"/>
      <c r="D11" s="38"/>
      <c r="E11" s="38"/>
      <c r="F11" s="38"/>
      <c r="G11" s="38"/>
      <c r="H11" s="38"/>
      <c r="I11" s="37"/>
    </row>
    <row r="12" spans="1:9" ht="21.95" customHeight="1">
      <c r="A12" s="66" t="s">
        <v>104</v>
      </c>
      <c r="B12" s="75"/>
      <c r="C12" s="75"/>
      <c r="D12" s="75"/>
      <c r="E12" s="75"/>
      <c r="F12" s="75"/>
      <c r="G12" s="75"/>
      <c r="H12" s="75"/>
      <c r="I12" s="76"/>
    </row>
    <row r="13" spans="1:9" ht="32.1" customHeight="1">
      <c r="A13" s="31" t="s">
        <v>105</v>
      </c>
      <c r="B13" s="32" t="s">
        <v>91</v>
      </c>
      <c r="C13" s="32" t="s">
        <v>92</v>
      </c>
      <c r="D13" s="32" t="s">
        <v>93</v>
      </c>
      <c r="E13" s="32" t="s">
        <v>94</v>
      </c>
      <c r="F13" s="32" t="s">
        <v>95</v>
      </c>
      <c r="G13" s="32" t="s">
        <v>96</v>
      </c>
      <c r="H13" s="32" t="s">
        <v>97</v>
      </c>
      <c r="I13" s="32" t="s">
        <v>106</v>
      </c>
    </row>
    <row r="14" spans="1:9" ht="45.75">
      <c r="A14" s="33" t="s">
        <v>74</v>
      </c>
      <c r="B14" s="34">
        <v>34.700000000000003</v>
      </c>
      <c r="C14" s="34">
        <v>0</v>
      </c>
      <c r="D14" s="34">
        <v>34.700000000000003</v>
      </c>
      <c r="E14" s="34">
        <v>0</v>
      </c>
      <c r="F14" s="34">
        <v>0</v>
      </c>
      <c r="G14" s="35">
        <v>0</v>
      </c>
      <c r="H14" s="35">
        <v>15</v>
      </c>
      <c r="I14" s="36" t="s">
        <v>107</v>
      </c>
    </row>
    <row r="15" spans="1:9">
      <c r="A15" s="33" t="s">
        <v>72</v>
      </c>
      <c r="B15" s="34">
        <v>8</v>
      </c>
      <c r="C15" s="34">
        <v>8</v>
      </c>
      <c r="D15" s="34">
        <v>0</v>
      </c>
      <c r="E15" s="34">
        <v>0</v>
      </c>
      <c r="F15" s="34">
        <v>0</v>
      </c>
      <c r="G15" s="35">
        <v>5</v>
      </c>
      <c r="H15" s="35">
        <v>0</v>
      </c>
      <c r="I15" s="36" t="s">
        <v>108</v>
      </c>
    </row>
    <row r="16" spans="1:9" ht="30.75">
      <c r="A16" s="33" t="s">
        <v>68</v>
      </c>
      <c r="B16" s="34">
        <v>40.700000000000003</v>
      </c>
      <c r="C16" s="34">
        <v>2</v>
      </c>
      <c r="D16" s="34">
        <v>0</v>
      </c>
      <c r="E16" s="34">
        <v>32.1</v>
      </c>
      <c r="F16" s="34">
        <v>6.6</v>
      </c>
      <c r="G16" s="35">
        <v>0</v>
      </c>
      <c r="H16" s="35">
        <v>0</v>
      </c>
      <c r="I16" s="36" t="s">
        <v>109</v>
      </c>
    </row>
    <row r="17" spans="1:9">
      <c r="A17" s="33" t="s">
        <v>77</v>
      </c>
      <c r="B17" s="34">
        <v>8</v>
      </c>
      <c r="C17" s="34">
        <v>8</v>
      </c>
      <c r="D17" s="34">
        <v>0</v>
      </c>
      <c r="E17" s="34">
        <v>0</v>
      </c>
      <c r="F17" s="34">
        <v>0</v>
      </c>
      <c r="G17" s="35">
        <v>0</v>
      </c>
      <c r="H17" s="35">
        <v>0</v>
      </c>
      <c r="I17" s="36" t="s">
        <v>110</v>
      </c>
    </row>
    <row r="18" spans="1:9">
      <c r="A18" s="33" t="s">
        <v>70</v>
      </c>
      <c r="B18" s="34">
        <v>5.5</v>
      </c>
      <c r="C18" s="34">
        <v>0</v>
      </c>
      <c r="D18" s="34">
        <v>0</v>
      </c>
      <c r="E18" s="34">
        <v>0</v>
      </c>
      <c r="F18" s="34">
        <v>5.5</v>
      </c>
      <c r="G18" s="35">
        <v>0</v>
      </c>
      <c r="H18" s="35">
        <v>0</v>
      </c>
      <c r="I18" s="36" t="s">
        <v>111</v>
      </c>
    </row>
    <row r="19" spans="1:9">
      <c r="A19" s="33" t="s">
        <v>75</v>
      </c>
      <c r="B19" s="34">
        <v>11.8</v>
      </c>
      <c r="C19" s="34">
        <v>2</v>
      </c>
      <c r="D19" s="34">
        <v>9.8000000000000007</v>
      </c>
      <c r="E19" s="34">
        <v>0</v>
      </c>
      <c r="F19" s="34">
        <v>0</v>
      </c>
      <c r="G19" s="35">
        <v>0</v>
      </c>
      <c r="H19" s="35">
        <v>0</v>
      </c>
      <c r="I19" s="36" t="s">
        <v>112</v>
      </c>
    </row>
    <row r="20" spans="1:9">
      <c r="A20" s="33" t="s">
        <v>76</v>
      </c>
      <c r="B20" s="34">
        <v>6</v>
      </c>
      <c r="C20" s="34">
        <v>6</v>
      </c>
      <c r="D20" s="34">
        <v>0</v>
      </c>
      <c r="E20" s="34">
        <v>0</v>
      </c>
      <c r="F20" s="34">
        <v>0</v>
      </c>
      <c r="G20" s="35">
        <v>0</v>
      </c>
      <c r="H20" s="35">
        <v>0</v>
      </c>
      <c r="I20" s="36" t="s">
        <v>110</v>
      </c>
    </row>
    <row r="21" spans="1:9" ht="30.75">
      <c r="A21" s="33" t="s">
        <v>78</v>
      </c>
      <c r="B21" s="34">
        <v>13.5</v>
      </c>
      <c r="C21" s="34">
        <v>0</v>
      </c>
      <c r="D21" s="34">
        <v>0</v>
      </c>
      <c r="E21" s="34">
        <v>0</v>
      </c>
      <c r="F21" s="34">
        <v>13.5</v>
      </c>
      <c r="G21" s="35">
        <v>0</v>
      </c>
      <c r="H21" s="35">
        <v>0</v>
      </c>
      <c r="I21" s="36" t="s">
        <v>113</v>
      </c>
    </row>
    <row r="22" spans="1:9" ht="30.75">
      <c r="A22" s="33" t="s">
        <v>82</v>
      </c>
      <c r="B22" s="34">
        <v>9</v>
      </c>
      <c r="C22" s="34">
        <v>0</v>
      </c>
      <c r="D22" s="34">
        <v>0</v>
      </c>
      <c r="E22" s="34">
        <v>0</v>
      </c>
      <c r="F22" s="34">
        <v>9</v>
      </c>
      <c r="G22" s="35">
        <v>0</v>
      </c>
      <c r="H22" s="35">
        <v>0</v>
      </c>
      <c r="I22" s="36" t="s">
        <v>113</v>
      </c>
    </row>
    <row r="23" spans="1:9" ht="21.95" customHeight="1">
      <c r="A23" s="63" t="s">
        <v>114</v>
      </c>
      <c r="B23" s="75"/>
      <c r="C23" s="75"/>
      <c r="D23" s="75"/>
      <c r="E23" s="75"/>
      <c r="F23" s="75"/>
      <c r="G23" s="75"/>
      <c r="H23" s="75"/>
      <c r="I23" s="76"/>
    </row>
    <row r="24" spans="1:9" ht="21.95" customHeight="1">
      <c r="A24" s="31" t="s">
        <v>115</v>
      </c>
      <c r="B24" s="32" t="s">
        <v>116</v>
      </c>
      <c r="C24" s="32" t="s">
        <v>90</v>
      </c>
      <c r="D24" s="32" t="s">
        <v>96</v>
      </c>
      <c r="E24" s="32" t="s">
        <v>97</v>
      </c>
      <c r="F24" s="32" t="s">
        <v>117</v>
      </c>
      <c r="G24" s="32" t="s">
        <v>118</v>
      </c>
      <c r="H24" s="32" t="s">
        <v>119</v>
      </c>
      <c r="I24" s="32"/>
    </row>
    <row r="25" spans="1:9" ht="21.95" customHeight="1">
      <c r="A25" s="33" t="s">
        <v>74</v>
      </c>
      <c r="B25" s="39">
        <v>46116</v>
      </c>
      <c r="C25" s="34" t="s">
        <v>99</v>
      </c>
      <c r="D25" s="35">
        <v>0</v>
      </c>
      <c r="E25" s="35">
        <v>15</v>
      </c>
      <c r="F25" s="34" t="s">
        <v>120</v>
      </c>
      <c r="G25" s="34" t="s">
        <v>121</v>
      </c>
      <c r="H25" s="34" t="s">
        <v>122</v>
      </c>
      <c r="I25" s="36"/>
    </row>
    <row r="26" spans="1:9" ht="21.95" customHeight="1">
      <c r="A26" s="33" t="s">
        <v>65</v>
      </c>
      <c r="B26" s="39">
        <v>46116</v>
      </c>
      <c r="C26" s="34" t="s">
        <v>99</v>
      </c>
      <c r="D26" s="35">
        <v>5</v>
      </c>
      <c r="E26" s="35">
        <v>0</v>
      </c>
      <c r="F26" s="34" t="s">
        <v>123</v>
      </c>
      <c r="G26" s="34" t="s">
        <v>121</v>
      </c>
      <c r="H26" s="34" t="s">
        <v>122</v>
      </c>
      <c r="I26" s="36"/>
    </row>
    <row r="27" spans="1:9" ht="21.95" customHeight="1">
      <c r="A27" s="33" t="s">
        <v>124</v>
      </c>
      <c r="B27" s="39">
        <v>46116</v>
      </c>
      <c r="C27" s="34" t="s">
        <v>99</v>
      </c>
      <c r="D27" s="35">
        <v>5</v>
      </c>
      <c r="E27" s="35">
        <v>0</v>
      </c>
      <c r="F27" s="34" t="s">
        <v>108</v>
      </c>
      <c r="G27" s="34" t="s">
        <v>121</v>
      </c>
      <c r="H27" s="34" t="s">
        <v>125</v>
      </c>
      <c r="I27" s="36"/>
    </row>
    <row r="28" spans="1:9" ht="21.95" customHeight="1">
      <c r="A28" s="33" t="s">
        <v>72</v>
      </c>
      <c r="B28" s="39">
        <v>46116</v>
      </c>
      <c r="C28" s="34" t="s">
        <v>99</v>
      </c>
      <c r="D28" s="35">
        <v>5</v>
      </c>
      <c r="E28" s="35">
        <v>0</v>
      </c>
      <c r="F28" s="34" t="s">
        <v>126</v>
      </c>
      <c r="G28" s="34" t="s">
        <v>121</v>
      </c>
      <c r="H28" s="34" t="s">
        <v>125</v>
      </c>
      <c r="I28" s="36"/>
    </row>
    <row r="29" spans="1:9" ht="21.95" customHeight="1">
      <c r="A29" s="40"/>
      <c r="B29" s="41"/>
      <c r="C29" s="41"/>
      <c r="D29" s="41"/>
      <c r="E29" s="41"/>
      <c r="F29" s="41"/>
      <c r="G29" s="41"/>
      <c r="H29" s="41"/>
      <c r="I29" s="41"/>
    </row>
    <row r="30" spans="1:9" ht="21.95" hidden="1" customHeight="1">
      <c r="A30" s="40"/>
      <c r="B30" s="42"/>
      <c r="C30" s="33"/>
      <c r="D30" s="41"/>
      <c r="E30" s="40"/>
      <c r="F30" s="41"/>
      <c r="G30" s="41"/>
      <c r="H30" s="41"/>
      <c r="I30" s="41"/>
    </row>
    <row r="31" spans="1:9" ht="21.95" hidden="1" customHeight="1">
      <c r="A31" s="40"/>
      <c r="B31" s="42"/>
      <c r="C31" s="33"/>
      <c r="D31" s="41"/>
      <c r="E31" s="40"/>
      <c r="F31" s="41"/>
      <c r="G31" s="41"/>
      <c r="H31" s="41"/>
      <c r="I31" s="41"/>
    </row>
    <row r="32" spans="1:9" ht="21.95" hidden="1" customHeight="1">
      <c r="A32" s="40"/>
      <c r="B32" s="42"/>
      <c r="C32" s="33"/>
      <c r="D32" s="41"/>
      <c r="E32" s="40"/>
      <c r="F32" s="41"/>
      <c r="G32" s="41"/>
      <c r="H32" s="41"/>
      <c r="I32" s="41"/>
    </row>
    <row r="33" spans="1:9" ht="21.95" hidden="1" customHeight="1">
      <c r="A33" s="40"/>
      <c r="B33" s="42"/>
      <c r="C33" s="33"/>
      <c r="D33" s="41"/>
      <c r="E33" s="40"/>
      <c r="F33" s="41"/>
      <c r="G33" s="41"/>
      <c r="H33" s="41"/>
      <c r="I33" s="41"/>
    </row>
    <row r="34" spans="1:9" ht="21.95" hidden="1" customHeight="1">
      <c r="A34" s="40"/>
      <c r="B34" s="42"/>
      <c r="C34" s="33"/>
      <c r="D34" s="41"/>
      <c r="E34" s="40"/>
      <c r="F34" s="41"/>
      <c r="G34" s="41"/>
      <c r="H34" s="41"/>
      <c r="I34" s="41"/>
    </row>
    <row r="35" spans="1:9" ht="21.95" hidden="1" customHeight="1">
      <c r="A35" s="40"/>
      <c r="B35" s="42"/>
      <c r="C35" s="33"/>
      <c r="D35" s="41"/>
      <c r="E35" s="40"/>
      <c r="F35" s="41"/>
      <c r="G35" s="41"/>
      <c r="H35" s="41"/>
      <c r="I35" s="41"/>
    </row>
    <row r="36" spans="1:9" ht="21.95" hidden="1" customHeight="1">
      <c r="A36" s="40"/>
      <c r="B36" s="42"/>
      <c r="C36" s="33"/>
      <c r="D36" s="41"/>
      <c r="E36" s="40"/>
      <c r="F36" s="41"/>
      <c r="G36" s="41"/>
      <c r="H36" s="41"/>
      <c r="I36" s="41"/>
    </row>
    <row r="37" spans="1:9" ht="21.95" hidden="1" customHeight="1">
      <c r="A37" s="40"/>
      <c r="B37" s="42"/>
      <c r="C37" s="33"/>
      <c r="D37" s="41"/>
      <c r="E37" s="40"/>
      <c r="F37" s="41"/>
      <c r="G37" s="41"/>
      <c r="H37" s="41"/>
      <c r="I37" s="41"/>
    </row>
    <row r="38" spans="1:9" ht="21.95" hidden="1" customHeight="1">
      <c r="A38" s="40"/>
      <c r="B38" s="42"/>
      <c r="C38" s="33"/>
      <c r="D38" s="41"/>
      <c r="E38" s="40"/>
      <c r="F38" s="41"/>
      <c r="G38" s="41"/>
      <c r="H38" s="41"/>
      <c r="I38" s="41"/>
    </row>
    <row r="39" spans="1:9" ht="21.95" hidden="1" customHeight="1">
      <c r="A39" s="40"/>
      <c r="B39" s="42"/>
      <c r="C39" s="33"/>
      <c r="D39" s="41"/>
      <c r="E39" s="40"/>
      <c r="F39" s="41"/>
      <c r="G39" s="41"/>
      <c r="H39" s="41"/>
      <c r="I39" s="41"/>
    </row>
    <row r="40" spans="1:9" ht="21.95" hidden="1" customHeight="1">
      <c r="A40" s="40"/>
      <c r="B40" s="42"/>
      <c r="C40" s="33"/>
      <c r="D40" s="41"/>
      <c r="E40" s="40"/>
      <c r="F40" s="41"/>
      <c r="G40" s="41"/>
      <c r="H40" s="41"/>
      <c r="I40" s="41"/>
    </row>
    <row r="41" spans="1:9" ht="21.95" hidden="1" customHeight="1">
      <c r="A41" s="40"/>
      <c r="B41" s="42"/>
      <c r="C41" s="33"/>
      <c r="D41" s="41"/>
      <c r="E41" s="40"/>
      <c r="F41" s="41"/>
      <c r="G41" s="41"/>
      <c r="H41" s="41"/>
      <c r="I41" s="41"/>
    </row>
    <row r="42" spans="1:9" ht="21.95" hidden="1" customHeight="1">
      <c r="A42" s="40"/>
      <c r="B42" s="42"/>
      <c r="C42" s="33"/>
      <c r="D42" s="41"/>
      <c r="E42" s="40"/>
      <c r="F42" s="41"/>
      <c r="G42" s="41"/>
      <c r="H42" s="41"/>
      <c r="I42" s="41"/>
    </row>
    <row r="43" spans="1:9" ht="21.95" hidden="1" customHeight="1">
      <c r="A43" s="40"/>
      <c r="B43" s="42"/>
      <c r="C43" s="33"/>
      <c r="D43" s="41"/>
      <c r="E43" s="40"/>
      <c r="F43" s="41"/>
      <c r="G43" s="41"/>
      <c r="H43" s="41"/>
      <c r="I43" s="41"/>
    </row>
    <row r="44" spans="1:9" ht="21.95" hidden="1" customHeight="1">
      <c r="A44" s="40"/>
      <c r="B44" s="42"/>
      <c r="C44" s="33"/>
      <c r="D44" s="41"/>
      <c r="E44" s="40"/>
      <c r="F44" s="41"/>
      <c r="G44" s="41"/>
      <c r="H44" s="41"/>
      <c r="I44" s="41"/>
    </row>
    <row r="45" spans="1:9" ht="21.95" hidden="1" customHeight="1">
      <c r="A45" s="40"/>
      <c r="B45" s="42"/>
      <c r="C45" s="33"/>
      <c r="D45" s="41"/>
      <c r="E45" s="40"/>
      <c r="F45" s="41"/>
      <c r="G45" s="41"/>
      <c r="H45" s="41"/>
      <c r="I45" s="41"/>
    </row>
    <row r="46" spans="1:9" ht="21.95" hidden="1" customHeight="1">
      <c r="A46" s="40"/>
      <c r="B46" s="42"/>
      <c r="C46" s="33"/>
      <c r="D46" s="41"/>
      <c r="E46" s="40"/>
      <c r="F46" s="41"/>
      <c r="G46" s="41"/>
      <c r="H46" s="41"/>
      <c r="I46" s="41"/>
    </row>
    <row r="47" spans="1:9" ht="21.95" hidden="1" customHeight="1">
      <c r="A47" s="40"/>
      <c r="B47" s="42"/>
      <c r="C47" s="33"/>
      <c r="D47" s="41"/>
      <c r="E47" s="40"/>
      <c r="F47" s="41"/>
      <c r="G47" s="41"/>
      <c r="H47" s="41"/>
      <c r="I47" s="41"/>
    </row>
    <row r="48" spans="1:9" ht="21.95" hidden="1" customHeight="1">
      <c r="A48" s="40"/>
      <c r="B48" s="42"/>
      <c r="C48" s="33"/>
      <c r="D48" s="41"/>
      <c r="E48" s="40"/>
      <c r="F48" s="41"/>
      <c r="G48" s="41"/>
      <c r="H48" s="41"/>
      <c r="I48" s="41"/>
    </row>
    <row r="49" spans="1:9" ht="21.95" hidden="1" customHeight="1">
      <c r="A49" s="40"/>
      <c r="B49" s="42"/>
      <c r="C49" s="33"/>
      <c r="D49" s="41"/>
      <c r="E49" s="40"/>
      <c r="F49" s="41"/>
      <c r="G49" s="41"/>
      <c r="H49" s="41"/>
      <c r="I49" s="41"/>
    </row>
    <row r="50" spans="1:9" ht="21.95" hidden="1" customHeight="1">
      <c r="A50" s="40"/>
      <c r="B50" s="42"/>
      <c r="C50" s="33"/>
      <c r="D50" s="41"/>
      <c r="E50" s="40"/>
      <c r="F50" s="41"/>
      <c r="G50" s="41"/>
      <c r="H50" s="41"/>
      <c r="I50" s="41"/>
    </row>
    <row r="51" spans="1:9" ht="21.95" hidden="1" customHeight="1">
      <c r="A51" s="40"/>
      <c r="B51" s="42"/>
      <c r="C51" s="33"/>
      <c r="D51" s="41"/>
      <c r="E51" s="40"/>
      <c r="F51" s="41"/>
      <c r="G51" s="41"/>
      <c r="H51" s="41"/>
      <c r="I51" s="41"/>
    </row>
    <row r="52" spans="1:9" ht="21.95" hidden="1" customHeight="1">
      <c r="A52" s="40"/>
      <c r="B52" s="42"/>
      <c r="C52" s="33"/>
      <c r="D52" s="41"/>
      <c r="E52" s="40"/>
      <c r="F52" s="41"/>
      <c r="G52" s="41"/>
      <c r="H52" s="41"/>
      <c r="I52" s="41"/>
    </row>
    <row r="53" spans="1:9" ht="21.95" hidden="1" customHeight="1">
      <c r="A53" s="40"/>
      <c r="B53" s="42"/>
      <c r="C53" s="33"/>
      <c r="D53" s="41"/>
      <c r="E53" s="40"/>
      <c r="F53" s="41"/>
      <c r="G53" s="41"/>
      <c r="H53" s="41"/>
      <c r="I53" s="41"/>
    </row>
    <row r="54" spans="1:9" ht="21.95" hidden="1" customHeight="1">
      <c r="A54" s="40"/>
      <c r="B54" s="42"/>
      <c r="C54" s="33"/>
      <c r="D54" s="41"/>
      <c r="E54" s="40"/>
      <c r="F54" s="41"/>
      <c r="G54" s="41"/>
      <c r="H54" s="41"/>
      <c r="I54" s="41"/>
    </row>
    <row r="55" spans="1:9" ht="21.95" hidden="1" customHeight="1">
      <c r="A55" s="40"/>
      <c r="B55" s="42"/>
      <c r="C55" s="33"/>
      <c r="D55" s="41"/>
      <c r="E55" s="40"/>
      <c r="F55" s="41"/>
      <c r="G55" s="41"/>
      <c r="H55" s="41"/>
      <c r="I55" s="41"/>
    </row>
    <row r="56" spans="1:9" ht="21.95" hidden="1" customHeight="1">
      <c r="A56" s="40"/>
      <c r="B56" s="42"/>
      <c r="C56" s="33"/>
      <c r="D56" s="41"/>
      <c r="E56" s="40"/>
      <c r="F56" s="41"/>
      <c r="G56" s="41"/>
      <c r="H56" s="41"/>
      <c r="I56" s="41"/>
    </row>
    <row r="57" spans="1:9" ht="21.95" hidden="1" customHeight="1">
      <c r="A57" s="40"/>
      <c r="B57" s="42"/>
      <c r="C57" s="33"/>
      <c r="D57" s="41"/>
      <c r="E57" s="40"/>
      <c r="F57" s="41"/>
      <c r="G57" s="41"/>
      <c r="H57" s="41"/>
      <c r="I57" s="41"/>
    </row>
    <row r="58" spans="1:9" hidden="1"/>
    <row r="59" spans="1:9" ht="32.1" hidden="1" customHeight="1">
      <c r="A59" s="63"/>
      <c r="B59" s="75"/>
      <c r="C59" s="75"/>
      <c r="D59" s="75"/>
      <c r="E59" s="75"/>
      <c r="F59" s="75"/>
      <c r="G59" s="75"/>
      <c r="H59" s="75"/>
      <c r="I59" s="76"/>
    </row>
  </sheetData>
  <mergeCells count="6">
    <mergeCell ref="A59:I59"/>
    <mergeCell ref="A1:I1"/>
    <mergeCell ref="A2:I2"/>
    <mergeCell ref="A4:I4"/>
    <mergeCell ref="A12:I12"/>
    <mergeCell ref="A23:I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BB90C-952E-4D84-A590-87B5DA0CE4C2}">
  <sheetPr>
    <tabColor rgb="FFDDD9C3"/>
  </sheetPr>
  <dimension ref="A1:BL202"/>
  <sheetViews>
    <sheetView zoomScaleNormal="100" workbookViewId="0">
      <pane xSplit="1" ySplit="2" topLeftCell="B3" activePane="bottomRight" state="frozen"/>
      <selection pane="bottomRight" activeCell="L14" sqref="L14"/>
      <selection pane="bottomLeft" activeCell="A3" sqref="A3"/>
      <selection pane="topRight" activeCell="B1" sqref="B1"/>
    </sheetView>
  </sheetViews>
  <sheetFormatPr defaultColWidth="8.85546875" defaultRowHeight="15" customHeight="1"/>
  <cols>
    <col min="1" max="1" width="22" customWidth="1"/>
    <col min="2" max="2" width="20" customWidth="1"/>
    <col min="3" max="64" width="11" customWidth="1"/>
  </cols>
  <sheetData>
    <row r="1" spans="1:64" ht="25.5" customHeight="1">
      <c r="A1" s="72" t="s">
        <v>127</v>
      </c>
      <c r="B1" s="72"/>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row>
    <row r="2" spans="1:64" ht="45" customHeight="1">
      <c r="A2" s="27" t="s">
        <v>63</v>
      </c>
      <c r="B2" s="27" t="s">
        <v>128</v>
      </c>
      <c r="C2" s="27" t="s">
        <v>129</v>
      </c>
      <c r="D2" s="27" t="s">
        <v>130</v>
      </c>
      <c r="E2" s="27" t="s">
        <v>131</v>
      </c>
      <c r="F2" s="27" t="s">
        <v>132</v>
      </c>
      <c r="G2" s="27" t="s">
        <v>133</v>
      </c>
      <c r="H2" s="27" t="s">
        <v>134</v>
      </c>
      <c r="I2" s="27" t="s">
        <v>135</v>
      </c>
      <c r="J2" s="27" t="s">
        <v>136</v>
      </c>
      <c r="K2" s="27" t="s">
        <v>137</v>
      </c>
      <c r="L2" s="27" t="s">
        <v>138</v>
      </c>
      <c r="M2" s="27" t="s">
        <v>139</v>
      </c>
      <c r="N2" s="27" t="s">
        <v>140</v>
      </c>
      <c r="O2" s="27" t="s">
        <v>141</v>
      </c>
      <c r="P2" s="27" t="s">
        <v>142</v>
      </c>
      <c r="Q2" s="27" t="s">
        <v>143</v>
      </c>
      <c r="R2" s="27" t="s">
        <v>144</v>
      </c>
      <c r="S2" s="27" t="s">
        <v>145</v>
      </c>
      <c r="T2" s="27" t="s">
        <v>146</v>
      </c>
      <c r="U2" s="27" t="s">
        <v>147</v>
      </c>
      <c r="V2" s="27" t="s">
        <v>148</v>
      </c>
      <c r="W2" s="27" t="s">
        <v>149</v>
      </c>
      <c r="X2" s="27" t="s">
        <v>150</v>
      </c>
      <c r="Y2" s="27" t="s">
        <v>151</v>
      </c>
      <c r="Z2" s="27" t="s">
        <v>152</v>
      </c>
      <c r="AA2" s="27" t="s">
        <v>153</v>
      </c>
      <c r="AB2" s="27" t="s">
        <v>154</v>
      </c>
      <c r="AC2" s="27" t="s">
        <v>155</v>
      </c>
      <c r="AD2" s="27" t="s">
        <v>156</v>
      </c>
      <c r="AE2" s="27" t="s">
        <v>157</v>
      </c>
      <c r="AF2" s="27" t="s">
        <v>158</v>
      </c>
      <c r="AG2" s="27" t="s">
        <v>159</v>
      </c>
      <c r="AH2" s="27" t="s">
        <v>160</v>
      </c>
      <c r="AI2" s="27" t="s">
        <v>161</v>
      </c>
      <c r="AJ2" s="27" t="s">
        <v>162</v>
      </c>
      <c r="AK2" s="27" t="s">
        <v>163</v>
      </c>
      <c r="AL2" s="27" t="s">
        <v>164</v>
      </c>
      <c r="AM2" s="27" t="s">
        <v>165</v>
      </c>
      <c r="AN2" s="27" t="s">
        <v>166</v>
      </c>
      <c r="AO2" s="27" t="s">
        <v>167</v>
      </c>
      <c r="AP2" s="27" t="s">
        <v>168</v>
      </c>
      <c r="AQ2" s="27" t="s">
        <v>169</v>
      </c>
      <c r="AR2" s="27" t="s">
        <v>170</v>
      </c>
      <c r="AS2" s="27" t="s">
        <v>171</v>
      </c>
      <c r="AT2" s="27" t="s">
        <v>172</v>
      </c>
      <c r="AU2" s="27" t="s">
        <v>173</v>
      </c>
      <c r="AV2" s="27" t="s">
        <v>174</v>
      </c>
      <c r="AW2" s="27" t="s">
        <v>175</v>
      </c>
      <c r="AX2" s="27" t="s">
        <v>176</v>
      </c>
      <c r="AY2" s="27" t="s">
        <v>177</v>
      </c>
      <c r="AZ2" s="27" t="s">
        <v>178</v>
      </c>
      <c r="BA2" s="27" t="s">
        <v>179</v>
      </c>
      <c r="BB2" s="27" t="s">
        <v>180</v>
      </c>
      <c r="BC2" s="27" t="s">
        <v>181</v>
      </c>
      <c r="BD2" s="27" t="s">
        <v>182</v>
      </c>
      <c r="BE2" s="27" t="s">
        <v>183</v>
      </c>
      <c r="BF2" s="27" t="s">
        <v>184</v>
      </c>
      <c r="BG2" s="27" t="s">
        <v>185</v>
      </c>
      <c r="BH2" s="27" t="s">
        <v>186</v>
      </c>
      <c r="BI2" s="27" t="s">
        <v>187</v>
      </c>
      <c r="BJ2" s="27" t="s">
        <v>188</v>
      </c>
      <c r="BK2" s="27" t="s">
        <v>189</v>
      </c>
      <c r="BL2" s="27" t="s">
        <v>190</v>
      </c>
    </row>
    <row r="3" spans="1:64" ht="27.75" customHeight="1">
      <c r="A3" s="28" t="s">
        <v>67</v>
      </c>
      <c r="B3" s="29" t="s">
        <v>58</v>
      </c>
      <c r="C3" s="30">
        <v>0.33333333333333331</v>
      </c>
      <c r="D3" s="30">
        <v>0.70833333333333337</v>
      </c>
      <c r="E3" s="30"/>
      <c r="F3" s="30"/>
      <c r="G3" s="30"/>
      <c r="H3" s="30"/>
      <c r="I3" s="30"/>
      <c r="J3" s="30"/>
      <c r="K3" s="30"/>
      <c r="L3" s="30"/>
      <c r="M3" s="30"/>
      <c r="N3" s="30"/>
      <c r="O3" s="30">
        <v>0.33333333333333331</v>
      </c>
      <c r="P3" s="30">
        <v>0.70833333333333337</v>
      </c>
      <c r="Q3" s="30">
        <v>0.33333333333333331</v>
      </c>
      <c r="R3" s="30">
        <v>0.70833333333333337</v>
      </c>
      <c r="S3" s="30"/>
      <c r="T3" s="30"/>
      <c r="U3" s="30"/>
      <c r="V3" s="30"/>
      <c r="W3" s="30"/>
      <c r="X3" s="30"/>
      <c r="Y3" s="30"/>
      <c r="Z3" s="30"/>
      <c r="AA3" s="30"/>
      <c r="AB3" s="30"/>
      <c r="AC3" s="30"/>
      <c r="AD3" s="30"/>
      <c r="AE3" s="30">
        <v>0.33333333333333331</v>
      </c>
      <c r="AF3" s="30">
        <v>0.70833333333333337</v>
      </c>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row>
    <row r="4" spans="1:64" ht="28.5" customHeight="1">
      <c r="A4" s="28" t="s">
        <v>69</v>
      </c>
      <c r="B4" s="29" t="s">
        <v>58</v>
      </c>
      <c r="C4" s="30">
        <v>0.33333333333333331</v>
      </c>
      <c r="D4" s="30">
        <v>0.70833333333333337</v>
      </c>
      <c r="E4" s="30"/>
      <c r="F4" s="30"/>
      <c r="G4" s="30"/>
      <c r="H4" s="30"/>
      <c r="I4" s="30"/>
      <c r="J4" s="30"/>
      <c r="K4" s="30"/>
      <c r="L4" s="30"/>
      <c r="M4" s="30"/>
      <c r="N4" s="30"/>
      <c r="O4" s="30">
        <v>0.33333333333333331</v>
      </c>
      <c r="P4" s="30">
        <v>0.70833333333333337</v>
      </c>
      <c r="Q4" s="30">
        <v>0.33333333333333331</v>
      </c>
      <c r="R4" s="30">
        <v>0.70833333333333337</v>
      </c>
      <c r="S4" s="30"/>
      <c r="T4" s="30"/>
      <c r="U4" s="30"/>
      <c r="V4" s="30"/>
      <c r="W4" s="30"/>
      <c r="X4" s="30"/>
      <c r="Y4" s="30"/>
      <c r="Z4" s="30"/>
      <c r="AA4" s="30"/>
      <c r="AB4" s="30"/>
      <c r="AC4" s="30"/>
      <c r="AD4" s="30"/>
      <c r="AE4" s="30">
        <v>0.33333333333333331</v>
      </c>
      <c r="AF4" s="30">
        <v>0.70833333333333337</v>
      </c>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row>
    <row r="5" spans="1:64" ht="27.75" customHeight="1">
      <c r="A5" s="28" t="s">
        <v>71</v>
      </c>
      <c r="B5" s="29" t="s">
        <v>58</v>
      </c>
      <c r="C5" s="30">
        <v>0.33333333333333331</v>
      </c>
      <c r="D5" s="30">
        <v>0.70833333333333337</v>
      </c>
      <c r="E5" s="30"/>
      <c r="F5" s="30"/>
      <c r="G5" s="30"/>
      <c r="H5" s="30"/>
      <c r="I5" s="30"/>
      <c r="J5" s="30"/>
      <c r="K5" s="30"/>
      <c r="L5" s="30"/>
      <c r="M5" s="30"/>
      <c r="N5" s="30"/>
      <c r="O5" s="30">
        <v>0.33333333333333331</v>
      </c>
      <c r="P5" s="30">
        <v>0.70833333333333337</v>
      </c>
      <c r="Q5" s="30">
        <v>0.33333333333333331</v>
      </c>
      <c r="R5" s="30">
        <v>0.70833333333333337</v>
      </c>
      <c r="S5" s="30"/>
      <c r="T5" s="30"/>
      <c r="U5" s="30"/>
      <c r="V5" s="30"/>
      <c r="W5" s="30"/>
      <c r="X5" s="30"/>
      <c r="Y5" s="30"/>
      <c r="Z5" s="30"/>
      <c r="AA5" s="30"/>
      <c r="AB5" s="30"/>
      <c r="AC5" s="30"/>
      <c r="AD5" s="30"/>
      <c r="AE5" s="30">
        <v>0.33333333333333331</v>
      </c>
      <c r="AF5" s="30">
        <v>0.70833333333333337</v>
      </c>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row>
    <row r="6" spans="1:64">
      <c r="A6" s="28" t="s">
        <v>191</v>
      </c>
      <c r="B6" s="29">
        <v>0</v>
      </c>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row>
    <row r="7" spans="1:64">
      <c r="A7" s="28" t="s">
        <v>192</v>
      </c>
      <c r="B7" s="29" t="s">
        <v>193</v>
      </c>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64" ht="30.75" customHeight="1">
      <c r="A8" s="28" t="s">
        <v>74</v>
      </c>
      <c r="B8" s="29" t="s">
        <v>194</v>
      </c>
      <c r="C8" s="30"/>
      <c r="D8" s="30"/>
      <c r="E8" s="30"/>
      <c r="F8" s="30"/>
      <c r="G8" s="30">
        <v>0.41666666666666669</v>
      </c>
      <c r="H8" s="30">
        <v>0.60416666666666663</v>
      </c>
      <c r="I8" s="30">
        <v>0.53125</v>
      </c>
      <c r="J8" s="30">
        <v>0.59722222222222221</v>
      </c>
      <c r="K8" s="30">
        <v>0.47222222222222221</v>
      </c>
      <c r="L8" s="30">
        <v>0.60069444444444442</v>
      </c>
      <c r="M8" s="30">
        <v>0.4375</v>
      </c>
      <c r="N8" s="30">
        <v>0.59027777777777779</v>
      </c>
      <c r="O8" s="30">
        <v>0.30555555555555558</v>
      </c>
      <c r="P8" s="30">
        <v>0.79166666666666663</v>
      </c>
      <c r="Q8" s="30"/>
      <c r="R8" s="30"/>
      <c r="S8" s="30">
        <v>0.36458333333333331</v>
      </c>
      <c r="T8" s="30">
        <v>0.61111111111111116</v>
      </c>
      <c r="U8" s="30">
        <v>0.26041666666666669</v>
      </c>
      <c r="V8" s="30">
        <v>0.60416666666666663</v>
      </c>
      <c r="W8" s="30">
        <v>0.4826388888888889</v>
      </c>
      <c r="X8" s="30">
        <v>0.60416666666666663</v>
      </c>
      <c r="Y8" s="30">
        <v>8.3333333333333329E-2</v>
      </c>
      <c r="Z8" s="30">
        <v>0.21180555555555561</v>
      </c>
      <c r="AA8" s="30">
        <v>0.4236111111111111</v>
      </c>
      <c r="AB8" s="30">
        <v>0.60416666666666663</v>
      </c>
      <c r="AC8" s="30">
        <v>0.3125</v>
      </c>
      <c r="AD8" s="30">
        <v>0.89583333333333337</v>
      </c>
      <c r="AE8" s="30">
        <v>0.41666666666666669</v>
      </c>
      <c r="AF8" s="30">
        <v>0.49930555555555561</v>
      </c>
      <c r="AG8" s="30">
        <v>0.5</v>
      </c>
      <c r="AH8" s="30">
        <v>0.5625</v>
      </c>
      <c r="AI8" s="30">
        <v>2.0833333333333329E-2</v>
      </c>
      <c r="AJ8" s="30">
        <v>0.20833333333333329</v>
      </c>
      <c r="AK8" s="30">
        <v>8.3333333333333329E-2</v>
      </c>
      <c r="AL8" s="30">
        <v>0.22916666666666671</v>
      </c>
      <c r="AM8" s="30">
        <v>8.3333333333333329E-2</v>
      </c>
      <c r="AN8" s="30">
        <v>0.25</v>
      </c>
      <c r="AO8" s="30">
        <v>0</v>
      </c>
      <c r="AP8" s="30">
        <v>0.20833333333333329</v>
      </c>
      <c r="AQ8" s="30">
        <v>0.30555555555555558</v>
      </c>
      <c r="AR8" s="30">
        <v>0.9375</v>
      </c>
      <c r="AS8" s="30">
        <v>0.3125</v>
      </c>
      <c r="AT8" s="30">
        <v>0.77083333333333337</v>
      </c>
      <c r="AU8" s="30">
        <v>0.99305555555555558</v>
      </c>
      <c r="AV8" s="30">
        <v>0.16666666666666671</v>
      </c>
      <c r="AW8" s="30">
        <v>0.99652777777777779</v>
      </c>
      <c r="AX8" s="30">
        <v>8.3333333333333329E-2</v>
      </c>
      <c r="AY8" s="30"/>
      <c r="AZ8" s="30"/>
      <c r="BA8" s="30">
        <v>7.9861111111111105E-2</v>
      </c>
      <c r="BB8" s="30">
        <v>0.40972222222222221</v>
      </c>
      <c r="BC8" s="30"/>
      <c r="BD8" s="30"/>
      <c r="BE8" s="30">
        <v>0.29166666666666669</v>
      </c>
      <c r="BF8" s="30">
        <v>0.75</v>
      </c>
      <c r="BG8" s="30">
        <v>0.33333333333333331</v>
      </c>
      <c r="BH8" s="30">
        <v>0.58333333333333337</v>
      </c>
      <c r="BI8" s="30">
        <v>0.375</v>
      </c>
      <c r="BJ8" s="30">
        <v>0.39583333333333331</v>
      </c>
      <c r="BK8" s="30"/>
      <c r="BL8" s="30"/>
    </row>
    <row r="9" spans="1:64">
      <c r="A9" s="28" t="s">
        <v>195</v>
      </c>
      <c r="B9" s="29">
        <v>0</v>
      </c>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row>
    <row r="10" spans="1:64">
      <c r="A10" s="28" t="s">
        <v>196</v>
      </c>
      <c r="B10" s="29" t="s">
        <v>197</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spans="1:64" ht="28.5" customHeight="1">
      <c r="A11" s="28" t="s">
        <v>198</v>
      </c>
      <c r="B11" s="29" t="s">
        <v>194</v>
      </c>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spans="1:64">
      <c r="A12" s="28" t="s">
        <v>199</v>
      </c>
      <c r="B12" s="29" t="s">
        <v>193</v>
      </c>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spans="1:64">
      <c r="A13" s="28" t="s">
        <v>200</v>
      </c>
      <c r="B13" s="29" t="s">
        <v>201</v>
      </c>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spans="1:64">
      <c r="A14" s="28" t="s">
        <v>202</v>
      </c>
      <c r="B14" s="29" t="s">
        <v>203</v>
      </c>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spans="1:64">
      <c r="A15" s="28" t="s">
        <v>204</v>
      </c>
      <c r="B15" s="29">
        <v>0</v>
      </c>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spans="1:64">
      <c r="A16" s="28" t="s">
        <v>72</v>
      </c>
      <c r="B16" s="29" t="s">
        <v>194</v>
      </c>
      <c r="C16" s="30"/>
      <c r="D16" s="30"/>
      <c r="E16" s="30"/>
      <c r="F16" s="30"/>
      <c r="G16" s="30"/>
      <c r="H16" s="30"/>
      <c r="I16" s="30">
        <v>0.70833333333333337</v>
      </c>
      <c r="J16" s="30">
        <v>0.91666666666666663</v>
      </c>
      <c r="K16" s="30"/>
      <c r="L16" s="30"/>
      <c r="M16" s="30"/>
      <c r="N16" s="30"/>
      <c r="O16" s="30">
        <v>0.3125</v>
      </c>
      <c r="P16" s="30">
        <v>0.71875</v>
      </c>
      <c r="Q16" s="30"/>
      <c r="R16" s="30"/>
      <c r="S16" s="30">
        <v>0.70833333333333337</v>
      </c>
      <c r="T16" s="30">
        <v>0.9375</v>
      </c>
      <c r="U16" s="30">
        <v>0.70833333333333337</v>
      </c>
      <c r="V16" s="30">
        <v>0.125</v>
      </c>
      <c r="W16" s="30">
        <v>0.70833333333333337</v>
      </c>
      <c r="X16" s="30">
        <v>0.20833333333333329</v>
      </c>
      <c r="Y16" s="30"/>
      <c r="Z16" s="30"/>
      <c r="AA16" s="30">
        <v>0.70833333333333337</v>
      </c>
      <c r="AB16" s="30">
        <v>0.97916666666666663</v>
      </c>
      <c r="AC16" s="30">
        <v>0.5</v>
      </c>
      <c r="AD16" s="30">
        <v>0.77083333333333337</v>
      </c>
      <c r="AE16" s="30">
        <v>0.625</v>
      </c>
      <c r="AF16" s="30">
        <v>0.99930555555555556</v>
      </c>
      <c r="AG16" s="30">
        <v>0.70833333333333337</v>
      </c>
      <c r="AH16" s="30">
        <v>0.16666666666666671</v>
      </c>
      <c r="AI16" s="30">
        <v>0.70833333333333337</v>
      </c>
      <c r="AJ16" s="30">
        <v>0.125</v>
      </c>
      <c r="AK16" s="30">
        <v>0.70833333333333337</v>
      </c>
      <c r="AL16" s="30">
        <v>8.3333333333333329E-2</v>
      </c>
      <c r="AM16" s="30">
        <v>0.70833333333333337</v>
      </c>
      <c r="AN16" s="30">
        <v>0.14583333333333329</v>
      </c>
      <c r="AO16" s="30" t="s">
        <v>205</v>
      </c>
      <c r="AP16" s="30" t="s">
        <v>205</v>
      </c>
      <c r="AQ16" s="30">
        <v>0.29166666666666669</v>
      </c>
      <c r="AR16" s="30">
        <v>0.4375</v>
      </c>
      <c r="AS16" s="30">
        <v>0.33333333333333331</v>
      </c>
      <c r="AT16" s="30">
        <v>0.77083333333333337</v>
      </c>
      <c r="AU16" s="30">
        <v>0.70833333333333337</v>
      </c>
      <c r="AV16" s="30">
        <v>0.16666666666666671</v>
      </c>
      <c r="AW16" s="30">
        <v>0.70833333333333337</v>
      </c>
      <c r="AX16" s="30">
        <v>8.3333333333333329E-2</v>
      </c>
      <c r="AY16" s="30">
        <v>0.83333333333333337</v>
      </c>
      <c r="AZ16" s="30">
        <v>0.1041666666666667</v>
      </c>
      <c r="BA16" s="30">
        <v>3.472222222222222E-3</v>
      </c>
      <c r="BB16" s="30">
        <v>0.375</v>
      </c>
      <c r="BC16" s="30"/>
      <c r="BD16" s="30"/>
      <c r="BE16" s="30">
        <v>0.3125</v>
      </c>
      <c r="BF16" s="30">
        <v>0.4375</v>
      </c>
      <c r="BG16" s="30">
        <v>0.33333333333333331</v>
      </c>
      <c r="BH16" s="30">
        <v>0.58333333333333337</v>
      </c>
      <c r="BI16" s="30"/>
      <c r="BJ16" s="30"/>
      <c r="BK16" s="30"/>
      <c r="BL16" s="30"/>
    </row>
    <row r="17" spans="1:64">
      <c r="A17" s="28" t="s">
        <v>206</v>
      </c>
      <c r="B17" s="29" t="s">
        <v>197</v>
      </c>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spans="1:64" ht="30.75" customHeight="1">
      <c r="A18" s="28" t="s">
        <v>207</v>
      </c>
      <c r="B18" s="29" t="s">
        <v>201</v>
      </c>
      <c r="C18" s="30"/>
      <c r="D18" s="30"/>
      <c r="E18" s="30">
        <v>0.33333333333333331</v>
      </c>
      <c r="F18" s="30">
        <v>0.70833333333333337</v>
      </c>
      <c r="G18" s="30">
        <v>0.33333333333333331</v>
      </c>
      <c r="H18" s="30">
        <v>0.70833333333333337</v>
      </c>
      <c r="I18" s="30">
        <v>0.33333333333333331</v>
      </c>
      <c r="J18" s="30">
        <v>0.70833333333333337</v>
      </c>
      <c r="K18" s="30">
        <v>0.33333333333333331</v>
      </c>
      <c r="L18" s="30">
        <v>0.70833333333333337</v>
      </c>
      <c r="M18" s="30">
        <v>0.33333333333333331</v>
      </c>
      <c r="N18" s="30">
        <v>0.70833333333333337</v>
      </c>
      <c r="O18" s="30"/>
      <c r="P18" s="30"/>
      <c r="Q18" s="30"/>
      <c r="R18" s="30"/>
      <c r="S18" s="30">
        <v>0.33333333333333331</v>
      </c>
      <c r="T18" s="30">
        <v>0.70833333333333337</v>
      </c>
      <c r="U18" s="30">
        <v>0.33333333333333331</v>
      </c>
      <c r="V18" s="30">
        <v>0.70833333333333337</v>
      </c>
      <c r="W18" s="30"/>
      <c r="X18" s="30"/>
      <c r="Y18" s="30"/>
      <c r="Z18" s="30"/>
      <c r="AA18" s="30"/>
      <c r="AB18" s="30"/>
      <c r="AC18" s="30"/>
      <c r="AD18" s="30"/>
      <c r="AE18" s="30"/>
      <c r="AF18" s="30"/>
      <c r="AG18" s="30">
        <v>0.33333333333333331</v>
      </c>
      <c r="AH18" s="30">
        <v>0.70833333333333337</v>
      </c>
      <c r="AI18" s="30">
        <v>0.33333333333333331</v>
      </c>
      <c r="AJ18" s="30">
        <v>0.70833333333333337</v>
      </c>
      <c r="AK18" s="30">
        <v>0.33333333333333331</v>
      </c>
      <c r="AL18" s="30">
        <v>0.70833333333333337</v>
      </c>
      <c r="AM18" s="30">
        <v>0.33333333333333331</v>
      </c>
      <c r="AN18" s="30">
        <v>0.70833333333333337</v>
      </c>
      <c r="AO18" s="30">
        <v>0.33333333333333331</v>
      </c>
      <c r="AP18" s="30">
        <v>0.70833333333333337</v>
      </c>
      <c r="AQ18" s="30"/>
      <c r="AR18" s="30"/>
      <c r="AS18" s="30"/>
      <c r="AT18" s="30"/>
      <c r="AU18" s="30">
        <v>0.33333333333333331</v>
      </c>
      <c r="AV18" s="30">
        <v>0.70833333333333337</v>
      </c>
      <c r="AW18" s="30">
        <v>0.33333333333333331</v>
      </c>
      <c r="AX18" s="30">
        <v>0.70833333333333337</v>
      </c>
      <c r="AY18" s="30">
        <v>0.33333333333333331</v>
      </c>
      <c r="AZ18" s="30">
        <v>0.70833333333333337</v>
      </c>
      <c r="BA18" s="30">
        <v>0.33333333333333331</v>
      </c>
      <c r="BB18" s="30">
        <v>0.70833333333333337</v>
      </c>
      <c r="BC18" s="30">
        <v>0.33333333333333331</v>
      </c>
      <c r="BD18" s="30">
        <v>0.70833333333333337</v>
      </c>
      <c r="BE18" s="30"/>
      <c r="BF18" s="30"/>
      <c r="BG18" s="30"/>
      <c r="BH18" s="30"/>
      <c r="BI18" s="30">
        <v>0.33333333333333331</v>
      </c>
      <c r="BJ18" s="30">
        <v>0.70833333333333337</v>
      </c>
      <c r="BK18" s="30">
        <v>0.33333333333333331</v>
      </c>
      <c r="BL18" s="30">
        <v>0.70833333333333337</v>
      </c>
    </row>
    <row r="19" spans="1:64">
      <c r="A19" s="28" t="s">
        <v>78</v>
      </c>
      <c r="B19" s="29" t="s">
        <v>194</v>
      </c>
      <c r="C19" s="30"/>
      <c r="D19" s="30"/>
      <c r="E19" s="30">
        <v>0.66666666666666663</v>
      </c>
      <c r="F19" s="30">
        <v>0.75</v>
      </c>
      <c r="G19" s="30">
        <v>0.66666666666666663</v>
      </c>
      <c r="H19" s="30">
        <v>0.75</v>
      </c>
      <c r="I19" s="30">
        <v>0.66666666666666663</v>
      </c>
      <c r="J19" s="30">
        <v>0.75</v>
      </c>
      <c r="K19" s="30">
        <v>0.66666666666666663</v>
      </c>
      <c r="L19" s="30">
        <v>0.75</v>
      </c>
      <c r="M19" s="30">
        <v>0.66666666666666663</v>
      </c>
      <c r="N19" s="30">
        <v>0.75</v>
      </c>
      <c r="O19" s="30"/>
      <c r="P19" s="30"/>
      <c r="Q19" s="30"/>
      <c r="R19" s="30"/>
      <c r="S19" s="30">
        <v>0.63541666666666663</v>
      </c>
      <c r="T19" s="30">
        <v>0.9375</v>
      </c>
      <c r="U19" s="30">
        <v>0.66666666666666663</v>
      </c>
      <c r="V19" s="30">
        <v>0.75</v>
      </c>
      <c r="W19" s="30">
        <v>0.66666666666666663</v>
      </c>
      <c r="X19" s="30">
        <v>0.75</v>
      </c>
      <c r="Y19" s="30">
        <v>0.66666666666666663</v>
      </c>
      <c r="Z19" s="30">
        <v>0.75</v>
      </c>
      <c r="AA19" s="30">
        <v>0.66666666666666663</v>
      </c>
      <c r="AB19" s="30">
        <v>0.75</v>
      </c>
      <c r="AC19" s="30"/>
      <c r="AD19" s="30"/>
      <c r="AE19" s="30"/>
      <c r="AF19" s="30"/>
      <c r="AG19" s="30">
        <v>0.66666666666666663</v>
      </c>
      <c r="AH19" s="30">
        <v>0.75</v>
      </c>
      <c r="AI19" s="30">
        <v>0.66666666666666663</v>
      </c>
      <c r="AJ19" s="30">
        <v>0.75</v>
      </c>
      <c r="AK19" s="30"/>
      <c r="AL19" s="30"/>
      <c r="AM19" s="30"/>
      <c r="AN19" s="30"/>
      <c r="AO19" s="30"/>
      <c r="AP19" s="30"/>
      <c r="AQ19" s="30"/>
      <c r="AR19" s="30"/>
      <c r="AS19" s="30"/>
      <c r="AT19" s="30"/>
      <c r="AU19" s="30"/>
      <c r="AV19" s="30"/>
      <c r="AW19" s="30"/>
      <c r="AX19" s="30"/>
      <c r="AY19" s="30"/>
      <c r="AZ19" s="30"/>
      <c r="BA19" s="30"/>
      <c r="BB19" s="30"/>
      <c r="BC19" s="30"/>
      <c r="BD19" s="30"/>
      <c r="BE19" s="30">
        <v>0.3125</v>
      </c>
      <c r="BF19" s="30">
        <v>0.66666666666666663</v>
      </c>
      <c r="BG19" s="30">
        <v>0.375</v>
      </c>
      <c r="BH19" s="30">
        <v>0.58333333333333337</v>
      </c>
      <c r="BI19" s="30"/>
      <c r="BJ19" s="30"/>
      <c r="BK19" s="30"/>
      <c r="BL19" s="30"/>
    </row>
    <row r="20" spans="1:64" ht="28.5" customHeight="1">
      <c r="A20" s="28" t="s">
        <v>208</v>
      </c>
      <c r="B20" s="29" t="s">
        <v>201</v>
      </c>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spans="1:64">
      <c r="A21" s="28" t="s">
        <v>209</v>
      </c>
      <c r="B21" s="29" t="s">
        <v>201</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spans="1:64">
      <c r="A22" s="28" t="s">
        <v>81</v>
      </c>
      <c r="B22" s="29" t="s">
        <v>194</v>
      </c>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v>0.29166666666666669</v>
      </c>
      <c r="AR22" s="30">
        <v>0.9375</v>
      </c>
      <c r="AS22" s="30"/>
      <c r="AT22" s="30"/>
      <c r="AU22" s="30"/>
      <c r="AV22" s="30"/>
      <c r="AW22" s="30"/>
      <c r="AX22" s="30"/>
      <c r="AY22" s="30"/>
      <c r="AZ22" s="30"/>
      <c r="BA22" s="30"/>
      <c r="BB22" s="30"/>
      <c r="BC22" s="30"/>
      <c r="BD22" s="30"/>
      <c r="BE22" s="30"/>
      <c r="BF22" s="30"/>
      <c r="BG22" s="30"/>
      <c r="BH22" s="30"/>
      <c r="BI22" s="30"/>
      <c r="BJ22" s="30"/>
      <c r="BK22" s="30"/>
      <c r="BL22" s="30"/>
    </row>
    <row r="23" spans="1:64">
      <c r="A23" s="28" t="s">
        <v>79</v>
      </c>
      <c r="B23" s="29" t="s">
        <v>201</v>
      </c>
      <c r="C23" s="30"/>
      <c r="D23" s="30"/>
      <c r="E23" s="30"/>
      <c r="F23" s="30"/>
      <c r="G23" s="30"/>
      <c r="H23" s="30"/>
      <c r="I23" s="30"/>
      <c r="J23" s="30"/>
      <c r="K23" s="30"/>
      <c r="L23" s="30"/>
      <c r="M23" s="30"/>
      <c r="N23" s="30"/>
      <c r="O23" s="30"/>
      <c r="P23" s="30"/>
      <c r="Q23" s="30"/>
      <c r="R23" s="30"/>
      <c r="S23" s="30">
        <v>0.375</v>
      </c>
      <c r="T23" s="30">
        <v>0.70833333333333337</v>
      </c>
      <c r="U23" s="30">
        <v>0.33333333333333331</v>
      </c>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v>0.39583333333333331</v>
      </c>
      <c r="AX23" s="30">
        <v>0.75</v>
      </c>
      <c r="AY23" s="30">
        <v>0.39583333333333331</v>
      </c>
      <c r="AZ23" s="30">
        <v>0.75</v>
      </c>
      <c r="BA23" s="30">
        <v>0.39583333333333331</v>
      </c>
      <c r="BB23" s="30">
        <v>0.75</v>
      </c>
      <c r="BC23" s="30">
        <v>0.39583333333333331</v>
      </c>
      <c r="BD23" s="30">
        <v>0.75</v>
      </c>
      <c r="BE23" s="30"/>
      <c r="BF23" s="30"/>
      <c r="BG23" s="30"/>
      <c r="BH23" s="30"/>
      <c r="BI23" s="30">
        <v>0.39583333333333331</v>
      </c>
      <c r="BJ23" s="30">
        <v>0.75</v>
      </c>
      <c r="BK23" s="30">
        <v>0.39583333333333331</v>
      </c>
      <c r="BL23" s="30"/>
    </row>
    <row r="24" spans="1:64">
      <c r="A24" s="28" t="s">
        <v>124</v>
      </c>
      <c r="B24" s="29" t="s">
        <v>193</v>
      </c>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spans="1:64" ht="28.5" customHeight="1">
      <c r="A25" s="28" t="s">
        <v>210</v>
      </c>
      <c r="B25" s="29" t="s">
        <v>197</v>
      </c>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spans="1:64">
      <c r="A26" s="28" t="s">
        <v>211</v>
      </c>
      <c r="B26" s="29">
        <v>0</v>
      </c>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row>
    <row r="27" spans="1:64">
      <c r="A27" s="28" t="s">
        <v>77</v>
      </c>
      <c r="B27" s="29" t="s">
        <v>194</v>
      </c>
      <c r="C27" s="30"/>
      <c r="D27" s="30"/>
      <c r="E27" s="30"/>
      <c r="F27" s="30"/>
      <c r="G27" s="30"/>
      <c r="H27" s="30"/>
      <c r="I27" s="30"/>
      <c r="J27" s="30"/>
      <c r="K27" s="30"/>
      <c r="L27" s="30"/>
      <c r="M27" s="30"/>
      <c r="N27" s="30"/>
      <c r="O27" s="30"/>
      <c r="P27" s="30"/>
      <c r="Q27" s="30"/>
      <c r="R27" s="30"/>
      <c r="S27" s="30"/>
      <c r="T27" s="30"/>
      <c r="U27" s="30"/>
      <c r="V27" s="30"/>
      <c r="W27" s="30">
        <v>0.8305555555555556</v>
      </c>
      <c r="X27" s="30">
        <v>0.20833333333333329</v>
      </c>
      <c r="Y27" s="30"/>
      <c r="Z27" s="30"/>
      <c r="AA27" s="30">
        <v>0.83402777777777781</v>
      </c>
      <c r="AB27" s="30">
        <v>0.97986111111111107</v>
      </c>
      <c r="AC27" s="30">
        <v>0.4375</v>
      </c>
      <c r="AD27" s="30">
        <v>0.77083333333333337</v>
      </c>
      <c r="AE27" s="30"/>
      <c r="AF27" s="30"/>
      <c r="AG27" s="30">
        <v>0.84513888888888888</v>
      </c>
      <c r="AH27" s="30">
        <v>0.16666666666666671</v>
      </c>
      <c r="AI27" s="30"/>
      <c r="AJ27" s="30"/>
      <c r="AK27" s="30">
        <v>0.93472222222222223</v>
      </c>
      <c r="AL27" s="30">
        <v>0.16666666666666671</v>
      </c>
      <c r="AM27" s="30"/>
      <c r="AN27" s="30"/>
      <c r="AO27" s="30"/>
      <c r="AP27" s="30"/>
      <c r="AQ27" s="30"/>
      <c r="AR27" s="30"/>
      <c r="AS27" s="30"/>
      <c r="AT27" s="30"/>
      <c r="AU27" s="30">
        <v>0.875</v>
      </c>
      <c r="AV27" s="30">
        <v>0.16666666666666671</v>
      </c>
      <c r="AW27" s="30">
        <v>0.875</v>
      </c>
      <c r="AX27" s="30">
        <v>8.3333333333333329E-2</v>
      </c>
      <c r="AY27" s="30"/>
      <c r="AZ27" s="30"/>
      <c r="BA27" s="30">
        <v>0.85902777777777772</v>
      </c>
      <c r="BB27" s="30">
        <v>0.1041666666666667</v>
      </c>
      <c r="BC27" s="30"/>
      <c r="BD27" s="30"/>
      <c r="BE27" s="30">
        <v>0.46111111111111108</v>
      </c>
      <c r="BF27" s="30">
        <v>0.75</v>
      </c>
      <c r="BG27" s="30"/>
      <c r="BH27" s="30"/>
      <c r="BI27" s="30"/>
      <c r="BJ27" s="30"/>
      <c r="BK27" s="30"/>
      <c r="BL27" s="30"/>
    </row>
    <row r="28" spans="1:64">
      <c r="A28" s="28" t="s">
        <v>212</v>
      </c>
      <c r="B28" s="29">
        <v>0</v>
      </c>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row>
    <row r="29" spans="1:64">
      <c r="A29" s="28" t="s">
        <v>213</v>
      </c>
      <c r="B29" s="29" t="s">
        <v>193</v>
      </c>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row>
    <row r="30" spans="1:64">
      <c r="A30" s="28" t="s">
        <v>68</v>
      </c>
      <c r="B30" s="29" t="s">
        <v>194</v>
      </c>
      <c r="C30" s="30"/>
      <c r="D30" s="30"/>
      <c r="E30" s="30">
        <v>0.375</v>
      </c>
      <c r="F30" s="30">
        <v>0.96111111111111114</v>
      </c>
      <c r="G30" s="30">
        <v>0.375</v>
      </c>
      <c r="H30" s="30">
        <v>0.75</v>
      </c>
      <c r="I30" s="30">
        <v>0.375</v>
      </c>
      <c r="J30" s="30">
        <v>0.95625000000000004</v>
      </c>
      <c r="K30" s="30">
        <v>0.375</v>
      </c>
      <c r="L30" s="30">
        <v>0.75</v>
      </c>
      <c r="M30" s="30">
        <v>0.375</v>
      </c>
      <c r="N30" s="30">
        <v>0.75</v>
      </c>
      <c r="O30" s="30"/>
      <c r="P30" s="30"/>
      <c r="Q30" s="30"/>
      <c r="R30" s="30"/>
      <c r="S30" s="30">
        <v>0.375</v>
      </c>
      <c r="T30" s="30">
        <v>0.77708333333333335</v>
      </c>
      <c r="U30" s="30">
        <v>0.375</v>
      </c>
      <c r="V30" s="30">
        <v>0.75</v>
      </c>
      <c r="W30" s="30">
        <v>0.375</v>
      </c>
      <c r="X30" s="30">
        <v>0.75</v>
      </c>
      <c r="Y30" s="30">
        <v>0.375</v>
      </c>
      <c r="Z30" s="30">
        <v>0.75</v>
      </c>
      <c r="AA30" s="30">
        <v>0.375</v>
      </c>
      <c r="AB30" s="30">
        <v>0.75</v>
      </c>
      <c r="AC30" s="30"/>
      <c r="AD30" s="30"/>
      <c r="AE30" s="30"/>
      <c r="AF30" s="30"/>
      <c r="AG30" s="30">
        <v>0.375</v>
      </c>
      <c r="AH30" s="30">
        <v>0.75</v>
      </c>
      <c r="AI30" s="30">
        <v>0.375</v>
      </c>
      <c r="AJ30" s="30">
        <v>0.75</v>
      </c>
      <c r="AK30" s="30">
        <v>0.375</v>
      </c>
      <c r="AL30" s="30">
        <v>0.75</v>
      </c>
      <c r="AM30" s="30">
        <v>0.375</v>
      </c>
      <c r="AN30" s="30">
        <v>0.75</v>
      </c>
      <c r="AO30" s="30">
        <v>0.375</v>
      </c>
      <c r="AP30" s="30">
        <v>0.75</v>
      </c>
      <c r="AQ30" s="30"/>
      <c r="AR30" s="30"/>
      <c r="AS30" s="30">
        <v>0.375</v>
      </c>
      <c r="AT30" s="30">
        <v>0.75</v>
      </c>
      <c r="AU30" s="30"/>
      <c r="AV30" s="30"/>
      <c r="AW30" s="30">
        <v>0.375</v>
      </c>
      <c r="AX30" s="30">
        <v>0.75</v>
      </c>
      <c r="AY30" s="30">
        <v>0.375</v>
      </c>
      <c r="AZ30" s="30">
        <v>0.75</v>
      </c>
      <c r="BA30" s="30">
        <v>0.375</v>
      </c>
      <c r="BB30" s="30">
        <v>0.75</v>
      </c>
      <c r="BC30" s="30">
        <v>0.375</v>
      </c>
      <c r="BD30" s="30">
        <v>0.75</v>
      </c>
      <c r="BE30" s="30">
        <v>0.3125</v>
      </c>
      <c r="BF30" s="30">
        <v>0.66666666666666663</v>
      </c>
      <c r="BG30" s="30">
        <v>0.375</v>
      </c>
      <c r="BH30" s="30">
        <v>0.58333333333333337</v>
      </c>
      <c r="BI30" s="30">
        <v>0.375</v>
      </c>
      <c r="BJ30" s="30">
        <v>0.75</v>
      </c>
      <c r="BK30" s="30">
        <v>0.375</v>
      </c>
      <c r="BL30" s="30">
        <v>0.75</v>
      </c>
    </row>
    <row r="31" spans="1:64">
      <c r="A31" s="28" t="s">
        <v>214</v>
      </c>
      <c r="B31" s="29">
        <v>0</v>
      </c>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row>
    <row r="32" spans="1:64">
      <c r="A32" s="28" t="s">
        <v>215</v>
      </c>
      <c r="B32" s="29" t="s">
        <v>201</v>
      </c>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row>
    <row r="33" spans="1:64">
      <c r="A33" s="28" t="s">
        <v>82</v>
      </c>
      <c r="B33" s="29" t="s">
        <v>194</v>
      </c>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v>0.375</v>
      </c>
      <c r="BB33" s="30">
        <v>0.75</v>
      </c>
      <c r="BC33" s="30"/>
      <c r="BD33" s="30"/>
      <c r="BE33" s="30"/>
      <c r="BF33" s="30"/>
      <c r="BG33" s="30"/>
      <c r="BH33" s="30"/>
      <c r="BI33" s="30"/>
      <c r="BJ33" s="30"/>
      <c r="BK33" s="30"/>
      <c r="BL33" s="30"/>
    </row>
    <row r="34" spans="1:64">
      <c r="A34" s="28" t="s">
        <v>216</v>
      </c>
      <c r="B34" s="29">
        <v>0</v>
      </c>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row>
    <row r="35" spans="1:64" ht="28.5" customHeight="1">
      <c r="A35" s="28" t="s">
        <v>217</v>
      </c>
      <c r="B35" s="29" t="s">
        <v>197</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row>
    <row r="36" spans="1:64" ht="28.5" customHeight="1">
      <c r="A36" s="28" t="s">
        <v>70</v>
      </c>
      <c r="B36" s="29" t="s">
        <v>194</v>
      </c>
      <c r="C36" s="30"/>
      <c r="D36" s="30"/>
      <c r="E36" s="30">
        <v>0.375</v>
      </c>
      <c r="F36" s="30">
        <v>4.1666666666666657E-2</v>
      </c>
      <c r="G36" s="30">
        <v>0.39583333333333331</v>
      </c>
      <c r="H36" s="30">
        <v>0.75</v>
      </c>
      <c r="I36" s="30">
        <v>0.375</v>
      </c>
      <c r="J36" s="30">
        <v>0.95833333333333337</v>
      </c>
      <c r="K36" s="30">
        <v>0.375</v>
      </c>
      <c r="L36" s="30">
        <v>0.875</v>
      </c>
      <c r="M36" s="30">
        <v>0.35416666666666669</v>
      </c>
      <c r="N36" s="30">
        <v>0.83333333333333337</v>
      </c>
      <c r="O36" s="30"/>
      <c r="P36" s="30"/>
      <c r="Q36" s="30"/>
      <c r="R36" s="30"/>
      <c r="S36" s="30">
        <v>0.375</v>
      </c>
      <c r="T36" s="30">
        <v>0.9375</v>
      </c>
      <c r="U36" s="30">
        <v>0.27083333333333331</v>
      </c>
      <c r="V36" s="30">
        <v>0.20833333333333329</v>
      </c>
      <c r="W36" s="30">
        <v>0.45833333333333331</v>
      </c>
      <c r="X36" s="30">
        <v>0.20833333333333329</v>
      </c>
      <c r="Y36" s="30">
        <v>0.45833333333333331</v>
      </c>
      <c r="Z36" s="30">
        <v>0.75</v>
      </c>
      <c r="AA36" s="30">
        <v>0.375</v>
      </c>
      <c r="AB36" s="30">
        <v>0.75</v>
      </c>
      <c r="AC36" s="30"/>
      <c r="AD36" s="30"/>
      <c r="AE36" s="30"/>
      <c r="AF36" s="30"/>
      <c r="AG36" s="30">
        <v>0.375</v>
      </c>
      <c r="AH36" s="30">
        <v>0.79166666666666663</v>
      </c>
      <c r="AI36" s="30">
        <v>0.375</v>
      </c>
      <c r="AJ36" s="30">
        <v>0.79166666666666663</v>
      </c>
      <c r="AK36" s="30">
        <v>0.375</v>
      </c>
      <c r="AL36" s="30">
        <v>0.91666666666666663</v>
      </c>
      <c r="AM36" s="30">
        <v>0.375</v>
      </c>
      <c r="AN36" s="30">
        <v>0.20833333333333329</v>
      </c>
      <c r="AO36" s="30">
        <v>0.4375</v>
      </c>
      <c r="AP36" s="30">
        <v>0.75</v>
      </c>
      <c r="AQ36" s="30"/>
      <c r="AR36" s="30"/>
      <c r="AS36" s="30"/>
      <c r="AT36" s="30"/>
      <c r="AU36" s="30">
        <v>0.375</v>
      </c>
      <c r="AV36" s="30">
        <v>0.83472222222222225</v>
      </c>
      <c r="AW36" s="30">
        <v>0.375</v>
      </c>
      <c r="AX36" s="30">
        <v>0.75</v>
      </c>
      <c r="AY36" s="30"/>
      <c r="AZ36" s="30"/>
      <c r="BA36" s="30"/>
      <c r="BB36" s="30"/>
      <c r="BC36" s="30"/>
      <c r="BD36" s="30"/>
      <c r="BE36" s="30"/>
      <c r="BF36" s="30"/>
      <c r="BG36" s="30"/>
      <c r="BH36" s="30"/>
      <c r="BI36" s="30"/>
      <c r="BJ36" s="30"/>
      <c r="BK36" s="30"/>
      <c r="BL36" s="30"/>
    </row>
    <row r="37" spans="1:64">
      <c r="A37" s="28" t="s">
        <v>218</v>
      </c>
      <c r="B37" s="29" t="s">
        <v>194</v>
      </c>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row>
    <row r="38" spans="1:64">
      <c r="A38" s="28" t="s">
        <v>219</v>
      </c>
      <c r="B38" s="29">
        <v>0</v>
      </c>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row>
    <row r="39" spans="1:64" ht="28.5" customHeight="1">
      <c r="A39" s="28" t="s">
        <v>220</v>
      </c>
      <c r="B39" s="29" t="s">
        <v>201</v>
      </c>
      <c r="C39" s="30"/>
      <c r="D39" s="30"/>
      <c r="E39" s="30"/>
      <c r="F39" s="30"/>
      <c r="G39" s="30">
        <v>0.33333333333333331</v>
      </c>
      <c r="H39" s="30">
        <v>0.70833333333333337</v>
      </c>
      <c r="I39" s="30">
        <v>0.33333333333333331</v>
      </c>
      <c r="J39" s="30">
        <v>0.70833333333333337</v>
      </c>
      <c r="K39" s="30">
        <v>0.33333333333333331</v>
      </c>
      <c r="L39" s="30">
        <v>0.70833333333333337</v>
      </c>
      <c r="M39" s="30">
        <v>0.33333333333333331</v>
      </c>
      <c r="N39" s="30">
        <v>0.70833333333333337</v>
      </c>
      <c r="O39" s="30"/>
      <c r="P39" s="30"/>
      <c r="Q39" s="30"/>
      <c r="R39" s="30"/>
      <c r="S39" s="30">
        <v>0.33333333333333331</v>
      </c>
      <c r="T39" s="30">
        <v>0.70833333333333337</v>
      </c>
      <c r="U39" s="30">
        <v>0.33333333333333331</v>
      </c>
      <c r="V39" s="30">
        <v>0.70833333333333337</v>
      </c>
      <c r="W39" s="30">
        <v>0.33333333333333331</v>
      </c>
      <c r="X39" s="30">
        <v>0.70833333333333337</v>
      </c>
      <c r="Y39" s="30">
        <v>0.33333333333333331</v>
      </c>
      <c r="Z39" s="30">
        <v>0.70833333333333337</v>
      </c>
      <c r="AA39" s="30">
        <v>0.33333333333333331</v>
      </c>
      <c r="AB39" s="30">
        <v>0.70833333333333337</v>
      </c>
      <c r="AC39" s="30"/>
      <c r="AD39" s="30"/>
      <c r="AE39" s="30"/>
      <c r="AF39" s="30"/>
      <c r="AG39" s="30">
        <v>0.33333333333333331</v>
      </c>
      <c r="AH39" s="30">
        <v>0.70833333333333337</v>
      </c>
      <c r="AI39" s="30">
        <v>0.33333333333333331</v>
      </c>
      <c r="AJ39" s="30">
        <v>0.70833333333333337</v>
      </c>
      <c r="AK39" s="30">
        <v>0.33333333333333331</v>
      </c>
      <c r="AL39" s="30">
        <v>0.70833333333333337</v>
      </c>
      <c r="AM39" s="30">
        <v>0.33333333333333331</v>
      </c>
      <c r="AN39" s="30">
        <v>0.70833333333333337</v>
      </c>
      <c r="AO39" s="30">
        <v>0.33333333333333331</v>
      </c>
      <c r="AP39" s="30">
        <v>0.70833333333333337</v>
      </c>
      <c r="AQ39" s="30"/>
      <c r="AR39" s="30"/>
      <c r="AS39" s="30"/>
      <c r="AT39" s="30"/>
      <c r="AU39" s="30">
        <v>0.33333333333333331</v>
      </c>
      <c r="AV39" s="30">
        <v>0.70833333333333337</v>
      </c>
      <c r="AW39" s="30">
        <v>0.33333333333333331</v>
      </c>
      <c r="AX39" s="30">
        <v>0.70833333333333337</v>
      </c>
      <c r="AY39" s="30">
        <v>0.33333333333333331</v>
      </c>
      <c r="AZ39" s="30">
        <v>0.70833333333333337</v>
      </c>
      <c r="BA39" s="30">
        <v>0.33333333333333331</v>
      </c>
      <c r="BB39" s="30">
        <v>0.70833333333333337</v>
      </c>
      <c r="BC39" s="30">
        <v>0.33333333333333331</v>
      </c>
      <c r="BD39" s="30">
        <v>0.70833333333333337</v>
      </c>
      <c r="BE39" s="30"/>
      <c r="BF39" s="30"/>
      <c r="BG39" s="30"/>
      <c r="BH39" s="30"/>
      <c r="BI39" s="30">
        <v>0.33333333333333331</v>
      </c>
      <c r="BJ39" s="30">
        <v>0.70833333333333337</v>
      </c>
      <c r="BK39" s="30">
        <v>0.33333333333333331</v>
      </c>
      <c r="BL39" s="30">
        <v>0.70833333333333337</v>
      </c>
    </row>
    <row r="40" spans="1:64">
      <c r="A40" s="28" t="s">
        <v>221</v>
      </c>
      <c r="B40" s="29">
        <v>0</v>
      </c>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row>
    <row r="41" spans="1:64">
      <c r="A41" s="28" t="s">
        <v>222</v>
      </c>
      <c r="B41" s="29">
        <v>0</v>
      </c>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row>
    <row r="42" spans="1:64" ht="27.75" customHeight="1">
      <c r="A42" s="28" t="s">
        <v>223</v>
      </c>
      <c r="B42" s="29" t="s">
        <v>58</v>
      </c>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row>
    <row r="43" spans="1:64">
      <c r="A43" s="28" t="s">
        <v>224</v>
      </c>
      <c r="B43" s="29" t="s">
        <v>197</v>
      </c>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row>
    <row r="44" spans="1:64">
      <c r="A44" s="28" t="s">
        <v>225</v>
      </c>
      <c r="B44" s="29" t="s">
        <v>193</v>
      </c>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row>
    <row r="45" spans="1:64">
      <c r="A45" s="28" t="s">
        <v>226</v>
      </c>
      <c r="B45" s="29">
        <v>0</v>
      </c>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row>
    <row r="46" spans="1:64">
      <c r="A46" s="28" t="s">
        <v>227</v>
      </c>
      <c r="B46" s="29" t="s">
        <v>228</v>
      </c>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row>
    <row r="47" spans="1:64">
      <c r="A47" s="28" t="s">
        <v>229</v>
      </c>
      <c r="B47" s="29" t="s">
        <v>230</v>
      </c>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row>
    <row r="48" spans="1:64">
      <c r="A48" s="28" t="s">
        <v>231</v>
      </c>
      <c r="B48" s="29" t="s">
        <v>197</v>
      </c>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row>
    <row r="49" spans="1:64" ht="27.75" customHeight="1">
      <c r="A49" s="28" t="s">
        <v>232</v>
      </c>
      <c r="B49" s="29" t="s">
        <v>197</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row>
    <row r="50" spans="1:64">
      <c r="A50" s="28" t="s">
        <v>233</v>
      </c>
      <c r="B50" s="29" t="s">
        <v>194</v>
      </c>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row>
    <row r="51" spans="1:64">
      <c r="A51" s="28" t="s">
        <v>76</v>
      </c>
      <c r="B51" s="29" t="s">
        <v>194</v>
      </c>
      <c r="C51" s="30"/>
      <c r="D51" s="30"/>
      <c r="E51" s="30">
        <v>0.40138888888888891</v>
      </c>
      <c r="F51" s="30">
        <v>0.75</v>
      </c>
      <c r="G51" s="30">
        <v>0.41249999999999998</v>
      </c>
      <c r="H51" s="30">
        <v>0.75208333333333333</v>
      </c>
      <c r="I51" s="30" t="s">
        <v>234</v>
      </c>
      <c r="J51" s="30" t="s">
        <v>234</v>
      </c>
      <c r="K51" s="30" t="s">
        <v>234</v>
      </c>
      <c r="L51" s="30" t="s">
        <v>234</v>
      </c>
      <c r="M51" s="30">
        <v>0.41180555555555548</v>
      </c>
      <c r="N51" s="30">
        <v>0.75</v>
      </c>
      <c r="O51" s="30"/>
      <c r="P51" s="30"/>
      <c r="Q51" s="30"/>
      <c r="R51" s="30"/>
      <c r="S51" s="30" t="s">
        <v>234</v>
      </c>
      <c r="T51" s="30" t="s">
        <v>234</v>
      </c>
      <c r="U51" s="30" t="s">
        <v>234</v>
      </c>
      <c r="V51" s="30" t="s">
        <v>234</v>
      </c>
      <c r="W51" s="30" t="s">
        <v>234</v>
      </c>
      <c r="X51" s="30" t="s">
        <v>234</v>
      </c>
      <c r="Y51" s="30" t="s">
        <v>234</v>
      </c>
      <c r="Z51" s="30" t="s">
        <v>234</v>
      </c>
      <c r="AA51" s="30" t="s">
        <v>234</v>
      </c>
      <c r="AB51" s="30" t="s">
        <v>234</v>
      </c>
      <c r="AC51" s="30"/>
      <c r="AD51" s="30"/>
      <c r="AE51" s="30"/>
      <c r="AF51" s="30"/>
      <c r="AG51" s="30">
        <v>0.40902777777777782</v>
      </c>
      <c r="AH51" s="30">
        <v>0.77083333333333337</v>
      </c>
      <c r="AI51" s="30">
        <v>0.40625</v>
      </c>
      <c r="AJ51" s="30">
        <v>0.75555555555555554</v>
      </c>
      <c r="AK51" s="30">
        <v>0.40763888888888888</v>
      </c>
      <c r="AL51" s="30">
        <v>0.70902777777777781</v>
      </c>
      <c r="AM51" s="30" t="s">
        <v>234</v>
      </c>
      <c r="AN51" s="30" t="s">
        <v>234</v>
      </c>
      <c r="AO51" s="30">
        <v>0.41875000000000001</v>
      </c>
      <c r="AP51" s="30">
        <v>0.7319444444444444</v>
      </c>
      <c r="AQ51" s="30">
        <v>0.34513888888888888</v>
      </c>
      <c r="AR51" s="30">
        <v>0.79722222222222228</v>
      </c>
      <c r="AS51" s="30"/>
      <c r="AT51" s="30"/>
      <c r="AU51" s="30" t="s">
        <v>234</v>
      </c>
      <c r="AV51" s="30" t="s">
        <v>234</v>
      </c>
      <c r="AW51" s="30">
        <v>0.53749999999999998</v>
      </c>
      <c r="AX51" s="30">
        <v>0.75</v>
      </c>
      <c r="AY51" s="30" t="s">
        <v>234</v>
      </c>
      <c r="AZ51" s="30" t="s">
        <v>234</v>
      </c>
      <c r="BA51" s="30">
        <v>0.5</v>
      </c>
      <c r="BB51" s="30">
        <v>0.75</v>
      </c>
      <c r="BC51" s="30"/>
      <c r="BD51" s="30"/>
      <c r="BE51" s="30">
        <v>0.3125</v>
      </c>
      <c r="BF51" s="30">
        <v>0.58333333333333337</v>
      </c>
      <c r="BG51" s="30"/>
      <c r="BH51" s="30"/>
      <c r="BI51" s="30"/>
      <c r="BJ51" s="30"/>
      <c r="BK51" s="30"/>
      <c r="BL51" s="30"/>
    </row>
    <row r="52" spans="1:64">
      <c r="A52" s="28" t="s">
        <v>235</v>
      </c>
      <c r="B52" s="29">
        <v>0</v>
      </c>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row>
    <row r="53" spans="1:64">
      <c r="A53" s="28" t="s">
        <v>236</v>
      </c>
      <c r="B53" s="29">
        <v>0</v>
      </c>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row>
    <row r="54" spans="1:64">
      <c r="A54" s="28" t="s">
        <v>65</v>
      </c>
      <c r="B54" s="29" t="s">
        <v>194</v>
      </c>
      <c r="C54" s="30">
        <v>0.51249999999999996</v>
      </c>
      <c r="D54" s="30">
        <v>0.88749999999999996</v>
      </c>
      <c r="E54" s="30">
        <v>0.33333333333333331</v>
      </c>
      <c r="F54" s="30">
        <v>4.1666666666666657E-2</v>
      </c>
      <c r="G54" s="30">
        <v>0.33333333333333331</v>
      </c>
      <c r="H54" s="30">
        <v>0.78125</v>
      </c>
      <c r="I54" s="30">
        <v>0.33333333333333331</v>
      </c>
      <c r="J54" s="30">
        <v>0.97916666666666663</v>
      </c>
      <c r="K54" s="30">
        <v>0.33333333333333331</v>
      </c>
      <c r="L54" s="30">
        <v>0.875</v>
      </c>
      <c r="M54" s="30">
        <v>0.33333333333333331</v>
      </c>
      <c r="N54" s="30">
        <v>0.83333333333333337</v>
      </c>
      <c r="O54" s="30">
        <v>0.375</v>
      </c>
      <c r="P54" s="30">
        <v>0.90277777777777779</v>
      </c>
      <c r="Q54" s="30"/>
      <c r="R54" s="30"/>
      <c r="S54" s="30">
        <v>0.33194444444444438</v>
      </c>
      <c r="T54" s="30">
        <v>0.97916666666666663</v>
      </c>
      <c r="U54" s="30">
        <v>0.27083333333333331</v>
      </c>
      <c r="V54" s="30">
        <v>0.95833333333333337</v>
      </c>
      <c r="W54" s="30">
        <v>6.458333333333334E-2</v>
      </c>
      <c r="X54" s="30">
        <v>0.875</v>
      </c>
      <c r="Y54" s="30">
        <v>0.33333333333333331</v>
      </c>
      <c r="Z54" s="30">
        <v>0.875</v>
      </c>
      <c r="AA54" s="30">
        <v>0.25</v>
      </c>
      <c r="AB54" s="30">
        <v>0.97916666666666663</v>
      </c>
      <c r="AC54" s="30">
        <v>0.33402777777777781</v>
      </c>
      <c r="AD54" s="30">
        <v>0.9916666666666667</v>
      </c>
      <c r="AE54" s="30">
        <v>0.375</v>
      </c>
      <c r="AF54" s="30">
        <v>0.99930555555555556</v>
      </c>
      <c r="AG54" s="30">
        <v>0.33333333333333331</v>
      </c>
      <c r="AH54" s="30">
        <v>0.97916666666666663</v>
      </c>
      <c r="AI54" s="30">
        <v>0.34444444444444439</v>
      </c>
      <c r="AJ54" s="30">
        <v>0.875</v>
      </c>
      <c r="AK54" s="30">
        <v>0.33333333333333331</v>
      </c>
      <c r="AL54" s="30">
        <v>0.8569444444444444</v>
      </c>
      <c r="AM54" s="30">
        <v>0.33333333333333331</v>
      </c>
      <c r="AN54" s="30">
        <v>0.83333333333333337</v>
      </c>
      <c r="AO54" s="30">
        <v>0.3298611111111111</v>
      </c>
      <c r="AP54" s="30">
        <v>0.8569444444444444</v>
      </c>
      <c r="AQ54" s="30">
        <v>0.33333333333333331</v>
      </c>
      <c r="AR54" s="30">
        <v>0.97916666666666663</v>
      </c>
      <c r="AS54" s="30">
        <v>0.33333333333333331</v>
      </c>
      <c r="AT54" s="30">
        <v>0.75277777777777777</v>
      </c>
      <c r="AU54" s="30">
        <v>0.33333333333333331</v>
      </c>
      <c r="AV54" s="30">
        <v>0.91666666666666663</v>
      </c>
      <c r="AW54" s="30">
        <v>0.33402777777777781</v>
      </c>
      <c r="AX54" s="30">
        <v>0.75069444444444444</v>
      </c>
      <c r="AY54" s="30">
        <v>0.33194444444444438</v>
      </c>
      <c r="AZ54" s="30">
        <v>0.76458333333333328</v>
      </c>
      <c r="BA54" s="30">
        <v>0.33333333333333331</v>
      </c>
      <c r="BB54" s="30">
        <v>0.79166666666666663</v>
      </c>
      <c r="BC54" s="30">
        <v>0.33333333333333331</v>
      </c>
      <c r="BD54" s="30">
        <v>0.75</v>
      </c>
      <c r="BE54" s="30">
        <v>0.3347222222222222</v>
      </c>
      <c r="BF54" s="30">
        <v>0.56527777777777777</v>
      </c>
      <c r="BG54" s="30">
        <v>0.33194444444444438</v>
      </c>
      <c r="BH54" s="30">
        <v>0.60416666666666663</v>
      </c>
      <c r="BI54" s="30">
        <v>0.33333333333333331</v>
      </c>
      <c r="BJ54" s="30">
        <v>0.79374999999999996</v>
      </c>
      <c r="BK54" s="30">
        <v>0.3298611111111111</v>
      </c>
      <c r="BL54" s="30">
        <v>0.5</v>
      </c>
    </row>
    <row r="55" spans="1:64" ht="27.75" customHeight="1">
      <c r="A55" s="28" t="s">
        <v>237</v>
      </c>
      <c r="B55" s="29" t="s">
        <v>201</v>
      </c>
      <c r="C55" s="30"/>
      <c r="D55" s="30"/>
      <c r="E55" s="30">
        <v>0.33333333333333331</v>
      </c>
      <c r="F55" s="30">
        <v>0.70833333333333337</v>
      </c>
      <c r="G55" s="30">
        <v>0.33333333333333331</v>
      </c>
      <c r="H55" s="30">
        <v>0.70833333333333337</v>
      </c>
      <c r="I55" s="30">
        <v>0.33333333333333331</v>
      </c>
      <c r="J55" s="30">
        <v>0.70833333333333337</v>
      </c>
      <c r="K55" s="30">
        <v>0.33333333333333331</v>
      </c>
      <c r="L55" s="30">
        <v>0.70833333333333337</v>
      </c>
      <c r="M55" s="30">
        <v>0.33333333333333331</v>
      </c>
      <c r="N55" s="30">
        <v>0.70833333333333337</v>
      </c>
      <c r="O55" s="30"/>
      <c r="P55" s="30"/>
      <c r="Q55" s="30"/>
      <c r="R55" s="30"/>
      <c r="S55" s="30">
        <v>0.33333333333333331</v>
      </c>
      <c r="T55" s="30">
        <v>0.70833333333333337</v>
      </c>
      <c r="U55" s="30">
        <v>0.33333333333333331</v>
      </c>
      <c r="V55" s="30">
        <v>0.70833333333333337</v>
      </c>
      <c r="W55" s="30">
        <v>0.33333333333333331</v>
      </c>
      <c r="X55" s="30">
        <v>0.70833333333333337</v>
      </c>
      <c r="Y55" s="30">
        <v>0.33333333333333331</v>
      </c>
      <c r="Z55" s="30">
        <v>0.70833333333333337</v>
      </c>
      <c r="AA55" s="30">
        <v>0.33333333333333331</v>
      </c>
      <c r="AB55" s="30">
        <v>0.70833333333333337</v>
      </c>
      <c r="AC55" s="30"/>
      <c r="AD55" s="30"/>
      <c r="AE55" s="30"/>
      <c r="AF55" s="30"/>
      <c r="AG55" s="30">
        <v>0.33333333333333331</v>
      </c>
      <c r="AH55" s="30">
        <v>0.70833333333333337</v>
      </c>
      <c r="AI55" s="30">
        <v>0.33333333333333331</v>
      </c>
      <c r="AJ55" s="30">
        <v>0.70833333333333337</v>
      </c>
      <c r="AK55" s="30">
        <v>0.33333333333333331</v>
      </c>
      <c r="AL55" s="30">
        <v>0.70833333333333337</v>
      </c>
      <c r="AM55" s="30">
        <v>0.33333333333333331</v>
      </c>
      <c r="AN55" s="30">
        <v>0.70833333333333337</v>
      </c>
      <c r="AO55" s="30">
        <v>0.33333333333333331</v>
      </c>
      <c r="AP55" s="30">
        <v>0.70833333333333337</v>
      </c>
      <c r="AQ55" s="30"/>
      <c r="AR55" s="30"/>
      <c r="AS55" s="30"/>
      <c r="AT55" s="30"/>
      <c r="AU55" s="30">
        <v>0.33333333333333331</v>
      </c>
      <c r="AV55" s="30">
        <v>0.70833333333333337</v>
      </c>
      <c r="AW55" s="30">
        <v>0.33333333333333331</v>
      </c>
      <c r="AX55" s="30">
        <v>0.70833333333333337</v>
      </c>
      <c r="AY55" s="30">
        <v>0.33333333333333331</v>
      </c>
      <c r="AZ55" s="30">
        <v>0.70833333333333337</v>
      </c>
      <c r="BA55" s="30">
        <v>0.375</v>
      </c>
      <c r="BB55" s="30">
        <v>0.60416666666666663</v>
      </c>
      <c r="BC55" s="30">
        <v>0.33333333333333331</v>
      </c>
      <c r="BD55" s="30">
        <v>0.70833333333333337</v>
      </c>
      <c r="BE55" s="30"/>
      <c r="BF55" s="30"/>
      <c r="BG55" s="30"/>
      <c r="BH55" s="30"/>
      <c r="BI55" s="30">
        <v>0.33333333333333331</v>
      </c>
      <c r="BJ55" s="30">
        <v>0.70833333333333337</v>
      </c>
      <c r="BK55" s="30">
        <v>0.33333333333333331</v>
      </c>
      <c r="BL55" s="30">
        <v>0.70833333333333337</v>
      </c>
    </row>
    <row r="56" spans="1:64" ht="27.75" customHeight="1">
      <c r="A56" s="28" t="s">
        <v>238</v>
      </c>
      <c r="B56" s="29" t="s">
        <v>201</v>
      </c>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row>
    <row r="57" spans="1:64" ht="27.75" customHeight="1">
      <c r="A57" s="28" t="s">
        <v>239</v>
      </c>
      <c r="B57" s="29" t="s">
        <v>240</v>
      </c>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row>
    <row r="58" spans="1:64">
      <c r="A58" s="28" t="s">
        <v>241</v>
      </c>
      <c r="B58" s="29" t="s">
        <v>201</v>
      </c>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row>
    <row r="59" spans="1:64">
      <c r="A59" s="28" t="s">
        <v>242</v>
      </c>
      <c r="B59" s="29">
        <v>0</v>
      </c>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row>
    <row r="60" spans="1:64">
      <c r="A60" s="28" t="s">
        <v>75</v>
      </c>
      <c r="B60" s="29" t="s">
        <v>194</v>
      </c>
      <c r="C60" s="30"/>
      <c r="D60" s="30"/>
      <c r="E60" s="30"/>
      <c r="F60" s="30"/>
      <c r="G60" s="30"/>
      <c r="H60" s="30"/>
      <c r="I60" s="30"/>
      <c r="J60" s="30"/>
      <c r="K60" s="30"/>
      <c r="L60" s="30"/>
      <c r="M60" s="30"/>
      <c r="N60" s="30"/>
      <c r="O60" s="30"/>
      <c r="P60" s="30"/>
      <c r="Q60" s="30"/>
      <c r="R60" s="30"/>
      <c r="S60" s="30"/>
      <c r="T60" s="30"/>
      <c r="U60" s="30"/>
      <c r="V60" s="30"/>
      <c r="W60" s="30">
        <v>0.625</v>
      </c>
      <c r="X60" s="30">
        <v>0.95833333333333337</v>
      </c>
      <c r="Y60" s="30"/>
      <c r="Z60" s="30"/>
      <c r="AA60" s="30"/>
      <c r="AB60" s="30"/>
      <c r="AC60" s="30">
        <v>0.3125</v>
      </c>
      <c r="AD60" s="30">
        <v>0.91666666666666663</v>
      </c>
      <c r="AE60" s="30"/>
      <c r="AF60" s="30"/>
      <c r="AG60" s="30"/>
      <c r="AH60" s="30"/>
      <c r="AI60" s="30">
        <v>0.5625</v>
      </c>
      <c r="AJ60" s="30">
        <v>0.95833333333333337</v>
      </c>
      <c r="AK60" s="30">
        <v>0.5625</v>
      </c>
      <c r="AL60" s="30">
        <v>0.95833333333333337</v>
      </c>
      <c r="AM60" s="30"/>
      <c r="AN60" s="30"/>
      <c r="AO60" s="30"/>
      <c r="AP60" s="30"/>
      <c r="AQ60" s="30"/>
      <c r="AR60" s="30"/>
      <c r="AS60" s="30"/>
      <c r="AT60" s="30"/>
      <c r="AU60" s="30">
        <v>0.58333333333333337</v>
      </c>
      <c r="AV60" s="30">
        <v>0.95833333333333337</v>
      </c>
      <c r="AW60" s="30">
        <v>0.58333333333333337</v>
      </c>
      <c r="AX60" s="30">
        <v>0.95833333333333337</v>
      </c>
      <c r="AY60" s="30"/>
      <c r="AZ60" s="30"/>
      <c r="BA60" s="30">
        <v>0.75</v>
      </c>
      <c r="BB60" s="30">
        <v>0.95833333333333337</v>
      </c>
      <c r="BC60" s="30"/>
      <c r="BD60" s="30"/>
      <c r="BE60" s="30">
        <v>0.29166666666666669</v>
      </c>
      <c r="BF60" s="30">
        <v>0.89583333333333337</v>
      </c>
      <c r="BG60" s="30"/>
      <c r="BH60" s="30"/>
      <c r="BI60" s="30"/>
      <c r="BJ60" s="30"/>
      <c r="BK60" s="30">
        <v>0.625</v>
      </c>
      <c r="BL60" s="30">
        <v>0.95833333333333337</v>
      </c>
    </row>
    <row r="61" spans="1:64">
      <c r="A61" s="28"/>
      <c r="B61" s="29"/>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row>
    <row r="62" spans="1:64">
      <c r="A62" s="28"/>
      <c r="B62" s="29"/>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row>
    <row r="63" spans="1:64">
      <c r="A63" s="28"/>
      <c r="B63" s="29"/>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row>
    <row r="64" spans="1:64">
      <c r="A64" s="28"/>
      <c r="B64" s="29"/>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row>
    <row r="65" spans="1:64">
      <c r="A65" s="28"/>
      <c r="B65" s="29"/>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row>
    <row r="66" spans="1:64">
      <c r="A66" s="28"/>
      <c r="B66" s="29"/>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row>
    <row r="67" spans="1:64">
      <c r="A67" s="28"/>
      <c r="B67" s="29"/>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row>
    <row r="68" spans="1:64">
      <c r="A68" s="28"/>
      <c r="B68" s="29"/>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row>
    <row r="69" spans="1:64">
      <c r="A69" s="28"/>
      <c r="B69" s="29"/>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row>
    <row r="70" spans="1:64">
      <c r="A70" s="28"/>
      <c r="B70" s="29"/>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row>
    <row r="71" spans="1:64">
      <c r="A71" s="28"/>
      <c r="B71" s="29"/>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row>
    <row r="72" spans="1:64">
      <c r="A72" s="28"/>
      <c r="B72" s="29"/>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row>
    <row r="73" spans="1:64">
      <c r="A73" s="28"/>
      <c r="B73" s="29"/>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row>
    <row r="74" spans="1:64">
      <c r="A74" s="28"/>
      <c r="B74" s="29"/>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row>
    <row r="75" spans="1:64">
      <c r="A75" s="28"/>
      <c r="B75" s="29"/>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row>
    <row r="76" spans="1:64">
      <c r="A76" s="28"/>
      <c r="B76" s="29"/>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row>
    <row r="77" spans="1:64">
      <c r="A77" s="28"/>
      <c r="B77" s="29"/>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row>
    <row r="78" spans="1:64">
      <c r="A78" s="28"/>
      <c r="B78" s="29"/>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row>
    <row r="79" spans="1:64">
      <c r="A79" s="28"/>
      <c r="B79" s="29"/>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row>
    <row r="80" spans="1:64">
      <c r="A80" s="28"/>
      <c r="B80" s="29"/>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row>
    <row r="81" spans="1:64">
      <c r="A81" s="28"/>
      <c r="B81" s="29"/>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row>
    <row r="82" spans="1:64">
      <c r="A82" s="28"/>
      <c r="B82" s="29"/>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row>
    <row r="83" spans="1:64">
      <c r="A83" s="28"/>
      <c r="B83" s="29"/>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row>
    <row r="84" spans="1:64">
      <c r="A84" s="28"/>
      <c r="B84" s="29"/>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row>
    <row r="85" spans="1:64">
      <c r="A85" s="28"/>
      <c r="B85" s="29"/>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row>
    <row r="86" spans="1:64">
      <c r="A86" s="28"/>
      <c r="B86" s="29"/>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row>
    <row r="87" spans="1:64">
      <c r="A87" s="28"/>
      <c r="B87" s="29"/>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row>
    <row r="88" spans="1:64">
      <c r="A88" s="28"/>
      <c r="B88" s="29"/>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row>
    <row r="89" spans="1:64">
      <c r="A89" s="28"/>
      <c r="B89" s="29"/>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row>
    <row r="90" spans="1:64">
      <c r="A90" s="28"/>
      <c r="B90" s="29"/>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row>
    <row r="91" spans="1:64">
      <c r="A91" s="28"/>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row>
    <row r="92" spans="1:64">
      <c r="A92" s="28"/>
      <c r="B92" s="29"/>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row>
    <row r="93" spans="1:64">
      <c r="A93" s="28"/>
      <c r="B93" s="29"/>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row>
    <row r="94" spans="1:64">
      <c r="A94" s="28"/>
      <c r="B94" s="29"/>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row>
    <row r="95" spans="1:64">
      <c r="A95" s="28"/>
      <c r="B95" s="29"/>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row>
    <row r="96" spans="1:64">
      <c r="A96" s="28"/>
      <c r="B96" s="29"/>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row>
    <row r="97" spans="1:64">
      <c r="A97" s="28"/>
      <c r="B97" s="29"/>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row>
    <row r="98" spans="1:64">
      <c r="A98" s="28"/>
      <c r="B98" s="29"/>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row>
    <row r="99" spans="1:64">
      <c r="A99" s="28"/>
      <c r="B99" s="29"/>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row>
    <row r="100" spans="1:64">
      <c r="A100" s="28"/>
      <c r="B100" s="29"/>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row>
    <row r="101" spans="1:64">
      <c r="A101" s="28"/>
      <c r="B101" s="29"/>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row>
    <row r="102" spans="1:64">
      <c r="A102" s="28"/>
      <c r="B102" s="29"/>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row>
    <row r="103" spans="1:64">
      <c r="A103" s="28"/>
      <c r="B103" s="29"/>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row>
    <row r="104" spans="1:64">
      <c r="A104" s="28"/>
      <c r="B104" s="29"/>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row>
    <row r="105" spans="1:64">
      <c r="A105" s="28"/>
      <c r="B105" s="29"/>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row>
    <row r="106" spans="1:64">
      <c r="A106" s="28"/>
      <c r="B106" s="29"/>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row>
    <row r="107" spans="1:64">
      <c r="A107" s="28"/>
      <c r="B107" s="29"/>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row>
    <row r="108" spans="1:64">
      <c r="A108" s="28"/>
      <c r="B108" s="29"/>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row>
    <row r="109" spans="1:64">
      <c r="A109" s="28"/>
      <c r="B109" s="29"/>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row>
    <row r="110" spans="1:64">
      <c r="A110" s="28"/>
      <c r="B110" s="29"/>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row>
    <row r="111" spans="1:64">
      <c r="A111" s="28"/>
      <c r="B111" s="29"/>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row>
    <row r="112" spans="1:64">
      <c r="A112" s="28"/>
      <c r="B112" s="29"/>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row>
    <row r="113" spans="1:64">
      <c r="A113" s="28"/>
      <c r="B113" s="29"/>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row>
    <row r="114" spans="1:64">
      <c r="A114" s="28"/>
      <c r="B114" s="29"/>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row>
    <row r="115" spans="1:64">
      <c r="A115" s="28"/>
      <c r="B115" s="29"/>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row>
    <row r="116" spans="1:64">
      <c r="A116" s="28"/>
      <c r="B116" s="29"/>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row>
    <row r="117" spans="1:64">
      <c r="A117" s="28"/>
      <c r="B117" s="29"/>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row>
    <row r="118" spans="1:64">
      <c r="A118" s="28"/>
      <c r="B118" s="29"/>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row>
    <row r="119" spans="1:64">
      <c r="A119" s="28"/>
      <c r="B119" s="29"/>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row>
    <row r="120" spans="1:64">
      <c r="A120" s="28"/>
      <c r="B120" s="29"/>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row>
    <row r="121" spans="1:64">
      <c r="A121" s="28"/>
      <c r="B121" s="29"/>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row>
    <row r="122" spans="1:64">
      <c r="A122" s="28"/>
      <c r="B122" s="29"/>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row>
    <row r="123" spans="1:64">
      <c r="A123" s="28"/>
      <c r="B123" s="29"/>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row>
    <row r="124" spans="1:64">
      <c r="A124" s="28"/>
      <c r="B124" s="29"/>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row>
    <row r="125" spans="1:64">
      <c r="A125" s="28"/>
      <c r="B125" s="29"/>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row>
    <row r="126" spans="1:64">
      <c r="A126" s="28"/>
      <c r="B126" s="29"/>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row>
    <row r="127" spans="1:64">
      <c r="A127" s="28"/>
      <c r="B127" s="29"/>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row>
    <row r="128" spans="1:64">
      <c r="A128" s="28"/>
      <c r="B128" s="29"/>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row>
    <row r="129" spans="1:64">
      <c r="A129" s="28"/>
      <c r="B129" s="29"/>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row>
    <row r="130" spans="1:64">
      <c r="A130" s="28"/>
      <c r="B130" s="29"/>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row>
    <row r="131" spans="1:64">
      <c r="A131" s="28"/>
      <c r="B131" s="29"/>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row>
    <row r="132" spans="1:64">
      <c r="A132" s="28"/>
      <c r="B132" s="29"/>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row>
    <row r="133" spans="1:64">
      <c r="A133" s="28"/>
      <c r="B133" s="29"/>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row>
    <row r="134" spans="1:64">
      <c r="A134" s="28"/>
      <c r="B134" s="29"/>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row>
    <row r="135" spans="1:64">
      <c r="A135" s="28"/>
      <c r="B135" s="29"/>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row>
    <row r="136" spans="1:64">
      <c r="A136" s="28"/>
      <c r="B136" s="29"/>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row>
    <row r="137" spans="1:64">
      <c r="A137" s="28"/>
      <c r="B137" s="29"/>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row>
    <row r="138" spans="1:64">
      <c r="A138" s="28"/>
      <c r="B138" s="29"/>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row>
    <row r="139" spans="1:64">
      <c r="A139" s="28"/>
      <c r="B139" s="29"/>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row>
    <row r="140" spans="1:64">
      <c r="A140" s="28"/>
      <c r="B140" s="29"/>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row>
    <row r="141" spans="1:64">
      <c r="A141" s="28"/>
      <c r="B141" s="29"/>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row>
    <row r="142" spans="1:64">
      <c r="A142" s="28"/>
      <c r="B142" s="29"/>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row>
    <row r="143" spans="1:64">
      <c r="A143" s="28"/>
      <c r="B143" s="29"/>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row>
    <row r="144" spans="1:64">
      <c r="A144" s="28"/>
      <c r="B144" s="29"/>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row>
    <row r="145" spans="1:64">
      <c r="A145" s="28"/>
      <c r="B145" s="29"/>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row>
    <row r="146" spans="1:64">
      <c r="A146" s="28"/>
      <c r="B146" s="29"/>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row>
    <row r="147" spans="1:64">
      <c r="A147" s="28"/>
      <c r="B147" s="29"/>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row>
    <row r="148" spans="1:64">
      <c r="A148" s="28"/>
      <c r="B148" s="29"/>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row>
    <row r="149" spans="1:64">
      <c r="A149" s="28"/>
      <c r="B149" s="29"/>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row>
    <row r="150" spans="1:64">
      <c r="A150" s="28"/>
      <c r="B150" s="29"/>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row>
    <row r="151" spans="1:64">
      <c r="A151" s="28"/>
      <c r="B151" s="29"/>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row>
    <row r="152" spans="1:64">
      <c r="A152" s="28"/>
      <c r="B152" s="29"/>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row>
    <row r="153" spans="1:64">
      <c r="A153" s="28"/>
      <c r="B153" s="29"/>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row>
    <row r="154" spans="1:64">
      <c r="A154" s="28"/>
      <c r="B154" s="29"/>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row>
    <row r="155" spans="1:64">
      <c r="A155" s="28"/>
      <c r="B155" s="29"/>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row>
    <row r="156" spans="1:64">
      <c r="A156" s="28"/>
      <c r="B156" s="29"/>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row>
    <row r="157" spans="1:64">
      <c r="A157" s="28"/>
      <c r="B157" s="29"/>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row>
    <row r="158" spans="1:64">
      <c r="A158" s="28"/>
      <c r="B158" s="29"/>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row>
    <row r="159" spans="1:64">
      <c r="A159" s="28"/>
      <c r="B159" s="29"/>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row>
    <row r="160" spans="1:64">
      <c r="A160" s="28"/>
      <c r="B160" s="29"/>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row>
    <row r="161" spans="1:64">
      <c r="A161" s="28"/>
      <c r="B161" s="29"/>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row>
    <row r="162" spans="1:64">
      <c r="A162" s="28"/>
      <c r="B162" s="29"/>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row>
    <row r="163" spans="1:64">
      <c r="A163" s="28"/>
      <c r="B163" s="29"/>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row>
    <row r="164" spans="1:64">
      <c r="A164" s="28"/>
      <c r="B164" s="29"/>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row>
    <row r="165" spans="1:64">
      <c r="A165" s="28"/>
      <c r="B165" s="29"/>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row>
    <row r="166" spans="1:64">
      <c r="A166" s="28"/>
      <c r="B166" s="29"/>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row>
    <row r="167" spans="1:64">
      <c r="A167" s="28"/>
      <c r="B167" s="29"/>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row>
    <row r="168" spans="1:64">
      <c r="A168" s="28"/>
      <c r="B168" s="29"/>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row>
    <row r="169" spans="1:64">
      <c r="A169" s="28"/>
      <c r="B169" s="29"/>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row>
    <row r="170" spans="1:64">
      <c r="A170" s="28"/>
      <c r="B170" s="29"/>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row>
    <row r="171" spans="1:64">
      <c r="A171" s="28"/>
      <c r="B171" s="29"/>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row>
    <row r="172" spans="1:64">
      <c r="A172" s="28"/>
      <c r="B172" s="29"/>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row>
    <row r="173" spans="1:64">
      <c r="A173" s="28"/>
      <c r="B173" s="29"/>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row>
    <row r="174" spans="1:64">
      <c r="A174" s="28"/>
      <c r="B174" s="29"/>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row>
    <row r="175" spans="1:64">
      <c r="A175" s="28"/>
      <c r="B175" s="29"/>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row>
    <row r="176" spans="1:64">
      <c r="A176" s="28"/>
      <c r="B176" s="29"/>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row>
    <row r="177" spans="1:64">
      <c r="A177" s="28"/>
      <c r="B177" s="29"/>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row>
    <row r="178" spans="1:64">
      <c r="A178" s="28"/>
      <c r="B178" s="29"/>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row>
    <row r="179" spans="1:64">
      <c r="A179" s="28"/>
      <c r="B179" s="29"/>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row>
    <row r="180" spans="1:64">
      <c r="A180" s="28"/>
      <c r="B180" s="29"/>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row>
    <row r="181" spans="1:64">
      <c r="A181" s="28"/>
      <c r="B181" s="29"/>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row>
    <row r="182" spans="1:64">
      <c r="A182" s="28"/>
      <c r="B182" s="29"/>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row>
    <row r="183" spans="1:64">
      <c r="A183" s="28"/>
      <c r="B183" s="29"/>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row>
    <row r="184" spans="1:64">
      <c r="A184" s="28"/>
      <c r="B184" s="29"/>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row>
    <row r="185" spans="1:64">
      <c r="A185" s="28"/>
      <c r="B185" s="29"/>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row>
    <row r="186" spans="1:64">
      <c r="A186" s="28"/>
      <c r="B186" s="29"/>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row>
    <row r="187" spans="1:64">
      <c r="A187" s="28"/>
      <c r="B187" s="29"/>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row>
    <row r="188" spans="1:64">
      <c r="A188" s="28"/>
      <c r="B188" s="29"/>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row>
    <row r="189" spans="1:64">
      <c r="A189" s="28"/>
      <c r="B189" s="29"/>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row>
    <row r="190" spans="1:64">
      <c r="A190" s="28"/>
      <c r="B190" s="29"/>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row>
    <row r="191" spans="1:64">
      <c r="A191" s="28"/>
      <c r="B191" s="29"/>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row>
    <row r="192" spans="1:64">
      <c r="A192" s="28"/>
      <c r="B192" s="29"/>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row>
    <row r="193" spans="1:64">
      <c r="A193" s="28"/>
      <c r="B193" s="29"/>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row>
    <row r="194" spans="1:64">
      <c r="A194" s="28"/>
      <c r="B194" s="29"/>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row>
    <row r="195" spans="1:64">
      <c r="A195" s="28"/>
      <c r="B195" s="29"/>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row>
    <row r="196" spans="1:64">
      <c r="A196" s="28"/>
      <c r="B196" s="29"/>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row>
    <row r="197" spans="1:64">
      <c r="A197" s="28"/>
      <c r="B197" s="29"/>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row>
    <row r="198" spans="1:64">
      <c r="A198" s="28"/>
      <c r="B198" s="29"/>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row>
    <row r="199" spans="1:64">
      <c r="A199" s="28"/>
      <c r="B199" s="29"/>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row>
    <row r="200" spans="1:64">
      <c r="A200" s="28"/>
      <c r="B200" s="29"/>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row>
    <row r="201" spans="1:64">
      <c r="A201" s="28"/>
      <c r="B201" s="29"/>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row>
    <row r="202" spans="1:64">
      <c r="A202" s="28"/>
      <c r="B202" s="29"/>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row>
  </sheetData>
  <mergeCells count="1">
    <mergeCell ref="A1:B1"/>
  </mergeCells>
  <conditionalFormatting sqref="C2:D202">
    <cfRule type="expression" dxfId="82" priority="13">
      <formula>1</formula>
    </cfRule>
  </conditionalFormatting>
  <conditionalFormatting sqref="C3:C202">
    <cfRule type="expression" dxfId="81" priority="14">
      <formula>AND($C3="",$D3&lt;&gt;"",UPPER($D3)&lt;&gt;"PTO",UPPER($D3)&lt;&gt;"OUT SICK",UPPER($D3)&lt;&gt;"N/A")</formula>
    </cfRule>
  </conditionalFormatting>
  <conditionalFormatting sqref="D3:D202">
    <cfRule type="expression" dxfId="80" priority="15">
      <formula>AND($D3="",$C3&lt;&gt;"",UPPER($C3)&lt;&gt;"PTO",UPPER($C3)&lt;&gt;"OUT SICK",UPPER($C3)&lt;&gt;"N/A")</formula>
    </cfRule>
  </conditionalFormatting>
  <conditionalFormatting sqref="E3:E202">
    <cfRule type="expression" dxfId="79" priority="16">
      <formula>AND($E3="",$F3&lt;&gt;"",UPPER($F3)&lt;&gt;"PTO",UPPER($F3)&lt;&gt;"OUT SICK",UPPER($F3)&lt;&gt;"N/A")</formula>
    </cfRule>
  </conditionalFormatting>
  <conditionalFormatting sqref="F3:F202">
    <cfRule type="expression" dxfId="78" priority="17">
      <formula>AND($F3="",$E3&lt;&gt;"",UPPER($E3)&lt;&gt;"PTO",UPPER($E3)&lt;&gt;"OUT SICK",UPPER($E3)&lt;&gt;"N/A")</formula>
    </cfRule>
  </conditionalFormatting>
  <conditionalFormatting sqref="G3:G202">
    <cfRule type="expression" dxfId="77" priority="18">
      <formula>AND($G3="",$H3&lt;&gt;"",UPPER($H3)&lt;&gt;"PTO",UPPER($H3)&lt;&gt;"OUT SICK",UPPER($H3)&lt;&gt;"N/A")</formula>
    </cfRule>
  </conditionalFormatting>
  <conditionalFormatting sqref="H3:H202">
    <cfRule type="expression" dxfId="76" priority="19">
      <formula>AND($H3="",$G3&lt;&gt;"",UPPER($G3)&lt;&gt;"PTO",UPPER($G3)&lt;&gt;"OUT SICK",UPPER($G3)&lt;&gt;"N/A")</formula>
    </cfRule>
  </conditionalFormatting>
  <conditionalFormatting sqref="I3:I202">
    <cfRule type="expression" dxfId="75" priority="20">
      <formula>AND($I3="",$J3&lt;&gt;"",UPPER($J3)&lt;&gt;"PTO",UPPER($J3)&lt;&gt;"OUT SICK",UPPER($J3)&lt;&gt;"N/A")</formula>
    </cfRule>
  </conditionalFormatting>
  <conditionalFormatting sqref="J3:J202">
    <cfRule type="expression" dxfId="74" priority="21">
      <formula>AND($J3="",$I3&lt;&gt;"",UPPER($I3)&lt;&gt;"PTO",UPPER($I3)&lt;&gt;"OUT SICK",UPPER($I3)&lt;&gt;"N/A")</formula>
    </cfRule>
  </conditionalFormatting>
  <conditionalFormatting sqref="K3:K202">
    <cfRule type="expression" dxfId="73" priority="22">
      <formula>AND($K3="",$L3&lt;&gt;"",UPPER($L3)&lt;&gt;"PTO",UPPER($L3)&lt;&gt;"OUT SICK",UPPER($L3)&lt;&gt;"N/A")</formula>
    </cfRule>
  </conditionalFormatting>
  <conditionalFormatting sqref="L3:L202">
    <cfRule type="expression" dxfId="72" priority="23">
      <formula>AND($L3="",$K3&lt;&gt;"",UPPER($K3)&lt;&gt;"PTO",UPPER($K3)&lt;&gt;"OUT SICK",UPPER($K3)&lt;&gt;"N/A")</formula>
    </cfRule>
  </conditionalFormatting>
  <conditionalFormatting sqref="M3:M202">
    <cfRule type="expression" dxfId="71" priority="24">
      <formula>AND($M3="",$N3&lt;&gt;"",UPPER($N3)&lt;&gt;"PTO",UPPER($N3)&lt;&gt;"OUT SICK",UPPER($N3)&lt;&gt;"N/A")</formula>
    </cfRule>
  </conditionalFormatting>
  <conditionalFormatting sqref="N3:N202">
    <cfRule type="expression" dxfId="70" priority="25">
      <formula>AND($N3="",$M3&lt;&gt;"",UPPER($M3)&lt;&gt;"PTO",UPPER($M3)&lt;&gt;"OUT SICK",UPPER($M3)&lt;&gt;"N/A")</formula>
    </cfRule>
  </conditionalFormatting>
  <conditionalFormatting sqref="O2:P202">
    <cfRule type="expression" dxfId="69" priority="26">
      <formula>1</formula>
    </cfRule>
  </conditionalFormatting>
  <conditionalFormatting sqref="O3:O202">
    <cfRule type="expression" dxfId="68" priority="27">
      <formula>AND($O3="",$P3&lt;&gt;"",UPPER($P3)&lt;&gt;"PTO",UPPER($P3)&lt;&gt;"OUT SICK",UPPER($P3)&lt;&gt;"N/A")</formula>
    </cfRule>
  </conditionalFormatting>
  <conditionalFormatting sqref="P3:P202">
    <cfRule type="expression" dxfId="67" priority="28">
      <formula>AND($P3="",$O3&lt;&gt;"",UPPER($O3)&lt;&gt;"PTO",UPPER($O3)&lt;&gt;"OUT SICK",UPPER($O3)&lt;&gt;"N/A")</formula>
    </cfRule>
  </conditionalFormatting>
  <conditionalFormatting sqref="Q2:R202">
    <cfRule type="expression" dxfId="66" priority="29">
      <formula>1</formula>
    </cfRule>
  </conditionalFormatting>
  <conditionalFormatting sqref="Q3:Q202">
    <cfRule type="expression" dxfId="65" priority="30">
      <formula>AND($Q3="",$R3&lt;&gt;"",UPPER($R3)&lt;&gt;"PTO",UPPER($R3)&lt;&gt;"OUT SICK",UPPER($R3)&lt;&gt;"N/A")</formula>
    </cfRule>
  </conditionalFormatting>
  <conditionalFormatting sqref="R3:R202">
    <cfRule type="expression" dxfId="64" priority="31">
      <formula>AND($R3="",$Q3&lt;&gt;"",UPPER($Q3)&lt;&gt;"PTO",UPPER($Q3)&lt;&gt;"OUT SICK",UPPER($Q3)&lt;&gt;"N/A")</formula>
    </cfRule>
  </conditionalFormatting>
  <conditionalFormatting sqref="S3:S202">
    <cfRule type="expression" dxfId="63" priority="32">
      <formula>AND($S3="",$T3&lt;&gt;"",UPPER($T3)&lt;&gt;"PTO",UPPER($T3)&lt;&gt;"OUT SICK",UPPER($T3)&lt;&gt;"N/A")</formula>
    </cfRule>
  </conditionalFormatting>
  <conditionalFormatting sqref="T3:T202">
    <cfRule type="expression" dxfId="62" priority="33">
      <formula>AND($T3="",$S3&lt;&gt;"",UPPER($S3)&lt;&gt;"PTO",UPPER($S3)&lt;&gt;"OUT SICK",UPPER($S3)&lt;&gt;"N/A")</formula>
    </cfRule>
  </conditionalFormatting>
  <conditionalFormatting sqref="U3:U202">
    <cfRule type="expression" dxfId="61" priority="34">
      <formula>AND($U3="",$V3&lt;&gt;"",UPPER($V3)&lt;&gt;"PTO",UPPER($V3)&lt;&gt;"OUT SICK",UPPER($V3)&lt;&gt;"N/A")</formula>
    </cfRule>
  </conditionalFormatting>
  <conditionalFormatting sqref="V3:V202">
    <cfRule type="expression" dxfId="60" priority="35">
      <formula>AND($V3="",$U3&lt;&gt;"",UPPER($U3)&lt;&gt;"PTO",UPPER($U3)&lt;&gt;"OUT SICK",UPPER($U3)&lt;&gt;"N/A")</formula>
    </cfRule>
  </conditionalFormatting>
  <conditionalFormatting sqref="W3:W202">
    <cfRule type="expression" dxfId="59" priority="36">
      <formula>AND($W3="",$X3&lt;&gt;"",UPPER($X3)&lt;&gt;"PTO",UPPER($X3)&lt;&gt;"OUT SICK",UPPER($X3)&lt;&gt;"N/A")</formula>
    </cfRule>
  </conditionalFormatting>
  <conditionalFormatting sqref="X3:X202">
    <cfRule type="expression" dxfId="58" priority="37">
      <formula>AND($X3="",$W3&lt;&gt;"",UPPER($W3)&lt;&gt;"PTO",UPPER($W3)&lt;&gt;"OUT SICK",UPPER($W3)&lt;&gt;"N/A")</formula>
    </cfRule>
  </conditionalFormatting>
  <conditionalFormatting sqref="Y3:Y202">
    <cfRule type="expression" dxfId="57" priority="38">
      <formula>AND($Y3="",$Z3&lt;&gt;"",UPPER($Z3)&lt;&gt;"PTO",UPPER($Z3)&lt;&gt;"OUT SICK",UPPER($Z3)&lt;&gt;"N/A")</formula>
    </cfRule>
  </conditionalFormatting>
  <conditionalFormatting sqref="Z3:Z202">
    <cfRule type="expression" dxfId="56" priority="39">
      <formula>AND($Z3="",$Y3&lt;&gt;"",UPPER($Y3)&lt;&gt;"PTO",UPPER($Y3)&lt;&gt;"OUT SICK",UPPER($Y3)&lt;&gt;"N/A")</formula>
    </cfRule>
  </conditionalFormatting>
  <conditionalFormatting sqref="AA3:AA202">
    <cfRule type="expression" dxfId="55" priority="40">
      <formula>AND($AA3="",$AB3&lt;&gt;"",UPPER($AB3)&lt;&gt;"PTO",UPPER($AB3)&lt;&gt;"OUT SICK",UPPER($AB3)&lt;&gt;"N/A")</formula>
    </cfRule>
  </conditionalFormatting>
  <conditionalFormatting sqref="AB3:AB202">
    <cfRule type="expression" dxfId="54" priority="41">
      <formula>AND($AB3="",$AA3&lt;&gt;"",UPPER($AA3)&lt;&gt;"PTO",UPPER($AA3)&lt;&gt;"OUT SICK",UPPER($AA3)&lt;&gt;"N/A")</formula>
    </cfRule>
  </conditionalFormatting>
  <conditionalFormatting sqref="AC2:AD202">
    <cfRule type="expression" dxfId="53" priority="42">
      <formula>1</formula>
    </cfRule>
  </conditionalFormatting>
  <conditionalFormatting sqref="AC3:AC202">
    <cfRule type="expression" dxfId="52" priority="43">
      <formula>AND($AC3="",$AD3&lt;&gt;"",UPPER($AD3)&lt;&gt;"PTO",UPPER($AD3)&lt;&gt;"OUT SICK",UPPER($AD3)&lt;&gt;"N/A")</formula>
    </cfRule>
  </conditionalFormatting>
  <conditionalFormatting sqref="AD3:AD202">
    <cfRule type="expression" dxfId="51" priority="44">
      <formula>AND($AD3="",$AC3&lt;&gt;"",UPPER($AC3)&lt;&gt;"PTO",UPPER($AC3)&lt;&gt;"OUT SICK",UPPER($AC3)&lt;&gt;"N/A")</formula>
    </cfRule>
  </conditionalFormatting>
  <conditionalFormatting sqref="AE2:AF202">
    <cfRule type="expression" dxfId="50" priority="45">
      <formula>1</formula>
    </cfRule>
  </conditionalFormatting>
  <conditionalFormatting sqref="AE3:AE202">
    <cfRule type="expression" dxfId="49" priority="46">
      <formula>AND($AE3="",$AF3&lt;&gt;"",UPPER($AF3)&lt;&gt;"PTO",UPPER($AF3)&lt;&gt;"OUT SICK",UPPER($AF3)&lt;&gt;"N/A")</formula>
    </cfRule>
  </conditionalFormatting>
  <conditionalFormatting sqref="AF3:AF202">
    <cfRule type="expression" dxfId="48" priority="47">
      <formula>AND($AF3="",$AE3&lt;&gt;"",UPPER($AE3)&lt;&gt;"PTO",UPPER($AE3)&lt;&gt;"OUT SICK",UPPER($AE3)&lt;&gt;"N/A")</formula>
    </cfRule>
  </conditionalFormatting>
  <conditionalFormatting sqref="AG3:AG202">
    <cfRule type="expression" dxfId="47" priority="48">
      <formula>AND($AG3="",$AH3&lt;&gt;"",UPPER($AH3)&lt;&gt;"PTO",UPPER($AH3)&lt;&gt;"OUT SICK",UPPER($AH3)&lt;&gt;"N/A")</formula>
    </cfRule>
  </conditionalFormatting>
  <conditionalFormatting sqref="AH3:AH202">
    <cfRule type="expression" dxfId="46" priority="49">
      <formula>AND($AH3="",$AG3&lt;&gt;"",UPPER($AG3)&lt;&gt;"PTO",UPPER($AG3)&lt;&gt;"OUT SICK",UPPER($AG3)&lt;&gt;"N/A")</formula>
    </cfRule>
  </conditionalFormatting>
  <conditionalFormatting sqref="AI3:AI202">
    <cfRule type="expression" dxfId="45" priority="50">
      <formula>AND($AI3="",$AJ3&lt;&gt;"",UPPER($AJ3)&lt;&gt;"PTO",UPPER($AJ3)&lt;&gt;"OUT SICK",UPPER($AJ3)&lt;&gt;"N/A")</formula>
    </cfRule>
  </conditionalFormatting>
  <conditionalFormatting sqref="AJ3:AJ202">
    <cfRule type="expression" dxfId="44" priority="51">
      <formula>AND($AJ3="",$AI3&lt;&gt;"",UPPER($AI3)&lt;&gt;"PTO",UPPER($AI3)&lt;&gt;"OUT SICK",UPPER($AI3)&lt;&gt;"N/A")</formula>
    </cfRule>
  </conditionalFormatting>
  <conditionalFormatting sqref="AK3:AK202">
    <cfRule type="expression" dxfId="43" priority="52">
      <formula>AND($AK3="",$AL3&lt;&gt;"",UPPER($AL3)&lt;&gt;"PTO",UPPER($AL3)&lt;&gt;"OUT SICK",UPPER($AL3)&lt;&gt;"N/A")</formula>
    </cfRule>
  </conditionalFormatting>
  <conditionalFormatting sqref="AL3:AL202">
    <cfRule type="expression" dxfId="42" priority="53">
      <formula>AND($AL3="",$AK3&lt;&gt;"",UPPER($AK3)&lt;&gt;"PTO",UPPER($AK3)&lt;&gt;"OUT SICK",UPPER($AK3)&lt;&gt;"N/A")</formula>
    </cfRule>
  </conditionalFormatting>
  <conditionalFormatting sqref="AM3:AM202">
    <cfRule type="expression" dxfId="41" priority="54">
      <formula>AND($AM3="",$AN3&lt;&gt;"",UPPER($AN3)&lt;&gt;"PTO",UPPER($AN3)&lt;&gt;"OUT SICK",UPPER($AN3)&lt;&gt;"N/A")</formula>
    </cfRule>
  </conditionalFormatting>
  <conditionalFormatting sqref="AN3:AN202">
    <cfRule type="expression" dxfId="40" priority="55">
      <formula>AND($AN3="",$AM3&lt;&gt;"",UPPER($AM3)&lt;&gt;"PTO",UPPER($AM3)&lt;&gt;"OUT SICK",UPPER($AM3)&lt;&gt;"N/A")</formula>
    </cfRule>
  </conditionalFormatting>
  <conditionalFormatting sqref="AO3:AO202">
    <cfRule type="expression" dxfId="39" priority="56">
      <formula>AND($AO3="",$AP3&lt;&gt;"",UPPER($AP3)&lt;&gt;"PTO",UPPER($AP3)&lt;&gt;"OUT SICK",UPPER($AP3)&lt;&gt;"N/A")</formula>
    </cfRule>
  </conditionalFormatting>
  <conditionalFormatting sqref="AP3:AP202">
    <cfRule type="expression" dxfId="38" priority="57">
      <formula>AND($AP3="",$AO3&lt;&gt;"",UPPER($AO3)&lt;&gt;"PTO",UPPER($AO3)&lt;&gt;"OUT SICK",UPPER($AO3)&lt;&gt;"N/A")</formula>
    </cfRule>
  </conditionalFormatting>
  <conditionalFormatting sqref="AQ2:AR202">
    <cfRule type="expression" dxfId="37" priority="58">
      <formula>1</formula>
    </cfRule>
  </conditionalFormatting>
  <conditionalFormatting sqref="AQ3:AQ202">
    <cfRule type="expression" dxfId="36" priority="59">
      <formula>AND($AQ3="",$AR3&lt;&gt;"",UPPER($AR3)&lt;&gt;"PTO",UPPER($AR3)&lt;&gt;"OUT SICK",UPPER($AR3)&lt;&gt;"N/A")</formula>
    </cfRule>
  </conditionalFormatting>
  <conditionalFormatting sqref="AR3:AR202">
    <cfRule type="expression" dxfId="35" priority="60">
      <formula>AND($AR3="",$AQ3&lt;&gt;"",UPPER($AQ3)&lt;&gt;"PTO",UPPER($AQ3)&lt;&gt;"OUT SICK",UPPER($AQ3)&lt;&gt;"N/A")</formula>
    </cfRule>
  </conditionalFormatting>
  <conditionalFormatting sqref="AS2:AT202">
    <cfRule type="expression" dxfId="34" priority="61">
      <formula>1</formula>
    </cfRule>
  </conditionalFormatting>
  <conditionalFormatting sqref="AS3:AS202">
    <cfRule type="expression" dxfId="33" priority="62">
      <formula>AND($AS3="",$AT3&lt;&gt;"",UPPER($AT3)&lt;&gt;"PTO",UPPER($AT3)&lt;&gt;"OUT SICK",UPPER($AT3)&lt;&gt;"N/A")</formula>
    </cfRule>
  </conditionalFormatting>
  <conditionalFormatting sqref="AT3:AT202">
    <cfRule type="expression" dxfId="32" priority="63">
      <formula>AND($AT3="",$AS3&lt;&gt;"",UPPER($AS3)&lt;&gt;"PTO",UPPER($AS3)&lt;&gt;"OUT SICK",UPPER($AS3)&lt;&gt;"N/A")</formula>
    </cfRule>
  </conditionalFormatting>
  <conditionalFormatting sqref="AU3:AU202">
    <cfRule type="expression" dxfId="31" priority="64">
      <formula>AND($AU3="",$AV3&lt;&gt;"",UPPER($AV3)&lt;&gt;"PTO",UPPER($AV3)&lt;&gt;"OUT SICK",UPPER($AV3)&lt;&gt;"N/A")</formula>
    </cfRule>
  </conditionalFormatting>
  <conditionalFormatting sqref="AV3:AV202">
    <cfRule type="expression" dxfId="30" priority="65">
      <formula>AND($AV3="",$AU3&lt;&gt;"",UPPER($AU3)&lt;&gt;"PTO",UPPER($AU3)&lt;&gt;"OUT SICK",UPPER($AU3)&lt;&gt;"N/A")</formula>
    </cfRule>
  </conditionalFormatting>
  <conditionalFormatting sqref="AW3:AW29 AW31:AW202">
    <cfRule type="expression" dxfId="29" priority="66">
      <formula>AND($AW3="",$AX3&lt;&gt;"",UPPER($AX3)&lt;&gt;"PTO",UPPER($AX3)&lt;&gt;"OUT SICK",UPPER($AX3)&lt;&gt;"N/A")</formula>
    </cfRule>
  </conditionalFormatting>
  <conditionalFormatting sqref="AX3:AX29 AX31:AX202">
    <cfRule type="expression" dxfId="28" priority="67">
      <formula>AND($AX3="",$AW3&lt;&gt;"",UPPER($AW3)&lt;&gt;"PTO",UPPER($AW3)&lt;&gt;"OUT SICK",UPPER($AW3)&lt;&gt;"N/A")</formula>
    </cfRule>
  </conditionalFormatting>
  <conditionalFormatting sqref="AY3:AY29 AY31:AY202">
    <cfRule type="expression" dxfId="27" priority="68">
      <formula>AND($AY3="",$AZ3&lt;&gt;"",UPPER($AZ3)&lt;&gt;"PTO",UPPER($AZ3)&lt;&gt;"OUT SICK",UPPER($AZ3)&lt;&gt;"N/A")</formula>
    </cfRule>
  </conditionalFormatting>
  <conditionalFormatting sqref="AZ3:AZ29 AZ31:AZ202">
    <cfRule type="expression" dxfId="26" priority="69">
      <formula>AND($AZ3="",$AY3&lt;&gt;"",UPPER($AY3)&lt;&gt;"PTO",UPPER($AY3)&lt;&gt;"OUT SICK",UPPER($AY3)&lt;&gt;"N/A")</formula>
    </cfRule>
  </conditionalFormatting>
  <conditionalFormatting sqref="BA3:BA29 BA31:BA202">
    <cfRule type="expression" dxfId="25" priority="70">
      <formula>AND($BA3="",$BB3&lt;&gt;"",UPPER($BB3)&lt;&gt;"PTO",UPPER($BB3)&lt;&gt;"OUT SICK",UPPER($BB3)&lt;&gt;"N/A")</formula>
    </cfRule>
  </conditionalFormatting>
  <conditionalFormatting sqref="BB3:BB29 BB31:BB202">
    <cfRule type="expression" dxfId="24" priority="71">
      <formula>AND($BB3="",$BA3&lt;&gt;"",UPPER($BA3)&lt;&gt;"PTO",UPPER($BA3)&lt;&gt;"OUT SICK",UPPER($BA3)&lt;&gt;"N/A")</formula>
    </cfRule>
  </conditionalFormatting>
  <conditionalFormatting sqref="BC3:BC29 BC31:BC202">
    <cfRule type="expression" dxfId="23" priority="72">
      <formula>AND($BC3="",$BD3&lt;&gt;"",UPPER($BD3)&lt;&gt;"PTO",UPPER($BD3)&lt;&gt;"OUT SICK",UPPER($BD3)&lt;&gt;"N/A")</formula>
    </cfRule>
  </conditionalFormatting>
  <conditionalFormatting sqref="BD3:BD29 BD31:BD202">
    <cfRule type="expression" dxfId="22" priority="73">
      <formula>AND($BD3="",$BC3&lt;&gt;"",UPPER($BC3)&lt;&gt;"PTO",UPPER($BC3)&lt;&gt;"OUT SICK",UPPER($BC3)&lt;&gt;"N/A")</formula>
    </cfRule>
  </conditionalFormatting>
  <conditionalFormatting sqref="BE2:BF202">
    <cfRule type="expression" dxfId="21" priority="74">
      <formula>1</formula>
    </cfRule>
  </conditionalFormatting>
  <conditionalFormatting sqref="BE3:BE202">
    <cfRule type="expression" dxfId="20" priority="75">
      <formula>AND($BE3="",$BF3&lt;&gt;"",UPPER($BF3)&lt;&gt;"PTO",UPPER($BF3)&lt;&gt;"OUT SICK",UPPER($BF3)&lt;&gt;"N/A")</formula>
    </cfRule>
  </conditionalFormatting>
  <conditionalFormatting sqref="BF3:BF202">
    <cfRule type="expression" dxfId="19" priority="76">
      <formula>AND($BF3="",$BE3&lt;&gt;"",UPPER($BE3)&lt;&gt;"PTO",UPPER($BE3)&lt;&gt;"OUT SICK",UPPER($BE3)&lt;&gt;"N/A")</formula>
    </cfRule>
  </conditionalFormatting>
  <conditionalFormatting sqref="BG2:BH202">
    <cfRule type="expression" dxfId="18" priority="77">
      <formula>1</formula>
    </cfRule>
  </conditionalFormatting>
  <conditionalFormatting sqref="BG3:BG202">
    <cfRule type="expression" dxfId="17" priority="78">
      <formula>AND($BG3="",$BH3&lt;&gt;"",UPPER($BH3)&lt;&gt;"PTO",UPPER($BH3)&lt;&gt;"OUT SICK",UPPER($BH3)&lt;&gt;"N/A")</formula>
    </cfRule>
  </conditionalFormatting>
  <conditionalFormatting sqref="BH3:BH202">
    <cfRule type="expression" dxfId="16" priority="79">
      <formula>AND($BH3="",$BG3&lt;&gt;"",UPPER($BG3)&lt;&gt;"PTO",UPPER($BG3)&lt;&gt;"OUT SICK",UPPER($BG3)&lt;&gt;"N/A")</formula>
    </cfRule>
  </conditionalFormatting>
  <conditionalFormatting sqref="BI3:BI29 BI31:BI202">
    <cfRule type="expression" dxfId="15" priority="80">
      <formula>AND($BI3="",$BJ3&lt;&gt;"",UPPER($BJ3)&lt;&gt;"PTO",UPPER($BJ3)&lt;&gt;"OUT SICK",UPPER($BJ3)&lt;&gt;"N/A")</formula>
    </cfRule>
  </conditionalFormatting>
  <conditionalFormatting sqref="BJ3:BJ29 BJ31:BJ202">
    <cfRule type="expression" dxfId="14" priority="81">
      <formula>AND($BJ3="",$BI3&lt;&gt;"",UPPER($BI3)&lt;&gt;"PTO",UPPER($BI3)&lt;&gt;"OUT SICK",UPPER($BI3)&lt;&gt;"N/A")</formula>
    </cfRule>
  </conditionalFormatting>
  <conditionalFormatting sqref="BK3:BK29 BK31:BK202">
    <cfRule type="expression" dxfId="13" priority="82">
      <formula>AND($BK3="",$BL3&lt;&gt;"",UPPER($BL3)&lt;&gt;"PTO",UPPER($BL3)&lt;&gt;"OUT SICK",UPPER($BL3)&lt;&gt;"N/A")</formula>
    </cfRule>
  </conditionalFormatting>
  <conditionalFormatting sqref="BL3:BL29 BL31:BL202">
    <cfRule type="expression" dxfId="12" priority="83">
      <formula>AND($BL3="",$BK3&lt;&gt;"",UPPER($BK3)&lt;&gt;"PTO",UPPER($BK3)&lt;&gt;"OUT SICK",UPPER($BK3)&lt;&gt;"N/A")</formula>
    </cfRule>
  </conditionalFormatting>
  <conditionalFormatting sqref="AW30">
    <cfRule type="expression" dxfId="11" priority="11">
      <formula>AND($Y30="",$Z30&lt;&gt;"",UPPER($Z30)&lt;&gt;"PTO",UPPER($Z30)&lt;&gt;"OUT SICK",UPPER($Z30)&lt;&gt;"N/A")</formula>
    </cfRule>
  </conditionalFormatting>
  <conditionalFormatting sqref="AX30">
    <cfRule type="expression" dxfId="10" priority="12">
      <formula>AND($Z30="",$Y30&lt;&gt;"",UPPER($Y30)&lt;&gt;"PTO",UPPER($Y30)&lt;&gt;"OUT SICK",UPPER($Y30)&lt;&gt;"N/A")</formula>
    </cfRule>
  </conditionalFormatting>
  <conditionalFormatting sqref="AY30">
    <cfRule type="expression" dxfId="9" priority="9">
      <formula>AND($Y30="",$Z30&lt;&gt;"",UPPER($Z30)&lt;&gt;"PTO",UPPER($Z30)&lt;&gt;"OUT SICK",UPPER($Z30)&lt;&gt;"N/A")</formula>
    </cfRule>
  </conditionalFormatting>
  <conditionalFormatting sqref="AZ30">
    <cfRule type="expression" dxfId="8" priority="10">
      <formula>AND($Z30="",$Y30&lt;&gt;"",UPPER($Y30)&lt;&gt;"PTO",UPPER($Y30)&lt;&gt;"OUT SICK",UPPER($Y30)&lt;&gt;"N/A")</formula>
    </cfRule>
  </conditionalFormatting>
  <conditionalFormatting sqref="BA30">
    <cfRule type="expression" dxfId="7" priority="7">
      <formula>AND($Y30="",$Z30&lt;&gt;"",UPPER($Z30)&lt;&gt;"PTO",UPPER($Z30)&lt;&gt;"OUT SICK",UPPER($Z30)&lt;&gt;"N/A")</formula>
    </cfRule>
  </conditionalFormatting>
  <conditionalFormatting sqref="BB30">
    <cfRule type="expression" dxfId="6" priority="8">
      <formula>AND($Z30="",$Y30&lt;&gt;"",UPPER($Y30)&lt;&gt;"PTO",UPPER($Y30)&lt;&gt;"OUT SICK",UPPER($Y30)&lt;&gt;"N/A")</formula>
    </cfRule>
  </conditionalFormatting>
  <conditionalFormatting sqref="BC30">
    <cfRule type="expression" dxfId="5" priority="5">
      <formula>AND($Y30="",$Z30&lt;&gt;"",UPPER($Z30)&lt;&gt;"PTO",UPPER($Z30)&lt;&gt;"OUT SICK",UPPER($Z30)&lt;&gt;"N/A")</formula>
    </cfRule>
  </conditionalFormatting>
  <conditionalFormatting sqref="BD30">
    <cfRule type="expression" dxfId="4" priority="6">
      <formula>AND($Z30="",$Y30&lt;&gt;"",UPPER($Y30)&lt;&gt;"PTO",UPPER($Y30)&lt;&gt;"OUT SICK",UPPER($Y30)&lt;&gt;"N/A")</formula>
    </cfRule>
  </conditionalFormatting>
  <conditionalFormatting sqref="BI30">
    <cfRule type="expression" dxfId="3" priority="3">
      <formula>AND($Y30="",$Z30&lt;&gt;"",UPPER($Z30)&lt;&gt;"PTO",UPPER($Z30)&lt;&gt;"OUT SICK",UPPER($Z30)&lt;&gt;"N/A")</formula>
    </cfRule>
  </conditionalFormatting>
  <conditionalFormatting sqref="BJ30">
    <cfRule type="expression" dxfId="2" priority="4">
      <formula>AND($Z30="",$Y30&lt;&gt;"",UPPER($Y30)&lt;&gt;"PTO",UPPER($Y30)&lt;&gt;"OUT SICK",UPPER($Y30)&lt;&gt;"N/A")</formula>
    </cfRule>
  </conditionalFormatting>
  <conditionalFormatting sqref="BK30">
    <cfRule type="expression" dxfId="1" priority="1">
      <formula>AND($Y30="",$Z30&lt;&gt;"",UPPER($Z30)&lt;&gt;"PTO",UPPER($Z30)&lt;&gt;"OUT SICK",UPPER($Z30)&lt;&gt;"N/A")</formula>
    </cfRule>
  </conditionalFormatting>
  <conditionalFormatting sqref="BL30">
    <cfRule type="expression" dxfId="0" priority="2">
      <formula>AND($Z30="",$Y30&lt;&gt;"",UPPER($Y30)&lt;&gt;"PTO",UPPER($Y30)&lt;&gt;"OUT SICK",UPPER($Y30)&lt;&gt;"N/A")</formula>
    </cfRule>
  </conditionalFormatting>
  <dataValidations count="1">
    <dataValidation type="custom" allowBlank="1" sqref="C3:BL202" xr:uid="{363EDE4B-F5EB-4549-BDA3-9490CAE87F34}">
      <formula1>OR(C3="",AND(ISNUMBER(C3),C3&gt;=0,C3&lt;1),UPPER(C3)="PTO",UPPER(C3)="OUT SICK",UPPER(C3)="N/A")</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F355-23AD-485B-9B54-B780B9FBB872}">
  <sheetPr>
    <tabColor theme="8" tint="0.79995117038483843"/>
  </sheetPr>
  <dimension ref="A1:AA55"/>
  <sheetViews>
    <sheetView zoomScaleNormal="100" zoomScaleSheetLayoutView="100" workbookViewId="0">
      <pane ySplit="5" topLeftCell="A6" activePane="bottomLeft" state="frozen"/>
      <selection pane="bottomLeft" activeCell="D48" sqref="D48"/>
    </sheetView>
  </sheetViews>
  <sheetFormatPr defaultRowHeight="15"/>
  <cols>
    <col min="1" max="2" width="12" customWidth="1"/>
    <col min="3" max="3" width="18" customWidth="1"/>
    <col min="4" max="4" width="15.5703125" customWidth="1"/>
    <col min="5" max="6" width="24" customWidth="1"/>
    <col min="7" max="8" width="28" customWidth="1"/>
    <col min="9" max="9" width="24" customWidth="1"/>
    <col min="10" max="10" width="10" customWidth="1"/>
    <col min="11" max="12" width="12" customWidth="1"/>
    <col min="13" max="13" width="13" customWidth="1"/>
    <col min="14" max="17" width="15" customWidth="1"/>
    <col min="18" max="18" width="12" customWidth="1"/>
    <col min="19" max="19" width="13" customWidth="1"/>
    <col min="20" max="20" width="14" customWidth="1"/>
    <col min="21" max="22" width="12" customWidth="1"/>
    <col min="23" max="23" width="14" customWidth="1"/>
    <col min="24" max="24" width="18" customWidth="1"/>
    <col min="25" max="25" width="24" customWidth="1"/>
    <col min="26" max="26" width="26" customWidth="1"/>
    <col min="27" max="27" width="56" customWidth="1"/>
  </cols>
  <sheetData>
    <row r="1" spans="1:27" ht="24" customHeight="1">
      <c r="A1" s="67" t="s">
        <v>243</v>
      </c>
      <c r="B1" s="73"/>
      <c r="C1" s="73"/>
      <c r="D1" s="73"/>
      <c r="E1" s="73"/>
      <c r="F1" s="73"/>
      <c r="G1" s="73"/>
      <c r="H1" s="73"/>
      <c r="I1" s="73"/>
      <c r="J1" s="73"/>
      <c r="K1" s="73"/>
      <c r="L1" s="73"/>
      <c r="M1" s="73"/>
      <c r="N1" s="73"/>
      <c r="O1" s="73"/>
      <c r="P1" s="73"/>
      <c r="Q1" s="73"/>
      <c r="R1" s="73"/>
      <c r="S1" s="73"/>
      <c r="T1" s="73"/>
      <c r="U1" s="73"/>
      <c r="V1" s="73"/>
      <c r="W1" s="73"/>
      <c r="X1" s="73"/>
      <c r="Y1" s="73"/>
      <c r="Z1" s="73"/>
      <c r="AA1" s="73"/>
    </row>
    <row r="2" spans="1:27" ht="33.950000000000003" customHeight="1">
      <c r="A2" s="68" t="s">
        <v>244</v>
      </c>
      <c r="B2" s="73"/>
      <c r="C2" s="73"/>
      <c r="D2" s="73"/>
      <c r="E2" s="73"/>
      <c r="F2" s="73"/>
      <c r="G2" s="73"/>
      <c r="H2" s="73"/>
      <c r="I2" s="73"/>
      <c r="J2" s="73"/>
      <c r="K2" s="73"/>
      <c r="L2" s="73"/>
      <c r="M2" s="73"/>
      <c r="N2" s="73"/>
      <c r="O2" s="73"/>
      <c r="P2" s="73"/>
      <c r="Q2" s="73"/>
      <c r="R2" s="73"/>
      <c r="S2" s="73"/>
      <c r="T2" s="73"/>
      <c r="U2" s="73"/>
      <c r="V2" s="73"/>
      <c r="W2" s="73"/>
      <c r="X2" s="73"/>
      <c r="Y2" s="73"/>
      <c r="Z2" s="73"/>
      <c r="AA2" s="73"/>
    </row>
    <row r="4" spans="1:27" ht="20.100000000000001" customHeight="1">
      <c r="A4" s="69" t="s">
        <v>245</v>
      </c>
      <c r="B4" s="77"/>
      <c r="C4" s="77"/>
      <c r="D4" s="77"/>
      <c r="E4" s="77"/>
      <c r="F4" s="77"/>
      <c r="G4" s="77"/>
      <c r="H4" s="77"/>
      <c r="I4" s="77"/>
      <c r="J4" s="77"/>
      <c r="K4" s="77"/>
      <c r="L4" s="77"/>
      <c r="M4" s="77"/>
      <c r="N4" s="77"/>
      <c r="O4" s="77"/>
      <c r="P4" s="77"/>
      <c r="Q4" s="77"/>
      <c r="R4" s="77"/>
      <c r="S4" s="77"/>
      <c r="T4" s="77"/>
      <c r="U4" s="77"/>
      <c r="V4" s="77"/>
      <c r="W4" s="77"/>
      <c r="X4" s="77"/>
      <c r="Y4" s="77"/>
      <c r="Z4" s="77"/>
      <c r="AA4" s="77"/>
    </row>
    <row r="5" spans="1:27" ht="30.75">
      <c r="A5" s="1" t="s">
        <v>246</v>
      </c>
      <c r="B5" s="1" t="s">
        <v>247</v>
      </c>
      <c r="C5" s="1" t="s">
        <v>115</v>
      </c>
      <c r="D5" s="1" t="s">
        <v>248</v>
      </c>
      <c r="E5" s="1" t="s">
        <v>249</v>
      </c>
      <c r="F5" s="1" t="s">
        <v>250</v>
      </c>
      <c r="G5" s="1" t="s">
        <v>251</v>
      </c>
      <c r="H5" s="1" t="s">
        <v>252</v>
      </c>
      <c r="I5" s="1" t="s">
        <v>253</v>
      </c>
      <c r="J5" s="1" t="s">
        <v>254</v>
      </c>
      <c r="K5" s="1" t="s">
        <v>255</v>
      </c>
      <c r="L5" s="1" t="s">
        <v>256</v>
      </c>
      <c r="M5" s="1" t="s">
        <v>257</v>
      </c>
      <c r="N5" s="1" t="s">
        <v>258</v>
      </c>
      <c r="O5" s="1" t="s">
        <v>259</v>
      </c>
      <c r="P5" s="1" t="s">
        <v>260</v>
      </c>
      <c r="Q5" s="1" t="s">
        <v>261</v>
      </c>
      <c r="R5" s="1" t="s">
        <v>262</v>
      </c>
      <c r="S5" s="1" t="s">
        <v>263</v>
      </c>
      <c r="T5" s="1" t="s">
        <v>264</v>
      </c>
      <c r="U5" s="1" t="s">
        <v>265</v>
      </c>
      <c r="V5" s="1" t="s">
        <v>266</v>
      </c>
      <c r="W5" s="1" t="s">
        <v>267</v>
      </c>
      <c r="X5" s="1" t="s">
        <v>268</v>
      </c>
      <c r="Y5" s="1" t="s">
        <v>269</v>
      </c>
      <c r="Z5" s="1" t="s">
        <v>270</v>
      </c>
      <c r="AA5" s="1" t="s">
        <v>119</v>
      </c>
    </row>
    <row r="6" spans="1:27" ht="27.75" customHeight="1">
      <c r="A6" s="2">
        <v>46074</v>
      </c>
      <c r="B6" s="3">
        <f>A6-WEEKDAY(A6,2)+1</f>
        <v>46069</v>
      </c>
      <c r="C6" s="4" t="s">
        <v>9</v>
      </c>
      <c r="D6" s="4" t="s">
        <v>271</v>
      </c>
      <c r="E6" s="4" t="s">
        <v>272</v>
      </c>
      <c r="F6" s="4" t="s">
        <v>273</v>
      </c>
      <c r="G6" s="5" t="str">
        <f>IFERROR(VLOOKUP(I6,'[2]Task Catalog'!$A$6:$K$17,2,FALSE),"")</f>
        <v/>
      </c>
      <c r="H6" s="4" t="s">
        <v>274</v>
      </c>
      <c r="I6" s="4" t="s">
        <v>275</v>
      </c>
      <c r="J6" s="6">
        <v>1</v>
      </c>
      <c r="K6" s="5" t="str">
        <f>IFERROR(VLOOKUP(I6,'[2]Task Catalog'!$A$6:$K$17,3,FALSE),"")</f>
        <v/>
      </c>
      <c r="L6" s="5" t="str">
        <f>IFERROR(VLOOKUP(I6,'[2]Task Catalog'!$A$6:$K$17,4,FALSE),"")</f>
        <v/>
      </c>
      <c r="M6" s="7" t="str">
        <f>IFERROR(VLOOKUP(I6,'[2]Task Catalog'!$A$6:$K$17,5,FALSE),"")</f>
        <v/>
      </c>
      <c r="N6" s="7" t="str">
        <f>IFERROR(VLOOKUP(I6,'[2]Task Catalog'!$A$6:$K$17,6,FALSE),"")</f>
        <v/>
      </c>
      <c r="O6" s="6">
        <v>1.1000000000000001</v>
      </c>
      <c r="P6" s="6">
        <v>1.35</v>
      </c>
      <c r="Q6" s="6">
        <v>0</v>
      </c>
      <c r="R6" s="7" t="str">
        <f>IFERROR(J6*M6*O6*P6+N6+Q6,"")</f>
        <v/>
      </c>
      <c r="S6" s="7" t="str">
        <f>IF(R6="","",R6)</f>
        <v/>
      </c>
      <c r="T6" s="6"/>
      <c r="U6" s="7" t="str">
        <f>IF(T6="","",T6-R6)</f>
        <v/>
      </c>
      <c r="V6" s="5" t="str">
        <f>IFERROR(VLOOKUP(I6,'[2]Task Catalog'!$A$6:$K$17,9,FALSE),"")</f>
        <v/>
      </c>
      <c r="W6" s="4" t="s">
        <v>276</v>
      </c>
      <c r="X6" s="4" t="s">
        <v>277</v>
      </c>
      <c r="Y6" s="4" t="s">
        <v>278</v>
      </c>
      <c r="Z6" s="4" t="s">
        <v>279</v>
      </c>
      <c r="AA6" s="4" t="s">
        <v>280</v>
      </c>
    </row>
    <row r="7" spans="1:27" ht="41.25" customHeight="1">
      <c r="A7" s="2">
        <v>46074</v>
      </c>
      <c r="B7" s="3">
        <f>A7-WEEKDAY(A7,2)+1</f>
        <v>46069</v>
      </c>
      <c r="C7" s="4" t="s">
        <v>9</v>
      </c>
      <c r="D7" s="4" t="s">
        <v>271</v>
      </c>
      <c r="E7" s="4" t="s">
        <v>272</v>
      </c>
      <c r="F7" s="4" t="s">
        <v>273</v>
      </c>
      <c r="G7" s="5" t="str">
        <f>IFERROR(VLOOKUP(I7,'[2]Task Catalog'!$A$6:$K$17,2,FALSE),"")</f>
        <v/>
      </c>
      <c r="H7" s="4" t="s">
        <v>281</v>
      </c>
      <c r="I7" s="4" t="s">
        <v>282</v>
      </c>
      <c r="J7" s="6">
        <v>1</v>
      </c>
      <c r="K7" s="5" t="str">
        <f>IFERROR(VLOOKUP(I7,'[2]Task Catalog'!$A$6:$K$17,3,FALSE),"")</f>
        <v/>
      </c>
      <c r="L7" s="5" t="str">
        <f>IFERROR(VLOOKUP(I7,'[2]Task Catalog'!$A$6:$K$17,4,FALSE),"")</f>
        <v/>
      </c>
      <c r="M7" s="7" t="str">
        <f>IFERROR(VLOOKUP(I7,'[2]Task Catalog'!$A$6:$K$17,5,FALSE),"")</f>
        <v/>
      </c>
      <c r="N7" s="7" t="str">
        <f>IFERROR(VLOOKUP(I7,'[2]Task Catalog'!$A$6:$K$17,6,FALSE),"")</f>
        <v/>
      </c>
      <c r="O7" s="6">
        <v>1</v>
      </c>
      <c r="P7" s="6">
        <v>1.1000000000000001</v>
      </c>
      <c r="Q7" s="6">
        <v>0</v>
      </c>
      <c r="R7" s="7" t="str">
        <f>IFERROR(J7*M7*O7*P7+N7+Q7,"")</f>
        <v/>
      </c>
      <c r="S7" s="7" t="str">
        <f>IF(R7="","",R7)</f>
        <v/>
      </c>
      <c r="T7" s="6"/>
      <c r="U7" s="7" t="str">
        <f>IF(T7="","",T7-R7)</f>
        <v/>
      </c>
      <c r="V7" s="5" t="str">
        <f>IFERROR(VLOOKUP(I7,'[2]Task Catalog'!$A$6:$K$17,9,FALSE),"")</f>
        <v/>
      </c>
      <c r="W7" s="4" t="s">
        <v>283</v>
      </c>
      <c r="X7" s="4" t="s">
        <v>277</v>
      </c>
      <c r="Y7" s="4" t="s">
        <v>278</v>
      </c>
      <c r="Z7" s="4" t="s">
        <v>284</v>
      </c>
      <c r="AA7" s="4" t="s">
        <v>285</v>
      </c>
    </row>
    <row r="8" spans="1:27" ht="27.75" customHeight="1">
      <c r="A8" s="2">
        <v>46081</v>
      </c>
      <c r="B8" s="3">
        <f>A8-WEEKDAY(A8,2)+1</f>
        <v>46076</v>
      </c>
      <c r="C8" s="4" t="s">
        <v>9</v>
      </c>
      <c r="D8" s="4" t="s">
        <v>271</v>
      </c>
      <c r="E8" s="4" t="s">
        <v>272</v>
      </c>
      <c r="F8" s="4" t="s">
        <v>273</v>
      </c>
      <c r="G8" s="5" t="str">
        <f>IFERROR(VLOOKUP(I8,'[2]Task Catalog'!$A$6:$K$17,2,FALSE),"")</f>
        <v/>
      </c>
      <c r="H8" s="4" t="s">
        <v>286</v>
      </c>
      <c r="I8" s="4" t="s">
        <v>287</v>
      </c>
      <c r="J8" s="6">
        <v>1</v>
      </c>
      <c r="K8" s="5" t="str">
        <f>IFERROR(VLOOKUP(I8,'[2]Task Catalog'!$A$6:$K$17,3,FALSE),"")</f>
        <v/>
      </c>
      <c r="L8" s="5" t="str">
        <f>IFERROR(VLOOKUP(I8,'[2]Task Catalog'!$A$6:$K$17,4,FALSE),"")</f>
        <v/>
      </c>
      <c r="M8" s="7" t="str">
        <f>IFERROR(VLOOKUP(I8,'[2]Task Catalog'!$A$6:$K$17,5,FALSE),"")</f>
        <v/>
      </c>
      <c r="N8" s="7" t="str">
        <f>IFERROR(VLOOKUP(I8,'[2]Task Catalog'!$A$6:$K$17,6,FALSE),"")</f>
        <v/>
      </c>
      <c r="O8" s="6">
        <v>1</v>
      </c>
      <c r="P8" s="6">
        <v>1.05</v>
      </c>
      <c r="Q8" s="6">
        <v>0.75</v>
      </c>
      <c r="R8" s="7" t="str">
        <f>IFERROR(J8*M8*O8*P8+N8+Q8,"")</f>
        <v/>
      </c>
      <c r="S8" s="7" t="str">
        <f>IF(R8="","",R8)</f>
        <v/>
      </c>
      <c r="T8" s="6"/>
      <c r="U8" s="7" t="str">
        <f>IF(T8="","",T8-R8)</f>
        <v/>
      </c>
      <c r="V8" s="5" t="str">
        <f>IFERROR(VLOOKUP(I8,'[2]Task Catalog'!$A$6:$K$17,9,FALSE),"")</f>
        <v/>
      </c>
      <c r="W8" s="4" t="s">
        <v>287</v>
      </c>
      <c r="X8" s="4" t="s">
        <v>288</v>
      </c>
      <c r="Y8" s="4" t="s">
        <v>289</v>
      </c>
      <c r="Z8" s="4" t="s">
        <v>290</v>
      </c>
      <c r="AA8" s="4" t="s">
        <v>291</v>
      </c>
    </row>
    <row r="9" spans="1:27" ht="27.75" customHeight="1">
      <c r="A9" s="2">
        <v>46081</v>
      </c>
      <c r="B9" s="3">
        <f>A9-WEEKDAY(A9,2)+1</f>
        <v>46076</v>
      </c>
      <c r="C9" s="4" t="s">
        <v>9</v>
      </c>
      <c r="D9" s="4" t="s">
        <v>271</v>
      </c>
      <c r="E9" s="4" t="s">
        <v>272</v>
      </c>
      <c r="F9" s="4" t="s">
        <v>273</v>
      </c>
      <c r="G9" s="5" t="str">
        <f>IFERROR(VLOOKUP(I9,'[2]Task Catalog'!$A$6:$K$17,2,FALSE),"")</f>
        <v/>
      </c>
      <c r="H9" s="4" t="s">
        <v>292</v>
      </c>
      <c r="I9" s="4" t="s">
        <v>293</v>
      </c>
      <c r="J9" s="6">
        <v>1</v>
      </c>
      <c r="K9" s="5" t="str">
        <f>IFERROR(VLOOKUP(I9,'[2]Task Catalog'!$A$6:$K$17,3,FALSE),"")</f>
        <v/>
      </c>
      <c r="L9" s="5" t="str">
        <f>IFERROR(VLOOKUP(I9,'[2]Task Catalog'!$A$6:$K$17,4,FALSE),"")</f>
        <v/>
      </c>
      <c r="M9" s="7" t="str">
        <f>IFERROR(VLOOKUP(I9,'[2]Task Catalog'!$A$6:$K$17,5,FALSE),"")</f>
        <v/>
      </c>
      <c r="N9" s="7" t="str">
        <f>IFERROR(VLOOKUP(I9,'[2]Task Catalog'!$A$6:$K$17,6,FALSE),"")</f>
        <v/>
      </c>
      <c r="O9" s="6">
        <v>1.2</v>
      </c>
      <c r="P9" s="6">
        <v>1.3</v>
      </c>
      <c r="Q9" s="6">
        <v>0.25</v>
      </c>
      <c r="R9" s="7" t="str">
        <f>IFERROR(J9*M9*O9*P9+N9+Q9,"")</f>
        <v/>
      </c>
      <c r="S9" s="7" t="str">
        <f>IF(R9="","",R9)</f>
        <v/>
      </c>
      <c r="T9" s="6"/>
      <c r="U9" s="7" t="str">
        <f>IF(T9="","",T9-R9)</f>
        <v/>
      </c>
      <c r="V9" s="5" t="str">
        <f>IFERROR(VLOOKUP(I9,'[2]Task Catalog'!$A$6:$K$17,9,FALSE),"")</f>
        <v/>
      </c>
      <c r="W9" s="4" t="s">
        <v>294</v>
      </c>
      <c r="X9" s="4" t="s">
        <v>288</v>
      </c>
      <c r="Y9" s="4" t="s">
        <v>289</v>
      </c>
      <c r="Z9" s="4" t="s">
        <v>279</v>
      </c>
      <c r="AA9" s="4" t="s">
        <v>295</v>
      </c>
    </row>
    <row r="10" spans="1:27" ht="27.75" customHeight="1">
      <c r="A10" s="2">
        <v>46081</v>
      </c>
      <c r="B10" s="3">
        <f>A10-WEEKDAY(A10,2)+1</f>
        <v>46076</v>
      </c>
      <c r="C10" s="4" t="s">
        <v>9</v>
      </c>
      <c r="D10" s="4" t="s">
        <v>271</v>
      </c>
      <c r="E10" s="4" t="s">
        <v>272</v>
      </c>
      <c r="F10" s="4" t="s">
        <v>273</v>
      </c>
      <c r="G10" s="5" t="str">
        <f>IFERROR(VLOOKUP(I10,'[2]Task Catalog'!$A$6:$K$17,2,FALSE),"")</f>
        <v/>
      </c>
      <c r="H10" s="4" t="s">
        <v>296</v>
      </c>
      <c r="I10" s="4" t="s">
        <v>275</v>
      </c>
      <c r="J10" s="6">
        <v>1</v>
      </c>
      <c r="K10" s="5" t="str">
        <f>IFERROR(VLOOKUP(I10,'[2]Task Catalog'!$A$6:$K$17,3,FALSE),"")</f>
        <v/>
      </c>
      <c r="L10" s="5" t="str">
        <f>IFERROR(VLOOKUP(I10,'[2]Task Catalog'!$A$6:$K$17,4,FALSE),"")</f>
        <v/>
      </c>
      <c r="M10" s="7" t="str">
        <f>IFERROR(VLOOKUP(I10,'[2]Task Catalog'!$A$6:$K$17,5,FALSE),"")</f>
        <v/>
      </c>
      <c r="N10" s="7" t="str">
        <f>IFERROR(VLOOKUP(I10,'[2]Task Catalog'!$A$6:$K$17,6,FALSE),"")</f>
        <v/>
      </c>
      <c r="O10" s="6">
        <v>1.1499999999999999</v>
      </c>
      <c r="P10" s="6">
        <v>1.25</v>
      </c>
      <c r="Q10" s="6">
        <v>0</v>
      </c>
      <c r="R10" s="7" t="str">
        <f>IFERROR(J10*M10*O10*P10+N10+Q10,"")</f>
        <v/>
      </c>
      <c r="S10" s="7" t="str">
        <f>IF(R10="","",R10)</f>
        <v/>
      </c>
      <c r="T10" s="6"/>
      <c r="U10" s="7" t="str">
        <f>IF(T10="","",T10-R10)</f>
        <v/>
      </c>
      <c r="V10" s="5" t="str">
        <f>IFERROR(VLOOKUP(I10,'[2]Task Catalog'!$A$6:$K$17,9,FALSE),"")</f>
        <v/>
      </c>
      <c r="W10" s="4" t="s">
        <v>297</v>
      </c>
      <c r="X10" s="4" t="s">
        <v>288</v>
      </c>
      <c r="Y10" s="4" t="s">
        <v>289</v>
      </c>
      <c r="Z10" s="4" t="s">
        <v>279</v>
      </c>
      <c r="AA10" s="4" t="s">
        <v>298</v>
      </c>
    </row>
    <row r="11" spans="1:27" ht="27.75" customHeight="1">
      <c r="A11" s="2">
        <v>46100</v>
      </c>
      <c r="B11" s="3">
        <f>A11-WEEKDAY(A11,2)+1</f>
        <v>46097</v>
      </c>
      <c r="C11" s="4" t="s">
        <v>9</v>
      </c>
      <c r="D11" s="4" t="s">
        <v>99</v>
      </c>
      <c r="E11" s="4" t="s">
        <v>299</v>
      </c>
      <c r="F11" s="4" t="s">
        <v>300</v>
      </c>
      <c r="G11" s="5" t="str">
        <f>IFERROR(VLOOKUP(I11,'[2]Task Catalog'!$A$6:$K$17,2,FALSE),"")</f>
        <v/>
      </c>
      <c r="H11" s="4" t="s">
        <v>301</v>
      </c>
      <c r="I11" s="4" t="s">
        <v>287</v>
      </c>
      <c r="J11" s="6">
        <v>1</v>
      </c>
      <c r="K11" s="5" t="str">
        <f>IFERROR(VLOOKUP(I11,'[2]Task Catalog'!$A$6:$K$17,3,FALSE),"")</f>
        <v/>
      </c>
      <c r="L11" s="5" t="str">
        <f>IFERROR(VLOOKUP(I11,'[2]Task Catalog'!$A$6:$K$17,4,FALSE),"")</f>
        <v/>
      </c>
      <c r="M11" s="7" t="str">
        <f>IFERROR(VLOOKUP(I11,'[2]Task Catalog'!$A$6:$K$17,5,FALSE),"")</f>
        <v/>
      </c>
      <c r="N11" s="7" t="str">
        <f>IFERROR(VLOOKUP(I11,'[2]Task Catalog'!$A$6:$K$17,6,FALSE),"")</f>
        <v/>
      </c>
      <c r="O11" s="6">
        <v>1</v>
      </c>
      <c r="P11" s="6">
        <v>1.05</v>
      </c>
      <c r="Q11" s="6">
        <v>0</v>
      </c>
      <c r="R11" s="7" t="str">
        <f>IFERROR(J11*M11*O11*P11+N11+Q11,"")</f>
        <v/>
      </c>
      <c r="S11" s="7" t="str">
        <f>IF(R11="","",R11)</f>
        <v/>
      </c>
      <c r="T11" s="6"/>
      <c r="U11" s="7" t="str">
        <f>IF(T11="","",T11-R11)</f>
        <v/>
      </c>
      <c r="V11" s="5" t="str">
        <f>IFERROR(VLOOKUP(I11,'[2]Task Catalog'!$A$6:$K$17,9,FALSE),"")</f>
        <v/>
      </c>
      <c r="W11" s="4" t="s">
        <v>287</v>
      </c>
      <c r="X11" s="4"/>
      <c r="Y11" s="4"/>
      <c r="Z11" s="4" t="s">
        <v>302</v>
      </c>
      <c r="AA11" s="4" t="s">
        <v>303</v>
      </c>
    </row>
    <row r="12" spans="1:27" ht="27.75" customHeight="1">
      <c r="A12" s="2">
        <v>46100</v>
      </c>
      <c r="B12" s="3">
        <f>A12-WEEKDAY(A12,2)+1</f>
        <v>46097</v>
      </c>
      <c r="C12" s="4" t="s">
        <v>9</v>
      </c>
      <c r="D12" s="4" t="s">
        <v>99</v>
      </c>
      <c r="E12" s="4" t="s">
        <v>299</v>
      </c>
      <c r="F12" s="4" t="s">
        <v>300</v>
      </c>
      <c r="G12" s="5" t="str">
        <f>IFERROR(VLOOKUP(I12,'[2]Task Catalog'!$A$6:$K$17,2,FALSE),"")</f>
        <v/>
      </c>
      <c r="H12" s="4" t="s">
        <v>286</v>
      </c>
      <c r="I12" s="4" t="s">
        <v>287</v>
      </c>
      <c r="J12" s="6">
        <v>3</v>
      </c>
      <c r="K12" s="5" t="str">
        <f>IFERROR(VLOOKUP(I12,'[2]Task Catalog'!$A$6:$K$17,3,FALSE),"")</f>
        <v/>
      </c>
      <c r="L12" s="5" t="str">
        <f>IFERROR(VLOOKUP(I12,'[2]Task Catalog'!$A$6:$K$17,4,FALSE),"")</f>
        <v/>
      </c>
      <c r="M12" s="7" t="str">
        <f>IFERROR(VLOOKUP(I12,'[2]Task Catalog'!$A$6:$K$17,5,FALSE),"")</f>
        <v/>
      </c>
      <c r="N12" s="7" t="str">
        <f>IFERROR(VLOOKUP(I12,'[2]Task Catalog'!$A$6:$K$17,6,FALSE),"")</f>
        <v/>
      </c>
      <c r="O12" s="6">
        <v>1</v>
      </c>
      <c r="P12" s="6">
        <v>1.1000000000000001</v>
      </c>
      <c r="Q12" s="6">
        <v>0.5</v>
      </c>
      <c r="R12" s="7" t="str">
        <f>IFERROR(J12*M12*O12*P12+N12+Q12,"")</f>
        <v/>
      </c>
      <c r="S12" s="7" t="str">
        <f>IF(R12="","",R12)</f>
        <v/>
      </c>
      <c r="T12" s="6"/>
      <c r="U12" s="7" t="str">
        <f>IF(T12="","",T12-R12)</f>
        <v/>
      </c>
      <c r="V12" s="5" t="str">
        <f>IFERROR(VLOOKUP(I12,'[2]Task Catalog'!$A$6:$K$17,9,FALSE),"")</f>
        <v/>
      </c>
      <c r="W12" s="4" t="s">
        <v>287</v>
      </c>
      <c r="X12" s="4"/>
      <c r="Y12" s="4" t="s">
        <v>304</v>
      </c>
      <c r="Z12" s="4" t="s">
        <v>302</v>
      </c>
      <c r="AA12" s="4" t="s">
        <v>305</v>
      </c>
    </row>
    <row r="13" spans="1:27" ht="54.75" customHeight="1">
      <c r="A13" s="2">
        <v>46111</v>
      </c>
      <c r="B13" s="3">
        <v>46111</v>
      </c>
      <c r="C13" s="4" t="s">
        <v>68</v>
      </c>
      <c r="D13" s="4" t="s">
        <v>306</v>
      </c>
      <c r="E13" s="4"/>
      <c r="F13" s="4"/>
      <c r="G13" s="5" t="s">
        <v>307</v>
      </c>
      <c r="H13" s="4" t="s">
        <v>308</v>
      </c>
      <c r="I13" s="4" t="s">
        <v>309</v>
      </c>
      <c r="J13" s="6">
        <v>2</v>
      </c>
      <c r="K13" s="5" t="s">
        <v>310</v>
      </c>
      <c r="L13" s="5" t="s">
        <v>311</v>
      </c>
      <c r="M13" s="7">
        <v>7</v>
      </c>
      <c r="N13" s="7">
        <v>0.5</v>
      </c>
      <c r="O13" s="6">
        <v>1.1000000000000001</v>
      </c>
      <c r="P13" s="6">
        <v>1.1499999999999999</v>
      </c>
      <c r="Q13" s="6">
        <v>0</v>
      </c>
      <c r="R13" s="7"/>
      <c r="S13" s="7"/>
      <c r="T13" s="6"/>
      <c r="U13" s="7" t="s">
        <v>312</v>
      </c>
      <c r="V13" s="5" t="s">
        <v>313</v>
      </c>
      <c r="W13" s="4"/>
      <c r="X13" s="4"/>
      <c r="Y13" s="4" t="s">
        <v>314</v>
      </c>
      <c r="Z13" s="4" t="s">
        <v>315</v>
      </c>
      <c r="AA13" s="4"/>
    </row>
    <row r="14" spans="1:27" ht="41.25" customHeight="1">
      <c r="A14" s="2">
        <v>46112</v>
      </c>
      <c r="B14" s="3">
        <v>46111</v>
      </c>
      <c r="C14" s="4" t="s">
        <v>68</v>
      </c>
      <c r="D14" s="4" t="s">
        <v>101</v>
      </c>
      <c r="E14" s="4"/>
      <c r="F14" s="4"/>
      <c r="G14" s="5" t="s">
        <v>316</v>
      </c>
      <c r="H14" s="4" t="s">
        <v>317</v>
      </c>
      <c r="I14" s="4" t="s">
        <v>293</v>
      </c>
      <c r="J14" s="6">
        <v>1</v>
      </c>
      <c r="K14" s="5" t="s">
        <v>310</v>
      </c>
      <c r="L14" s="5" t="s">
        <v>318</v>
      </c>
      <c r="M14" s="7">
        <v>2.75</v>
      </c>
      <c r="N14" s="7">
        <v>0.75</v>
      </c>
      <c r="O14" s="6">
        <v>1.1499999999999999</v>
      </c>
      <c r="P14" s="6">
        <v>1.2</v>
      </c>
      <c r="Q14" s="6">
        <v>0</v>
      </c>
      <c r="R14" s="7"/>
      <c r="S14" s="7"/>
      <c r="T14" s="6"/>
      <c r="U14" s="7" t="s">
        <v>319</v>
      </c>
      <c r="V14" s="5" t="s">
        <v>320</v>
      </c>
      <c r="W14" s="4"/>
      <c r="X14" s="4"/>
      <c r="Y14" s="4" t="s">
        <v>314</v>
      </c>
      <c r="Z14" s="4" t="s">
        <v>321</v>
      </c>
      <c r="AA14" s="4"/>
    </row>
    <row r="15" spans="1:27" ht="41.25" customHeight="1">
      <c r="A15" s="2">
        <v>46113</v>
      </c>
      <c r="B15" s="3">
        <v>46111</v>
      </c>
      <c r="C15" s="4" t="s">
        <v>68</v>
      </c>
      <c r="D15" s="4" t="s">
        <v>101</v>
      </c>
      <c r="E15" s="4"/>
      <c r="F15" s="4"/>
      <c r="G15" s="5" t="s">
        <v>322</v>
      </c>
      <c r="H15" s="4" t="s">
        <v>323</v>
      </c>
      <c r="I15" s="4" t="s">
        <v>324</v>
      </c>
      <c r="J15" s="6">
        <v>1</v>
      </c>
      <c r="K15" s="5" t="s">
        <v>310</v>
      </c>
      <c r="L15" s="5" t="s">
        <v>325</v>
      </c>
      <c r="M15" s="7">
        <v>1.25</v>
      </c>
      <c r="N15" s="7">
        <v>0.25</v>
      </c>
      <c r="O15" s="6">
        <v>1</v>
      </c>
      <c r="P15" s="6">
        <v>1</v>
      </c>
      <c r="Q15" s="6">
        <v>0</v>
      </c>
      <c r="R15" s="7"/>
      <c r="S15" s="7"/>
      <c r="T15" s="6"/>
      <c r="U15" s="7" t="s">
        <v>312</v>
      </c>
      <c r="V15" s="5" t="s">
        <v>326</v>
      </c>
      <c r="W15" s="4"/>
      <c r="X15" s="4"/>
      <c r="Y15" s="4" t="s">
        <v>314</v>
      </c>
      <c r="Z15" s="4" t="s">
        <v>327</v>
      </c>
      <c r="AA15" s="4"/>
    </row>
    <row r="16" spans="1:27" ht="41.25" customHeight="1">
      <c r="A16" s="2">
        <v>46114</v>
      </c>
      <c r="B16" s="3">
        <v>46111</v>
      </c>
      <c r="C16" s="4" t="s">
        <v>68</v>
      </c>
      <c r="D16" s="4" t="s">
        <v>99</v>
      </c>
      <c r="E16" s="4"/>
      <c r="F16" s="4"/>
      <c r="G16" s="5" t="s">
        <v>322</v>
      </c>
      <c r="H16" s="4" t="s">
        <v>328</v>
      </c>
      <c r="I16" s="4" t="s">
        <v>287</v>
      </c>
      <c r="J16" s="6">
        <v>1</v>
      </c>
      <c r="K16" s="5" t="s">
        <v>310</v>
      </c>
      <c r="L16" s="5" t="s">
        <v>311</v>
      </c>
      <c r="M16" s="7">
        <v>1.75</v>
      </c>
      <c r="N16" s="7">
        <v>0.5</v>
      </c>
      <c r="O16" s="6">
        <v>1</v>
      </c>
      <c r="P16" s="6">
        <v>1.05</v>
      </c>
      <c r="Q16" s="6">
        <v>0</v>
      </c>
      <c r="R16" s="7"/>
      <c r="S16" s="7"/>
      <c r="T16" s="6"/>
      <c r="U16" s="7" t="s">
        <v>312</v>
      </c>
      <c r="V16" s="5" t="s">
        <v>329</v>
      </c>
      <c r="W16" s="4"/>
      <c r="X16" s="4"/>
      <c r="Y16" s="4" t="s">
        <v>314</v>
      </c>
      <c r="Z16" s="4" t="s">
        <v>330</v>
      </c>
      <c r="AA16" s="4"/>
    </row>
    <row r="17" spans="1:27" ht="41.25" customHeight="1">
      <c r="A17" s="2">
        <v>46114</v>
      </c>
      <c r="B17" s="3">
        <v>46111</v>
      </c>
      <c r="C17" s="4" t="s">
        <v>68</v>
      </c>
      <c r="D17" s="4" t="s">
        <v>99</v>
      </c>
      <c r="E17" s="4"/>
      <c r="F17" s="4"/>
      <c r="G17" s="5" t="s">
        <v>331</v>
      </c>
      <c r="H17" s="4" t="s">
        <v>332</v>
      </c>
      <c r="I17" s="4" t="s">
        <v>333</v>
      </c>
      <c r="J17" s="6">
        <v>1</v>
      </c>
      <c r="K17" s="5" t="s">
        <v>310</v>
      </c>
      <c r="L17" s="5" t="s">
        <v>325</v>
      </c>
      <c r="M17" s="7">
        <v>1</v>
      </c>
      <c r="N17" s="7">
        <v>0.25</v>
      </c>
      <c r="O17" s="6">
        <v>1</v>
      </c>
      <c r="P17" s="6">
        <v>1</v>
      </c>
      <c r="Q17" s="6">
        <v>0</v>
      </c>
      <c r="R17" s="7"/>
      <c r="S17" s="7"/>
      <c r="T17" s="6"/>
      <c r="U17" s="7" t="s">
        <v>312</v>
      </c>
      <c r="V17" s="5" t="s">
        <v>320</v>
      </c>
      <c r="W17" s="4"/>
      <c r="X17" s="4"/>
      <c r="Y17" s="4" t="s">
        <v>314</v>
      </c>
      <c r="Z17" s="4" t="s">
        <v>334</v>
      </c>
      <c r="AA17" s="4"/>
    </row>
    <row r="18" spans="1:27" ht="41.25" customHeight="1">
      <c r="A18" s="2">
        <v>46115</v>
      </c>
      <c r="B18" s="3">
        <v>46111</v>
      </c>
      <c r="C18" s="4" t="s">
        <v>68</v>
      </c>
      <c r="D18" s="4" t="s">
        <v>99</v>
      </c>
      <c r="E18" s="4"/>
      <c r="F18" s="4"/>
      <c r="G18" s="5" t="s">
        <v>316</v>
      </c>
      <c r="H18" s="4" t="s">
        <v>335</v>
      </c>
      <c r="I18" s="4" t="s">
        <v>309</v>
      </c>
      <c r="J18" s="6">
        <v>1</v>
      </c>
      <c r="K18" s="5" t="s">
        <v>310</v>
      </c>
      <c r="L18" s="5" t="s">
        <v>311</v>
      </c>
      <c r="M18" s="7">
        <v>7</v>
      </c>
      <c r="N18" s="7">
        <v>0.5</v>
      </c>
      <c r="O18" s="6">
        <v>1.1000000000000001</v>
      </c>
      <c r="P18" s="6">
        <v>1.1499999999999999</v>
      </c>
      <c r="Q18" s="6">
        <v>0</v>
      </c>
      <c r="R18" s="7"/>
      <c r="S18" s="7"/>
      <c r="T18" s="6"/>
      <c r="U18" s="7" t="s">
        <v>312</v>
      </c>
      <c r="V18" s="5" t="s">
        <v>336</v>
      </c>
      <c r="W18" s="4"/>
      <c r="X18" s="4"/>
      <c r="Y18" s="4" t="s">
        <v>314</v>
      </c>
      <c r="Z18" s="4" t="s">
        <v>337</v>
      </c>
      <c r="AA18" s="4"/>
    </row>
    <row r="19" spans="1:27" ht="41.25" customHeight="1">
      <c r="A19" s="2">
        <v>46116</v>
      </c>
      <c r="B19" s="3">
        <v>46111</v>
      </c>
      <c r="C19" s="4" t="s">
        <v>68</v>
      </c>
      <c r="D19" s="4" t="s">
        <v>99</v>
      </c>
      <c r="E19" s="4"/>
      <c r="F19" s="4"/>
      <c r="G19" s="5" t="s">
        <v>338</v>
      </c>
      <c r="H19" s="4" t="s">
        <v>339</v>
      </c>
      <c r="I19" s="4" t="s">
        <v>340</v>
      </c>
      <c r="J19" s="6">
        <v>1</v>
      </c>
      <c r="K19" s="5" t="s">
        <v>310</v>
      </c>
      <c r="L19" s="5" t="s">
        <v>311</v>
      </c>
      <c r="M19" s="7">
        <v>1.5</v>
      </c>
      <c r="N19" s="7">
        <v>0.5</v>
      </c>
      <c r="O19" s="6">
        <v>1</v>
      </c>
      <c r="P19" s="6">
        <v>1</v>
      </c>
      <c r="Q19" s="6">
        <v>0</v>
      </c>
      <c r="R19" s="7"/>
      <c r="S19" s="7"/>
      <c r="T19" s="6"/>
      <c r="U19" s="7" t="s">
        <v>312</v>
      </c>
      <c r="V19" s="5" t="s">
        <v>341</v>
      </c>
      <c r="W19" s="4"/>
      <c r="X19" s="4"/>
      <c r="Y19" s="4" t="s">
        <v>342</v>
      </c>
      <c r="Z19" s="4" t="s">
        <v>343</v>
      </c>
      <c r="AA19" s="4"/>
    </row>
    <row r="20" spans="1:27" ht="41.25" customHeight="1">
      <c r="A20" s="2">
        <v>46117</v>
      </c>
      <c r="B20" s="3">
        <v>46111</v>
      </c>
      <c r="C20" s="4" t="s">
        <v>68</v>
      </c>
      <c r="D20" s="4" t="s">
        <v>99</v>
      </c>
      <c r="E20" s="4"/>
      <c r="F20" s="4"/>
      <c r="G20" s="5" t="s">
        <v>322</v>
      </c>
      <c r="H20" s="4" t="s">
        <v>344</v>
      </c>
      <c r="I20" s="4" t="s">
        <v>324</v>
      </c>
      <c r="J20" s="6">
        <v>1</v>
      </c>
      <c r="K20" s="5" t="s">
        <v>310</v>
      </c>
      <c r="L20" s="5" t="s">
        <v>325</v>
      </c>
      <c r="M20" s="7">
        <v>1.25</v>
      </c>
      <c r="N20" s="7">
        <v>0.25</v>
      </c>
      <c r="O20" s="6">
        <v>1</v>
      </c>
      <c r="P20" s="6">
        <v>1</v>
      </c>
      <c r="Q20" s="6">
        <v>0</v>
      </c>
      <c r="R20" s="7"/>
      <c r="S20" s="7"/>
      <c r="T20" s="6"/>
      <c r="U20" s="7" t="s">
        <v>312</v>
      </c>
      <c r="V20" s="5" t="s">
        <v>336</v>
      </c>
      <c r="W20" s="4"/>
      <c r="X20" s="4"/>
      <c r="Y20" s="4" t="s">
        <v>314</v>
      </c>
      <c r="Z20" s="4" t="s">
        <v>345</v>
      </c>
      <c r="AA20" s="4"/>
    </row>
    <row r="21" spans="1:27" ht="54.75" customHeight="1">
      <c r="A21" s="2">
        <v>46111</v>
      </c>
      <c r="B21" s="3">
        <v>46111</v>
      </c>
      <c r="C21" s="4" t="s">
        <v>74</v>
      </c>
      <c r="D21" s="4" t="s">
        <v>99</v>
      </c>
      <c r="E21" s="4"/>
      <c r="F21" s="4"/>
      <c r="G21" s="5" t="s">
        <v>346</v>
      </c>
      <c r="H21" s="4" t="s">
        <v>347</v>
      </c>
      <c r="I21" s="4" t="s">
        <v>348</v>
      </c>
      <c r="J21" s="6">
        <v>1</v>
      </c>
      <c r="K21" s="5" t="s">
        <v>310</v>
      </c>
      <c r="L21" s="5" t="s">
        <v>325</v>
      </c>
      <c r="M21" s="7">
        <v>0.75</v>
      </c>
      <c r="N21" s="7">
        <v>0.25</v>
      </c>
      <c r="O21" s="6">
        <v>1</v>
      </c>
      <c r="P21" s="6">
        <v>1</v>
      </c>
      <c r="Q21" s="6">
        <v>0</v>
      </c>
      <c r="R21" s="7"/>
      <c r="S21" s="7"/>
      <c r="T21" s="6"/>
      <c r="U21" s="7" t="s">
        <v>312</v>
      </c>
      <c r="V21" s="5" t="s">
        <v>313</v>
      </c>
      <c r="W21" s="4"/>
      <c r="X21" s="4"/>
      <c r="Y21" s="4" t="s">
        <v>314</v>
      </c>
      <c r="Z21" s="4" t="s">
        <v>349</v>
      </c>
      <c r="AA21" s="4"/>
    </row>
    <row r="22" spans="1:27" ht="41.25" customHeight="1">
      <c r="A22" s="2">
        <v>46111</v>
      </c>
      <c r="B22" s="3">
        <v>46111</v>
      </c>
      <c r="C22" s="4" t="s">
        <v>74</v>
      </c>
      <c r="D22" s="4" t="s">
        <v>99</v>
      </c>
      <c r="E22" s="4"/>
      <c r="F22" s="4"/>
      <c r="G22" s="5" t="s">
        <v>350</v>
      </c>
      <c r="H22" s="4" t="s">
        <v>351</v>
      </c>
      <c r="I22" s="4" t="s">
        <v>352</v>
      </c>
      <c r="J22" s="6">
        <v>1</v>
      </c>
      <c r="K22" s="5" t="s">
        <v>310</v>
      </c>
      <c r="L22" s="5" t="s">
        <v>325</v>
      </c>
      <c r="M22" s="7">
        <v>3</v>
      </c>
      <c r="N22" s="7">
        <v>0.25</v>
      </c>
      <c r="O22" s="6">
        <v>1</v>
      </c>
      <c r="P22" s="6">
        <v>1</v>
      </c>
      <c r="Q22" s="6">
        <v>0</v>
      </c>
      <c r="R22" s="7"/>
      <c r="S22" s="7"/>
      <c r="T22" s="6"/>
      <c r="U22" s="7" t="s">
        <v>312</v>
      </c>
      <c r="V22" s="5" t="s">
        <v>297</v>
      </c>
      <c r="W22" s="4"/>
      <c r="X22" s="4"/>
      <c r="Y22" s="4" t="s">
        <v>314</v>
      </c>
      <c r="Z22" s="4" t="s">
        <v>353</v>
      </c>
      <c r="AA22" s="4"/>
    </row>
    <row r="23" spans="1:27" ht="41.25" customHeight="1">
      <c r="A23" s="2">
        <v>46112</v>
      </c>
      <c r="B23" s="3">
        <v>46111</v>
      </c>
      <c r="C23" s="4" t="s">
        <v>74</v>
      </c>
      <c r="D23" s="4" t="s">
        <v>99</v>
      </c>
      <c r="E23" s="4"/>
      <c r="F23" s="4"/>
      <c r="G23" s="5" t="s">
        <v>316</v>
      </c>
      <c r="H23" s="4" t="s">
        <v>335</v>
      </c>
      <c r="I23" s="4" t="s">
        <v>309</v>
      </c>
      <c r="J23" s="6">
        <v>1</v>
      </c>
      <c r="K23" s="5" t="s">
        <v>310</v>
      </c>
      <c r="L23" s="5" t="s">
        <v>311</v>
      </c>
      <c r="M23" s="7">
        <v>7</v>
      </c>
      <c r="N23" s="7">
        <v>0.5</v>
      </c>
      <c r="O23" s="6">
        <v>1.1000000000000001</v>
      </c>
      <c r="P23" s="6">
        <v>1.1499999999999999</v>
      </c>
      <c r="Q23" s="6">
        <v>0</v>
      </c>
      <c r="R23" s="7"/>
      <c r="S23" s="7"/>
      <c r="T23" s="6"/>
      <c r="U23" s="7" t="s">
        <v>312</v>
      </c>
      <c r="V23" s="5" t="s">
        <v>336</v>
      </c>
      <c r="W23" s="4"/>
      <c r="X23" s="4"/>
      <c r="Y23" s="4" t="s">
        <v>314</v>
      </c>
      <c r="Z23" s="4" t="s">
        <v>354</v>
      </c>
      <c r="AA23" s="4"/>
    </row>
    <row r="24" spans="1:27" ht="41.25" customHeight="1">
      <c r="A24" s="2">
        <v>46112</v>
      </c>
      <c r="B24" s="3">
        <v>46111</v>
      </c>
      <c r="C24" s="4" t="s">
        <v>74</v>
      </c>
      <c r="D24" s="4" t="s">
        <v>99</v>
      </c>
      <c r="E24" s="4"/>
      <c r="F24" s="4"/>
      <c r="G24" s="5" t="s">
        <v>338</v>
      </c>
      <c r="H24" s="4" t="s">
        <v>275</v>
      </c>
      <c r="I24" s="4" t="s">
        <v>275</v>
      </c>
      <c r="J24" s="6">
        <v>1</v>
      </c>
      <c r="K24" s="5" t="s">
        <v>310</v>
      </c>
      <c r="L24" s="5" t="s">
        <v>325</v>
      </c>
      <c r="M24" s="7">
        <v>1.25</v>
      </c>
      <c r="N24" s="7">
        <v>0.25</v>
      </c>
      <c r="O24" s="6">
        <v>1.05</v>
      </c>
      <c r="P24" s="6">
        <v>3</v>
      </c>
      <c r="Q24" s="6">
        <v>0</v>
      </c>
      <c r="R24" s="7"/>
      <c r="S24" s="7"/>
      <c r="T24" s="6"/>
      <c r="U24" s="7" t="s">
        <v>312</v>
      </c>
      <c r="V24" s="5" t="s">
        <v>355</v>
      </c>
      <c r="W24" s="4"/>
      <c r="X24" s="4"/>
      <c r="Y24" s="4" t="s">
        <v>314</v>
      </c>
      <c r="Z24" s="4" t="s">
        <v>356</v>
      </c>
      <c r="AA24" s="4"/>
    </row>
    <row r="25" spans="1:27" ht="27.75" customHeight="1">
      <c r="A25" s="2">
        <v>46113</v>
      </c>
      <c r="B25" s="3">
        <v>46111</v>
      </c>
      <c r="C25" s="4" t="s">
        <v>74</v>
      </c>
      <c r="D25" s="4" t="s">
        <v>99</v>
      </c>
      <c r="E25" s="4"/>
      <c r="F25" s="4"/>
      <c r="G25" s="5" t="s">
        <v>350</v>
      </c>
      <c r="H25" s="4" t="s">
        <v>352</v>
      </c>
      <c r="I25" s="4" t="s">
        <v>352</v>
      </c>
      <c r="J25" s="6">
        <v>1</v>
      </c>
      <c r="K25" s="5" t="s">
        <v>310</v>
      </c>
      <c r="L25" s="5" t="s">
        <v>325</v>
      </c>
      <c r="M25" s="7">
        <v>3</v>
      </c>
      <c r="N25" s="7">
        <v>0.25</v>
      </c>
      <c r="O25" s="6">
        <v>1</v>
      </c>
      <c r="P25" s="6">
        <v>1</v>
      </c>
      <c r="Q25" s="6">
        <v>0</v>
      </c>
      <c r="R25" s="7"/>
      <c r="S25" s="7"/>
      <c r="T25" s="6"/>
      <c r="U25" s="7" t="s">
        <v>312</v>
      </c>
      <c r="V25" s="5" t="s">
        <v>297</v>
      </c>
      <c r="W25" s="4"/>
      <c r="X25" s="4"/>
      <c r="Y25" s="4" t="s">
        <v>314</v>
      </c>
      <c r="Z25" s="4" t="s">
        <v>357</v>
      </c>
      <c r="AA25" s="4"/>
    </row>
    <row r="26" spans="1:27" ht="41.25" customHeight="1">
      <c r="A26" s="2">
        <v>46114</v>
      </c>
      <c r="B26" s="3">
        <v>46111</v>
      </c>
      <c r="C26" s="4" t="s">
        <v>74</v>
      </c>
      <c r="D26" s="4" t="s">
        <v>99</v>
      </c>
      <c r="E26" s="4"/>
      <c r="F26" s="4"/>
      <c r="G26" s="5" t="s">
        <v>316</v>
      </c>
      <c r="H26" s="4" t="s">
        <v>358</v>
      </c>
      <c r="I26" s="4" t="s">
        <v>309</v>
      </c>
      <c r="J26" s="6">
        <v>1</v>
      </c>
      <c r="K26" s="5" t="s">
        <v>310</v>
      </c>
      <c r="L26" s="5" t="s">
        <v>311</v>
      </c>
      <c r="M26" s="7">
        <v>7</v>
      </c>
      <c r="N26" s="7">
        <v>0.5</v>
      </c>
      <c r="O26" s="6">
        <v>1.1000000000000001</v>
      </c>
      <c r="P26" s="6">
        <v>1.1499999999999999</v>
      </c>
      <c r="Q26" s="6">
        <v>0</v>
      </c>
      <c r="R26" s="7"/>
      <c r="S26" s="7"/>
      <c r="T26" s="6"/>
      <c r="U26" s="7" t="s">
        <v>312</v>
      </c>
      <c r="V26" s="5" t="s">
        <v>320</v>
      </c>
      <c r="W26" s="4"/>
      <c r="X26" s="4"/>
      <c r="Y26" s="4" t="s">
        <v>314</v>
      </c>
      <c r="Z26" s="4" t="s">
        <v>359</v>
      </c>
      <c r="AA26" s="4"/>
    </row>
    <row r="27" spans="1:27" ht="41.25" customHeight="1">
      <c r="A27" s="2">
        <v>46115</v>
      </c>
      <c r="B27" s="3">
        <v>46111</v>
      </c>
      <c r="C27" s="4" t="s">
        <v>74</v>
      </c>
      <c r="D27" s="4" t="s">
        <v>99</v>
      </c>
      <c r="E27" s="4"/>
      <c r="F27" s="4"/>
      <c r="G27" s="5" t="s">
        <v>322</v>
      </c>
      <c r="H27" s="4" t="s">
        <v>344</v>
      </c>
      <c r="I27" s="4" t="s">
        <v>287</v>
      </c>
      <c r="J27" s="6">
        <v>1</v>
      </c>
      <c r="K27" s="5" t="s">
        <v>310</v>
      </c>
      <c r="L27" s="5" t="s">
        <v>311</v>
      </c>
      <c r="M27" s="7">
        <v>1.75</v>
      </c>
      <c r="N27" s="7">
        <v>0.5</v>
      </c>
      <c r="O27" s="6">
        <v>1</v>
      </c>
      <c r="P27" s="6">
        <v>1.05</v>
      </c>
      <c r="Q27" s="6">
        <v>0</v>
      </c>
      <c r="R27" s="7"/>
      <c r="S27" s="7"/>
      <c r="T27" s="6"/>
      <c r="U27" s="7" t="s">
        <v>312</v>
      </c>
      <c r="V27" s="5" t="s">
        <v>336</v>
      </c>
      <c r="W27" s="4"/>
      <c r="X27" s="4"/>
      <c r="Y27" s="4" t="s">
        <v>314</v>
      </c>
      <c r="Z27" s="4" t="s">
        <v>360</v>
      </c>
      <c r="AA27" s="4"/>
    </row>
    <row r="28" spans="1:27" ht="41.25" customHeight="1">
      <c r="A28" s="2">
        <v>46116</v>
      </c>
      <c r="B28" s="3">
        <v>46111</v>
      </c>
      <c r="C28" s="4" t="s">
        <v>74</v>
      </c>
      <c r="D28" s="4" t="s">
        <v>99</v>
      </c>
      <c r="E28" s="4"/>
      <c r="F28" s="4"/>
      <c r="G28" s="5" t="s">
        <v>338</v>
      </c>
      <c r="H28" s="4" t="s">
        <v>339</v>
      </c>
      <c r="I28" s="4" t="s">
        <v>340</v>
      </c>
      <c r="J28" s="6">
        <v>1</v>
      </c>
      <c r="K28" s="5" t="s">
        <v>310</v>
      </c>
      <c r="L28" s="5" t="s">
        <v>311</v>
      </c>
      <c r="M28" s="7">
        <v>1.5</v>
      </c>
      <c r="N28" s="7">
        <v>0.5</v>
      </c>
      <c r="O28" s="6">
        <v>1</v>
      </c>
      <c r="P28" s="6">
        <v>1</v>
      </c>
      <c r="Q28" s="6">
        <v>0</v>
      </c>
      <c r="R28" s="7"/>
      <c r="S28" s="7"/>
      <c r="T28" s="6"/>
      <c r="U28" s="7" t="s">
        <v>312</v>
      </c>
      <c r="V28" s="5" t="s">
        <v>341</v>
      </c>
      <c r="W28" s="4"/>
      <c r="X28" s="4"/>
      <c r="Y28" s="4" t="s">
        <v>342</v>
      </c>
      <c r="Z28" s="4" t="s">
        <v>361</v>
      </c>
      <c r="AA28" s="4"/>
    </row>
    <row r="29" spans="1:27" ht="54.75" customHeight="1">
      <c r="A29" s="2">
        <v>46111</v>
      </c>
      <c r="B29" s="3">
        <v>46111</v>
      </c>
      <c r="C29" s="4" t="s">
        <v>70</v>
      </c>
      <c r="D29" s="4" t="s">
        <v>101</v>
      </c>
      <c r="E29" s="4"/>
      <c r="F29" s="4"/>
      <c r="G29" s="5" t="s">
        <v>322</v>
      </c>
      <c r="H29" s="4" t="s">
        <v>323</v>
      </c>
      <c r="I29" s="4" t="s">
        <v>324</v>
      </c>
      <c r="J29" s="6">
        <v>1</v>
      </c>
      <c r="K29" s="5" t="s">
        <v>310</v>
      </c>
      <c r="L29" s="5" t="s">
        <v>325</v>
      </c>
      <c r="M29" s="7">
        <v>1.25</v>
      </c>
      <c r="N29" s="7">
        <v>0.25</v>
      </c>
      <c r="O29" s="6">
        <v>1</v>
      </c>
      <c r="P29" s="6">
        <v>1</v>
      </c>
      <c r="Q29" s="6">
        <v>0</v>
      </c>
      <c r="R29" s="7"/>
      <c r="S29" s="7"/>
      <c r="T29" s="6"/>
      <c r="U29" s="7" t="s">
        <v>312</v>
      </c>
      <c r="V29" s="5" t="s">
        <v>326</v>
      </c>
      <c r="W29" s="4"/>
      <c r="X29" s="4"/>
      <c r="Y29" s="4" t="s">
        <v>314</v>
      </c>
      <c r="Z29" s="4" t="s">
        <v>362</v>
      </c>
      <c r="AA29" s="4"/>
    </row>
    <row r="30" spans="1:27" ht="54.75" customHeight="1">
      <c r="A30" s="2">
        <v>46112</v>
      </c>
      <c r="B30" s="3">
        <v>46111</v>
      </c>
      <c r="C30" s="4" t="s">
        <v>70</v>
      </c>
      <c r="D30" s="4" t="s">
        <v>101</v>
      </c>
      <c r="E30" s="4"/>
      <c r="F30" s="4"/>
      <c r="G30" s="5" t="s">
        <v>322</v>
      </c>
      <c r="H30" s="4" t="s">
        <v>323</v>
      </c>
      <c r="I30" s="4" t="s">
        <v>324</v>
      </c>
      <c r="J30" s="6">
        <v>1</v>
      </c>
      <c r="K30" s="5" t="s">
        <v>310</v>
      </c>
      <c r="L30" s="5" t="s">
        <v>325</v>
      </c>
      <c r="M30" s="7">
        <v>1.25</v>
      </c>
      <c r="N30" s="7">
        <v>0.25</v>
      </c>
      <c r="O30" s="6">
        <v>1</v>
      </c>
      <c r="P30" s="6">
        <v>1</v>
      </c>
      <c r="Q30" s="6">
        <v>0</v>
      </c>
      <c r="R30" s="7"/>
      <c r="S30" s="7"/>
      <c r="T30" s="6"/>
      <c r="U30" s="7" t="s">
        <v>312</v>
      </c>
      <c r="V30" s="5" t="s">
        <v>363</v>
      </c>
      <c r="W30" s="4"/>
      <c r="X30" s="4"/>
      <c r="Y30" s="4" t="s">
        <v>314</v>
      </c>
      <c r="Z30" s="4" t="s">
        <v>364</v>
      </c>
      <c r="AA30" s="4"/>
    </row>
    <row r="31" spans="1:27" ht="54.75" customHeight="1">
      <c r="A31" s="2">
        <v>46113</v>
      </c>
      <c r="B31" s="3">
        <v>46111</v>
      </c>
      <c r="C31" s="4" t="s">
        <v>70</v>
      </c>
      <c r="D31" s="4" t="s">
        <v>101</v>
      </c>
      <c r="E31" s="4"/>
      <c r="F31" s="4"/>
      <c r="G31" s="5" t="s">
        <v>365</v>
      </c>
      <c r="H31" s="4" t="s">
        <v>366</v>
      </c>
      <c r="I31" s="4" t="s">
        <v>367</v>
      </c>
      <c r="J31" s="6">
        <v>1</v>
      </c>
      <c r="K31" s="5" t="s">
        <v>310</v>
      </c>
      <c r="L31" s="5" t="s">
        <v>325</v>
      </c>
      <c r="M31" s="7">
        <v>1</v>
      </c>
      <c r="N31" s="7">
        <v>0.25</v>
      </c>
      <c r="O31" s="6">
        <v>1</v>
      </c>
      <c r="P31" s="6">
        <v>1</v>
      </c>
      <c r="Q31" s="6">
        <v>0</v>
      </c>
      <c r="R31" s="7"/>
      <c r="S31" s="7"/>
      <c r="T31" s="6"/>
      <c r="U31" s="7" t="s">
        <v>368</v>
      </c>
      <c r="V31" s="5" t="s">
        <v>369</v>
      </c>
      <c r="W31" s="4"/>
      <c r="X31" s="4"/>
      <c r="Y31" s="4" t="s">
        <v>314</v>
      </c>
      <c r="Z31" s="4" t="s">
        <v>370</v>
      </c>
      <c r="AA31" s="4"/>
    </row>
    <row r="32" spans="1:27" ht="54.75" customHeight="1">
      <c r="A32" s="2">
        <v>46115</v>
      </c>
      <c r="B32" s="3">
        <v>46111</v>
      </c>
      <c r="C32" s="4" t="s">
        <v>70</v>
      </c>
      <c r="D32" s="4" t="s">
        <v>101</v>
      </c>
      <c r="E32" s="4"/>
      <c r="F32" s="4"/>
      <c r="G32" s="5" t="s">
        <v>365</v>
      </c>
      <c r="H32" s="4" t="s">
        <v>366</v>
      </c>
      <c r="I32" s="4" t="s">
        <v>367</v>
      </c>
      <c r="J32" s="6">
        <v>1</v>
      </c>
      <c r="K32" s="5" t="s">
        <v>310</v>
      </c>
      <c r="L32" s="5" t="s">
        <v>325</v>
      </c>
      <c r="M32" s="7">
        <v>1</v>
      </c>
      <c r="N32" s="7">
        <v>0.25</v>
      </c>
      <c r="O32" s="6">
        <v>1</v>
      </c>
      <c r="P32" s="6">
        <v>1</v>
      </c>
      <c r="Q32" s="6">
        <v>0</v>
      </c>
      <c r="R32" s="7"/>
      <c r="S32" s="7"/>
      <c r="T32" s="6"/>
      <c r="U32" s="7" t="s">
        <v>368</v>
      </c>
      <c r="V32" s="5" t="s">
        <v>369</v>
      </c>
      <c r="W32" s="4"/>
      <c r="X32" s="4"/>
      <c r="Y32" s="4" t="s">
        <v>314</v>
      </c>
      <c r="Z32" s="4" t="s">
        <v>371</v>
      </c>
      <c r="AA32" s="4"/>
    </row>
    <row r="33" spans="1:27" ht="41.25" customHeight="1">
      <c r="A33" s="2">
        <v>46111</v>
      </c>
      <c r="B33" s="3">
        <v>46111</v>
      </c>
      <c r="C33" s="4" t="s">
        <v>77</v>
      </c>
      <c r="D33" s="4" t="s">
        <v>99</v>
      </c>
      <c r="E33" s="4"/>
      <c r="F33" s="4"/>
      <c r="G33" s="5" t="s">
        <v>338</v>
      </c>
      <c r="H33" s="4" t="s">
        <v>339</v>
      </c>
      <c r="I33" s="4" t="s">
        <v>340</v>
      </c>
      <c r="J33" s="6">
        <v>1</v>
      </c>
      <c r="K33" s="5" t="s">
        <v>310</v>
      </c>
      <c r="L33" s="5" t="s">
        <v>311</v>
      </c>
      <c r="M33" s="7">
        <v>1.5</v>
      </c>
      <c r="N33" s="7">
        <v>0.5</v>
      </c>
      <c r="O33" s="6">
        <v>1</v>
      </c>
      <c r="P33" s="6">
        <v>1</v>
      </c>
      <c r="Q33" s="6">
        <v>0</v>
      </c>
      <c r="R33" s="7"/>
      <c r="S33" s="7"/>
      <c r="T33" s="6"/>
      <c r="U33" s="7" t="s">
        <v>312</v>
      </c>
      <c r="V33" s="5" t="s">
        <v>372</v>
      </c>
      <c r="W33" s="4"/>
      <c r="X33" s="4"/>
      <c r="Y33" s="4" t="s">
        <v>373</v>
      </c>
      <c r="Z33" s="4" t="s">
        <v>374</v>
      </c>
      <c r="AA33" s="4"/>
    </row>
    <row r="34" spans="1:27" ht="41.25" customHeight="1">
      <c r="A34" s="2">
        <v>46112</v>
      </c>
      <c r="B34" s="3">
        <v>46111</v>
      </c>
      <c r="C34" s="4" t="s">
        <v>77</v>
      </c>
      <c r="D34" s="4" t="s">
        <v>99</v>
      </c>
      <c r="E34" s="4"/>
      <c r="F34" s="4"/>
      <c r="G34" s="5" t="s">
        <v>338</v>
      </c>
      <c r="H34" s="4" t="s">
        <v>339</v>
      </c>
      <c r="I34" s="4" t="s">
        <v>340</v>
      </c>
      <c r="J34" s="6">
        <v>1</v>
      </c>
      <c r="K34" s="5" t="s">
        <v>310</v>
      </c>
      <c r="L34" s="5" t="s">
        <v>311</v>
      </c>
      <c r="M34" s="7">
        <v>1.5</v>
      </c>
      <c r="N34" s="7">
        <v>0.5</v>
      </c>
      <c r="O34" s="6">
        <v>1</v>
      </c>
      <c r="P34" s="6">
        <v>1</v>
      </c>
      <c r="Q34" s="6">
        <v>0</v>
      </c>
      <c r="R34" s="7"/>
      <c r="S34" s="7"/>
      <c r="T34" s="6"/>
      <c r="U34" s="7" t="s">
        <v>312</v>
      </c>
      <c r="V34" s="5" t="s">
        <v>372</v>
      </c>
      <c r="W34" s="4"/>
      <c r="X34" s="4"/>
      <c r="Y34" s="4" t="s">
        <v>373</v>
      </c>
      <c r="Z34" s="4" t="s">
        <v>374</v>
      </c>
      <c r="AA34" s="4"/>
    </row>
    <row r="35" spans="1:27" ht="41.25" customHeight="1">
      <c r="A35" s="2">
        <v>46114</v>
      </c>
      <c r="B35" s="3">
        <v>46111</v>
      </c>
      <c r="C35" s="4" t="s">
        <v>77</v>
      </c>
      <c r="D35" s="4" t="s">
        <v>99</v>
      </c>
      <c r="E35" s="4"/>
      <c r="F35" s="4"/>
      <c r="G35" s="5" t="s">
        <v>338</v>
      </c>
      <c r="H35" s="4" t="s">
        <v>339</v>
      </c>
      <c r="I35" s="4" t="s">
        <v>340</v>
      </c>
      <c r="J35" s="6">
        <v>1</v>
      </c>
      <c r="K35" s="5" t="s">
        <v>310</v>
      </c>
      <c r="L35" s="5" t="s">
        <v>311</v>
      </c>
      <c r="M35" s="7">
        <v>1.5</v>
      </c>
      <c r="N35" s="7">
        <v>0.5</v>
      </c>
      <c r="O35" s="6">
        <v>1</v>
      </c>
      <c r="P35" s="6">
        <v>1</v>
      </c>
      <c r="Q35" s="6">
        <v>0</v>
      </c>
      <c r="R35" s="7"/>
      <c r="S35" s="7"/>
      <c r="T35" s="6"/>
      <c r="U35" s="7" t="s">
        <v>312</v>
      </c>
      <c r="V35" s="5" t="s">
        <v>372</v>
      </c>
      <c r="W35" s="4"/>
      <c r="X35" s="4"/>
      <c r="Y35" s="4" t="s">
        <v>373</v>
      </c>
      <c r="Z35" s="4" t="s">
        <v>374</v>
      </c>
      <c r="AA35" s="4"/>
    </row>
    <row r="36" spans="1:27" ht="54.75" customHeight="1">
      <c r="A36" s="2">
        <v>46116</v>
      </c>
      <c r="B36" s="3">
        <v>46111</v>
      </c>
      <c r="C36" s="4" t="s">
        <v>77</v>
      </c>
      <c r="D36" s="4" t="s">
        <v>99</v>
      </c>
      <c r="E36" s="4"/>
      <c r="F36" s="4"/>
      <c r="G36" s="5" t="s">
        <v>338</v>
      </c>
      <c r="H36" s="4" t="s">
        <v>339</v>
      </c>
      <c r="I36" s="4" t="s">
        <v>340</v>
      </c>
      <c r="J36" s="6">
        <v>1</v>
      </c>
      <c r="K36" s="5" t="s">
        <v>310</v>
      </c>
      <c r="L36" s="5" t="s">
        <v>311</v>
      </c>
      <c r="M36" s="7">
        <v>1.5</v>
      </c>
      <c r="N36" s="7">
        <v>0.5</v>
      </c>
      <c r="O36" s="6">
        <v>1</v>
      </c>
      <c r="P36" s="6">
        <v>1</v>
      </c>
      <c r="Q36" s="6">
        <v>0</v>
      </c>
      <c r="R36" s="7"/>
      <c r="S36" s="7"/>
      <c r="T36" s="6"/>
      <c r="U36" s="7" t="s">
        <v>312</v>
      </c>
      <c r="V36" s="5" t="s">
        <v>341</v>
      </c>
      <c r="W36" s="4"/>
      <c r="X36" s="4"/>
      <c r="Y36" s="4" t="s">
        <v>373</v>
      </c>
      <c r="Z36" s="4" t="s">
        <v>375</v>
      </c>
      <c r="AA36" s="4"/>
    </row>
    <row r="37" spans="1:27" ht="41.25" customHeight="1">
      <c r="A37" s="2">
        <v>46111</v>
      </c>
      <c r="B37" s="3">
        <v>46111</v>
      </c>
      <c r="C37" s="4" t="s">
        <v>75</v>
      </c>
      <c r="D37" s="4" t="s">
        <v>101</v>
      </c>
      <c r="E37" s="4"/>
      <c r="F37" s="4"/>
      <c r="G37" s="5" t="s">
        <v>350</v>
      </c>
      <c r="H37" s="4" t="s">
        <v>376</v>
      </c>
      <c r="I37" s="4" t="s">
        <v>352</v>
      </c>
      <c r="J37" s="6">
        <v>1</v>
      </c>
      <c r="K37" s="5" t="s">
        <v>310</v>
      </c>
      <c r="L37" s="5" t="s">
        <v>325</v>
      </c>
      <c r="M37" s="7">
        <v>3</v>
      </c>
      <c r="N37" s="7">
        <v>0.25</v>
      </c>
      <c r="O37" s="6">
        <v>1</v>
      </c>
      <c r="P37" s="6">
        <v>1</v>
      </c>
      <c r="Q37" s="6">
        <v>0</v>
      </c>
      <c r="R37" s="7"/>
      <c r="S37" s="7"/>
      <c r="T37" s="6"/>
      <c r="U37" s="7" t="s">
        <v>312</v>
      </c>
      <c r="V37" s="5" t="s">
        <v>297</v>
      </c>
      <c r="W37" s="4"/>
      <c r="X37" s="4"/>
      <c r="Y37" s="4" t="s">
        <v>314</v>
      </c>
      <c r="Z37" s="4" t="s">
        <v>377</v>
      </c>
      <c r="AA37" s="4"/>
    </row>
    <row r="38" spans="1:27" ht="54.75" customHeight="1">
      <c r="A38" s="2">
        <v>46112</v>
      </c>
      <c r="B38" s="3">
        <v>46111</v>
      </c>
      <c r="C38" s="4" t="s">
        <v>75</v>
      </c>
      <c r="D38" s="4" t="s">
        <v>101</v>
      </c>
      <c r="E38" s="4"/>
      <c r="F38" s="4"/>
      <c r="G38" s="5" t="s">
        <v>350</v>
      </c>
      <c r="H38" s="4" t="s">
        <v>376</v>
      </c>
      <c r="I38" s="4" t="s">
        <v>352</v>
      </c>
      <c r="J38" s="6">
        <v>1</v>
      </c>
      <c r="K38" s="5" t="s">
        <v>310</v>
      </c>
      <c r="L38" s="5" t="s">
        <v>325</v>
      </c>
      <c r="M38" s="7">
        <v>3</v>
      </c>
      <c r="N38" s="7">
        <v>0.25</v>
      </c>
      <c r="O38" s="6">
        <v>1</v>
      </c>
      <c r="P38" s="6">
        <v>1</v>
      </c>
      <c r="Q38" s="6">
        <v>0</v>
      </c>
      <c r="R38" s="7"/>
      <c r="S38" s="7"/>
      <c r="T38" s="6"/>
      <c r="U38" s="7" t="s">
        <v>312</v>
      </c>
      <c r="V38" s="5" t="s">
        <v>297</v>
      </c>
      <c r="W38" s="4"/>
      <c r="X38" s="4"/>
      <c r="Y38" s="4" t="s">
        <v>314</v>
      </c>
      <c r="Z38" s="4" t="s">
        <v>378</v>
      </c>
      <c r="AA38" s="4"/>
    </row>
    <row r="39" spans="1:27" ht="54.75" customHeight="1">
      <c r="A39" s="2">
        <v>46113</v>
      </c>
      <c r="B39" s="3">
        <v>46111</v>
      </c>
      <c r="C39" s="4" t="s">
        <v>75</v>
      </c>
      <c r="D39" s="4" t="s">
        <v>101</v>
      </c>
      <c r="E39" s="4"/>
      <c r="F39" s="4"/>
      <c r="G39" s="5" t="s">
        <v>350</v>
      </c>
      <c r="H39" s="4" t="s">
        <v>376</v>
      </c>
      <c r="I39" s="4" t="s">
        <v>352</v>
      </c>
      <c r="J39" s="6">
        <v>1</v>
      </c>
      <c r="K39" s="5" t="s">
        <v>310</v>
      </c>
      <c r="L39" s="5" t="s">
        <v>325</v>
      </c>
      <c r="M39" s="7">
        <v>3</v>
      </c>
      <c r="N39" s="7">
        <v>0.25</v>
      </c>
      <c r="O39" s="6">
        <v>1</v>
      </c>
      <c r="P39" s="6">
        <v>1</v>
      </c>
      <c r="Q39" s="6">
        <v>0</v>
      </c>
      <c r="R39" s="7"/>
      <c r="S39" s="7"/>
      <c r="T39" s="6"/>
      <c r="U39" s="7" t="s">
        <v>312</v>
      </c>
      <c r="V39" s="5" t="s">
        <v>313</v>
      </c>
      <c r="W39" s="4"/>
      <c r="X39" s="4"/>
      <c r="Y39" s="4" t="s">
        <v>314</v>
      </c>
      <c r="Z39" s="4" t="s">
        <v>379</v>
      </c>
      <c r="AA39" s="4"/>
    </row>
    <row r="40" spans="1:27" ht="41.25" customHeight="1">
      <c r="A40" s="2">
        <v>46114</v>
      </c>
      <c r="B40" s="3">
        <v>46111</v>
      </c>
      <c r="C40" s="4" t="s">
        <v>75</v>
      </c>
      <c r="D40" s="4" t="s">
        <v>99</v>
      </c>
      <c r="E40" s="4"/>
      <c r="F40" s="4"/>
      <c r="G40" s="5" t="s">
        <v>338</v>
      </c>
      <c r="H40" s="4" t="s">
        <v>380</v>
      </c>
      <c r="I40" s="4" t="s">
        <v>340</v>
      </c>
      <c r="J40" s="6">
        <v>1</v>
      </c>
      <c r="K40" s="5" t="s">
        <v>310</v>
      </c>
      <c r="L40" s="5" t="s">
        <v>311</v>
      </c>
      <c r="M40" s="7">
        <v>1.5</v>
      </c>
      <c r="N40" s="7">
        <v>0.5</v>
      </c>
      <c r="O40" s="6">
        <v>1</v>
      </c>
      <c r="P40" s="6">
        <v>1</v>
      </c>
      <c r="Q40" s="6">
        <v>0</v>
      </c>
      <c r="R40" s="7"/>
      <c r="S40" s="7"/>
      <c r="T40" s="6"/>
      <c r="U40" s="7" t="s">
        <v>312</v>
      </c>
      <c r="V40" s="5" t="s">
        <v>381</v>
      </c>
      <c r="W40" s="4"/>
      <c r="X40" s="4"/>
      <c r="Y40" s="4" t="s">
        <v>314</v>
      </c>
      <c r="Z40" s="4" t="s">
        <v>382</v>
      </c>
      <c r="AA40" s="4"/>
    </row>
    <row r="41" spans="1:27" ht="41.25" customHeight="1">
      <c r="A41" s="2">
        <v>46111</v>
      </c>
      <c r="B41" s="3">
        <v>46111</v>
      </c>
      <c r="C41" s="4" t="s">
        <v>72</v>
      </c>
      <c r="D41" s="4" t="s">
        <v>99</v>
      </c>
      <c r="E41" s="4"/>
      <c r="F41" s="4"/>
      <c r="G41" s="5" t="s">
        <v>338</v>
      </c>
      <c r="H41" s="4" t="s">
        <v>339</v>
      </c>
      <c r="I41" s="4" t="s">
        <v>340</v>
      </c>
      <c r="J41" s="6">
        <v>1</v>
      </c>
      <c r="K41" s="5" t="s">
        <v>310</v>
      </c>
      <c r="L41" s="5" t="s">
        <v>311</v>
      </c>
      <c r="M41" s="7">
        <v>1.5</v>
      </c>
      <c r="N41" s="7">
        <v>0.5</v>
      </c>
      <c r="O41" s="6">
        <v>1</v>
      </c>
      <c r="P41" s="6">
        <v>1</v>
      </c>
      <c r="Q41" s="6">
        <v>0</v>
      </c>
      <c r="R41" s="7"/>
      <c r="S41" s="7"/>
      <c r="T41" s="6"/>
      <c r="U41" s="7" t="s">
        <v>312</v>
      </c>
      <c r="V41" s="5" t="s">
        <v>372</v>
      </c>
      <c r="W41" s="4"/>
      <c r="X41" s="4"/>
      <c r="Y41" s="4" t="s">
        <v>373</v>
      </c>
      <c r="Z41" s="4" t="s">
        <v>374</v>
      </c>
      <c r="AA41" s="4"/>
    </row>
    <row r="42" spans="1:27" ht="41.25" customHeight="1">
      <c r="A42" s="2">
        <v>46112</v>
      </c>
      <c r="B42" s="3">
        <v>46111</v>
      </c>
      <c r="C42" s="4" t="s">
        <v>72</v>
      </c>
      <c r="D42" s="4" t="s">
        <v>99</v>
      </c>
      <c r="E42" s="4"/>
      <c r="F42" s="4"/>
      <c r="G42" s="5" t="s">
        <v>338</v>
      </c>
      <c r="H42" s="4" t="s">
        <v>339</v>
      </c>
      <c r="I42" s="4" t="s">
        <v>340</v>
      </c>
      <c r="J42" s="6">
        <v>1</v>
      </c>
      <c r="K42" s="5" t="s">
        <v>310</v>
      </c>
      <c r="L42" s="5" t="s">
        <v>311</v>
      </c>
      <c r="M42" s="7">
        <v>1.5</v>
      </c>
      <c r="N42" s="7">
        <v>0.5</v>
      </c>
      <c r="O42" s="6">
        <v>1</v>
      </c>
      <c r="P42" s="6">
        <v>1</v>
      </c>
      <c r="Q42" s="6">
        <v>0</v>
      </c>
      <c r="R42" s="7"/>
      <c r="S42" s="7"/>
      <c r="T42" s="6"/>
      <c r="U42" s="7" t="s">
        <v>312</v>
      </c>
      <c r="V42" s="5" t="s">
        <v>372</v>
      </c>
      <c r="W42" s="4"/>
      <c r="X42" s="4"/>
      <c r="Y42" s="4" t="s">
        <v>373</v>
      </c>
      <c r="Z42" s="4" t="s">
        <v>374</v>
      </c>
      <c r="AA42" s="4"/>
    </row>
    <row r="43" spans="1:27" ht="41.25" customHeight="1">
      <c r="A43" s="2">
        <v>46113</v>
      </c>
      <c r="B43" s="3">
        <v>46111</v>
      </c>
      <c r="C43" s="4" t="s">
        <v>72</v>
      </c>
      <c r="D43" s="4" t="s">
        <v>99</v>
      </c>
      <c r="E43" s="4"/>
      <c r="F43" s="4"/>
      <c r="G43" s="5" t="s">
        <v>338</v>
      </c>
      <c r="H43" s="4" t="s">
        <v>339</v>
      </c>
      <c r="I43" s="4" t="s">
        <v>340</v>
      </c>
      <c r="J43" s="6">
        <v>1</v>
      </c>
      <c r="K43" s="5" t="s">
        <v>310</v>
      </c>
      <c r="L43" s="5" t="s">
        <v>311</v>
      </c>
      <c r="M43" s="7">
        <v>1.5</v>
      </c>
      <c r="N43" s="7">
        <v>0.5</v>
      </c>
      <c r="O43" s="6">
        <v>1</v>
      </c>
      <c r="P43" s="6">
        <v>1</v>
      </c>
      <c r="Q43" s="6">
        <v>0</v>
      </c>
      <c r="R43" s="7"/>
      <c r="S43" s="7"/>
      <c r="T43" s="6"/>
      <c r="U43" s="7" t="s">
        <v>312</v>
      </c>
      <c r="V43" s="5" t="s">
        <v>372</v>
      </c>
      <c r="W43" s="4"/>
      <c r="X43" s="4"/>
      <c r="Y43" s="4" t="s">
        <v>373</v>
      </c>
      <c r="Z43" s="4" t="s">
        <v>374</v>
      </c>
      <c r="AA43" s="4"/>
    </row>
    <row r="44" spans="1:27" ht="54.75" customHeight="1">
      <c r="A44" s="2">
        <v>46116</v>
      </c>
      <c r="B44" s="3">
        <v>46111</v>
      </c>
      <c r="C44" s="4" t="s">
        <v>72</v>
      </c>
      <c r="D44" s="4" t="s">
        <v>99</v>
      </c>
      <c r="E44" s="4"/>
      <c r="F44" s="4"/>
      <c r="G44" s="5" t="s">
        <v>338</v>
      </c>
      <c r="H44" s="4" t="s">
        <v>339</v>
      </c>
      <c r="I44" s="4" t="s">
        <v>340</v>
      </c>
      <c r="J44" s="6">
        <v>1</v>
      </c>
      <c r="K44" s="5" t="s">
        <v>310</v>
      </c>
      <c r="L44" s="5" t="s">
        <v>311</v>
      </c>
      <c r="M44" s="7">
        <v>1.5</v>
      </c>
      <c r="N44" s="7">
        <v>0.5</v>
      </c>
      <c r="O44" s="6">
        <v>1</v>
      </c>
      <c r="P44" s="6">
        <v>1</v>
      </c>
      <c r="Q44" s="6">
        <v>0</v>
      </c>
      <c r="R44" s="7"/>
      <c r="S44" s="7"/>
      <c r="T44" s="6"/>
      <c r="U44" s="7" t="s">
        <v>312</v>
      </c>
      <c r="V44" s="5" t="s">
        <v>341</v>
      </c>
      <c r="W44" s="4"/>
      <c r="X44" s="4"/>
      <c r="Y44" s="4" t="s">
        <v>373</v>
      </c>
      <c r="Z44" s="4" t="s">
        <v>375</v>
      </c>
      <c r="AA44" s="4"/>
    </row>
    <row r="45" spans="1:27" ht="41.25" customHeight="1">
      <c r="A45" s="2">
        <v>46112</v>
      </c>
      <c r="B45" s="3">
        <v>46111</v>
      </c>
      <c r="C45" s="4" t="s">
        <v>76</v>
      </c>
      <c r="D45" s="4" t="s">
        <v>99</v>
      </c>
      <c r="E45" s="4"/>
      <c r="F45" s="4"/>
      <c r="G45" s="5" t="s">
        <v>338</v>
      </c>
      <c r="H45" s="4" t="s">
        <v>339</v>
      </c>
      <c r="I45" s="4" t="s">
        <v>340</v>
      </c>
      <c r="J45" s="6">
        <v>1</v>
      </c>
      <c r="K45" s="5" t="s">
        <v>310</v>
      </c>
      <c r="L45" s="5" t="s">
        <v>311</v>
      </c>
      <c r="M45" s="7">
        <v>1.5</v>
      </c>
      <c r="N45" s="7">
        <v>0.5</v>
      </c>
      <c r="O45" s="6">
        <v>1</v>
      </c>
      <c r="P45" s="6">
        <v>1</v>
      </c>
      <c r="Q45" s="6">
        <v>0</v>
      </c>
      <c r="R45" s="7"/>
      <c r="S45" s="7"/>
      <c r="T45" s="6"/>
      <c r="U45" s="7" t="s">
        <v>312</v>
      </c>
      <c r="V45" s="5" t="s">
        <v>372</v>
      </c>
      <c r="W45" s="4"/>
      <c r="X45" s="4"/>
      <c r="Y45" s="4" t="s">
        <v>373</v>
      </c>
      <c r="Z45" s="4" t="s">
        <v>374</v>
      </c>
      <c r="AA45" s="4"/>
    </row>
    <row r="46" spans="1:27" ht="41.25" customHeight="1">
      <c r="A46" s="2">
        <v>46114</v>
      </c>
      <c r="B46" s="3">
        <v>46111</v>
      </c>
      <c r="C46" s="4" t="s">
        <v>76</v>
      </c>
      <c r="D46" s="4" t="s">
        <v>99</v>
      </c>
      <c r="E46" s="4"/>
      <c r="F46" s="4"/>
      <c r="G46" s="5" t="s">
        <v>338</v>
      </c>
      <c r="H46" s="4" t="s">
        <v>339</v>
      </c>
      <c r="I46" s="4" t="s">
        <v>340</v>
      </c>
      <c r="J46" s="6">
        <v>1</v>
      </c>
      <c r="K46" s="5" t="s">
        <v>310</v>
      </c>
      <c r="L46" s="5" t="s">
        <v>311</v>
      </c>
      <c r="M46" s="7">
        <v>1.5</v>
      </c>
      <c r="N46" s="7">
        <v>0.5</v>
      </c>
      <c r="O46" s="6">
        <v>1</v>
      </c>
      <c r="P46" s="6">
        <v>1</v>
      </c>
      <c r="Q46" s="6">
        <v>0</v>
      </c>
      <c r="R46" s="7"/>
      <c r="S46" s="7"/>
      <c r="T46" s="6"/>
      <c r="U46" s="7" t="s">
        <v>312</v>
      </c>
      <c r="V46" s="5" t="s">
        <v>372</v>
      </c>
      <c r="W46" s="4"/>
      <c r="X46" s="4"/>
      <c r="Y46" s="4" t="s">
        <v>373</v>
      </c>
      <c r="Z46" s="4" t="s">
        <v>374</v>
      </c>
      <c r="AA46" s="4"/>
    </row>
    <row r="47" spans="1:27" ht="54.75" customHeight="1">
      <c r="A47" s="2">
        <v>46116</v>
      </c>
      <c r="B47" s="3">
        <v>46111</v>
      </c>
      <c r="C47" s="4" t="s">
        <v>76</v>
      </c>
      <c r="D47" s="4" t="s">
        <v>99</v>
      </c>
      <c r="E47" s="4"/>
      <c r="F47" s="4"/>
      <c r="G47" s="5" t="s">
        <v>338</v>
      </c>
      <c r="H47" s="4" t="s">
        <v>339</v>
      </c>
      <c r="I47" s="4" t="s">
        <v>340</v>
      </c>
      <c r="J47" s="6">
        <v>1</v>
      </c>
      <c r="K47" s="5" t="s">
        <v>310</v>
      </c>
      <c r="L47" s="5" t="s">
        <v>311</v>
      </c>
      <c r="M47" s="7">
        <v>1.5</v>
      </c>
      <c r="N47" s="7">
        <v>0.5</v>
      </c>
      <c r="O47" s="6">
        <v>1</v>
      </c>
      <c r="P47" s="6">
        <v>1</v>
      </c>
      <c r="Q47" s="6">
        <v>0</v>
      </c>
      <c r="R47" s="7"/>
      <c r="S47" s="7"/>
      <c r="T47" s="6"/>
      <c r="U47" s="7" t="s">
        <v>312</v>
      </c>
      <c r="V47" s="5" t="s">
        <v>341</v>
      </c>
      <c r="W47" s="4"/>
      <c r="X47" s="4"/>
      <c r="Y47" s="4" t="s">
        <v>373</v>
      </c>
      <c r="Z47" s="4" t="s">
        <v>375</v>
      </c>
      <c r="AA47" s="4"/>
    </row>
    <row r="48" spans="1:27" ht="45.75">
      <c r="A48" s="2">
        <v>46118</v>
      </c>
      <c r="B48" s="3">
        <f>IF(A48="","",A48-WEEKDAY(A48,2)+1)</f>
        <v>46118</v>
      </c>
      <c r="C48" s="4" t="s">
        <v>65</v>
      </c>
      <c r="D48" s="4" t="s">
        <v>101</v>
      </c>
      <c r="E48" s="4" t="s">
        <v>383</v>
      </c>
      <c r="F48" s="4" t="s">
        <v>384</v>
      </c>
      <c r="G48" s="5"/>
      <c r="H48" s="4"/>
      <c r="I48" s="4"/>
      <c r="J48" s="6"/>
      <c r="K48" s="5" t="str">
        <f>IFERROR(VLOOKUP(I48,'[2]Task Catalog'!$A$6:$K$17,3,FALSE),"")</f>
        <v/>
      </c>
      <c r="L48" s="5" t="str">
        <f>IFERROR(VLOOKUP(I48,'[2]Task Catalog'!$A$6:$K$17,4,FALSE),"")</f>
        <v/>
      </c>
      <c r="M48" s="7" t="str">
        <f>IFERROR(VLOOKUP(I48,'[2]Task Catalog'!$A$6:$K$17,5,FALSE),"")</f>
        <v/>
      </c>
      <c r="N48" s="7" t="str">
        <f>IFERROR(VLOOKUP(I48,'[2]Task Catalog'!$A$6:$K$17,6,FALSE),"")</f>
        <v/>
      </c>
      <c r="O48" s="6">
        <v>3</v>
      </c>
      <c r="P48" s="6">
        <f>IFERROR(VLOOKUP(I48,'[2]Task Catalog'!$A$6:$K$17,8,FALSE),1)</f>
        <v>1</v>
      </c>
      <c r="Q48" s="6">
        <v>0</v>
      </c>
      <c r="R48" s="7" t="str">
        <f>IFERROR(J48*M48*O48*P48+N48+Q48,"")</f>
        <v/>
      </c>
      <c r="S48" s="7" t="str">
        <f>IF(R48="","",R48)</f>
        <v/>
      </c>
      <c r="T48" s="6"/>
      <c r="U48" s="7" t="str">
        <f>IF(T48="","",T48-R48)</f>
        <v/>
      </c>
      <c r="V48" s="5" t="str">
        <f>IFERROR(VLOOKUP(I48,'[2]Task Catalog'!$A$6:$K$17,9,FALSE),"")</f>
        <v/>
      </c>
      <c r="W48" s="4"/>
      <c r="X48" s="4"/>
      <c r="Y48" s="4"/>
      <c r="Z48" s="4"/>
      <c r="AA48" s="4"/>
    </row>
    <row r="49" spans="1:27" ht="76.5">
      <c r="A49" s="2">
        <v>46119</v>
      </c>
      <c r="B49" s="3">
        <f>IF(A49="","",A49-WEEKDAY(A49,2)+1)</f>
        <v>46118</v>
      </c>
      <c r="C49" s="4" t="s">
        <v>65</v>
      </c>
      <c r="D49" s="4" t="s">
        <v>99</v>
      </c>
      <c r="E49" s="4" t="s">
        <v>385</v>
      </c>
      <c r="F49" s="4" t="s">
        <v>386</v>
      </c>
      <c r="G49" s="5" t="str">
        <f>IFERROR(VLOOKUP(I49,'[2]Task Catalog'!$A$6:$K$17,2,FALSE),"")</f>
        <v/>
      </c>
      <c r="H49" s="4"/>
      <c r="I49" s="4"/>
      <c r="J49" s="6"/>
      <c r="K49" s="5" t="str">
        <f>IFERROR(VLOOKUP(I49,'[2]Task Catalog'!$A$6:$K$17,3,FALSE),"")</f>
        <v/>
      </c>
      <c r="L49" s="5" t="str">
        <f>IFERROR(VLOOKUP(I49,'[2]Task Catalog'!$A$6:$K$17,4,FALSE),"")</f>
        <v/>
      </c>
      <c r="M49" s="7" t="str">
        <f>IFERROR(VLOOKUP(I49,'[2]Task Catalog'!$A$6:$K$17,5,FALSE),"")</f>
        <v/>
      </c>
      <c r="N49" s="7" t="str">
        <f>IFERROR(VLOOKUP(I49,'[2]Task Catalog'!$A$6:$K$17,6,FALSE),"")</f>
        <v/>
      </c>
      <c r="O49" s="6">
        <v>2</v>
      </c>
      <c r="P49" s="6">
        <f>IFERROR(VLOOKUP(I49,'[2]Task Catalog'!$A$6:$K$17,8,FALSE),1)</f>
        <v>1</v>
      </c>
      <c r="Q49" s="6">
        <v>0</v>
      </c>
      <c r="R49" s="7" t="str">
        <f>IFERROR(J49*M49*O49*P49+N49+Q49,"")</f>
        <v/>
      </c>
      <c r="S49" s="7" t="str">
        <f>IF(R49="","",R49)</f>
        <v/>
      </c>
      <c r="T49" s="6"/>
      <c r="U49" s="7" t="str">
        <f>IF(T49="","",T49-R49)</f>
        <v/>
      </c>
      <c r="V49" s="5" t="str">
        <f>IFERROR(VLOOKUP(I49,'[2]Task Catalog'!$A$6:$K$17,9,FALSE),"")</f>
        <v/>
      </c>
      <c r="W49" s="4"/>
      <c r="X49" s="4"/>
      <c r="Y49" s="4"/>
      <c r="Z49" s="4"/>
      <c r="AA49" s="4"/>
    </row>
    <row r="50" spans="1:27" ht="45.75">
      <c r="A50" s="2">
        <v>46120</v>
      </c>
      <c r="B50" s="3">
        <f>IF(A50="","",A50-WEEKDAY(A50,2)+1)</f>
        <v>46118</v>
      </c>
      <c r="C50" s="4" t="s">
        <v>65</v>
      </c>
      <c r="D50" s="4" t="s">
        <v>271</v>
      </c>
      <c r="E50" s="4" t="s">
        <v>387</v>
      </c>
      <c r="F50" s="4" t="s">
        <v>388</v>
      </c>
      <c r="G50" s="5" t="str">
        <f>IFERROR(VLOOKUP(I50,'[2]Task Catalog'!$A$6:$K$17,2,FALSE),"")</f>
        <v/>
      </c>
      <c r="H50" s="4"/>
      <c r="I50" s="4"/>
      <c r="J50" s="6"/>
      <c r="K50" s="5" t="str">
        <f>IFERROR(VLOOKUP(I50,'[2]Task Catalog'!$A$6:$K$17,3,FALSE),"")</f>
        <v/>
      </c>
      <c r="L50" s="5" t="str">
        <f>IFERROR(VLOOKUP(I50,'[2]Task Catalog'!$A$6:$K$17,4,FALSE),"")</f>
        <v/>
      </c>
      <c r="M50" s="7" t="str">
        <f>IFERROR(VLOOKUP(I50,'[2]Task Catalog'!$A$6:$K$17,5,FALSE),"")</f>
        <v/>
      </c>
      <c r="N50" s="7" t="str">
        <f>IFERROR(VLOOKUP(I50,'[2]Task Catalog'!$A$6:$K$17,6,FALSE),"")</f>
        <v/>
      </c>
      <c r="O50" s="6">
        <v>2</v>
      </c>
      <c r="P50" s="6">
        <f>IFERROR(VLOOKUP(I50,'[2]Task Catalog'!$A$6:$K$17,8,FALSE),1)</f>
        <v>1</v>
      </c>
      <c r="Q50" s="6">
        <v>0</v>
      </c>
      <c r="R50" s="7" t="str">
        <f>IFERROR(J50*M50*O50*P50+N50+Q50,"")</f>
        <v/>
      </c>
      <c r="S50" s="7" t="str">
        <f>IF(R50="","",R50)</f>
        <v/>
      </c>
      <c r="T50" s="6"/>
      <c r="U50" s="7" t="str">
        <f>IF(T50="","",T50-R50)</f>
        <v/>
      </c>
      <c r="V50" s="5" t="str">
        <f>IFERROR(VLOOKUP(I50,'[2]Task Catalog'!$A$6:$K$17,9,FALSE),"")</f>
        <v/>
      </c>
      <c r="W50" s="4"/>
      <c r="X50" s="4"/>
      <c r="Y50" s="4"/>
      <c r="Z50" s="4"/>
      <c r="AA50" s="4"/>
    </row>
    <row r="51" spans="1:27" ht="45.75">
      <c r="A51" s="2">
        <v>46121</v>
      </c>
      <c r="B51" s="3">
        <f>IF(A51="","",A51-WEEKDAY(A51,2)+1)</f>
        <v>46118</v>
      </c>
      <c r="C51" s="4" t="s">
        <v>65</v>
      </c>
      <c r="D51" s="4" t="s">
        <v>101</v>
      </c>
      <c r="E51" s="4" t="s">
        <v>99</v>
      </c>
      <c r="F51" s="4" t="s">
        <v>389</v>
      </c>
      <c r="G51" s="5" t="str">
        <f>IFERROR(VLOOKUP(I51,'[2]Task Catalog'!$A$6:$K$17,2,FALSE),"")</f>
        <v/>
      </c>
      <c r="H51" s="4"/>
      <c r="I51" s="4"/>
      <c r="J51" s="6"/>
      <c r="K51" s="5" t="str">
        <f>IFERROR(VLOOKUP(I51,'[2]Task Catalog'!$A$6:$K$17,3,FALSE),"")</f>
        <v/>
      </c>
      <c r="L51" s="5" t="str">
        <f>IFERROR(VLOOKUP(I51,'[2]Task Catalog'!$A$6:$K$17,4,FALSE),"")</f>
        <v/>
      </c>
      <c r="M51" s="7" t="str">
        <f>IFERROR(VLOOKUP(I51,'[2]Task Catalog'!$A$6:$K$17,5,FALSE),"")</f>
        <v/>
      </c>
      <c r="N51" s="7" t="str">
        <f>IFERROR(VLOOKUP(I51,'[2]Task Catalog'!$A$6:$K$17,6,FALSE),"")</f>
        <v/>
      </c>
      <c r="O51" s="6">
        <v>3</v>
      </c>
      <c r="P51" s="6">
        <f>IFERROR(VLOOKUP(I51,'[2]Task Catalog'!$A$6:$K$17,8,FALSE),1)</f>
        <v>1</v>
      </c>
      <c r="Q51" s="6">
        <v>0</v>
      </c>
      <c r="R51" s="7" t="str">
        <f>IFERROR(J51*M51*O51*P51+N51+Q51,"")</f>
        <v/>
      </c>
      <c r="S51" s="7" t="str">
        <f>IF(R51="","",R51)</f>
        <v/>
      </c>
      <c r="T51" s="6"/>
      <c r="U51" s="7" t="str">
        <f>IF(T51="","",T51-R51)</f>
        <v/>
      </c>
      <c r="V51" s="5" t="str">
        <f>IFERROR(VLOOKUP(I51,'[2]Task Catalog'!$A$6:$K$17,9,FALSE),"")</f>
        <v/>
      </c>
      <c r="W51" s="4"/>
      <c r="X51" s="4"/>
      <c r="Y51" s="4"/>
      <c r="Z51" s="4"/>
      <c r="AA51" s="4"/>
    </row>
    <row r="52" spans="1:27" ht="45.75">
      <c r="A52" s="2">
        <v>46122</v>
      </c>
      <c r="B52" s="3">
        <f>IF(A52="","",A52-WEEKDAY(A52,2)+1)</f>
        <v>46118</v>
      </c>
      <c r="C52" s="4" t="s">
        <v>65</v>
      </c>
      <c r="D52" s="4" t="s">
        <v>101</v>
      </c>
      <c r="E52" s="4" t="s">
        <v>101</v>
      </c>
      <c r="F52" s="4" t="s">
        <v>390</v>
      </c>
      <c r="G52" s="5" t="str">
        <f>IFERROR(VLOOKUP(I52,'[2]Task Catalog'!$A$6:$K$17,2,FALSE),"")</f>
        <v/>
      </c>
      <c r="H52" s="4"/>
      <c r="I52" s="4"/>
      <c r="J52" s="6"/>
      <c r="K52" s="5" t="str">
        <f>IFERROR(VLOOKUP(I52,'[2]Task Catalog'!$A$6:$K$17,3,FALSE),"")</f>
        <v/>
      </c>
      <c r="L52" s="5" t="str">
        <f>IFERROR(VLOOKUP(I52,'[2]Task Catalog'!$A$6:$K$17,4,FALSE),"")</f>
        <v/>
      </c>
      <c r="M52" s="7" t="str">
        <f>IFERROR(VLOOKUP(I52,'[2]Task Catalog'!$A$6:$K$17,5,FALSE),"")</f>
        <v/>
      </c>
      <c r="N52" s="7" t="str">
        <f>IFERROR(VLOOKUP(I52,'[2]Task Catalog'!$A$6:$K$17,6,FALSE),"")</f>
        <v/>
      </c>
      <c r="O52" s="6">
        <v>1</v>
      </c>
      <c r="P52" s="6">
        <f>IFERROR(VLOOKUP(I52,'[2]Task Catalog'!$A$6:$K$17,8,FALSE),1)</f>
        <v>1</v>
      </c>
      <c r="Q52" s="6">
        <v>0</v>
      </c>
      <c r="R52" s="7" t="str">
        <f>IFERROR(J52*M52*O52*P52+N52+Q52,"")</f>
        <v/>
      </c>
      <c r="S52" s="7" t="str">
        <f>IF(R52="","",R52)</f>
        <v/>
      </c>
      <c r="T52" s="6"/>
      <c r="U52" s="7" t="str">
        <f>IF(T52="","",T52-R52)</f>
        <v/>
      </c>
      <c r="V52" s="5" t="str">
        <f>IFERROR(VLOOKUP(I52,'[2]Task Catalog'!$A$6:$K$17,9,FALSE),"")</f>
        <v/>
      </c>
      <c r="W52" s="4"/>
      <c r="X52" s="4"/>
      <c r="Y52" s="4"/>
      <c r="Z52" s="4"/>
      <c r="AA52" s="4"/>
    </row>
    <row r="53" spans="1:27">
      <c r="A53" s="2">
        <v>46123</v>
      </c>
      <c r="B53" s="3">
        <f>IF(A53="","",A53-WEEKDAY(A53,2)+1)</f>
        <v>46118</v>
      </c>
      <c r="C53" s="4" t="s">
        <v>65</v>
      </c>
      <c r="D53" s="4" t="s">
        <v>101</v>
      </c>
      <c r="E53" s="4" t="s">
        <v>99</v>
      </c>
      <c r="F53" s="4"/>
      <c r="G53" s="5" t="str">
        <f>IFERROR(VLOOKUP(I53,'[2]Task Catalog'!$A$6:$K$17,2,FALSE),"")</f>
        <v/>
      </c>
      <c r="H53" s="4"/>
      <c r="I53" s="4"/>
      <c r="J53" s="6"/>
      <c r="K53" s="5" t="str">
        <f>IFERROR(VLOOKUP(I53,'[2]Task Catalog'!$A$6:$K$17,3,FALSE),"")</f>
        <v/>
      </c>
      <c r="L53" s="5" t="str">
        <f>IFERROR(VLOOKUP(I53,'[2]Task Catalog'!$A$6:$K$17,4,FALSE),"")</f>
        <v/>
      </c>
      <c r="M53" s="7" t="str">
        <f>IFERROR(VLOOKUP(I53,'[2]Task Catalog'!$A$6:$K$17,5,FALSE),"")</f>
        <v/>
      </c>
      <c r="N53" s="7" t="str">
        <f>IFERROR(VLOOKUP(I53,'[2]Task Catalog'!$A$6:$K$17,6,FALSE),"")</f>
        <v/>
      </c>
      <c r="O53" s="6">
        <v>1</v>
      </c>
      <c r="P53" s="6">
        <f>IFERROR(VLOOKUP(I53,'[2]Task Catalog'!$A$6:$K$17,8,FALSE),1)</f>
        <v>1</v>
      </c>
      <c r="Q53" s="6">
        <v>0</v>
      </c>
      <c r="R53" s="7" t="str">
        <f>IFERROR(J53*M53*O53*P53+N53+Q53,"")</f>
        <v/>
      </c>
      <c r="S53" s="7" t="str">
        <f>IF(R53="","",R53)</f>
        <v/>
      </c>
      <c r="T53" s="6"/>
      <c r="U53" s="7" t="str">
        <f>IF(T53="","",T53-R53)</f>
        <v/>
      </c>
      <c r="V53" s="5" t="str">
        <f>IFERROR(VLOOKUP(I53,'[2]Task Catalog'!$A$6:$K$17,9,FALSE),"")</f>
        <v/>
      </c>
      <c r="W53" s="4"/>
      <c r="X53" s="4"/>
      <c r="Y53" s="4"/>
      <c r="Z53" s="4"/>
      <c r="AA53" s="4"/>
    </row>
    <row r="54" spans="1:27">
      <c r="A54" s="2"/>
      <c r="B54" s="3" t="str">
        <f>IF(A54="","",A54-WEEKDAY(A54,2)+1)</f>
        <v/>
      </c>
      <c r="C54" s="4"/>
      <c r="D54" s="4"/>
      <c r="E54" s="4"/>
      <c r="F54" s="4"/>
      <c r="G54" s="5" t="str">
        <f>IFERROR(VLOOKUP(I54,'[2]Task Catalog'!$A$6:$K$17,2,FALSE),"")</f>
        <v/>
      </c>
      <c r="H54" s="4"/>
      <c r="I54" s="4"/>
      <c r="J54" s="6"/>
      <c r="K54" s="5" t="str">
        <f>IFERROR(VLOOKUP(I54,'[2]Task Catalog'!$A$6:$K$17,3,FALSE),"")</f>
        <v/>
      </c>
      <c r="L54" s="5" t="str">
        <f>IFERROR(VLOOKUP(I54,'[2]Task Catalog'!$A$6:$K$17,4,FALSE),"")</f>
        <v/>
      </c>
      <c r="M54" s="7" t="str">
        <f>IFERROR(VLOOKUP(I54,'[2]Task Catalog'!$A$6:$K$17,5,FALSE),"")</f>
        <v/>
      </c>
      <c r="N54" s="7" t="str">
        <f>IFERROR(VLOOKUP(I54,'[2]Task Catalog'!$A$6:$K$17,6,FALSE),"")</f>
        <v/>
      </c>
      <c r="O54" s="6">
        <v>1</v>
      </c>
      <c r="P54" s="6">
        <f>IFERROR(VLOOKUP(I54,'[2]Task Catalog'!$A$6:$K$17,8,FALSE),1)</f>
        <v>1</v>
      </c>
      <c r="Q54" s="6">
        <v>0</v>
      </c>
      <c r="R54" s="7" t="str">
        <f>IFERROR(J54*M54*O54*P54+N54+Q54,"")</f>
        <v/>
      </c>
      <c r="S54" s="7" t="str">
        <f>IF(R54="","",R54)</f>
        <v/>
      </c>
      <c r="T54" s="6"/>
      <c r="U54" s="7" t="str">
        <f>IF(T54="","",T54-R54)</f>
        <v/>
      </c>
      <c r="V54" s="5" t="str">
        <f>IFERROR(VLOOKUP(I54,'[2]Task Catalog'!$A$6:$K$17,9,FALSE),"")</f>
        <v/>
      </c>
      <c r="W54" s="4"/>
      <c r="X54" s="4"/>
      <c r="Y54" s="4"/>
      <c r="Z54" s="4"/>
      <c r="AA54" s="4"/>
    </row>
    <row r="55" spans="1:27">
      <c r="A55" s="2"/>
      <c r="B55" s="3" t="str">
        <f>IF(A55="","",A55-WEEKDAY(A55,2)+1)</f>
        <v/>
      </c>
      <c r="C55" s="4"/>
      <c r="D55" s="4"/>
      <c r="E55" s="4"/>
      <c r="F55" s="4"/>
      <c r="G55" s="5" t="str">
        <f>IFERROR(VLOOKUP(I55,'[2]Task Catalog'!$A$6:$K$17,2,FALSE),"")</f>
        <v/>
      </c>
      <c r="H55" s="4"/>
      <c r="I55" s="4"/>
      <c r="J55" s="6"/>
      <c r="K55" s="5" t="str">
        <f>IFERROR(VLOOKUP(I55,'[2]Task Catalog'!$A$6:$K$17,3,FALSE),"")</f>
        <v/>
      </c>
      <c r="L55" s="5" t="str">
        <f>IFERROR(VLOOKUP(I55,'[2]Task Catalog'!$A$6:$K$17,4,FALSE),"")</f>
        <v/>
      </c>
      <c r="M55" s="7" t="str">
        <f>IFERROR(VLOOKUP(I55,'[2]Task Catalog'!$A$6:$K$17,5,FALSE),"")</f>
        <v/>
      </c>
      <c r="N55" s="7" t="str">
        <f>IFERROR(VLOOKUP(I55,'[2]Task Catalog'!$A$6:$K$17,6,FALSE),"")</f>
        <v/>
      </c>
      <c r="O55" s="6">
        <v>1</v>
      </c>
      <c r="P55" s="6">
        <f>IFERROR(VLOOKUP(I55,'[2]Task Catalog'!$A$6:$K$17,8,FALSE),1)</f>
        <v>1</v>
      </c>
      <c r="Q55" s="6">
        <v>0</v>
      </c>
      <c r="R55" s="7" t="str">
        <f>IFERROR(J55*M55*O55*P55+N55+Q55,"")</f>
        <v/>
      </c>
      <c r="S55" s="7" t="str">
        <f>IF(R55="","",R55)</f>
        <v/>
      </c>
      <c r="T55" s="6"/>
      <c r="U55" s="7" t="str">
        <f>IF(T55="","",T55-R55)</f>
        <v/>
      </c>
      <c r="V55" s="5" t="str">
        <f>IFERROR(VLOOKUP(I55,'[2]Task Catalog'!$A$6:$K$17,9,FALSE),"")</f>
        <v/>
      </c>
      <c r="W55" s="4"/>
      <c r="X55" s="4"/>
      <c r="Y55" s="4"/>
      <c r="Z55" s="4"/>
      <c r="AA55" s="4"/>
    </row>
  </sheetData>
  <mergeCells count="3">
    <mergeCell ref="A1:AA1"/>
    <mergeCell ref="A2:AA2"/>
    <mergeCell ref="A4:AA4"/>
  </mergeCells>
  <dataValidations count="1">
    <dataValidation type="custom" allowBlank="1" showInputMessage="1" showErrorMessage="1" sqref="G6:G55 M6:N55 R6:S55" xr:uid="{7371B84A-E688-4A0E-857D-FB420C727261}">
      <formula1>"One of my formulas 🧪"</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1932-D72A-4E61-8724-1C1E8DACC668}">
  <sheetPr>
    <tabColor rgb="FF4F81BD"/>
  </sheetPr>
  <dimension ref="A1:G303"/>
  <sheetViews>
    <sheetView showGridLines="0" workbookViewId="0"/>
  </sheetViews>
  <sheetFormatPr defaultRowHeight="15"/>
  <cols>
    <col min="1" max="1" width="12" style="15" customWidth="1"/>
    <col min="2" max="2" width="12" customWidth="1"/>
    <col min="3" max="3" width="20" customWidth="1"/>
    <col min="4" max="4" width="22" customWidth="1"/>
    <col min="5" max="5" width="24" customWidth="1"/>
    <col min="6" max="6" width="92" customWidth="1"/>
    <col min="7" max="7" width="28" customWidth="1"/>
  </cols>
  <sheetData>
    <row r="1" spans="1:7" ht="30" customHeight="1">
      <c r="A1" s="67" t="s">
        <v>391</v>
      </c>
      <c r="B1" s="73"/>
      <c r="C1" s="73"/>
      <c r="D1" s="73"/>
      <c r="E1" s="73"/>
      <c r="F1" s="73"/>
      <c r="G1" s="73"/>
    </row>
    <row r="2" spans="1:7" ht="24" customHeight="1">
      <c r="A2" s="70" t="s">
        <v>392</v>
      </c>
      <c r="B2" s="73"/>
      <c r="C2" s="73"/>
      <c r="D2" s="73"/>
      <c r="E2" s="73"/>
      <c r="F2" s="73"/>
      <c r="G2" s="73"/>
    </row>
    <row r="3" spans="1:7" ht="24" customHeight="1">
      <c r="A3" s="71" t="s">
        <v>393</v>
      </c>
      <c r="B3" s="78"/>
      <c r="C3" s="78"/>
      <c r="D3" s="78"/>
      <c r="E3" s="78"/>
      <c r="F3" s="78"/>
      <c r="G3" s="79"/>
    </row>
    <row r="4" spans="1:7" ht="24" customHeight="1">
      <c r="A4" s="8" t="s">
        <v>394</v>
      </c>
      <c r="B4" s="1" t="s">
        <v>395</v>
      </c>
      <c r="C4" s="1" t="s">
        <v>115</v>
      </c>
      <c r="D4" s="1" t="s">
        <v>90</v>
      </c>
      <c r="E4" s="1" t="s">
        <v>396</v>
      </c>
      <c r="F4" s="1" t="s">
        <v>397</v>
      </c>
      <c r="G4" s="1" t="s">
        <v>398</v>
      </c>
    </row>
    <row r="5" spans="1:7" ht="72" customHeight="1">
      <c r="A5" s="9" t="s">
        <v>399</v>
      </c>
      <c r="B5" s="10" t="s">
        <v>400</v>
      </c>
      <c r="C5" s="11" t="s">
        <v>9</v>
      </c>
      <c r="D5" s="12" t="s">
        <v>401</v>
      </c>
      <c r="E5" s="12" t="s">
        <v>402</v>
      </c>
      <c r="F5" s="12" t="s">
        <v>403</v>
      </c>
      <c r="G5" s="13" t="s">
        <v>404</v>
      </c>
    </row>
    <row r="6" spans="1:7" ht="54" customHeight="1">
      <c r="A6" s="9">
        <v>46094</v>
      </c>
      <c r="B6" s="10" t="s">
        <v>405</v>
      </c>
      <c r="C6" s="11" t="s">
        <v>68</v>
      </c>
      <c r="D6" s="12" t="s">
        <v>406</v>
      </c>
      <c r="E6" s="12" t="s">
        <v>407</v>
      </c>
      <c r="F6" s="12" t="s">
        <v>408</v>
      </c>
      <c r="G6" s="13" t="s">
        <v>404</v>
      </c>
    </row>
    <row r="7" spans="1:7" ht="54" customHeight="1">
      <c r="A7" s="9" t="s">
        <v>409</v>
      </c>
      <c r="B7" s="10" t="s">
        <v>405</v>
      </c>
      <c r="C7" s="11" t="s">
        <v>9</v>
      </c>
      <c r="D7" s="12" t="s">
        <v>410</v>
      </c>
      <c r="E7" s="12" t="s">
        <v>411</v>
      </c>
      <c r="F7" s="12" t="s">
        <v>412</v>
      </c>
      <c r="G7" s="13" t="s">
        <v>404</v>
      </c>
    </row>
    <row r="8" spans="1:7" ht="54" customHeight="1">
      <c r="A8" s="9" t="s">
        <v>409</v>
      </c>
      <c r="B8" s="10" t="s">
        <v>405</v>
      </c>
      <c r="C8" s="11" t="s">
        <v>72</v>
      </c>
      <c r="D8" s="12" t="s">
        <v>410</v>
      </c>
      <c r="E8" s="12" t="s">
        <v>411</v>
      </c>
      <c r="F8" s="12" t="s">
        <v>413</v>
      </c>
      <c r="G8" s="13" t="s">
        <v>404</v>
      </c>
    </row>
    <row r="9" spans="1:7" ht="54" customHeight="1">
      <c r="A9" s="9" t="s">
        <v>409</v>
      </c>
      <c r="B9" s="10" t="s">
        <v>405</v>
      </c>
      <c r="C9" s="11" t="s">
        <v>77</v>
      </c>
      <c r="D9" s="12" t="s">
        <v>410</v>
      </c>
      <c r="E9" s="12" t="s">
        <v>411</v>
      </c>
      <c r="F9" s="12" t="s">
        <v>414</v>
      </c>
      <c r="G9" s="13" t="s">
        <v>404</v>
      </c>
    </row>
    <row r="10" spans="1:7" ht="54" customHeight="1">
      <c r="A10" s="9" t="s">
        <v>415</v>
      </c>
      <c r="B10" s="10" t="s">
        <v>416</v>
      </c>
      <c r="C10" s="11" t="s">
        <v>9</v>
      </c>
      <c r="D10" s="12" t="s">
        <v>417</v>
      </c>
      <c r="E10" s="12" t="s">
        <v>418</v>
      </c>
      <c r="F10" s="12" t="s">
        <v>419</v>
      </c>
      <c r="G10" s="13" t="s">
        <v>404</v>
      </c>
    </row>
    <row r="11" spans="1:7" ht="54" customHeight="1">
      <c r="A11" s="9" t="s">
        <v>415</v>
      </c>
      <c r="B11" s="10" t="s">
        <v>416</v>
      </c>
      <c r="C11" s="11" t="s">
        <v>74</v>
      </c>
      <c r="D11" s="12" t="s">
        <v>420</v>
      </c>
      <c r="E11" s="12" t="s">
        <v>421</v>
      </c>
      <c r="F11" s="12" t="s">
        <v>422</v>
      </c>
      <c r="G11" s="13" t="s">
        <v>404</v>
      </c>
    </row>
    <row r="12" spans="1:7" ht="54" customHeight="1">
      <c r="A12" s="9" t="s">
        <v>415</v>
      </c>
      <c r="B12" s="10" t="s">
        <v>416</v>
      </c>
      <c r="C12" s="11" t="s">
        <v>77</v>
      </c>
      <c r="D12" s="12" t="s">
        <v>420</v>
      </c>
      <c r="E12" s="12" t="s">
        <v>423</v>
      </c>
      <c r="F12" s="12" t="s">
        <v>424</v>
      </c>
      <c r="G12" s="13" t="s">
        <v>404</v>
      </c>
    </row>
    <row r="13" spans="1:7" ht="54" customHeight="1">
      <c r="A13" s="9" t="s">
        <v>415</v>
      </c>
      <c r="B13" s="10" t="s">
        <v>416</v>
      </c>
      <c r="C13" s="11" t="s">
        <v>425</v>
      </c>
      <c r="D13" s="12" t="s">
        <v>420</v>
      </c>
      <c r="E13" s="12" t="s">
        <v>423</v>
      </c>
      <c r="F13" s="12" t="s">
        <v>426</v>
      </c>
      <c r="G13" s="13" t="s">
        <v>404</v>
      </c>
    </row>
    <row r="14" spans="1:7" ht="54" customHeight="1">
      <c r="A14" s="9" t="s">
        <v>415</v>
      </c>
      <c r="B14" s="10" t="s">
        <v>416</v>
      </c>
      <c r="C14" s="11" t="s">
        <v>75</v>
      </c>
      <c r="D14" s="12" t="s">
        <v>420</v>
      </c>
      <c r="E14" s="12" t="s">
        <v>423</v>
      </c>
      <c r="F14" s="12" t="s">
        <v>427</v>
      </c>
      <c r="G14" s="13" t="s">
        <v>404</v>
      </c>
    </row>
    <row r="15" spans="1:7" ht="54" customHeight="1">
      <c r="A15" s="9" t="s">
        <v>415</v>
      </c>
      <c r="B15" s="10" t="s">
        <v>416</v>
      </c>
      <c r="C15" s="11" t="s">
        <v>72</v>
      </c>
      <c r="D15" s="12" t="s">
        <v>420</v>
      </c>
      <c r="E15" s="12" t="s">
        <v>428</v>
      </c>
      <c r="F15" s="12" t="s">
        <v>429</v>
      </c>
      <c r="G15" s="13" t="s">
        <v>404</v>
      </c>
    </row>
    <row r="16" spans="1:7" ht="72" customHeight="1">
      <c r="A16" s="9" t="s">
        <v>430</v>
      </c>
      <c r="B16" s="10" t="s">
        <v>431</v>
      </c>
      <c r="C16" s="11" t="s">
        <v>9</v>
      </c>
      <c r="D16" s="12" t="s">
        <v>432</v>
      </c>
      <c r="E16" s="12" t="s">
        <v>433</v>
      </c>
      <c r="F16" s="12" t="s">
        <v>434</v>
      </c>
      <c r="G16" s="13" t="s">
        <v>404</v>
      </c>
    </row>
    <row r="17" spans="1:7" ht="54" customHeight="1">
      <c r="A17" s="9" t="s">
        <v>430</v>
      </c>
      <c r="B17" s="10" t="s">
        <v>431</v>
      </c>
      <c r="C17" s="11" t="s">
        <v>74</v>
      </c>
      <c r="D17" s="12" t="s">
        <v>432</v>
      </c>
      <c r="E17" s="12" t="s">
        <v>435</v>
      </c>
      <c r="F17" s="12" t="s">
        <v>436</v>
      </c>
      <c r="G17" s="13" t="s">
        <v>404</v>
      </c>
    </row>
    <row r="18" spans="1:7" ht="54" customHeight="1">
      <c r="A18" s="9" t="s">
        <v>430</v>
      </c>
      <c r="B18" s="10" t="s">
        <v>431</v>
      </c>
      <c r="C18" s="11" t="s">
        <v>72</v>
      </c>
      <c r="D18" s="12" t="s">
        <v>432</v>
      </c>
      <c r="E18" s="12" t="s">
        <v>437</v>
      </c>
      <c r="F18" s="12" t="s">
        <v>438</v>
      </c>
      <c r="G18" s="13" t="s">
        <v>404</v>
      </c>
    </row>
    <row r="19" spans="1:7" ht="54" customHeight="1">
      <c r="A19" s="9" t="s">
        <v>439</v>
      </c>
      <c r="B19" s="10" t="s">
        <v>440</v>
      </c>
      <c r="C19" s="11" t="s">
        <v>9</v>
      </c>
      <c r="D19" s="12" t="s">
        <v>441</v>
      </c>
      <c r="E19" s="12" t="s">
        <v>442</v>
      </c>
      <c r="F19" s="12" t="s">
        <v>443</v>
      </c>
      <c r="G19" s="13" t="s">
        <v>404</v>
      </c>
    </row>
    <row r="20" spans="1:7" ht="54" customHeight="1">
      <c r="A20" s="9" t="s">
        <v>439</v>
      </c>
      <c r="B20" s="10" t="s">
        <v>440</v>
      </c>
      <c r="C20" s="11" t="s">
        <v>74</v>
      </c>
      <c r="D20" s="12" t="s">
        <v>444</v>
      </c>
      <c r="E20" s="12" t="s">
        <v>445</v>
      </c>
      <c r="F20" s="12" t="s">
        <v>446</v>
      </c>
      <c r="G20" s="13" t="s">
        <v>404</v>
      </c>
    </row>
    <row r="21" spans="1:7" ht="54" customHeight="1">
      <c r="A21" s="9" t="s">
        <v>439</v>
      </c>
      <c r="B21" s="10" t="s">
        <v>440</v>
      </c>
      <c r="C21" s="11" t="s">
        <v>72</v>
      </c>
      <c r="D21" s="12" t="s">
        <v>444</v>
      </c>
      <c r="E21" s="12" t="s">
        <v>447</v>
      </c>
      <c r="F21" s="12" t="s">
        <v>448</v>
      </c>
      <c r="G21" s="13" t="s">
        <v>404</v>
      </c>
    </row>
    <row r="22" spans="1:7" ht="54" customHeight="1">
      <c r="A22" s="9" t="s">
        <v>439</v>
      </c>
      <c r="B22" s="10" t="s">
        <v>440</v>
      </c>
      <c r="C22" s="11" t="s">
        <v>77</v>
      </c>
      <c r="D22" s="12" t="s">
        <v>444</v>
      </c>
      <c r="E22" s="12" t="s">
        <v>447</v>
      </c>
      <c r="F22" s="12" t="s">
        <v>448</v>
      </c>
      <c r="G22" s="13" t="s">
        <v>404</v>
      </c>
    </row>
    <row r="23" spans="1:7" ht="54" customHeight="1">
      <c r="A23" s="9" t="s">
        <v>439</v>
      </c>
      <c r="B23" s="10" t="s">
        <v>440</v>
      </c>
      <c r="C23" s="11" t="s">
        <v>68</v>
      </c>
      <c r="D23" s="12" t="s">
        <v>449</v>
      </c>
      <c r="E23" s="12" t="s">
        <v>450</v>
      </c>
      <c r="F23" s="12" t="s">
        <v>451</v>
      </c>
      <c r="G23" s="13" t="s">
        <v>404</v>
      </c>
    </row>
    <row r="24" spans="1:7" ht="72" customHeight="1">
      <c r="A24" s="9" t="s">
        <v>452</v>
      </c>
      <c r="B24" s="10" t="s">
        <v>453</v>
      </c>
      <c r="C24" s="11" t="s">
        <v>9</v>
      </c>
      <c r="D24" s="12" t="s">
        <v>99</v>
      </c>
      <c r="E24" s="12" t="s">
        <v>454</v>
      </c>
      <c r="F24" s="12" t="s">
        <v>455</v>
      </c>
      <c r="G24" s="13" t="s">
        <v>404</v>
      </c>
    </row>
    <row r="25" spans="1:7" ht="54" customHeight="1">
      <c r="A25" s="9" t="s">
        <v>452</v>
      </c>
      <c r="B25" s="10" t="s">
        <v>453</v>
      </c>
      <c r="C25" s="11" t="s">
        <v>9</v>
      </c>
      <c r="D25" s="12" t="s">
        <v>456</v>
      </c>
      <c r="E25" s="12" t="s">
        <v>457</v>
      </c>
      <c r="F25" s="12" t="s">
        <v>458</v>
      </c>
      <c r="G25" s="13" t="s">
        <v>404</v>
      </c>
    </row>
    <row r="26" spans="1:7" ht="54" customHeight="1">
      <c r="A26" s="9" t="s">
        <v>452</v>
      </c>
      <c r="B26" s="10" t="s">
        <v>453</v>
      </c>
      <c r="C26" s="11" t="s">
        <v>74</v>
      </c>
      <c r="D26" s="12" t="s">
        <v>459</v>
      </c>
      <c r="E26" s="12" t="s">
        <v>460</v>
      </c>
      <c r="F26" s="12" t="s">
        <v>461</v>
      </c>
      <c r="G26" s="13" t="s">
        <v>404</v>
      </c>
    </row>
    <row r="27" spans="1:7" ht="54" customHeight="1">
      <c r="A27" s="9" t="s">
        <v>452</v>
      </c>
      <c r="B27" s="10" t="s">
        <v>453</v>
      </c>
      <c r="C27" s="11" t="s">
        <v>72</v>
      </c>
      <c r="D27" s="12" t="s">
        <v>459</v>
      </c>
      <c r="E27" s="12" t="s">
        <v>462</v>
      </c>
      <c r="F27" s="12" t="s">
        <v>463</v>
      </c>
      <c r="G27" s="13" t="s">
        <v>404</v>
      </c>
    </row>
    <row r="28" spans="1:7" ht="54" customHeight="1">
      <c r="A28" s="9" t="s">
        <v>452</v>
      </c>
      <c r="B28" s="10" t="s">
        <v>453</v>
      </c>
      <c r="C28" s="11" t="s">
        <v>68</v>
      </c>
      <c r="D28" s="12" t="s">
        <v>464</v>
      </c>
      <c r="E28" s="12" t="s">
        <v>465</v>
      </c>
      <c r="F28" s="12" t="s">
        <v>466</v>
      </c>
      <c r="G28" s="13" t="s">
        <v>404</v>
      </c>
    </row>
    <row r="29" spans="1:7" ht="72" customHeight="1">
      <c r="A29" s="9" t="s">
        <v>467</v>
      </c>
      <c r="B29" s="10" t="s">
        <v>468</v>
      </c>
      <c r="C29" s="11" t="s">
        <v>9</v>
      </c>
      <c r="D29" s="12" t="s">
        <v>469</v>
      </c>
      <c r="E29" s="12" t="s">
        <v>470</v>
      </c>
      <c r="F29" s="12" t="s">
        <v>471</v>
      </c>
      <c r="G29" s="13" t="s">
        <v>404</v>
      </c>
    </row>
    <row r="30" spans="1:7" ht="54" customHeight="1">
      <c r="A30" s="9" t="s">
        <v>467</v>
      </c>
      <c r="B30" s="10" t="s">
        <v>468</v>
      </c>
      <c r="C30" s="11" t="s">
        <v>68</v>
      </c>
      <c r="D30" s="12" t="s">
        <v>99</v>
      </c>
      <c r="E30" s="12" t="s">
        <v>472</v>
      </c>
      <c r="F30" s="12" t="s">
        <v>473</v>
      </c>
      <c r="G30" s="13" t="s">
        <v>404</v>
      </c>
    </row>
    <row r="31" spans="1:7" ht="54" customHeight="1">
      <c r="A31" s="9" t="s">
        <v>467</v>
      </c>
      <c r="B31" s="10" t="s">
        <v>468</v>
      </c>
      <c r="C31" s="11" t="s">
        <v>75</v>
      </c>
      <c r="D31" s="12" t="s">
        <v>464</v>
      </c>
      <c r="E31" s="12" t="s">
        <v>474</v>
      </c>
      <c r="F31" s="12" t="s">
        <v>475</v>
      </c>
      <c r="G31" s="13" t="s">
        <v>476</v>
      </c>
    </row>
    <row r="32" spans="1:7" ht="54" customHeight="1">
      <c r="A32" s="9" t="s">
        <v>467</v>
      </c>
      <c r="B32" s="10" t="s">
        <v>468</v>
      </c>
      <c r="C32" s="11" t="s">
        <v>76</v>
      </c>
      <c r="D32" s="12" t="s">
        <v>477</v>
      </c>
      <c r="E32" s="12" t="s">
        <v>478</v>
      </c>
      <c r="F32" s="12" t="s">
        <v>479</v>
      </c>
      <c r="G32" s="13" t="s">
        <v>404</v>
      </c>
    </row>
    <row r="33" spans="1:7" ht="54" customHeight="1">
      <c r="A33" s="9" t="s">
        <v>467</v>
      </c>
      <c r="B33" s="10" t="s">
        <v>468</v>
      </c>
      <c r="C33" s="11" t="s">
        <v>77</v>
      </c>
      <c r="D33" s="12" t="s">
        <v>480</v>
      </c>
      <c r="E33" s="12" t="s">
        <v>481</v>
      </c>
      <c r="F33" s="12" t="s">
        <v>482</v>
      </c>
      <c r="G33" s="14" t="s">
        <v>483</v>
      </c>
    </row>
    <row r="34" spans="1:7" ht="54" customHeight="1">
      <c r="A34" s="9" t="s">
        <v>467</v>
      </c>
      <c r="B34" s="10" t="s">
        <v>468</v>
      </c>
      <c r="C34" s="11" t="s">
        <v>72</v>
      </c>
      <c r="D34" s="12" t="s">
        <v>480</v>
      </c>
      <c r="E34" s="12" t="s">
        <v>481</v>
      </c>
      <c r="F34" s="12" t="s">
        <v>482</v>
      </c>
      <c r="G34" s="14" t="s">
        <v>483</v>
      </c>
    </row>
    <row r="35" spans="1:7" ht="72" customHeight="1">
      <c r="A35" s="9" t="s">
        <v>467</v>
      </c>
      <c r="B35" s="10" t="s">
        <v>468</v>
      </c>
      <c r="C35" s="11" t="s">
        <v>70</v>
      </c>
      <c r="D35" s="12" t="s">
        <v>484</v>
      </c>
      <c r="E35" s="12" t="s">
        <v>485</v>
      </c>
      <c r="F35" s="12" t="s">
        <v>486</v>
      </c>
      <c r="G35" s="13" t="s">
        <v>404</v>
      </c>
    </row>
    <row r="36" spans="1:7" ht="54" customHeight="1">
      <c r="A36" s="9" t="s">
        <v>467</v>
      </c>
      <c r="B36" s="10" t="s">
        <v>468</v>
      </c>
      <c r="C36" s="11" t="s">
        <v>68</v>
      </c>
      <c r="D36" s="12" t="s">
        <v>487</v>
      </c>
      <c r="E36" s="12" t="s">
        <v>488</v>
      </c>
      <c r="F36" s="12" t="s">
        <v>489</v>
      </c>
      <c r="G36" s="13" t="s">
        <v>404</v>
      </c>
    </row>
    <row r="37" spans="1:7" ht="54" customHeight="1">
      <c r="A37" s="9" t="s">
        <v>490</v>
      </c>
      <c r="B37" s="10" t="s">
        <v>400</v>
      </c>
      <c r="C37" s="11" t="s">
        <v>68</v>
      </c>
      <c r="D37" s="12" t="s">
        <v>477</v>
      </c>
      <c r="E37" s="12" t="s">
        <v>491</v>
      </c>
      <c r="F37" s="12" t="s">
        <v>492</v>
      </c>
      <c r="G37" s="13" t="s">
        <v>404</v>
      </c>
    </row>
    <row r="38" spans="1:7" ht="72" customHeight="1">
      <c r="A38" s="9" t="s">
        <v>490</v>
      </c>
      <c r="B38" s="10" t="s">
        <v>400</v>
      </c>
      <c r="C38" s="11" t="s">
        <v>9</v>
      </c>
      <c r="D38" s="12" t="s">
        <v>493</v>
      </c>
      <c r="E38" s="12" t="s">
        <v>494</v>
      </c>
      <c r="F38" s="12" t="s">
        <v>495</v>
      </c>
      <c r="G38" s="13" t="s">
        <v>404</v>
      </c>
    </row>
    <row r="39" spans="1:7" ht="54" customHeight="1">
      <c r="A39" s="9" t="s">
        <v>490</v>
      </c>
      <c r="B39" s="10" t="s">
        <v>400</v>
      </c>
      <c r="C39" s="11" t="s">
        <v>74</v>
      </c>
      <c r="D39" s="12" t="s">
        <v>496</v>
      </c>
      <c r="E39" s="12" t="s">
        <v>497</v>
      </c>
      <c r="F39" s="12" t="s">
        <v>498</v>
      </c>
      <c r="G39" s="13" t="s">
        <v>404</v>
      </c>
    </row>
    <row r="40" spans="1:7" ht="54" customHeight="1">
      <c r="A40" s="9" t="s">
        <v>490</v>
      </c>
      <c r="B40" s="10" t="s">
        <v>400</v>
      </c>
      <c r="C40" s="11" t="s">
        <v>72</v>
      </c>
      <c r="D40" s="12" t="s">
        <v>499</v>
      </c>
      <c r="E40" s="12" t="s">
        <v>500</v>
      </c>
      <c r="F40" s="12" t="s">
        <v>501</v>
      </c>
      <c r="G40" s="13" t="s">
        <v>404</v>
      </c>
    </row>
    <row r="41" spans="1:7" ht="72" customHeight="1">
      <c r="A41" s="9" t="s">
        <v>490</v>
      </c>
      <c r="B41" s="10" t="s">
        <v>400</v>
      </c>
      <c r="C41" s="11" t="s">
        <v>70</v>
      </c>
      <c r="D41" s="12" t="s">
        <v>502</v>
      </c>
      <c r="E41" s="12" t="s">
        <v>503</v>
      </c>
      <c r="F41" s="12" t="s">
        <v>504</v>
      </c>
      <c r="G41" s="14" t="s">
        <v>404</v>
      </c>
    </row>
    <row r="42" spans="1:7" ht="54" customHeight="1">
      <c r="A42" s="9" t="s">
        <v>490</v>
      </c>
      <c r="B42" s="10" t="s">
        <v>400</v>
      </c>
      <c r="C42" s="11" t="s">
        <v>77</v>
      </c>
      <c r="D42" s="12" t="s">
        <v>499</v>
      </c>
      <c r="E42" s="12" t="s">
        <v>505</v>
      </c>
      <c r="F42" s="12" t="s">
        <v>506</v>
      </c>
      <c r="G42" s="13" t="s">
        <v>404</v>
      </c>
    </row>
    <row r="43" spans="1:7" ht="54" customHeight="1">
      <c r="A43" s="9" t="s">
        <v>507</v>
      </c>
      <c r="B43" s="10" t="s">
        <v>405</v>
      </c>
      <c r="C43" s="11" t="s">
        <v>9</v>
      </c>
      <c r="D43" s="12" t="s">
        <v>508</v>
      </c>
      <c r="E43" s="12" t="s">
        <v>509</v>
      </c>
      <c r="F43" s="12" t="s">
        <v>510</v>
      </c>
      <c r="G43" s="13" t="s">
        <v>404</v>
      </c>
    </row>
    <row r="44" spans="1:7" ht="54" customHeight="1">
      <c r="A44" s="9" t="s">
        <v>511</v>
      </c>
      <c r="B44" s="10" t="s">
        <v>416</v>
      </c>
      <c r="C44" s="11" t="s">
        <v>9</v>
      </c>
      <c r="D44" s="12" t="s">
        <v>512</v>
      </c>
      <c r="E44" s="12" t="s">
        <v>513</v>
      </c>
      <c r="F44" s="12" t="s">
        <v>514</v>
      </c>
      <c r="G44" s="13" t="s">
        <v>404</v>
      </c>
    </row>
    <row r="45" spans="1:7" ht="54" customHeight="1">
      <c r="A45" s="9" t="s">
        <v>511</v>
      </c>
      <c r="B45" s="10" t="s">
        <v>416</v>
      </c>
      <c r="C45" s="11" t="s">
        <v>76</v>
      </c>
      <c r="D45" s="12" t="s">
        <v>515</v>
      </c>
      <c r="E45" s="12" t="s">
        <v>516</v>
      </c>
      <c r="F45" s="12" t="s">
        <v>517</v>
      </c>
      <c r="G45" s="13" t="s">
        <v>404</v>
      </c>
    </row>
    <row r="46" spans="1:7" ht="54" customHeight="1">
      <c r="A46" s="9" t="s">
        <v>511</v>
      </c>
      <c r="B46" s="10" t="s">
        <v>416</v>
      </c>
      <c r="C46" s="11" t="s">
        <v>74</v>
      </c>
      <c r="D46" s="12" t="s">
        <v>515</v>
      </c>
      <c r="E46" s="12" t="s">
        <v>516</v>
      </c>
      <c r="F46" s="12" t="s">
        <v>518</v>
      </c>
      <c r="G46" s="13" t="s">
        <v>404</v>
      </c>
    </row>
    <row r="47" spans="1:7" ht="54" customHeight="1">
      <c r="A47" s="9" t="s">
        <v>511</v>
      </c>
      <c r="B47" s="10" t="s">
        <v>416</v>
      </c>
      <c r="C47" s="11" t="s">
        <v>519</v>
      </c>
      <c r="D47" s="12" t="s">
        <v>515</v>
      </c>
      <c r="E47" s="12" t="s">
        <v>516</v>
      </c>
      <c r="F47" s="12" t="s">
        <v>520</v>
      </c>
      <c r="G47" s="13" t="s">
        <v>404</v>
      </c>
    </row>
    <row r="48" spans="1:7" ht="54" customHeight="1">
      <c r="A48" s="9" t="s">
        <v>521</v>
      </c>
      <c r="B48" s="10" t="s">
        <v>431</v>
      </c>
      <c r="C48" s="11" t="s">
        <v>9</v>
      </c>
      <c r="D48" s="12" t="s">
        <v>522</v>
      </c>
      <c r="E48" s="12" t="s">
        <v>523</v>
      </c>
      <c r="F48" s="12" t="s">
        <v>524</v>
      </c>
      <c r="G48" s="13" t="s">
        <v>404</v>
      </c>
    </row>
    <row r="49" spans="1:7" ht="54" customHeight="1">
      <c r="A49" s="9" t="s">
        <v>521</v>
      </c>
      <c r="B49" s="10" t="s">
        <v>431</v>
      </c>
      <c r="C49" s="11" t="s">
        <v>72</v>
      </c>
      <c r="D49" s="12" t="s">
        <v>525</v>
      </c>
      <c r="E49" s="12" t="s">
        <v>516</v>
      </c>
      <c r="F49" s="12" t="s">
        <v>526</v>
      </c>
      <c r="G49" s="13" t="s">
        <v>404</v>
      </c>
    </row>
    <row r="50" spans="1:7" ht="54" customHeight="1">
      <c r="A50" s="9" t="s">
        <v>521</v>
      </c>
      <c r="B50" s="10" t="s">
        <v>431</v>
      </c>
      <c r="C50" s="11" t="s">
        <v>527</v>
      </c>
      <c r="D50" s="12" t="s">
        <v>525</v>
      </c>
      <c r="E50" s="12" t="s">
        <v>516</v>
      </c>
      <c r="F50" s="12" t="s">
        <v>528</v>
      </c>
      <c r="G50" s="13" t="s">
        <v>404</v>
      </c>
    </row>
    <row r="51" spans="1:7" ht="54" customHeight="1">
      <c r="A51" s="9" t="s">
        <v>521</v>
      </c>
      <c r="B51" s="10" t="s">
        <v>431</v>
      </c>
      <c r="C51" s="11" t="s">
        <v>74</v>
      </c>
      <c r="D51" s="12" t="s">
        <v>525</v>
      </c>
      <c r="E51" s="12" t="s">
        <v>516</v>
      </c>
      <c r="F51" s="12" t="s">
        <v>529</v>
      </c>
      <c r="G51" s="13" t="s">
        <v>404</v>
      </c>
    </row>
    <row r="52" spans="1:7" ht="54" customHeight="1">
      <c r="A52" s="9" t="s">
        <v>521</v>
      </c>
      <c r="B52" s="10" t="s">
        <v>431</v>
      </c>
      <c r="C52" s="11" t="s">
        <v>68</v>
      </c>
      <c r="D52" s="12" t="s">
        <v>525</v>
      </c>
      <c r="E52" s="12" t="s">
        <v>516</v>
      </c>
      <c r="F52" s="12" t="s">
        <v>530</v>
      </c>
      <c r="G52" s="13" t="s">
        <v>404</v>
      </c>
    </row>
    <row r="53" spans="1:7" ht="45.75" customHeight="1">
      <c r="A53" s="9" t="s">
        <v>521</v>
      </c>
      <c r="B53" s="10" t="s">
        <v>431</v>
      </c>
      <c r="C53" s="11" t="s">
        <v>531</v>
      </c>
      <c r="D53" s="12" t="s">
        <v>525</v>
      </c>
      <c r="E53" s="12" t="s">
        <v>516</v>
      </c>
      <c r="F53" s="12" t="s">
        <v>532</v>
      </c>
      <c r="G53" s="13" t="s">
        <v>404</v>
      </c>
    </row>
    <row r="54" spans="1:7" ht="76.5" customHeight="1">
      <c r="A54" s="9" t="s">
        <v>533</v>
      </c>
      <c r="B54" s="10" t="s">
        <v>440</v>
      </c>
      <c r="C54" s="11" t="s">
        <v>74</v>
      </c>
      <c r="D54" s="12" t="s">
        <v>99</v>
      </c>
      <c r="E54" s="12" t="s">
        <v>534</v>
      </c>
      <c r="F54" s="12" t="s">
        <v>535</v>
      </c>
      <c r="G54" s="13" t="s">
        <v>404</v>
      </c>
    </row>
    <row r="55" spans="1:7" ht="45.75" customHeight="1">
      <c r="A55" s="9" t="s">
        <v>533</v>
      </c>
      <c r="B55" s="10" t="s">
        <v>440</v>
      </c>
      <c r="C55" s="11" t="s">
        <v>72</v>
      </c>
      <c r="D55" s="12" t="s">
        <v>99</v>
      </c>
      <c r="E55" s="12" t="s">
        <v>534</v>
      </c>
      <c r="F55" s="12" t="s">
        <v>536</v>
      </c>
      <c r="G55" s="13" t="s">
        <v>404</v>
      </c>
    </row>
    <row r="56" spans="1:7" ht="30.75" customHeight="1">
      <c r="A56" s="9" t="s">
        <v>533</v>
      </c>
      <c r="B56" s="10" t="s">
        <v>440</v>
      </c>
      <c r="C56" s="11" t="s">
        <v>77</v>
      </c>
      <c r="D56" s="12" t="s">
        <v>99</v>
      </c>
      <c r="E56" s="12" t="s">
        <v>534</v>
      </c>
      <c r="F56" s="12" t="s">
        <v>537</v>
      </c>
      <c r="G56" s="13" t="s">
        <v>404</v>
      </c>
    </row>
    <row r="57" spans="1:7" ht="30.75" customHeight="1">
      <c r="A57" s="9">
        <v>46104</v>
      </c>
      <c r="B57" s="10" t="s">
        <v>440</v>
      </c>
      <c r="C57" s="11" t="s">
        <v>70</v>
      </c>
      <c r="D57" s="12" t="s">
        <v>538</v>
      </c>
      <c r="E57" s="12" t="s">
        <v>539</v>
      </c>
      <c r="F57" s="12" t="s">
        <v>540</v>
      </c>
      <c r="G57" s="13" t="s">
        <v>404</v>
      </c>
    </row>
    <row r="58" spans="1:7" ht="30.75" customHeight="1">
      <c r="A58" s="9">
        <v>46104</v>
      </c>
      <c r="B58" s="10" t="s">
        <v>440</v>
      </c>
      <c r="C58" s="11" t="s">
        <v>75</v>
      </c>
      <c r="D58" s="12" t="s">
        <v>541</v>
      </c>
      <c r="E58" s="12" t="s">
        <v>485</v>
      </c>
      <c r="F58" s="12" t="s">
        <v>542</v>
      </c>
      <c r="G58" s="13"/>
    </row>
    <row r="59" spans="1:7" ht="45.75" customHeight="1">
      <c r="A59" s="9" t="s">
        <v>543</v>
      </c>
      <c r="B59" s="10" t="s">
        <v>453</v>
      </c>
      <c r="C59" s="11" t="s">
        <v>74</v>
      </c>
      <c r="D59" s="12" t="s">
        <v>99</v>
      </c>
      <c r="E59" s="12" t="s">
        <v>544</v>
      </c>
      <c r="F59" s="12" t="s">
        <v>545</v>
      </c>
      <c r="G59" s="13" t="s">
        <v>404</v>
      </c>
    </row>
    <row r="60" spans="1:7" ht="30.75" customHeight="1">
      <c r="A60" s="9" t="s">
        <v>543</v>
      </c>
      <c r="B60" s="10" t="s">
        <v>453</v>
      </c>
      <c r="C60" s="11" t="s">
        <v>72</v>
      </c>
      <c r="D60" s="12" t="s">
        <v>99</v>
      </c>
      <c r="E60" s="12" t="s">
        <v>546</v>
      </c>
      <c r="F60" s="12" t="s">
        <v>547</v>
      </c>
      <c r="G60" s="13" t="s">
        <v>404</v>
      </c>
    </row>
    <row r="61" spans="1:7" ht="30.75" customHeight="1">
      <c r="A61" s="9" t="s">
        <v>543</v>
      </c>
      <c r="B61" s="10" t="s">
        <v>453</v>
      </c>
      <c r="C61" s="11" t="s">
        <v>77</v>
      </c>
      <c r="D61" s="12" t="s">
        <v>99</v>
      </c>
      <c r="E61" s="12" t="s">
        <v>546</v>
      </c>
      <c r="F61" s="12" t="s">
        <v>547</v>
      </c>
      <c r="G61" s="13" t="s">
        <v>404</v>
      </c>
    </row>
    <row r="62" spans="1:7" ht="72" customHeight="1">
      <c r="A62" s="9" t="s">
        <v>543</v>
      </c>
      <c r="B62" s="10" t="s">
        <v>453</v>
      </c>
      <c r="C62" s="11" t="s">
        <v>68</v>
      </c>
      <c r="D62" s="12" t="s">
        <v>548</v>
      </c>
      <c r="E62" s="12" t="s">
        <v>549</v>
      </c>
      <c r="F62" s="12" t="s">
        <v>550</v>
      </c>
      <c r="G62" s="13" t="s">
        <v>404</v>
      </c>
    </row>
    <row r="63" spans="1:7" ht="72" customHeight="1">
      <c r="A63" s="9">
        <v>46105</v>
      </c>
      <c r="B63" s="10" t="s">
        <v>453</v>
      </c>
      <c r="C63" s="11" t="s">
        <v>70</v>
      </c>
      <c r="D63" s="12" t="s">
        <v>538</v>
      </c>
      <c r="E63" s="12" t="s">
        <v>551</v>
      </c>
      <c r="F63" s="12" t="s">
        <v>552</v>
      </c>
      <c r="G63" s="13" t="s">
        <v>404</v>
      </c>
    </row>
    <row r="64" spans="1:7" ht="96" customHeight="1">
      <c r="A64" s="9" t="s">
        <v>553</v>
      </c>
      <c r="B64" s="10" t="s">
        <v>468</v>
      </c>
      <c r="C64" s="11" t="s">
        <v>68</v>
      </c>
      <c r="D64" s="12" t="s">
        <v>554</v>
      </c>
      <c r="E64" s="12" t="s">
        <v>555</v>
      </c>
      <c r="F64" s="12" t="s">
        <v>556</v>
      </c>
      <c r="G64" s="13" t="s">
        <v>404</v>
      </c>
    </row>
    <row r="65" spans="1:7" ht="106.5" customHeight="1">
      <c r="A65" s="9">
        <v>46107</v>
      </c>
      <c r="B65" s="10" t="s">
        <v>400</v>
      </c>
      <c r="C65" s="11" t="s">
        <v>68</v>
      </c>
      <c r="D65" s="12" t="s">
        <v>557</v>
      </c>
      <c r="E65" s="12" t="s">
        <v>558</v>
      </c>
      <c r="F65" s="12" t="s">
        <v>559</v>
      </c>
      <c r="G65" s="13" t="s">
        <v>404</v>
      </c>
    </row>
    <row r="66" spans="1:7" ht="45.75" customHeight="1">
      <c r="A66" s="9">
        <v>46107</v>
      </c>
      <c r="B66" s="10" t="s">
        <v>400</v>
      </c>
      <c r="C66" s="11" t="s">
        <v>9</v>
      </c>
      <c r="D66" s="12" t="s">
        <v>560</v>
      </c>
      <c r="E66" s="12" t="s">
        <v>561</v>
      </c>
      <c r="F66" s="12" t="s">
        <v>562</v>
      </c>
      <c r="G66" s="13" t="s">
        <v>404</v>
      </c>
    </row>
    <row r="67" spans="1:7" ht="30.75" customHeight="1">
      <c r="A67" s="9">
        <v>46104</v>
      </c>
      <c r="B67" s="10" t="s">
        <v>440</v>
      </c>
      <c r="C67" s="11" t="s">
        <v>9</v>
      </c>
      <c r="D67" s="12" t="s">
        <v>563</v>
      </c>
      <c r="E67" s="12" t="s">
        <v>564</v>
      </c>
      <c r="F67" s="12" t="s">
        <v>565</v>
      </c>
      <c r="G67" s="13" t="s">
        <v>404</v>
      </c>
    </row>
    <row r="68" spans="1:7" ht="45.75" customHeight="1">
      <c r="A68" s="9">
        <v>46105</v>
      </c>
      <c r="B68" s="10" t="s">
        <v>453</v>
      </c>
      <c r="C68" s="11" t="s">
        <v>9</v>
      </c>
      <c r="D68" s="12" t="s">
        <v>566</v>
      </c>
      <c r="E68" s="12" t="s">
        <v>567</v>
      </c>
      <c r="F68" s="12" t="s">
        <v>568</v>
      </c>
      <c r="G68" s="13" t="s">
        <v>404</v>
      </c>
    </row>
    <row r="69" spans="1:7" ht="45.75" customHeight="1">
      <c r="A69" s="9">
        <v>46106</v>
      </c>
      <c r="B69" s="10" t="s">
        <v>468</v>
      </c>
      <c r="C69" s="11" t="s">
        <v>9</v>
      </c>
      <c r="D69" s="12" t="s">
        <v>569</v>
      </c>
      <c r="E69" s="12" t="s">
        <v>570</v>
      </c>
      <c r="F69" s="12" t="s">
        <v>571</v>
      </c>
      <c r="G69" s="13" t="s">
        <v>404</v>
      </c>
    </row>
    <row r="70" spans="1:7" ht="45.75" customHeight="1">
      <c r="A70" s="9">
        <v>46106</v>
      </c>
      <c r="B70" s="10" t="s">
        <v>468</v>
      </c>
      <c r="C70" s="11" t="s">
        <v>74</v>
      </c>
      <c r="D70" s="12" t="s">
        <v>572</v>
      </c>
      <c r="E70" s="12" t="s">
        <v>573</v>
      </c>
      <c r="F70" s="12" t="s">
        <v>574</v>
      </c>
      <c r="G70" s="13" t="s">
        <v>404</v>
      </c>
    </row>
    <row r="71" spans="1:7" ht="30.75" customHeight="1">
      <c r="A71" s="9">
        <v>46107</v>
      </c>
      <c r="B71" s="10" t="s">
        <v>400</v>
      </c>
      <c r="C71" s="11" t="s">
        <v>74</v>
      </c>
      <c r="D71" s="12" t="s">
        <v>572</v>
      </c>
      <c r="E71" s="12" t="s">
        <v>575</v>
      </c>
      <c r="F71" s="12" t="s">
        <v>576</v>
      </c>
      <c r="G71" s="13" t="s">
        <v>404</v>
      </c>
    </row>
    <row r="72" spans="1:7" ht="45.75" customHeight="1">
      <c r="A72" s="9">
        <v>46107</v>
      </c>
      <c r="B72" s="10" t="s">
        <v>400</v>
      </c>
      <c r="C72" s="11" t="s">
        <v>75</v>
      </c>
      <c r="D72" s="12" t="s">
        <v>541</v>
      </c>
      <c r="E72" s="12" t="s">
        <v>485</v>
      </c>
      <c r="F72" s="12" t="s">
        <v>577</v>
      </c>
      <c r="G72" s="13"/>
    </row>
    <row r="73" spans="1:7" ht="76.5" customHeight="1">
      <c r="A73" s="9">
        <v>46108</v>
      </c>
      <c r="B73" s="10" t="s">
        <v>400</v>
      </c>
      <c r="C73" s="11" t="s">
        <v>9</v>
      </c>
      <c r="D73" s="12" t="s">
        <v>99</v>
      </c>
      <c r="E73" s="12" t="s">
        <v>578</v>
      </c>
      <c r="F73" s="12" t="s">
        <v>579</v>
      </c>
      <c r="G73" s="13"/>
    </row>
    <row r="74" spans="1:7" ht="60.75" customHeight="1">
      <c r="A74" s="9">
        <v>46108</v>
      </c>
      <c r="B74" s="10" t="s">
        <v>400</v>
      </c>
      <c r="C74" s="11" t="s">
        <v>9</v>
      </c>
      <c r="D74" s="12" t="s">
        <v>99</v>
      </c>
      <c r="E74" s="12" t="s">
        <v>580</v>
      </c>
      <c r="F74" s="12" t="s">
        <v>581</v>
      </c>
      <c r="G74" s="13"/>
    </row>
    <row r="75" spans="1:7" ht="45.75" customHeight="1">
      <c r="A75" s="9">
        <v>46108</v>
      </c>
      <c r="B75" s="10" t="s">
        <v>400</v>
      </c>
      <c r="C75" s="11" t="s">
        <v>9</v>
      </c>
      <c r="D75" s="12" t="s">
        <v>99</v>
      </c>
      <c r="E75" s="12" t="s">
        <v>582</v>
      </c>
      <c r="F75" s="12" t="s">
        <v>583</v>
      </c>
      <c r="G75" s="13"/>
    </row>
    <row r="76" spans="1:7">
      <c r="A76" s="9">
        <v>46108</v>
      </c>
      <c r="B76" s="10" t="s">
        <v>400</v>
      </c>
      <c r="C76" s="11" t="s">
        <v>9</v>
      </c>
      <c r="D76" s="12" t="s">
        <v>101</v>
      </c>
      <c r="E76" s="12" t="s">
        <v>584</v>
      </c>
      <c r="F76" s="12"/>
      <c r="G76" s="13"/>
    </row>
    <row r="77" spans="1:7">
      <c r="A77" s="9" t="s">
        <v>585</v>
      </c>
      <c r="B77" s="10" t="s">
        <v>585</v>
      </c>
      <c r="C77" s="11" t="s">
        <v>14</v>
      </c>
      <c r="D77" s="12"/>
      <c r="E77" s="12"/>
      <c r="F77" s="12"/>
      <c r="G77" s="13"/>
    </row>
    <row r="78" spans="1:7">
      <c r="A78" s="9"/>
      <c r="B78" s="10"/>
      <c r="C78" s="11"/>
      <c r="D78" s="12"/>
      <c r="E78" s="12"/>
      <c r="F78" s="12"/>
      <c r="G78" s="13"/>
    </row>
    <row r="79" spans="1:7">
      <c r="A79" s="9"/>
      <c r="B79" s="10"/>
      <c r="C79" s="11"/>
      <c r="D79" s="12"/>
      <c r="E79" s="12"/>
      <c r="F79" s="12"/>
      <c r="G79" s="13"/>
    </row>
    <row r="80" spans="1:7">
      <c r="A80" s="9"/>
      <c r="B80" s="10"/>
      <c r="C80" s="11"/>
      <c r="D80" s="12"/>
      <c r="E80" s="12"/>
      <c r="F80" s="12"/>
      <c r="G80" s="13"/>
    </row>
    <row r="81" spans="1:7">
      <c r="A81" s="9"/>
      <c r="B81" s="10"/>
      <c r="C81" s="11"/>
      <c r="D81" s="12"/>
      <c r="E81" s="12"/>
      <c r="F81" s="12"/>
      <c r="G81" s="13"/>
    </row>
    <row r="82" spans="1:7">
      <c r="A82" s="9"/>
      <c r="B82" s="10"/>
      <c r="C82" s="11"/>
      <c r="D82" s="12"/>
      <c r="E82" s="12"/>
      <c r="F82" s="12"/>
      <c r="G82" s="13"/>
    </row>
    <row r="83" spans="1:7">
      <c r="A83" s="9"/>
      <c r="B83" s="10"/>
      <c r="C83" s="11"/>
      <c r="D83" s="12"/>
      <c r="E83" s="12"/>
      <c r="F83" s="12"/>
      <c r="G83" s="13"/>
    </row>
    <row r="84" spans="1:7">
      <c r="A84" s="9"/>
      <c r="B84" s="10"/>
      <c r="C84" s="11"/>
      <c r="D84" s="12"/>
      <c r="E84" s="12"/>
      <c r="F84" s="12"/>
      <c r="G84" s="13"/>
    </row>
    <row r="85" spans="1:7">
      <c r="A85" s="9"/>
      <c r="B85" s="10"/>
      <c r="C85" s="11"/>
      <c r="D85" s="12"/>
      <c r="E85" s="12"/>
      <c r="F85" s="12"/>
      <c r="G85" s="13"/>
    </row>
    <row r="86" spans="1:7">
      <c r="A86" s="9"/>
      <c r="B86" s="10"/>
      <c r="C86" s="11"/>
      <c r="D86" s="12"/>
      <c r="E86" s="12"/>
      <c r="F86" s="12"/>
      <c r="G86" s="13"/>
    </row>
    <row r="87" spans="1:7">
      <c r="A87" s="9"/>
      <c r="B87" s="10"/>
      <c r="C87" s="11"/>
      <c r="D87" s="12"/>
      <c r="E87" s="12"/>
      <c r="F87" s="12"/>
      <c r="G87" s="13"/>
    </row>
    <row r="88" spans="1:7">
      <c r="A88" s="9"/>
      <c r="B88" s="10"/>
      <c r="C88" s="11"/>
      <c r="D88" s="12"/>
      <c r="E88" s="12"/>
      <c r="F88" s="12"/>
      <c r="G88" s="13"/>
    </row>
    <row r="89" spans="1:7">
      <c r="A89" s="9"/>
      <c r="B89" s="10"/>
      <c r="C89" s="11"/>
      <c r="D89" s="12"/>
      <c r="E89" s="12"/>
      <c r="F89" s="12"/>
      <c r="G89" s="13"/>
    </row>
    <row r="90" spans="1:7">
      <c r="A90" s="9"/>
      <c r="B90" s="10"/>
      <c r="C90" s="11"/>
      <c r="D90" s="12"/>
      <c r="E90" s="12"/>
      <c r="F90" s="12"/>
      <c r="G90" s="13"/>
    </row>
    <row r="91" spans="1:7">
      <c r="A91" s="9"/>
      <c r="B91" s="10"/>
      <c r="C91" s="11"/>
      <c r="D91" s="12"/>
      <c r="E91" s="12"/>
      <c r="F91" s="12"/>
      <c r="G91" s="13"/>
    </row>
    <row r="92" spans="1:7">
      <c r="A92" s="9"/>
      <c r="B92" s="10"/>
      <c r="C92" s="11"/>
      <c r="D92" s="12"/>
      <c r="E92" s="12"/>
      <c r="F92" s="12"/>
      <c r="G92" s="13"/>
    </row>
    <row r="93" spans="1:7">
      <c r="A93" s="9"/>
      <c r="B93" s="10"/>
      <c r="C93" s="11"/>
      <c r="D93" s="12"/>
      <c r="E93" s="12"/>
      <c r="F93" s="12"/>
      <c r="G93" s="13"/>
    </row>
    <row r="94" spans="1:7">
      <c r="A94" s="9"/>
      <c r="B94" s="10"/>
      <c r="C94" s="11"/>
      <c r="D94" s="12"/>
      <c r="E94" s="12"/>
      <c r="F94" s="12"/>
      <c r="G94" s="13"/>
    </row>
    <row r="95" spans="1:7">
      <c r="A95" s="9"/>
      <c r="B95" s="10"/>
      <c r="C95" s="11"/>
      <c r="D95" s="12"/>
      <c r="E95" s="12"/>
      <c r="F95" s="12"/>
      <c r="G95" s="13"/>
    </row>
    <row r="96" spans="1:7">
      <c r="A96" s="9"/>
      <c r="B96" s="10"/>
      <c r="C96" s="11"/>
      <c r="D96" s="12"/>
      <c r="E96" s="12"/>
      <c r="F96" s="12"/>
      <c r="G96" s="13"/>
    </row>
    <row r="97" spans="1:7">
      <c r="A97" s="9"/>
      <c r="B97" s="10"/>
      <c r="C97" s="11"/>
      <c r="D97" s="12"/>
      <c r="E97" s="12"/>
      <c r="F97" s="12"/>
      <c r="G97" s="13"/>
    </row>
    <row r="98" spans="1:7">
      <c r="A98" s="9"/>
      <c r="B98" s="10"/>
      <c r="C98" s="11"/>
      <c r="D98" s="12"/>
      <c r="E98" s="12"/>
      <c r="F98" s="12"/>
      <c r="G98" s="13"/>
    </row>
    <row r="99" spans="1:7">
      <c r="A99" s="9"/>
      <c r="B99" s="10"/>
      <c r="C99" s="11"/>
      <c r="D99" s="12"/>
      <c r="E99" s="12"/>
      <c r="F99" s="12"/>
      <c r="G99" s="13"/>
    </row>
    <row r="100" spans="1:7">
      <c r="A100" s="9"/>
      <c r="B100" s="10"/>
      <c r="C100" s="11"/>
      <c r="D100" s="12"/>
      <c r="E100" s="12"/>
      <c r="F100" s="12"/>
      <c r="G100" s="13"/>
    </row>
    <row r="101" spans="1:7">
      <c r="A101" s="9"/>
      <c r="B101" s="10"/>
      <c r="C101" s="11"/>
      <c r="D101" s="12"/>
      <c r="E101" s="12"/>
      <c r="F101" s="12"/>
      <c r="G101" s="13"/>
    </row>
    <row r="102" spans="1:7">
      <c r="A102" s="9"/>
      <c r="B102" s="10"/>
      <c r="C102" s="11"/>
      <c r="D102" s="12"/>
      <c r="E102" s="12"/>
      <c r="F102" s="12"/>
      <c r="G102" s="13"/>
    </row>
    <row r="103" spans="1:7">
      <c r="A103" s="9"/>
      <c r="B103" s="10"/>
      <c r="C103" s="11"/>
      <c r="D103" s="12"/>
      <c r="E103" s="12"/>
      <c r="F103" s="12"/>
      <c r="G103" s="13"/>
    </row>
    <row r="104" spans="1:7">
      <c r="A104" s="9"/>
      <c r="B104" s="10"/>
      <c r="C104" s="11"/>
      <c r="D104" s="12"/>
      <c r="E104" s="12"/>
      <c r="F104" s="12"/>
      <c r="G104" s="13"/>
    </row>
    <row r="105" spans="1:7">
      <c r="A105" s="9"/>
      <c r="B105" s="10"/>
      <c r="C105" s="11"/>
      <c r="D105" s="12"/>
      <c r="E105" s="12"/>
      <c r="F105" s="12"/>
      <c r="G105" s="13"/>
    </row>
    <row r="106" spans="1:7">
      <c r="A106" s="9"/>
      <c r="B106" s="10"/>
      <c r="C106" s="11"/>
      <c r="D106" s="12"/>
      <c r="E106" s="12"/>
      <c r="F106" s="12"/>
      <c r="G106" s="13"/>
    </row>
    <row r="107" spans="1:7">
      <c r="A107" s="9"/>
      <c r="B107" s="10"/>
      <c r="C107" s="11"/>
      <c r="D107" s="12"/>
      <c r="E107" s="12"/>
      <c r="F107" s="12"/>
      <c r="G107" s="13"/>
    </row>
    <row r="108" spans="1:7">
      <c r="A108" s="9"/>
      <c r="B108" s="10"/>
      <c r="C108" s="11"/>
      <c r="D108" s="12"/>
      <c r="E108" s="12"/>
      <c r="F108" s="12"/>
      <c r="G108" s="13"/>
    </row>
    <row r="109" spans="1:7">
      <c r="A109" s="9"/>
      <c r="B109" s="10"/>
      <c r="C109" s="11"/>
      <c r="D109" s="12"/>
      <c r="E109" s="12"/>
      <c r="F109" s="12"/>
      <c r="G109" s="13"/>
    </row>
    <row r="110" spans="1:7">
      <c r="A110" s="9"/>
      <c r="B110" s="10"/>
      <c r="C110" s="11"/>
      <c r="D110" s="12"/>
      <c r="E110" s="12"/>
      <c r="F110" s="12"/>
      <c r="G110" s="13"/>
    </row>
    <row r="111" spans="1:7">
      <c r="A111" s="9"/>
      <c r="B111" s="10"/>
      <c r="C111" s="11"/>
      <c r="D111" s="12"/>
      <c r="E111" s="12"/>
      <c r="F111" s="12"/>
      <c r="G111" s="13"/>
    </row>
    <row r="112" spans="1:7">
      <c r="A112" s="9"/>
      <c r="B112" s="10"/>
      <c r="C112" s="11"/>
      <c r="D112" s="12"/>
      <c r="E112" s="12"/>
      <c r="F112" s="12"/>
      <c r="G112" s="13"/>
    </row>
    <row r="113" spans="1:7">
      <c r="A113" s="9"/>
      <c r="B113" s="10"/>
      <c r="C113" s="11"/>
      <c r="D113" s="12"/>
      <c r="E113" s="12"/>
      <c r="F113" s="12"/>
      <c r="G113" s="13"/>
    </row>
    <row r="114" spans="1:7">
      <c r="A114" s="9"/>
      <c r="B114" s="10"/>
      <c r="C114" s="11"/>
      <c r="D114" s="12"/>
      <c r="E114" s="12"/>
      <c r="F114" s="12"/>
      <c r="G114" s="13"/>
    </row>
    <row r="115" spans="1:7">
      <c r="A115" s="9"/>
      <c r="B115" s="10"/>
      <c r="C115" s="11"/>
      <c r="D115" s="12"/>
      <c r="E115" s="12"/>
      <c r="F115" s="12"/>
      <c r="G115" s="13"/>
    </row>
    <row r="116" spans="1:7">
      <c r="A116" s="9"/>
      <c r="B116" s="10"/>
      <c r="C116" s="11"/>
      <c r="D116" s="12"/>
      <c r="E116" s="12"/>
      <c r="F116" s="12"/>
      <c r="G116" s="13"/>
    </row>
    <row r="117" spans="1:7">
      <c r="A117" s="9"/>
      <c r="B117" s="10"/>
      <c r="C117" s="11"/>
      <c r="D117" s="12"/>
      <c r="E117" s="12"/>
      <c r="F117" s="12"/>
      <c r="G117" s="13"/>
    </row>
    <row r="118" spans="1:7">
      <c r="A118" s="9"/>
      <c r="B118" s="10"/>
      <c r="C118" s="11"/>
      <c r="D118" s="12"/>
      <c r="E118" s="12"/>
      <c r="F118" s="12"/>
      <c r="G118" s="13"/>
    </row>
    <row r="119" spans="1:7">
      <c r="A119" s="9"/>
      <c r="B119" s="10"/>
      <c r="C119" s="11"/>
      <c r="D119" s="12"/>
      <c r="E119" s="12"/>
      <c r="F119" s="12"/>
      <c r="G119" s="13"/>
    </row>
    <row r="120" spans="1:7">
      <c r="A120" s="9"/>
      <c r="B120" s="10"/>
      <c r="C120" s="11"/>
      <c r="D120" s="12"/>
      <c r="E120" s="12"/>
      <c r="F120" s="12"/>
      <c r="G120" s="13"/>
    </row>
    <row r="121" spans="1:7">
      <c r="A121" s="9"/>
      <c r="B121" s="10"/>
      <c r="C121" s="11"/>
      <c r="D121" s="12"/>
      <c r="E121" s="12"/>
      <c r="F121" s="12"/>
      <c r="G121" s="13"/>
    </row>
    <row r="122" spans="1:7">
      <c r="A122" s="9"/>
      <c r="B122" s="10"/>
      <c r="C122" s="11"/>
      <c r="D122" s="12"/>
      <c r="E122" s="12"/>
      <c r="F122" s="12"/>
      <c r="G122" s="13"/>
    </row>
    <row r="123" spans="1:7">
      <c r="A123" s="9"/>
      <c r="B123" s="10"/>
      <c r="C123" s="11"/>
      <c r="D123" s="12"/>
      <c r="E123" s="12"/>
      <c r="F123" s="12"/>
      <c r="G123" s="13"/>
    </row>
    <row r="124" spans="1:7">
      <c r="A124" s="9"/>
      <c r="B124" s="10"/>
      <c r="C124" s="11"/>
      <c r="D124" s="12"/>
      <c r="E124" s="12"/>
      <c r="F124" s="12"/>
      <c r="G124" s="13"/>
    </row>
    <row r="125" spans="1:7">
      <c r="A125" s="9"/>
      <c r="B125" s="10"/>
      <c r="C125" s="11"/>
      <c r="D125" s="12"/>
      <c r="E125" s="12"/>
      <c r="F125" s="12"/>
      <c r="G125" s="13"/>
    </row>
    <row r="126" spans="1:7">
      <c r="A126" s="9"/>
      <c r="B126" s="10"/>
      <c r="C126" s="11"/>
      <c r="D126" s="12"/>
      <c r="E126" s="12"/>
      <c r="F126" s="12"/>
      <c r="G126" s="13"/>
    </row>
    <row r="127" spans="1:7">
      <c r="A127" s="9"/>
      <c r="B127" s="10"/>
      <c r="C127" s="11"/>
      <c r="D127" s="12"/>
      <c r="E127" s="12"/>
      <c r="F127" s="12"/>
      <c r="G127" s="13"/>
    </row>
    <row r="128" spans="1:7">
      <c r="A128" s="9"/>
      <c r="B128" s="10"/>
      <c r="C128" s="11"/>
      <c r="D128" s="12"/>
      <c r="E128" s="12"/>
      <c r="F128" s="12"/>
      <c r="G128" s="13"/>
    </row>
    <row r="129" spans="1:7">
      <c r="A129" s="9"/>
      <c r="B129" s="10"/>
      <c r="C129" s="11"/>
      <c r="D129" s="12"/>
      <c r="E129" s="12"/>
      <c r="F129" s="12"/>
      <c r="G129" s="13"/>
    </row>
    <row r="130" spans="1:7">
      <c r="A130" s="9"/>
      <c r="B130" s="10"/>
      <c r="C130" s="11"/>
      <c r="D130" s="12"/>
      <c r="E130" s="12"/>
      <c r="F130" s="12"/>
      <c r="G130" s="13"/>
    </row>
    <row r="131" spans="1:7">
      <c r="A131" s="9"/>
      <c r="B131" s="10"/>
      <c r="C131" s="11"/>
      <c r="D131" s="12"/>
      <c r="E131" s="12"/>
      <c r="F131" s="12"/>
      <c r="G131" s="13"/>
    </row>
    <row r="132" spans="1:7">
      <c r="A132" s="9"/>
      <c r="B132" s="10"/>
      <c r="C132" s="11"/>
      <c r="D132" s="12"/>
      <c r="E132" s="12"/>
      <c r="F132" s="12"/>
      <c r="G132" s="13"/>
    </row>
    <row r="133" spans="1:7">
      <c r="A133" s="9"/>
      <c r="B133" s="10"/>
      <c r="C133" s="11"/>
      <c r="D133" s="12"/>
      <c r="E133" s="12"/>
      <c r="F133" s="12"/>
      <c r="G133" s="13"/>
    </row>
    <row r="134" spans="1:7">
      <c r="A134" s="9"/>
      <c r="B134" s="10"/>
      <c r="C134" s="11"/>
      <c r="D134" s="12"/>
      <c r="E134" s="12"/>
      <c r="F134" s="12"/>
      <c r="G134" s="13"/>
    </row>
    <row r="135" spans="1:7">
      <c r="A135" s="9"/>
      <c r="B135" s="10"/>
      <c r="C135" s="11"/>
      <c r="D135" s="12"/>
      <c r="E135" s="12"/>
      <c r="F135" s="12"/>
      <c r="G135" s="13"/>
    </row>
    <row r="136" spans="1:7">
      <c r="A136" s="9"/>
      <c r="B136" s="10"/>
      <c r="C136" s="11"/>
      <c r="D136" s="12"/>
      <c r="E136" s="12"/>
      <c r="F136" s="12"/>
      <c r="G136" s="13"/>
    </row>
    <row r="137" spans="1:7">
      <c r="A137" s="9"/>
      <c r="B137" s="10"/>
      <c r="C137" s="11"/>
      <c r="D137" s="12"/>
      <c r="E137" s="12"/>
      <c r="F137" s="12"/>
      <c r="G137" s="13"/>
    </row>
    <row r="138" spans="1:7">
      <c r="A138" s="9"/>
      <c r="B138" s="10"/>
      <c r="C138" s="11"/>
      <c r="D138" s="12"/>
      <c r="E138" s="12"/>
      <c r="F138" s="12"/>
      <c r="G138" s="13"/>
    </row>
    <row r="139" spans="1:7">
      <c r="A139" s="9"/>
      <c r="B139" s="10"/>
      <c r="C139" s="11"/>
      <c r="D139" s="12"/>
      <c r="E139" s="12"/>
      <c r="F139" s="12"/>
      <c r="G139" s="13"/>
    </row>
    <row r="140" spans="1:7">
      <c r="A140" s="9"/>
      <c r="B140" s="10"/>
      <c r="C140" s="11"/>
      <c r="D140" s="12"/>
      <c r="E140" s="12"/>
      <c r="F140" s="12"/>
      <c r="G140" s="13"/>
    </row>
    <row r="141" spans="1:7">
      <c r="A141" s="9"/>
      <c r="B141" s="10"/>
      <c r="C141" s="11"/>
      <c r="D141" s="12"/>
      <c r="E141" s="12"/>
      <c r="F141" s="12"/>
      <c r="G141" s="13"/>
    </row>
    <row r="142" spans="1:7">
      <c r="A142" s="9"/>
      <c r="B142" s="10"/>
      <c r="C142" s="11"/>
      <c r="D142" s="12"/>
      <c r="E142" s="12"/>
      <c r="F142" s="12"/>
      <c r="G142" s="13"/>
    </row>
    <row r="143" spans="1:7">
      <c r="A143" s="9"/>
      <c r="B143" s="10"/>
      <c r="C143" s="11"/>
      <c r="D143" s="12"/>
      <c r="E143" s="12"/>
      <c r="F143" s="12"/>
      <c r="G143" s="13"/>
    </row>
    <row r="144" spans="1:7">
      <c r="A144" s="9"/>
      <c r="B144" s="10"/>
      <c r="C144" s="11"/>
      <c r="D144" s="12"/>
      <c r="E144" s="12"/>
      <c r="F144" s="12"/>
      <c r="G144" s="13"/>
    </row>
    <row r="145" spans="1:7">
      <c r="A145" s="9"/>
      <c r="B145" s="10"/>
      <c r="C145" s="11"/>
      <c r="D145" s="12"/>
      <c r="E145" s="12"/>
      <c r="F145" s="12"/>
      <c r="G145" s="13"/>
    </row>
    <row r="146" spans="1:7">
      <c r="A146" s="9"/>
      <c r="B146" s="10"/>
      <c r="C146" s="11"/>
      <c r="D146" s="12"/>
      <c r="E146" s="12"/>
      <c r="F146" s="12"/>
      <c r="G146" s="13"/>
    </row>
    <row r="147" spans="1:7">
      <c r="A147" s="9"/>
      <c r="B147" s="10"/>
      <c r="C147" s="11"/>
      <c r="D147" s="12"/>
      <c r="E147" s="12"/>
      <c r="F147" s="12"/>
      <c r="G147" s="13"/>
    </row>
    <row r="148" spans="1:7">
      <c r="A148" s="9"/>
      <c r="B148" s="10"/>
      <c r="C148" s="11"/>
      <c r="D148" s="12"/>
      <c r="E148" s="12"/>
      <c r="F148" s="12"/>
      <c r="G148" s="13"/>
    </row>
    <row r="149" spans="1:7">
      <c r="A149" s="9"/>
      <c r="B149" s="10"/>
      <c r="C149" s="11"/>
      <c r="D149" s="12"/>
      <c r="E149" s="12"/>
      <c r="F149" s="12"/>
      <c r="G149" s="13"/>
    </row>
    <row r="150" spans="1:7">
      <c r="A150" s="9"/>
      <c r="B150" s="10"/>
      <c r="C150" s="11"/>
      <c r="D150" s="12"/>
      <c r="E150" s="12"/>
      <c r="F150" s="12"/>
      <c r="G150" s="13"/>
    </row>
    <row r="151" spans="1:7">
      <c r="A151" s="9"/>
      <c r="B151" s="10"/>
      <c r="C151" s="11"/>
      <c r="D151" s="12"/>
      <c r="E151" s="12"/>
      <c r="F151" s="12"/>
      <c r="G151" s="13"/>
    </row>
    <row r="152" spans="1:7">
      <c r="A152" s="9"/>
      <c r="B152" s="10"/>
      <c r="C152" s="11"/>
      <c r="D152" s="12"/>
      <c r="E152" s="12"/>
      <c r="F152" s="12"/>
      <c r="G152" s="13"/>
    </row>
    <row r="153" spans="1:7">
      <c r="A153" s="9"/>
      <c r="B153" s="10"/>
      <c r="C153" s="11"/>
      <c r="D153" s="12"/>
      <c r="E153" s="12"/>
      <c r="F153" s="12"/>
      <c r="G153" s="13"/>
    </row>
    <row r="154" spans="1:7">
      <c r="A154" s="9"/>
      <c r="B154" s="10"/>
      <c r="C154" s="11"/>
      <c r="D154" s="12"/>
      <c r="E154" s="12"/>
      <c r="F154" s="12"/>
      <c r="G154" s="13"/>
    </row>
    <row r="155" spans="1:7">
      <c r="A155" s="9"/>
      <c r="B155" s="10"/>
      <c r="C155" s="11"/>
      <c r="D155" s="12"/>
      <c r="E155" s="12"/>
      <c r="F155" s="12"/>
      <c r="G155" s="13"/>
    </row>
    <row r="156" spans="1:7">
      <c r="A156" s="9"/>
      <c r="B156" s="10"/>
      <c r="C156" s="11"/>
      <c r="D156" s="12"/>
      <c r="E156" s="12"/>
      <c r="F156" s="12"/>
      <c r="G156" s="13"/>
    </row>
    <row r="157" spans="1:7">
      <c r="A157" s="9"/>
      <c r="B157" s="10"/>
      <c r="C157" s="11"/>
      <c r="D157" s="12"/>
      <c r="E157" s="12"/>
      <c r="F157" s="12"/>
      <c r="G157" s="13"/>
    </row>
    <row r="158" spans="1:7">
      <c r="A158" s="9"/>
      <c r="B158" s="10"/>
      <c r="C158" s="11"/>
      <c r="D158" s="12"/>
      <c r="E158" s="12"/>
      <c r="F158" s="12"/>
      <c r="G158" s="13"/>
    </row>
    <row r="159" spans="1:7">
      <c r="A159" s="9"/>
      <c r="B159" s="10"/>
      <c r="C159" s="11"/>
      <c r="D159" s="12"/>
      <c r="E159" s="12"/>
      <c r="F159" s="12"/>
      <c r="G159" s="13"/>
    </row>
    <row r="160" spans="1:7">
      <c r="A160" s="9"/>
      <c r="B160" s="10"/>
      <c r="C160" s="11"/>
      <c r="D160" s="12"/>
      <c r="E160" s="12"/>
      <c r="F160" s="12"/>
      <c r="G160" s="13"/>
    </row>
    <row r="161" spans="1:7">
      <c r="A161" s="9"/>
      <c r="B161" s="10"/>
      <c r="C161" s="11"/>
      <c r="D161" s="12"/>
      <c r="E161" s="12"/>
      <c r="F161" s="12"/>
      <c r="G161" s="13"/>
    </row>
    <row r="162" spans="1:7">
      <c r="A162" s="9"/>
      <c r="B162" s="10"/>
      <c r="C162" s="11"/>
      <c r="D162" s="12"/>
      <c r="E162" s="12"/>
      <c r="F162" s="12"/>
      <c r="G162" s="13"/>
    </row>
    <row r="163" spans="1:7">
      <c r="A163" s="9"/>
      <c r="B163" s="10"/>
      <c r="C163" s="11"/>
      <c r="D163" s="12"/>
      <c r="E163" s="12"/>
      <c r="F163" s="12"/>
      <c r="G163" s="13"/>
    </row>
    <row r="164" spans="1:7">
      <c r="A164" s="9"/>
      <c r="B164" s="10"/>
      <c r="C164" s="11"/>
      <c r="D164" s="12"/>
      <c r="E164" s="12"/>
      <c r="F164" s="12"/>
      <c r="G164" s="13"/>
    </row>
    <row r="165" spans="1:7">
      <c r="A165" s="9"/>
      <c r="B165" s="10"/>
      <c r="C165" s="11"/>
      <c r="D165" s="12"/>
      <c r="E165" s="12"/>
      <c r="F165" s="12"/>
      <c r="G165" s="13"/>
    </row>
    <row r="166" spans="1:7">
      <c r="A166" s="9"/>
      <c r="B166" s="10"/>
      <c r="C166" s="11"/>
      <c r="D166" s="12"/>
      <c r="E166" s="12"/>
      <c r="F166" s="12"/>
      <c r="G166" s="13"/>
    </row>
    <row r="167" spans="1:7">
      <c r="A167" s="9"/>
      <c r="B167" s="10"/>
      <c r="C167" s="11"/>
      <c r="D167" s="12"/>
      <c r="E167" s="12"/>
      <c r="F167" s="12"/>
      <c r="G167" s="13"/>
    </row>
    <row r="168" spans="1:7">
      <c r="A168" s="9"/>
      <c r="B168" s="10"/>
      <c r="C168" s="11"/>
      <c r="D168" s="12"/>
      <c r="E168" s="12"/>
      <c r="F168" s="12"/>
      <c r="G168" s="13"/>
    </row>
    <row r="169" spans="1:7">
      <c r="A169" s="9"/>
      <c r="B169" s="10"/>
      <c r="C169" s="11"/>
      <c r="D169" s="12"/>
      <c r="E169" s="12"/>
      <c r="F169" s="12"/>
      <c r="G169" s="13"/>
    </row>
    <row r="170" spans="1:7">
      <c r="A170" s="9"/>
      <c r="B170" s="10"/>
      <c r="C170" s="11"/>
      <c r="D170" s="12"/>
      <c r="E170" s="12"/>
      <c r="F170" s="12"/>
      <c r="G170" s="13"/>
    </row>
    <row r="171" spans="1:7">
      <c r="A171" s="9"/>
      <c r="B171" s="10"/>
      <c r="C171" s="11"/>
      <c r="D171" s="12"/>
      <c r="E171" s="12"/>
      <c r="F171" s="12"/>
      <c r="G171" s="13"/>
    </row>
    <row r="172" spans="1:7">
      <c r="A172" s="9"/>
      <c r="B172" s="10"/>
      <c r="C172" s="11"/>
      <c r="D172" s="12"/>
      <c r="E172" s="12"/>
      <c r="F172" s="12"/>
      <c r="G172" s="13"/>
    </row>
    <row r="173" spans="1:7">
      <c r="A173" s="9"/>
      <c r="B173" s="10"/>
      <c r="C173" s="11"/>
      <c r="D173" s="12"/>
      <c r="E173" s="12"/>
      <c r="F173" s="12"/>
      <c r="G173" s="13"/>
    </row>
    <row r="174" spans="1:7">
      <c r="A174" s="9"/>
      <c r="B174" s="10"/>
      <c r="C174" s="11"/>
      <c r="D174" s="12"/>
      <c r="E174" s="12"/>
      <c r="F174" s="12"/>
      <c r="G174" s="13"/>
    </row>
    <row r="175" spans="1:7">
      <c r="A175" s="9"/>
      <c r="B175" s="10"/>
      <c r="C175" s="11"/>
      <c r="D175" s="12"/>
      <c r="E175" s="12"/>
      <c r="F175" s="12"/>
      <c r="G175" s="13"/>
    </row>
    <row r="176" spans="1:7">
      <c r="A176" s="9"/>
      <c r="B176" s="10"/>
      <c r="C176" s="11"/>
      <c r="D176" s="12"/>
      <c r="E176" s="12"/>
      <c r="F176" s="12"/>
      <c r="G176" s="13"/>
    </row>
    <row r="177" spans="1:7">
      <c r="A177" s="9"/>
      <c r="B177" s="10"/>
      <c r="C177" s="11"/>
      <c r="D177" s="12"/>
      <c r="E177" s="12"/>
      <c r="F177" s="12"/>
      <c r="G177" s="13"/>
    </row>
    <row r="178" spans="1:7">
      <c r="A178" s="9"/>
      <c r="B178" s="10"/>
      <c r="C178" s="11"/>
      <c r="D178" s="12"/>
      <c r="E178" s="12"/>
      <c r="F178" s="12"/>
      <c r="G178" s="13"/>
    </row>
    <row r="179" spans="1:7">
      <c r="A179" s="9"/>
      <c r="B179" s="10"/>
      <c r="C179" s="11"/>
      <c r="D179" s="12"/>
      <c r="E179" s="12"/>
      <c r="F179" s="12"/>
      <c r="G179" s="13"/>
    </row>
    <row r="180" spans="1:7">
      <c r="A180" s="9"/>
      <c r="B180" s="10"/>
      <c r="C180" s="11"/>
      <c r="D180" s="12"/>
      <c r="E180" s="12"/>
      <c r="F180" s="12"/>
      <c r="G180" s="13"/>
    </row>
    <row r="181" spans="1:7">
      <c r="A181" s="9"/>
      <c r="B181" s="10"/>
      <c r="C181" s="11"/>
      <c r="D181" s="12"/>
      <c r="E181" s="12"/>
      <c r="F181" s="12"/>
      <c r="G181" s="13"/>
    </row>
    <row r="182" spans="1:7">
      <c r="A182" s="9"/>
      <c r="B182" s="10"/>
      <c r="C182" s="11"/>
      <c r="D182" s="12"/>
      <c r="E182" s="12"/>
      <c r="F182" s="12"/>
      <c r="G182" s="13"/>
    </row>
    <row r="183" spans="1:7">
      <c r="A183" s="9"/>
      <c r="B183" s="10"/>
      <c r="C183" s="11"/>
      <c r="D183" s="12"/>
      <c r="E183" s="12"/>
      <c r="F183" s="12"/>
      <c r="G183" s="13"/>
    </row>
    <row r="184" spans="1:7">
      <c r="A184" s="9"/>
      <c r="B184" s="10"/>
      <c r="C184" s="11"/>
      <c r="D184" s="12"/>
      <c r="E184" s="12"/>
      <c r="F184" s="12"/>
      <c r="G184" s="13"/>
    </row>
    <row r="185" spans="1:7">
      <c r="A185" s="9"/>
      <c r="B185" s="10"/>
      <c r="C185" s="11"/>
      <c r="D185" s="12"/>
      <c r="E185" s="12"/>
      <c r="F185" s="12"/>
      <c r="G185" s="13"/>
    </row>
    <row r="186" spans="1:7">
      <c r="A186" s="9"/>
      <c r="B186" s="10"/>
      <c r="C186" s="11"/>
      <c r="D186" s="12"/>
      <c r="E186" s="12"/>
      <c r="F186" s="12"/>
      <c r="G186" s="13"/>
    </row>
    <row r="187" spans="1:7">
      <c r="A187" s="9"/>
      <c r="B187" s="10"/>
      <c r="C187" s="11"/>
      <c r="D187" s="12"/>
      <c r="E187" s="12"/>
      <c r="F187" s="12"/>
      <c r="G187" s="13"/>
    </row>
    <row r="188" spans="1:7">
      <c r="A188" s="9"/>
      <c r="B188" s="10"/>
      <c r="C188" s="11"/>
      <c r="D188" s="12"/>
      <c r="E188" s="12"/>
      <c r="F188" s="12"/>
      <c r="G188" s="13"/>
    </row>
    <row r="189" spans="1:7">
      <c r="A189" s="9"/>
      <c r="B189" s="10"/>
      <c r="C189" s="11"/>
      <c r="D189" s="12"/>
      <c r="E189" s="12"/>
      <c r="F189" s="12"/>
      <c r="G189" s="13"/>
    </row>
    <row r="190" spans="1:7">
      <c r="A190" s="9"/>
      <c r="B190" s="10"/>
      <c r="C190" s="11"/>
      <c r="D190" s="12"/>
      <c r="E190" s="12"/>
      <c r="F190" s="12"/>
      <c r="G190" s="13"/>
    </row>
    <row r="191" spans="1:7">
      <c r="A191" s="9"/>
      <c r="B191" s="10"/>
      <c r="C191" s="11"/>
      <c r="D191" s="12"/>
      <c r="E191" s="12"/>
      <c r="F191" s="12"/>
      <c r="G191" s="13"/>
    </row>
    <row r="192" spans="1:7">
      <c r="A192" s="9"/>
      <c r="B192" s="10"/>
      <c r="C192" s="11"/>
      <c r="D192" s="12"/>
      <c r="E192" s="12"/>
      <c r="F192" s="12"/>
      <c r="G192" s="13"/>
    </row>
    <row r="193" spans="1:7">
      <c r="A193" s="9"/>
      <c r="B193" s="10"/>
      <c r="C193" s="11"/>
      <c r="D193" s="12"/>
      <c r="E193" s="12"/>
      <c r="F193" s="12"/>
      <c r="G193" s="13"/>
    </row>
    <row r="194" spans="1:7">
      <c r="A194" s="9"/>
      <c r="B194" s="10"/>
      <c r="C194" s="11"/>
      <c r="D194" s="12"/>
      <c r="E194" s="12"/>
      <c r="F194" s="12"/>
      <c r="G194" s="13"/>
    </row>
    <row r="195" spans="1:7">
      <c r="A195" s="9"/>
      <c r="B195" s="10"/>
      <c r="C195" s="11"/>
      <c r="D195" s="12"/>
      <c r="E195" s="12"/>
      <c r="F195" s="12"/>
      <c r="G195" s="13"/>
    </row>
    <row r="196" spans="1:7">
      <c r="A196" s="9"/>
      <c r="B196" s="10"/>
      <c r="C196" s="11"/>
      <c r="D196" s="12"/>
      <c r="E196" s="12"/>
      <c r="F196" s="12"/>
      <c r="G196" s="13"/>
    </row>
    <row r="197" spans="1:7">
      <c r="A197" s="9"/>
      <c r="B197" s="10"/>
      <c r="C197" s="11"/>
      <c r="D197" s="12"/>
      <c r="E197" s="12"/>
      <c r="F197" s="12"/>
      <c r="G197" s="13"/>
    </row>
    <row r="198" spans="1:7">
      <c r="A198" s="9"/>
      <c r="B198" s="10"/>
      <c r="C198" s="11"/>
      <c r="D198" s="12"/>
      <c r="E198" s="12"/>
      <c r="F198" s="12"/>
      <c r="G198" s="13"/>
    </row>
    <row r="199" spans="1:7">
      <c r="A199" s="9"/>
      <c r="B199" s="10"/>
      <c r="C199" s="11"/>
      <c r="D199" s="12"/>
      <c r="E199" s="12"/>
      <c r="F199" s="12"/>
      <c r="G199" s="13"/>
    </row>
    <row r="200" spans="1:7">
      <c r="A200" s="9"/>
      <c r="B200" s="10"/>
      <c r="C200" s="11"/>
      <c r="D200" s="12"/>
      <c r="E200" s="12"/>
      <c r="F200" s="12"/>
      <c r="G200" s="13"/>
    </row>
    <row r="201" spans="1:7">
      <c r="A201" s="9"/>
      <c r="B201" s="10"/>
      <c r="C201" s="11"/>
      <c r="D201" s="12"/>
      <c r="E201" s="12"/>
      <c r="F201" s="12"/>
      <c r="G201" s="13"/>
    </row>
    <row r="202" spans="1:7">
      <c r="A202" s="9"/>
      <c r="B202" s="10"/>
      <c r="C202" s="11"/>
      <c r="D202" s="12"/>
      <c r="E202" s="12"/>
      <c r="F202" s="12"/>
      <c r="G202" s="13"/>
    </row>
    <row r="203" spans="1:7">
      <c r="A203" s="9"/>
      <c r="B203" s="10"/>
      <c r="C203" s="11"/>
      <c r="D203" s="12"/>
      <c r="E203" s="12"/>
      <c r="F203" s="12"/>
      <c r="G203" s="13"/>
    </row>
    <row r="204" spans="1:7">
      <c r="A204" s="9"/>
      <c r="B204" s="10"/>
      <c r="C204" s="11"/>
      <c r="D204" s="12"/>
      <c r="E204" s="12"/>
      <c r="F204" s="12"/>
      <c r="G204" s="13"/>
    </row>
    <row r="205" spans="1:7">
      <c r="A205" s="9"/>
      <c r="B205" s="10"/>
      <c r="C205" s="11"/>
      <c r="D205" s="12"/>
      <c r="E205" s="12"/>
      <c r="F205" s="12"/>
      <c r="G205" s="13"/>
    </row>
    <row r="206" spans="1:7">
      <c r="A206" s="9"/>
      <c r="B206" s="10"/>
      <c r="C206" s="11"/>
      <c r="D206" s="12"/>
      <c r="E206" s="12"/>
      <c r="F206" s="12"/>
      <c r="G206" s="13"/>
    </row>
    <row r="207" spans="1:7">
      <c r="A207" s="9"/>
      <c r="B207" s="10"/>
      <c r="C207" s="11"/>
      <c r="D207" s="12"/>
      <c r="E207" s="12"/>
      <c r="F207" s="12"/>
      <c r="G207" s="13"/>
    </row>
    <row r="208" spans="1:7">
      <c r="A208" s="9"/>
      <c r="B208" s="10"/>
      <c r="C208" s="11"/>
      <c r="D208" s="12"/>
      <c r="E208" s="12"/>
      <c r="F208" s="12"/>
      <c r="G208" s="13"/>
    </row>
    <row r="209" spans="1:7">
      <c r="A209" s="9"/>
      <c r="B209" s="10"/>
      <c r="C209" s="11"/>
      <c r="D209" s="12"/>
      <c r="E209" s="12"/>
      <c r="F209" s="12"/>
      <c r="G209" s="13"/>
    </row>
    <row r="210" spans="1:7">
      <c r="A210" s="9"/>
      <c r="B210" s="10"/>
      <c r="C210" s="11"/>
      <c r="D210" s="12"/>
      <c r="E210" s="12"/>
      <c r="F210" s="12"/>
      <c r="G210" s="13"/>
    </row>
    <row r="211" spans="1:7">
      <c r="A211" s="9"/>
      <c r="B211" s="10"/>
      <c r="C211" s="11"/>
      <c r="D211" s="12"/>
      <c r="E211" s="12"/>
      <c r="F211" s="12"/>
      <c r="G211" s="13"/>
    </row>
    <row r="212" spans="1:7">
      <c r="A212" s="9"/>
      <c r="B212" s="10"/>
      <c r="C212" s="11"/>
      <c r="D212" s="12"/>
      <c r="E212" s="12"/>
      <c r="F212" s="12"/>
      <c r="G212" s="13"/>
    </row>
    <row r="213" spans="1:7">
      <c r="A213" s="9"/>
      <c r="B213" s="10"/>
      <c r="C213" s="11"/>
      <c r="D213" s="12"/>
      <c r="E213" s="12"/>
      <c r="F213" s="12"/>
      <c r="G213" s="13"/>
    </row>
    <row r="214" spans="1:7">
      <c r="A214" s="9"/>
      <c r="B214" s="10"/>
      <c r="C214" s="11"/>
      <c r="D214" s="12"/>
      <c r="E214" s="12"/>
      <c r="F214" s="12"/>
      <c r="G214" s="13"/>
    </row>
    <row r="215" spans="1:7">
      <c r="A215" s="9"/>
      <c r="B215" s="10"/>
      <c r="C215" s="11"/>
      <c r="D215" s="12"/>
      <c r="E215" s="12"/>
      <c r="F215" s="12"/>
      <c r="G215" s="13"/>
    </row>
    <row r="216" spans="1:7">
      <c r="A216" s="9"/>
      <c r="B216" s="10"/>
      <c r="C216" s="11"/>
      <c r="D216" s="12"/>
      <c r="E216" s="12"/>
      <c r="F216" s="12"/>
      <c r="G216" s="13"/>
    </row>
    <row r="217" spans="1:7">
      <c r="A217" s="9"/>
      <c r="B217" s="10"/>
      <c r="C217" s="11"/>
      <c r="D217" s="12"/>
      <c r="E217" s="12"/>
      <c r="F217" s="12"/>
      <c r="G217" s="13"/>
    </row>
    <row r="218" spans="1:7">
      <c r="A218" s="9"/>
      <c r="B218" s="10"/>
      <c r="C218" s="11"/>
      <c r="D218" s="12"/>
      <c r="E218" s="12"/>
      <c r="F218" s="12"/>
      <c r="G218" s="13"/>
    </row>
    <row r="219" spans="1:7">
      <c r="A219" s="9"/>
      <c r="B219" s="10"/>
      <c r="C219" s="11"/>
      <c r="D219" s="12"/>
      <c r="E219" s="12"/>
      <c r="F219" s="12"/>
      <c r="G219" s="13"/>
    </row>
    <row r="220" spans="1:7">
      <c r="A220" s="9"/>
      <c r="B220" s="10"/>
      <c r="C220" s="11"/>
      <c r="D220" s="12"/>
      <c r="E220" s="12"/>
      <c r="F220" s="12"/>
      <c r="G220" s="13"/>
    </row>
    <row r="221" spans="1:7">
      <c r="A221" s="9"/>
      <c r="B221" s="10"/>
      <c r="C221" s="11"/>
      <c r="D221" s="12"/>
      <c r="E221" s="12"/>
      <c r="F221" s="12"/>
      <c r="G221" s="13"/>
    </row>
    <row r="222" spans="1:7">
      <c r="A222" s="9"/>
      <c r="B222" s="10"/>
      <c r="C222" s="11"/>
      <c r="D222" s="12"/>
      <c r="E222" s="12"/>
      <c r="F222" s="12"/>
      <c r="G222" s="13"/>
    </row>
    <row r="223" spans="1:7">
      <c r="A223" s="9"/>
      <c r="B223" s="10"/>
      <c r="C223" s="11"/>
      <c r="D223" s="12"/>
      <c r="E223" s="12"/>
      <c r="F223" s="12"/>
      <c r="G223" s="13"/>
    </row>
    <row r="224" spans="1:7">
      <c r="A224" s="9"/>
      <c r="B224" s="10"/>
      <c r="C224" s="11"/>
      <c r="D224" s="12"/>
      <c r="E224" s="12"/>
      <c r="F224" s="12"/>
      <c r="G224" s="13"/>
    </row>
    <row r="225" spans="1:7">
      <c r="A225" s="9"/>
      <c r="B225" s="10"/>
      <c r="C225" s="11"/>
      <c r="D225" s="12"/>
      <c r="E225" s="12"/>
      <c r="F225" s="12"/>
      <c r="G225" s="13"/>
    </row>
    <row r="226" spans="1:7">
      <c r="A226" s="9"/>
      <c r="B226" s="10"/>
      <c r="C226" s="11"/>
      <c r="D226" s="12"/>
      <c r="E226" s="12"/>
      <c r="F226" s="12"/>
      <c r="G226" s="13"/>
    </row>
    <row r="227" spans="1:7">
      <c r="A227" s="9"/>
      <c r="B227" s="10"/>
      <c r="C227" s="11"/>
      <c r="D227" s="12"/>
      <c r="E227" s="12"/>
      <c r="F227" s="12"/>
      <c r="G227" s="13"/>
    </row>
    <row r="228" spans="1:7">
      <c r="A228" s="9"/>
      <c r="B228" s="10"/>
      <c r="C228" s="11"/>
      <c r="D228" s="12"/>
      <c r="E228" s="12"/>
      <c r="F228" s="12"/>
      <c r="G228" s="13"/>
    </row>
    <row r="229" spans="1:7">
      <c r="A229" s="9"/>
      <c r="B229" s="10"/>
      <c r="C229" s="11"/>
      <c r="D229" s="12"/>
      <c r="E229" s="12"/>
      <c r="F229" s="12"/>
      <c r="G229" s="13"/>
    </row>
    <row r="230" spans="1:7">
      <c r="A230" s="9"/>
      <c r="B230" s="10"/>
      <c r="C230" s="11"/>
      <c r="D230" s="12"/>
      <c r="E230" s="12"/>
      <c r="F230" s="12"/>
      <c r="G230" s="13"/>
    </row>
    <row r="231" spans="1:7">
      <c r="A231" s="9"/>
      <c r="B231" s="10"/>
      <c r="C231" s="11"/>
      <c r="D231" s="12"/>
      <c r="E231" s="12"/>
      <c r="F231" s="12"/>
      <c r="G231" s="13"/>
    </row>
    <row r="232" spans="1:7">
      <c r="A232" s="9"/>
      <c r="B232" s="10"/>
      <c r="C232" s="11"/>
      <c r="D232" s="12"/>
      <c r="E232" s="12"/>
      <c r="F232" s="12"/>
      <c r="G232" s="13"/>
    </row>
    <row r="233" spans="1:7">
      <c r="A233" s="9"/>
      <c r="B233" s="10"/>
      <c r="C233" s="11"/>
      <c r="D233" s="12"/>
      <c r="E233" s="12"/>
      <c r="F233" s="12"/>
      <c r="G233" s="13"/>
    </row>
    <row r="234" spans="1:7">
      <c r="A234" s="9"/>
      <c r="B234" s="10"/>
      <c r="C234" s="11"/>
      <c r="D234" s="12"/>
      <c r="E234" s="12"/>
      <c r="F234" s="12"/>
      <c r="G234" s="13"/>
    </row>
    <row r="235" spans="1:7">
      <c r="A235" s="9"/>
      <c r="B235" s="10"/>
      <c r="C235" s="11"/>
      <c r="D235" s="12"/>
      <c r="E235" s="12"/>
      <c r="F235" s="12"/>
      <c r="G235" s="13"/>
    </row>
    <row r="236" spans="1:7">
      <c r="A236" s="9"/>
      <c r="B236" s="10"/>
      <c r="C236" s="11"/>
      <c r="D236" s="12"/>
      <c r="E236" s="12"/>
      <c r="F236" s="12"/>
      <c r="G236" s="13"/>
    </row>
    <row r="237" spans="1:7">
      <c r="A237" s="9"/>
      <c r="B237" s="10"/>
      <c r="C237" s="11"/>
      <c r="D237" s="12"/>
      <c r="E237" s="12"/>
      <c r="F237" s="12"/>
      <c r="G237" s="13"/>
    </row>
    <row r="238" spans="1:7">
      <c r="A238" s="9"/>
      <c r="B238" s="10"/>
      <c r="C238" s="11"/>
      <c r="D238" s="12"/>
      <c r="E238" s="12"/>
      <c r="F238" s="12"/>
      <c r="G238" s="13"/>
    </row>
    <row r="239" spans="1:7">
      <c r="A239" s="9"/>
      <c r="B239" s="10"/>
      <c r="C239" s="11"/>
      <c r="D239" s="12"/>
      <c r="E239" s="12"/>
      <c r="F239" s="12"/>
      <c r="G239" s="13"/>
    </row>
    <row r="240" spans="1:7">
      <c r="A240" s="9"/>
      <c r="B240" s="10"/>
      <c r="C240" s="11"/>
      <c r="D240" s="12"/>
      <c r="E240" s="12"/>
      <c r="F240" s="12"/>
      <c r="G240" s="13"/>
    </row>
    <row r="241" spans="1:7">
      <c r="A241" s="9"/>
      <c r="B241" s="10"/>
      <c r="C241" s="11"/>
      <c r="D241" s="12"/>
      <c r="E241" s="12"/>
      <c r="F241" s="12"/>
      <c r="G241" s="13"/>
    </row>
    <row r="242" spans="1:7">
      <c r="A242" s="9"/>
      <c r="B242" s="10"/>
      <c r="C242" s="11"/>
      <c r="D242" s="12"/>
      <c r="E242" s="12"/>
      <c r="F242" s="12"/>
      <c r="G242" s="13"/>
    </row>
    <row r="243" spans="1:7">
      <c r="A243" s="9"/>
      <c r="B243" s="10"/>
      <c r="C243" s="11"/>
      <c r="D243" s="12"/>
      <c r="E243" s="12"/>
      <c r="F243" s="12"/>
      <c r="G243" s="13"/>
    </row>
    <row r="244" spans="1:7">
      <c r="A244" s="9"/>
      <c r="B244" s="10"/>
      <c r="C244" s="11"/>
      <c r="D244" s="12"/>
      <c r="E244" s="12"/>
      <c r="F244" s="12"/>
      <c r="G244" s="13"/>
    </row>
    <row r="245" spans="1:7">
      <c r="A245" s="9"/>
      <c r="B245" s="10"/>
      <c r="C245" s="11"/>
      <c r="D245" s="12"/>
      <c r="E245" s="12"/>
      <c r="F245" s="12"/>
      <c r="G245" s="13"/>
    </row>
    <row r="246" spans="1:7">
      <c r="A246" s="9"/>
      <c r="B246" s="10"/>
      <c r="C246" s="11"/>
      <c r="D246" s="12"/>
      <c r="E246" s="12"/>
      <c r="F246" s="12"/>
      <c r="G246" s="13"/>
    </row>
    <row r="247" spans="1:7">
      <c r="A247" s="9"/>
      <c r="B247" s="10"/>
      <c r="C247" s="11"/>
      <c r="D247" s="12"/>
      <c r="E247" s="12"/>
      <c r="F247" s="12"/>
      <c r="G247" s="13"/>
    </row>
    <row r="248" spans="1:7">
      <c r="A248" s="9"/>
      <c r="B248" s="10"/>
      <c r="C248" s="11"/>
      <c r="D248" s="12"/>
      <c r="E248" s="12"/>
      <c r="F248" s="12"/>
      <c r="G248" s="13"/>
    </row>
    <row r="249" spans="1:7">
      <c r="A249" s="9"/>
      <c r="B249" s="10"/>
      <c r="C249" s="11"/>
      <c r="D249" s="12"/>
      <c r="E249" s="12"/>
      <c r="F249" s="12"/>
      <c r="G249" s="13"/>
    </row>
    <row r="250" spans="1:7">
      <c r="A250" s="9"/>
      <c r="B250" s="10"/>
      <c r="C250" s="11"/>
      <c r="D250" s="12"/>
      <c r="E250" s="12"/>
      <c r="F250" s="12"/>
      <c r="G250" s="13"/>
    </row>
    <row r="251" spans="1:7">
      <c r="A251" s="9"/>
      <c r="B251" s="10"/>
      <c r="C251" s="11"/>
      <c r="D251" s="12"/>
      <c r="E251" s="12"/>
      <c r="F251" s="12"/>
      <c r="G251" s="13"/>
    </row>
    <row r="252" spans="1:7">
      <c r="A252" s="9"/>
      <c r="B252" s="10"/>
      <c r="C252" s="11"/>
      <c r="D252" s="12"/>
      <c r="E252" s="12"/>
      <c r="F252" s="12"/>
      <c r="G252" s="13"/>
    </row>
    <row r="253" spans="1:7">
      <c r="A253" s="9"/>
      <c r="B253" s="10"/>
      <c r="C253" s="11"/>
      <c r="D253" s="12"/>
      <c r="E253" s="12"/>
      <c r="F253" s="12"/>
      <c r="G253" s="13"/>
    </row>
    <row r="254" spans="1:7">
      <c r="A254" s="9"/>
      <c r="B254" s="10"/>
      <c r="C254" s="11"/>
      <c r="D254" s="12"/>
      <c r="E254" s="12"/>
      <c r="F254" s="12"/>
      <c r="G254" s="13"/>
    </row>
    <row r="255" spans="1:7">
      <c r="A255" s="9"/>
      <c r="B255" s="10"/>
      <c r="C255" s="11"/>
      <c r="D255" s="12"/>
      <c r="E255" s="12"/>
      <c r="F255" s="12"/>
      <c r="G255" s="13"/>
    </row>
    <row r="256" spans="1:7">
      <c r="A256" s="9"/>
      <c r="B256" s="10"/>
      <c r="C256" s="11"/>
      <c r="D256" s="12"/>
      <c r="E256" s="12"/>
      <c r="F256" s="12"/>
      <c r="G256" s="13"/>
    </row>
    <row r="257" spans="1:7">
      <c r="A257" s="9"/>
      <c r="B257" s="10"/>
      <c r="C257" s="11"/>
      <c r="D257" s="12"/>
      <c r="E257" s="12"/>
      <c r="F257" s="12"/>
      <c r="G257" s="13"/>
    </row>
    <row r="258" spans="1:7">
      <c r="A258" s="9"/>
      <c r="B258" s="10"/>
      <c r="C258" s="11"/>
      <c r="D258" s="12"/>
      <c r="E258" s="12"/>
      <c r="F258" s="12"/>
      <c r="G258" s="13"/>
    </row>
    <row r="259" spans="1:7">
      <c r="A259" s="9"/>
      <c r="B259" s="10"/>
      <c r="C259" s="11"/>
      <c r="D259" s="12"/>
      <c r="E259" s="12"/>
      <c r="F259" s="12"/>
      <c r="G259" s="13"/>
    </row>
    <row r="260" spans="1:7">
      <c r="A260" s="9"/>
      <c r="B260" s="10"/>
      <c r="C260" s="11"/>
      <c r="D260" s="12"/>
      <c r="E260" s="12"/>
      <c r="F260" s="12"/>
      <c r="G260" s="13"/>
    </row>
    <row r="261" spans="1:7">
      <c r="A261" s="9"/>
      <c r="B261" s="10"/>
      <c r="C261" s="11"/>
      <c r="D261" s="12"/>
      <c r="E261" s="12"/>
      <c r="F261" s="12"/>
      <c r="G261" s="13"/>
    </row>
    <row r="262" spans="1:7">
      <c r="A262" s="9"/>
      <c r="B262" s="10"/>
      <c r="C262" s="11"/>
      <c r="D262" s="12"/>
      <c r="E262" s="12"/>
      <c r="F262" s="12"/>
      <c r="G262" s="13"/>
    </row>
    <row r="263" spans="1:7">
      <c r="A263" s="9"/>
      <c r="B263" s="10"/>
      <c r="C263" s="11"/>
      <c r="D263" s="12"/>
      <c r="E263" s="12"/>
      <c r="F263" s="12"/>
      <c r="G263" s="13"/>
    </row>
    <row r="264" spans="1:7">
      <c r="A264" s="9"/>
      <c r="B264" s="10"/>
      <c r="C264" s="11"/>
      <c r="D264" s="12"/>
      <c r="E264" s="12"/>
      <c r="F264" s="12"/>
      <c r="G264" s="13"/>
    </row>
    <row r="265" spans="1:7">
      <c r="A265" s="9"/>
      <c r="B265" s="10"/>
      <c r="C265" s="11"/>
      <c r="D265" s="12"/>
      <c r="E265" s="12"/>
      <c r="F265" s="12"/>
      <c r="G265" s="13"/>
    </row>
    <row r="266" spans="1:7">
      <c r="A266" s="9"/>
      <c r="B266" s="10"/>
      <c r="C266" s="11"/>
      <c r="D266" s="12"/>
      <c r="E266" s="12"/>
      <c r="F266" s="12"/>
      <c r="G266" s="13"/>
    </row>
    <row r="267" spans="1:7">
      <c r="A267" s="9"/>
      <c r="B267" s="10"/>
      <c r="C267" s="11"/>
      <c r="D267" s="12"/>
      <c r="E267" s="12"/>
      <c r="F267" s="12"/>
      <c r="G267" s="13"/>
    </row>
    <row r="268" spans="1:7">
      <c r="A268" s="9"/>
      <c r="B268" s="10"/>
      <c r="C268" s="11"/>
      <c r="D268" s="12"/>
      <c r="E268" s="12"/>
      <c r="F268" s="12"/>
      <c r="G268" s="13"/>
    </row>
    <row r="269" spans="1:7">
      <c r="A269" s="9"/>
      <c r="B269" s="10"/>
      <c r="C269" s="11"/>
      <c r="D269" s="12"/>
      <c r="E269" s="12"/>
      <c r="F269" s="12"/>
      <c r="G269" s="13"/>
    </row>
    <row r="270" spans="1:7">
      <c r="A270" s="9"/>
      <c r="B270" s="10"/>
      <c r="C270" s="11"/>
      <c r="D270" s="12"/>
      <c r="E270" s="12"/>
      <c r="F270" s="12"/>
      <c r="G270" s="13"/>
    </row>
    <row r="271" spans="1:7">
      <c r="A271" s="9"/>
      <c r="B271" s="10"/>
      <c r="C271" s="11"/>
      <c r="D271" s="12"/>
      <c r="E271" s="12"/>
      <c r="F271" s="12"/>
      <c r="G271" s="13"/>
    </row>
    <row r="272" spans="1:7">
      <c r="A272" s="9"/>
      <c r="B272" s="10"/>
      <c r="C272" s="11"/>
      <c r="D272" s="12"/>
      <c r="E272" s="12"/>
      <c r="F272" s="12"/>
      <c r="G272" s="13"/>
    </row>
    <row r="273" spans="1:7">
      <c r="A273" s="9"/>
      <c r="B273" s="10"/>
      <c r="C273" s="11"/>
      <c r="D273" s="12"/>
      <c r="E273" s="12"/>
      <c r="F273" s="12"/>
      <c r="G273" s="13"/>
    </row>
    <row r="274" spans="1:7">
      <c r="A274" s="9"/>
      <c r="B274" s="10"/>
      <c r="C274" s="11"/>
      <c r="D274" s="12"/>
      <c r="E274" s="12"/>
      <c r="F274" s="12"/>
      <c r="G274" s="13"/>
    </row>
    <row r="275" spans="1:7">
      <c r="A275" s="9"/>
      <c r="B275" s="10"/>
      <c r="C275" s="11"/>
      <c r="D275" s="12"/>
      <c r="E275" s="12"/>
      <c r="F275" s="12"/>
      <c r="G275" s="13"/>
    </row>
    <row r="276" spans="1:7">
      <c r="A276" s="9"/>
      <c r="B276" s="10"/>
      <c r="C276" s="11"/>
      <c r="D276" s="12"/>
      <c r="E276" s="12"/>
      <c r="F276" s="12"/>
      <c r="G276" s="13"/>
    </row>
    <row r="277" spans="1:7">
      <c r="A277" s="9"/>
      <c r="B277" s="10"/>
      <c r="C277" s="11"/>
      <c r="D277" s="12"/>
      <c r="E277" s="12"/>
      <c r="F277" s="12"/>
      <c r="G277" s="13"/>
    </row>
    <row r="278" spans="1:7">
      <c r="A278" s="9"/>
      <c r="B278" s="10"/>
      <c r="C278" s="11"/>
      <c r="D278" s="12"/>
      <c r="E278" s="12"/>
      <c r="F278" s="12"/>
      <c r="G278" s="13"/>
    </row>
    <row r="279" spans="1:7">
      <c r="A279" s="9"/>
      <c r="B279" s="10"/>
      <c r="C279" s="11"/>
      <c r="D279" s="12"/>
      <c r="E279" s="12"/>
      <c r="F279" s="12"/>
      <c r="G279" s="13"/>
    </row>
    <row r="280" spans="1:7">
      <c r="A280" s="9"/>
      <c r="B280" s="10"/>
      <c r="C280" s="11"/>
      <c r="D280" s="12"/>
      <c r="E280" s="12"/>
      <c r="F280" s="12"/>
      <c r="G280" s="13"/>
    </row>
    <row r="281" spans="1:7">
      <c r="A281" s="9"/>
      <c r="B281" s="10"/>
      <c r="C281" s="11"/>
      <c r="D281" s="12"/>
      <c r="E281" s="12"/>
      <c r="F281" s="12"/>
      <c r="G281" s="13"/>
    </row>
    <row r="282" spans="1:7">
      <c r="A282" s="9"/>
      <c r="B282" s="10"/>
      <c r="C282" s="11"/>
      <c r="D282" s="12"/>
      <c r="E282" s="12"/>
      <c r="F282" s="12"/>
      <c r="G282" s="13"/>
    </row>
    <row r="283" spans="1:7">
      <c r="A283" s="9"/>
      <c r="B283" s="10"/>
      <c r="C283" s="11"/>
      <c r="D283" s="12"/>
      <c r="E283" s="12"/>
      <c r="F283" s="12"/>
      <c r="G283" s="13"/>
    </row>
    <row r="284" spans="1:7">
      <c r="A284" s="9"/>
      <c r="B284" s="10"/>
      <c r="C284" s="11"/>
      <c r="D284" s="12"/>
      <c r="E284" s="12"/>
      <c r="F284" s="12"/>
      <c r="G284" s="13"/>
    </row>
    <row r="285" spans="1:7">
      <c r="A285" s="9"/>
      <c r="B285" s="10"/>
      <c r="C285" s="11"/>
      <c r="D285" s="12"/>
      <c r="E285" s="12"/>
      <c r="F285" s="12"/>
      <c r="G285" s="13"/>
    </row>
    <row r="286" spans="1:7">
      <c r="A286" s="9"/>
      <c r="B286" s="10"/>
      <c r="C286" s="11"/>
      <c r="D286" s="12"/>
      <c r="E286" s="12"/>
      <c r="F286" s="12"/>
      <c r="G286" s="13"/>
    </row>
    <row r="287" spans="1:7">
      <c r="A287" s="9"/>
      <c r="B287" s="10"/>
      <c r="C287" s="11"/>
      <c r="D287" s="12"/>
      <c r="E287" s="12"/>
      <c r="F287" s="12"/>
      <c r="G287" s="13"/>
    </row>
    <row r="288" spans="1:7">
      <c r="A288" s="9"/>
      <c r="B288" s="10"/>
      <c r="C288" s="11"/>
      <c r="D288" s="12"/>
      <c r="E288" s="12"/>
      <c r="F288" s="12"/>
      <c r="G288" s="13"/>
    </row>
    <row r="289" spans="1:7">
      <c r="A289" s="9"/>
      <c r="B289" s="10"/>
      <c r="C289" s="11"/>
      <c r="D289" s="12"/>
      <c r="E289" s="12"/>
      <c r="F289" s="12"/>
      <c r="G289" s="13"/>
    </row>
    <row r="290" spans="1:7">
      <c r="A290" s="9"/>
      <c r="B290" s="10"/>
      <c r="C290" s="11"/>
      <c r="D290" s="12"/>
      <c r="E290" s="12"/>
      <c r="F290" s="12"/>
      <c r="G290" s="13"/>
    </row>
    <row r="291" spans="1:7">
      <c r="A291" s="9"/>
      <c r="B291" s="10"/>
      <c r="C291" s="11"/>
      <c r="D291" s="12"/>
      <c r="E291" s="12"/>
      <c r="F291" s="12"/>
      <c r="G291" s="13"/>
    </row>
    <row r="292" spans="1:7">
      <c r="A292" s="9"/>
      <c r="B292" s="10"/>
      <c r="C292" s="11"/>
      <c r="D292" s="12"/>
      <c r="E292" s="12"/>
      <c r="F292" s="12"/>
      <c r="G292" s="13"/>
    </row>
    <row r="293" spans="1:7">
      <c r="A293" s="9"/>
      <c r="B293" s="10"/>
      <c r="C293" s="11"/>
      <c r="D293" s="12"/>
      <c r="E293" s="12"/>
      <c r="F293" s="12"/>
      <c r="G293" s="13"/>
    </row>
    <row r="294" spans="1:7">
      <c r="A294" s="9"/>
      <c r="B294" s="10"/>
      <c r="C294" s="11"/>
      <c r="D294" s="12"/>
      <c r="E294" s="12"/>
      <c r="F294" s="12"/>
      <c r="G294" s="13"/>
    </row>
    <row r="295" spans="1:7">
      <c r="A295" s="9"/>
      <c r="B295" s="10"/>
      <c r="C295" s="11"/>
      <c r="D295" s="12"/>
      <c r="E295" s="12"/>
      <c r="F295" s="12"/>
      <c r="G295" s="13"/>
    </row>
    <row r="296" spans="1:7">
      <c r="A296" s="9"/>
      <c r="B296" s="10"/>
      <c r="C296" s="11"/>
      <c r="D296" s="12"/>
      <c r="E296" s="12"/>
      <c r="F296" s="12"/>
      <c r="G296" s="13"/>
    </row>
    <row r="297" spans="1:7">
      <c r="A297" s="9"/>
      <c r="B297" s="10"/>
      <c r="C297" s="11"/>
      <c r="D297" s="12"/>
      <c r="E297" s="12"/>
      <c r="F297" s="12"/>
      <c r="G297" s="13"/>
    </row>
    <row r="298" spans="1:7">
      <c r="A298" s="9"/>
      <c r="B298" s="10"/>
      <c r="C298" s="11"/>
      <c r="D298" s="12"/>
      <c r="E298" s="12"/>
      <c r="F298" s="12"/>
      <c r="G298" s="13"/>
    </row>
    <row r="299" spans="1:7">
      <c r="A299" s="9"/>
      <c r="B299" s="10"/>
      <c r="C299" s="11"/>
      <c r="D299" s="12"/>
      <c r="E299" s="12"/>
      <c r="F299" s="12"/>
      <c r="G299" s="13"/>
    </row>
    <row r="300" spans="1:7">
      <c r="A300" s="9"/>
      <c r="B300" s="10"/>
      <c r="C300" s="11"/>
      <c r="D300" s="12"/>
      <c r="E300" s="12"/>
      <c r="F300" s="12"/>
      <c r="G300" s="13"/>
    </row>
    <row r="301" spans="1:7">
      <c r="A301" s="9"/>
      <c r="B301" s="10"/>
      <c r="C301" s="11"/>
      <c r="D301" s="12"/>
      <c r="E301" s="12"/>
      <c r="F301" s="12"/>
      <c r="G301" s="13"/>
    </row>
    <row r="302" spans="1:7">
      <c r="A302" s="9"/>
      <c r="B302" s="10"/>
      <c r="C302" s="11"/>
      <c r="D302" s="12"/>
      <c r="E302" s="12"/>
      <c r="F302" s="12"/>
      <c r="G302" s="13"/>
    </row>
    <row r="303" spans="1:7">
      <c r="A303" s="9"/>
      <c r="B303" s="10"/>
      <c r="C303" s="11"/>
      <c r="D303" s="12"/>
      <c r="E303" s="12"/>
      <c r="F303" s="12"/>
      <c r="G303" s="13"/>
    </row>
  </sheetData>
  <mergeCells count="3">
    <mergeCell ref="A1:G1"/>
    <mergeCell ref="A2:G2"/>
    <mergeCell ref="A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Perez, Rich</cp:lastModifiedBy>
  <cp:revision/>
  <dcterms:created xsi:type="dcterms:W3CDTF">2026-04-13T13:38:10Z</dcterms:created>
  <dcterms:modified xsi:type="dcterms:W3CDTF">2026-04-13T17:12:37Z</dcterms:modified>
  <cp:category/>
  <cp:contentStatus/>
</cp:coreProperties>
</file>